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Naths_Things\School\CVM_01\420-C13_OutilsdeGestionSoutien\TP03-Excel\"/>
    </mc:Choice>
  </mc:AlternateContent>
  <bookViews>
    <workbookView xWindow="0" yWindow="0" windowWidth="16155" windowHeight="7830"/>
  </bookViews>
  <sheets>
    <sheet name="Conditions initiales" sheetId="1" r:id="rId1"/>
    <sheet name="Simulation mouvemen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3" i="1" l="1"/>
  <c r="O43" i="1"/>
  <c r="N43" i="1"/>
  <c r="M37" i="2"/>
  <c r="M36" i="2"/>
  <c r="L36" i="2"/>
  <c r="L37" i="2"/>
  <c r="K36" i="2"/>
  <c r="J37" i="2"/>
  <c r="J36" i="2"/>
  <c r="I37" i="2"/>
  <c r="I36" i="2"/>
  <c r="H37" i="2"/>
  <c r="H36" i="2"/>
  <c r="G37" i="2"/>
  <c r="G36" i="2"/>
  <c r="F37" i="2"/>
  <c r="F36" i="2"/>
  <c r="E37" i="2"/>
  <c r="E36" i="2"/>
  <c r="D37" i="2"/>
  <c r="C36" i="2"/>
  <c r="AD44" i="1" l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AD43" i="1"/>
  <c r="AC43" i="1"/>
  <c r="AA43" i="1"/>
  <c r="AB43" i="1"/>
  <c r="Z43" i="1"/>
  <c r="Y43" i="1"/>
  <c r="D23" i="1" l="1"/>
  <c r="S43" i="1" s="1"/>
  <c r="D39" i="1"/>
  <c r="Q43" i="1" s="1"/>
  <c r="D31" i="1"/>
  <c r="R43" i="1" s="1"/>
  <c r="M43" i="1" l="1"/>
  <c r="L43" i="1"/>
  <c r="K43" i="1"/>
  <c r="J43" i="1"/>
  <c r="I43" i="1"/>
  <c r="G43" i="1" s="1"/>
  <c r="H43" i="1"/>
  <c r="F43" i="1" s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44" i="1"/>
  <c r="T45" i="1"/>
  <c r="T46" i="1"/>
  <c r="T47" i="1"/>
  <c r="T48" i="1"/>
  <c r="T49" i="1"/>
  <c r="T50" i="1"/>
  <c r="T43" i="1"/>
  <c r="D37" i="1"/>
  <c r="D38" i="1" s="1"/>
  <c r="D29" i="1"/>
  <c r="D30" i="1" s="1"/>
  <c r="D21" i="1"/>
  <c r="D22" i="1" s="1"/>
  <c r="B44" i="1" l="1"/>
  <c r="E44" i="1"/>
  <c r="D44" i="1"/>
  <c r="C44" i="1"/>
  <c r="N44" i="1" l="1"/>
  <c r="Q44" i="1" s="1"/>
  <c r="P44" i="1"/>
  <c r="S44" i="1" s="1"/>
  <c r="L44" i="1" s="1"/>
  <c r="O44" i="1"/>
  <c r="R44" i="1" s="1"/>
  <c r="J44" i="1" s="1"/>
  <c r="K44" i="1" l="1"/>
  <c r="M44" i="1"/>
  <c r="I44" i="1"/>
  <c r="H44" i="1"/>
  <c r="F44" i="1" s="1"/>
  <c r="D45" i="1" s="1"/>
  <c r="G44" i="1" l="1"/>
  <c r="E45" i="1" s="1"/>
  <c r="B45" i="1"/>
  <c r="C45" i="1" l="1"/>
  <c r="N45" i="1"/>
  <c r="Q45" i="1" s="1"/>
  <c r="H45" i="1" s="1"/>
  <c r="O45" i="1"/>
  <c r="R45" i="1" s="1"/>
  <c r="K45" i="1" s="1"/>
  <c r="P45" i="1"/>
  <c r="S45" i="1" s="1"/>
  <c r="M45" i="1" s="1"/>
  <c r="L45" i="1" l="1"/>
  <c r="I45" i="1"/>
  <c r="J45" i="1"/>
  <c r="F45" i="1" l="1"/>
  <c r="D46" i="1" s="1"/>
  <c r="G45" i="1"/>
  <c r="C46" i="1" s="1"/>
  <c r="B46" i="1"/>
  <c r="N46" i="1" l="1"/>
  <c r="E46" i="1"/>
  <c r="P46" i="1"/>
  <c r="S46" i="1" s="1"/>
  <c r="L46" i="1" s="1"/>
  <c r="O46" i="1"/>
  <c r="R46" i="1" s="1"/>
  <c r="K46" i="1" s="1"/>
  <c r="Q46" i="1" l="1"/>
  <c r="I46" i="1" s="1"/>
  <c r="M46" i="1"/>
  <c r="J46" i="1"/>
  <c r="H46" i="1"/>
  <c r="G46" i="1" l="1"/>
  <c r="E47" i="1" s="1"/>
  <c r="F46" i="1"/>
  <c r="D47" i="1" s="1"/>
  <c r="C47" i="1" l="1"/>
  <c r="B47" i="1"/>
  <c r="N47" i="1" s="1"/>
  <c r="Q47" i="1" s="1"/>
  <c r="I47" i="1" s="1"/>
  <c r="P47" i="1" l="1"/>
  <c r="S47" i="1" s="1"/>
  <c r="M47" i="1" s="1"/>
  <c r="O47" i="1"/>
  <c r="R47" i="1" s="1"/>
  <c r="H47" i="1"/>
  <c r="L47" i="1" l="1"/>
  <c r="J47" i="1"/>
  <c r="K47" i="1"/>
  <c r="G47" i="1"/>
  <c r="F47" i="1" l="1"/>
  <c r="D48" i="1"/>
  <c r="B48" i="1"/>
  <c r="E48" i="1"/>
  <c r="C48" i="1"/>
  <c r="O48" i="1" s="1"/>
  <c r="R48" i="1" s="1"/>
  <c r="N48" i="1" l="1"/>
  <c r="K48" i="1"/>
  <c r="J48" i="1"/>
  <c r="P48" i="1"/>
  <c r="S48" i="1" s="1"/>
  <c r="M48" i="1" s="1"/>
  <c r="Q48" i="1" l="1"/>
  <c r="H48" i="1" s="1"/>
  <c r="L48" i="1"/>
  <c r="F48" i="1" l="1"/>
  <c r="D49" i="1" s="1"/>
  <c r="I48" i="1"/>
  <c r="G48" i="1" s="1"/>
  <c r="E49" i="1" s="1"/>
  <c r="C49" i="1"/>
  <c r="B49" i="1" l="1"/>
  <c r="N49" i="1" s="1"/>
  <c r="Q49" i="1" s="1"/>
  <c r="P49" i="1" l="1"/>
  <c r="S49" i="1" s="1"/>
  <c r="L49" i="1" s="1"/>
  <c r="O49" i="1"/>
  <c r="R49" i="1" s="1"/>
  <c r="J49" i="1" s="1"/>
  <c r="H49" i="1"/>
  <c r="K49" i="1"/>
  <c r="I49" i="1"/>
  <c r="M49" i="1" l="1"/>
  <c r="G49" i="1" s="1"/>
  <c r="F49" i="1"/>
  <c r="E50" i="1" l="1"/>
  <c r="C50" i="1"/>
  <c r="D50" i="1"/>
  <c r="B50" i="1"/>
  <c r="N50" i="1" s="1"/>
  <c r="Q50" i="1" s="1"/>
  <c r="P50" i="1" l="1"/>
  <c r="S50" i="1" s="1"/>
  <c r="M50" i="1" s="1"/>
  <c r="O50" i="1"/>
  <c r="R50" i="1" s="1"/>
  <c r="K50" i="1" s="1"/>
  <c r="L50" i="1" l="1"/>
  <c r="J50" i="1"/>
  <c r="H50" i="1"/>
  <c r="I50" i="1"/>
  <c r="G50" i="1" s="1"/>
  <c r="F50" i="1" l="1"/>
  <c r="E51" i="1"/>
  <c r="C51" i="1"/>
  <c r="D51" i="1" l="1"/>
  <c r="B51" i="1"/>
  <c r="N51" i="1" s="1"/>
  <c r="Q51" i="1" s="1"/>
  <c r="P51" i="1" l="1"/>
  <c r="S51" i="1" s="1"/>
  <c r="M51" i="1" s="1"/>
  <c r="O51" i="1"/>
  <c r="R51" i="1" s="1"/>
  <c r="K51" i="1" s="1"/>
  <c r="L51" i="1" l="1"/>
  <c r="J51" i="1"/>
  <c r="I51" i="1"/>
  <c r="G51" i="1" s="1"/>
  <c r="H51" i="1"/>
  <c r="F51" i="1" l="1"/>
  <c r="D52" i="1" s="1"/>
  <c r="E52" i="1"/>
  <c r="C52" i="1"/>
  <c r="B52" i="1" l="1"/>
  <c r="N52" i="1" s="1"/>
  <c r="Q52" i="1" s="1"/>
  <c r="O52" i="1" l="1"/>
  <c r="R52" i="1" s="1"/>
  <c r="K52" i="1" s="1"/>
  <c r="P52" i="1"/>
  <c r="S52" i="1" s="1"/>
  <c r="M52" i="1" s="1"/>
  <c r="I52" i="1"/>
  <c r="J52" i="1" l="1"/>
  <c r="G52" i="1"/>
  <c r="L52" i="1"/>
  <c r="H52" i="1"/>
  <c r="E53" i="1"/>
  <c r="C53" i="1"/>
  <c r="F52" i="1" l="1"/>
  <c r="D53" i="1" s="1"/>
  <c r="B53" i="1" l="1"/>
  <c r="N53" i="1" l="1"/>
  <c r="Q53" i="1" s="1"/>
  <c r="I53" i="1" s="1"/>
  <c r="O53" i="1"/>
  <c r="R53" i="1" s="1"/>
  <c r="K53" i="1" s="1"/>
  <c r="P53" i="1"/>
  <c r="S53" i="1" s="1"/>
  <c r="M53" i="1" s="1"/>
  <c r="L53" i="1"/>
  <c r="G53" i="1"/>
  <c r="C54" i="1" s="1"/>
  <c r="J53" i="1" l="1"/>
  <c r="E54" i="1"/>
  <c r="H53" i="1"/>
  <c r="F53" i="1" l="1"/>
  <c r="D54" i="1" l="1"/>
  <c r="B54" i="1"/>
  <c r="P54" i="1" l="1"/>
  <c r="S54" i="1" s="1"/>
  <c r="M54" i="1" s="1"/>
  <c r="N54" i="1"/>
  <c r="Q54" i="1" s="1"/>
  <c r="I54" i="1" s="1"/>
  <c r="L54" i="1"/>
  <c r="O54" i="1"/>
  <c r="R54" i="1" s="1"/>
  <c r="H54" i="1"/>
  <c r="J54" i="1" l="1"/>
  <c r="F54" i="1" s="1"/>
  <c r="K54" i="1"/>
  <c r="G54" i="1" s="1"/>
  <c r="E55" i="1" l="1"/>
  <c r="C55" i="1"/>
  <c r="B55" i="1"/>
  <c r="N55" i="1" s="1"/>
  <c r="D55" i="1"/>
  <c r="P55" i="1"/>
  <c r="S55" i="1" s="1"/>
  <c r="L55" i="1" s="1"/>
  <c r="O55" i="1"/>
  <c r="R55" i="1" s="1"/>
  <c r="K55" i="1" s="1"/>
  <c r="Q55" i="1"/>
  <c r="I55" i="1" s="1"/>
  <c r="J55" i="1" l="1"/>
  <c r="M55" i="1"/>
  <c r="G55" i="1" s="1"/>
  <c r="E56" i="1" s="1"/>
  <c r="H55" i="1"/>
  <c r="F55" i="1" s="1"/>
  <c r="C56" i="1" l="1"/>
  <c r="B56" i="1"/>
  <c r="D56" i="1"/>
  <c r="N56" i="1" l="1"/>
  <c r="Q56" i="1" s="1"/>
  <c r="O56" i="1"/>
  <c r="R56" i="1" s="1"/>
  <c r="P56" i="1"/>
  <c r="S56" i="1" s="1"/>
  <c r="K56" i="1" l="1"/>
  <c r="J56" i="1"/>
  <c r="L56" i="1"/>
  <c r="M56" i="1"/>
  <c r="I56" i="1"/>
  <c r="H56" i="1"/>
  <c r="F56" i="1" s="1"/>
  <c r="G56" i="1" l="1"/>
  <c r="E57" i="1" s="1"/>
  <c r="D57" i="1"/>
  <c r="B57" i="1"/>
  <c r="C57" i="1" l="1"/>
  <c r="P57" i="1"/>
  <c r="S57" i="1" s="1"/>
  <c r="N57" i="1"/>
  <c r="Q57" i="1" s="1"/>
  <c r="H57" i="1" s="1"/>
  <c r="O57" i="1"/>
  <c r="R57" i="1" s="1"/>
  <c r="K57" i="1" l="1"/>
  <c r="J57" i="1"/>
  <c r="M57" i="1"/>
  <c r="L57" i="1"/>
  <c r="I57" i="1"/>
  <c r="G57" i="1" l="1"/>
  <c r="E58" i="1" s="1"/>
  <c r="F57" i="1"/>
  <c r="C58" i="1" l="1"/>
  <c r="D58" i="1"/>
  <c r="B58" i="1"/>
  <c r="N58" i="1" l="1"/>
  <c r="Q58" i="1" s="1"/>
  <c r="I58" i="1" s="1"/>
  <c r="O58" i="1"/>
  <c r="R58" i="1" s="1"/>
  <c r="P58" i="1"/>
  <c r="S58" i="1" s="1"/>
  <c r="M58" i="1" s="1"/>
  <c r="H58" i="1" l="1"/>
  <c r="L58" i="1"/>
  <c r="J58" i="1"/>
  <c r="K58" i="1"/>
  <c r="G58" i="1"/>
  <c r="F58" i="1" l="1"/>
  <c r="B59" i="1" s="1"/>
  <c r="E59" i="1"/>
  <c r="C59" i="1"/>
  <c r="D59" i="1" l="1"/>
  <c r="N59" i="1"/>
  <c r="Q59" i="1" s="1"/>
  <c r="H59" i="1" s="1"/>
  <c r="P59" i="1"/>
  <c r="S59" i="1" s="1"/>
  <c r="O59" i="1"/>
  <c r="R59" i="1" s="1"/>
  <c r="J59" i="1" l="1"/>
  <c r="K59" i="1"/>
  <c r="M59" i="1"/>
  <c r="L59" i="1"/>
  <c r="I59" i="1"/>
  <c r="G59" i="1" s="1"/>
  <c r="E60" i="1" l="1"/>
  <c r="C60" i="1"/>
  <c r="F59" i="1"/>
  <c r="D60" i="1" l="1"/>
  <c r="B60" i="1"/>
  <c r="N60" i="1" l="1"/>
  <c r="Q60" i="1" s="1"/>
  <c r="P60" i="1"/>
  <c r="S60" i="1" s="1"/>
  <c r="M60" i="1" s="1"/>
  <c r="O60" i="1"/>
  <c r="R60" i="1" s="1"/>
  <c r="L60" i="1" l="1"/>
  <c r="K60" i="1"/>
  <c r="J60" i="1"/>
  <c r="I60" i="1"/>
  <c r="G60" i="1" s="1"/>
  <c r="H60" i="1"/>
  <c r="F60" i="1" s="1"/>
  <c r="B61" i="1" s="1"/>
  <c r="D61" i="1" l="1"/>
  <c r="C61" i="1"/>
  <c r="N61" i="1" s="1"/>
  <c r="Q61" i="1" s="1"/>
  <c r="E61" i="1"/>
  <c r="P61" i="1"/>
  <c r="S61" i="1" s="1"/>
  <c r="M61" i="1" s="1"/>
  <c r="O61" i="1"/>
  <c r="R61" i="1" s="1"/>
  <c r="J61" i="1" l="1"/>
  <c r="K61" i="1"/>
  <c r="H61" i="1"/>
  <c r="I61" i="1"/>
  <c r="G61" i="1" s="1"/>
  <c r="L61" i="1"/>
  <c r="E62" i="1" l="1"/>
  <c r="C62" i="1"/>
  <c r="F61" i="1"/>
  <c r="D62" i="1" l="1"/>
  <c r="B62" i="1"/>
  <c r="N62" i="1" s="1"/>
  <c r="Q62" i="1" s="1"/>
  <c r="P62" i="1" l="1"/>
  <c r="S62" i="1" s="1"/>
  <c r="M62" i="1" s="1"/>
  <c r="O62" i="1"/>
  <c r="R62" i="1" s="1"/>
  <c r="H62" i="1" l="1"/>
  <c r="I62" i="1"/>
  <c r="J62" i="1"/>
  <c r="K62" i="1"/>
  <c r="L62" i="1"/>
  <c r="G62" i="1" l="1"/>
  <c r="F62" i="1"/>
  <c r="B63" i="1" l="1"/>
  <c r="D63" i="1"/>
  <c r="E63" i="1"/>
  <c r="C63" i="1"/>
  <c r="N63" i="1" l="1"/>
  <c r="Q63" i="1" s="1"/>
  <c r="I63" i="1" s="1"/>
  <c r="O63" i="1"/>
  <c r="R63" i="1" s="1"/>
  <c r="J63" i="1" s="1"/>
  <c r="P63" i="1"/>
  <c r="S63" i="1" s="1"/>
  <c r="M63" i="1" s="1"/>
  <c r="L63" i="1" l="1"/>
  <c r="H63" i="1"/>
  <c r="K63" i="1"/>
  <c r="G63" i="1" s="1"/>
  <c r="F63" i="1" l="1"/>
  <c r="D64" i="1" s="1"/>
  <c r="E64" i="1"/>
  <c r="C64" i="1"/>
  <c r="B64" i="1" l="1"/>
  <c r="N64" i="1" s="1"/>
  <c r="Q64" i="1" s="1"/>
  <c r="I64" i="1" s="1"/>
  <c r="O64" i="1"/>
  <c r="R64" i="1" s="1"/>
  <c r="K64" i="1" s="1"/>
  <c r="H64" i="1" l="1"/>
  <c r="P64" i="1"/>
  <c r="S64" i="1" s="1"/>
  <c r="M64" i="1" s="1"/>
  <c r="G64" i="1"/>
  <c r="J64" i="1"/>
  <c r="L64" i="1"/>
  <c r="F64" i="1" l="1"/>
  <c r="B65" i="1" s="1"/>
  <c r="C65" i="1"/>
  <c r="E65" i="1"/>
  <c r="D65" i="1" l="1"/>
  <c r="N65" i="1"/>
  <c r="Q65" i="1" s="1"/>
  <c r="O65" i="1"/>
  <c r="R65" i="1" s="1"/>
  <c r="K65" i="1" s="1"/>
  <c r="P65" i="1"/>
  <c r="S65" i="1" s="1"/>
  <c r="M65" i="1" s="1"/>
  <c r="I65" i="1"/>
  <c r="J65" i="1" l="1"/>
  <c r="H65" i="1"/>
  <c r="G65" i="1"/>
  <c r="L65" i="1"/>
  <c r="F65" i="1" l="1"/>
  <c r="D66" i="1"/>
  <c r="B66" i="1"/>
  <c r="E66" i="1"/>
  <c r="C66" i="1"/>
  <c r="N66" i="1" l="1"/>
  <c r="Q66" i="1" s="1"/>
  <c r="I66" i="1" s="1"/>
  <c r="P66" i="1"/>
  <c r="S66" i="1" s="1"/>
  <c r="M66" i="1" s="1"/>
  <c r="O66" i="1"/>
  <c r="R66" i="1" s="1"/>
  <c r="J66" i="1" s="1"/>
  <c r="H66" i="1" l="1"/>
  <c r="L66" i="1"/>
  <c r="K66" i="1"/>
  <c r="G66" i="1" s="1"/>
  <c r="E67" i="1" l="1"/>
  <c r="C67" i="1"/>
  <c r="F66" i="1"/>
  <c r="B67" i="1" l="1"/>
  <c r="N67" i="1" s="1"/>
  <c r="Q67" i="1" s="1"/>
  <c r="D67" i="1"/>
  <c r="O67" i="1" l="1"/>
  <c r="R67" i="1" s="1"/>
  <c r="K67" i="1" s="1"/>
  <c r="I67" i="1"/>
  <c r="P67" i="1"/>
  <c r="S67" i="1" s="1"/>
  <c r="M67" i="1" s="1"/>
  <c r="H67" i="1"/>
  <c r="J67" i="1" l="1"/>
  <c r="G67" i="1"/>
  <c r="C68" i="1"/>
  <c r="E68" i="1"/>
  <c r="L67" i="1"/>
  <c r="F67" i="1" s="1"/>
  <c r="D68" i="1" l="1"/>
  <c r="B68" i="1"/>
  <c r="N68" i="1" s="1"/>
  <c r="Q68" i="1" s="1"/>
  <c r="I68" i="1" l="1"/>
  <c r="P68" i="1"/>
  <c r="S68" i="1" s="1"/>
  <c r="M68" i="1" s="1"/>
  <c r="O68" i="1"/>
  <c r="R68" i="1" s="1"/>
  <c r="K68" i="1" s="1"/>
  <c r="H68" i="1"/>
  <c r="J68" i="1" l="1"/>
  <c r="G68" i="1"/>
  <c r="L68" i="1"/>
  <c r="F68" i="1" l="1"/>
  <c r="B69" i="1"/>
  <c r="D69" i="1"/>
  <c r="C69" i="1"/>
  <c r="E69" i="1"/>
  <c r="N69" i="1" l="1"/>
  <c r="Q69" i="1" s="1"/>
  <c r="H69" i="1" s="1"/>
  <c r="O69" i="1"/>
  <c r="R69" i="1" s="1"/>
  <c r="J69" i="1" s="1"/>
  <c r="P69" i="1"/>
  <c r="S69" i="1" s="1"/>
  <c r="M69" i="1" s="1"/>
  <c r="L69" i="1" l="1"/>
  <c r="F69" i="1" s="1"/>
  <c r="I69" i="1"/>
  <c r="K69" i="1"/>
  <c r="B70" i="1" l="1"/>
  <c r="D70" i="1"/>
  <c r="G69" i="1"/>
  <c r="E70" i="1" l="1"/>
  <c r="C70" i="1"/>
  <c r="N70" i="1" s="1"/>
  <c r="O70" i="1"/>
  <c r="R70" i="1" s="1"/>
  <c r="J70" i="1" s="1"/>
  <c r="P70" i="1"/>
  <c r="S70" i="1" s="1"/>
  <c r="L70" i="1" s="1"/>
  <c r="Q70" i="1" l="1"/>
  <c r="H70" i="1" s="1"/>
  <c r="F70" i="1" s="1"/>
  <c r="M70" i="1"/>
  <c r="K70" i="1"/>
  <c r="I70" i="1" l="1"/>
  <c r="G70" i="1" s="1"/>
  <c r="C71" i="1" s="1"/>
  <c r="D71" i="1"/>
  <c r="B71" i="1"/>
  <c r="N71" i="1" s="1"/>
  <c r="Q71" i="1" s="1"/>
  <c r="E71" i="1" l="1"/>
  <c r="P71" i="1"/>
  <c r="S71" i="1" s="1"/>
  <c r="M71" i="1" s="1"/>
  <c r="O71" i="1"/>
  <c r="R71" i="1" s="1"/>
  <c r="J71" i="1" l="1"/>
  <c r="K71" i="1"/>
  <c r="H71" i="1"/>
  <c r="I71" i="1"/>
  <c r="G71" i="1" s="1"/>
  <c r="L71" i="1"/>
  <c r="E72" i="1" l="1"/>
  <c r="C72" i="1"/>
  <c r="F71" i="1"/>
  <c r="D72" i="1" l="1"/>
  <c r="B72" i="1"/>
  <c r="N72" i="1" s="1"/>
  <c r="Q72" i="1" s="1"/>
  <c r="O72" i="1" l="1"/>
  <c r="R72" i="1" s="1"/>
  <c r="P72" i="1"/>
  <c r="S72" i="1" s="1"/>
  <c r="M72" i="1" s="1"/>
  <c r="J72" i="1" l="1"/>
  <c r="K72" i="1"/>
  <c r="H72" i="1"/>
  <c r="I72" i="1"/>
  <c r="G72" i="1" s="1"/>
  <c r="L72" i="1"/>
  <c r="C73" i="1" l="1"/>
  <c r="E73" i="1"/>
  <c r="F72" i="1"/>
  <c r="B73" i="1" l="1"/>
  <c r="N73" i="1" s="1"/>
  <c r="Q73" i="1" s="1"/>
  <c r="D73" i="1"/>
  <c r="O73" i="1" l="1"/>
  <c r="R73" i="1" s="1"/>
  <c r="K73" i="1" s="1"/>
  <c r="I73" i="1"/>
  <c r="P73" i="1"/>
  <c r="S73" i="1" s="1"/>
  <c r="M73" i="1" s="1"/>
  <c r="H73" i="1"/>
  <c r="J73" i="1" l="1"/>
  <c r="G73" i="1"/>
  <c r="E74" i="1" s="1"/>
  <c r="C74" i="1"/>
  <c r="L73" i="1"/>
  <c r="F73" i="1" s="1"/>
  <c r="D74" i="1" l="1"/>
  <c r="B74" i="1"/>
  <c r="N74" i="1" s="1"/>
  <c r="Q74" i="1" s="1"/>
  <c r="P74" i="1" l="1"/>
  <c r="S74" i="1" s="1"/>
  <c r="M74" i="1" s="1"/>
  <c r="O74" i="1"/>
  <c r="R74" i="1" s="1"/>
  <c r="H74" i="1" l="1"/>
  <c r="I74" i="1"/>
  <c r="J74" i="1"/>
  <c r="K74" i="1"/>
  <c r="L74" i="1"/>
  <c r="G74" i="1" l="1"/>
  <c r="E75" i="1" s="1"/>
  <c r="F74" i="1"/>
  <c r="C75" i="1" l="1"/>
  <c r="B75" i="1"/>
  <c r="D75" i="1"/>
  <c r="N75" i="1" l="1"/>
  <c r="Q75" i="1" s="1"/>
  <c r="I75" i="1" s="1"/>
  <c r="O75" i="1"/>
  <c r="R75" i="1" s="1"/>
  <c r="P75" i="1"/>
  <c r="S75" i="1" s="1"/>
  <c r="M75" i="1" s="1"/>
  <c r="H75" i="1" l="1"/>
  <c r="J75" i="1"/>
  <c r="K75" i="1"/>
  <c r="L75" i="1"/>
  <c r="G75" i="1"/>
  <c r="F75" i="1" l="1"/>
  <c r="D76" i="1" s="1"/>
  <c r="C76" i="1"/>
  <c r="E76" i="1"/>
  <c r="B76" i="1" l="1"/>
  <c r="N76" i="1" s="1"/>
  <c r="Q76" i="1" s="1"/>
  <c r="H76" i="1" s="1"/>
  <c r="O76" i="1" l="1"/>
  <c r="R76" i="1" s="1"/>
  <c r="J76" i="1" s="1"/>
  <c r="P76" i="1"/>
  <c r="S76" i="1" s="1"/>
  <c r="L76" i="1" s="1"/>
  <c r="I76" i="1"/>
  <c r="M76" i="1" l="1"/>
  <c r="F76" i="1"/>
  <c r="K76" i="1"/>
  <c r="G76" i="1" s="1"/>
  <c r="C77" i="1" s="1"/>
  <c r="D77" i="1"/>
  <c r="B77" i="1"/>
  <c r="N77" i="1" l="1"/>
  <c r="Q77" i="1" s="1"/>
  <c r="H77" i="1" s="1"/>
  <c r="E77" i="1"/>
  <c r="O77" i="1"/>
  <c r="R77" i="1" s="1"/>
  <c r="K77" i="1" s="1"/>
  <c r="P77" i="1"/>
  <c r="S77" i="1" s="1"/>
  <c r="L77" i="1" s="1"/>
  <c r="J77" i="1"/>
  <c r="I77" i="1" l="1"/>
  <c r="M77" i="1"/>
  <c r="F77" i="1"/>
  <c r="G77" i="1" l="1"/>
  <c r="D78" i="1"/>
  <c r="B78" i="1"/>
  <c r="E78" i="1" l="1"/>
  <c r="C78" i="1"/>
  <c r="N78" i="1" s="1"/>
  <c r="Q78" i="1" s="1"/>
  <c r="O78" i="1"/>
  <c r="R78" i="1" s="1"/>
  <c r="K78" i="1" s="1"/>
  <c r="P78" i="1"/>
  <c r="S78" i="1" s="1"/>
  <c r="M78" i="1" l="1"/>
  <c r="J78" i="1"/>
  <c r="H78" i="1"/>
  <c r="I78" i="1"/>
  <c r="L78" i="1"/>
  <c r="G78" i="1" l="1"/>
  <c r="F78" i="1"/>
  <c r="E79" i="1"/>
  <c r="C79" i="1"/>
  <c r="D79" i="1" l="1"/>
  <c r="B79" i="1"/>
  <c r="N79" i="1" s="1"/>
  <c r="Q79" i="1" s="1"/>
  <c r="P79" i="1" l="1"/>
  <c r="S79" i="1" s="1"/>
  <c r="M79" i="1" s="1"/>
  <c r="O79" i="1"/>
  <c r="R79" i="1" s="1"/>
  <c r="K79" i="1" s="1"/>
  <c r="J79" i="1" l="1"/>
  <c r="H79" i="1"/>
  <c r="I79" i="1"/>
  <c r="G79" i="1" s="1"/>
  <c r="L79" i="1"/>
  <c r="E80" i="1" l="1"/>
  <c r="C80" i="1"/>
  <c r="F79" i="1"/>
  <c r="B80" i="1" l="1"/>
  <c r="N80" i="1" s="1"/>
  <c r="Q80" i="1" s="1"/>
  <c r="D80" i="1"/>
  <c r="P80" i="1" l="1"/>
  <c r="S80" i="1" s="1"/>
  <c r="M80" i="1" s="1"/>
  <c r="O80" i="1"/>
  <c r="R80" i="1" s="1"/>
  <c r="J80" i="1" l="1"/>
  <c r="K80" i="1"/>
  <c r="L80" i="1"/>
  <c r="H80" i="1"/>
  <c r="I80" i="1"/>
  <c r="G80" i="1" s="1"/>
  <c r="F80" i="1" l="1"/>
  <c r="B81" i="1" s="1"/>
  <c r="C81" i="1"/>
  <c r="E81" i="1"/>
  <c r="D81" i="1" l="1"/>
  <c r="N81" i="1"/>
  <c r="Q81" i="1" s="1"/>
  <c r="O81" i="1"/>
  <c r="R81" i="1" s="1"/>
  <c r="J81" i="1" s="1"/>
  <c r="H81" i="1"/>
  <c r="P81" i="1"/>
  <c r="S81" i="1" s="1"/>
  <c r="M81" i="1" s="1"/>
  <c r="L81" i="1" l="1"/>
  <c r="F81" i="1" s="1"/>
  <c r="I81" i="1"/>
  <c r="K81" i="1"/>
  <c r="B82" i="1" l="1"/>
  <c r="D82" i="1"/>
  <c r="G81" i="1"/>
  <c r="E82" i="1" l="1"/>
  <c r="C82" i="1"/>
  <c r="N82" i="1" s="1"/>
  <c r="O82" i="1"/>
  <c r="R82" i="1" s="1"/>
  <c r="K82" i="1" s="1"/>
  <c r="P82" i="1"/>
  <c r="S82" i="1" s="1"/>
  <c r="Q82" i="1" l="1"/>
  <c r="I82" i="1" s="1"/>
  <c r="G82" i="1" s="1"/>
  <c r="M82" i="1"/>
  <c r="L82" i="1"/>
  <c r="J82" i="1"/>
  <c r="H82" i="1" l="1"/>
  <c r="C83" i="1"/>
  <c r="E83" i="1"/>
  <c r="F82" i="1"/>
  <c r="B83" i="1" l="1"/>
  <c r="N83" i="1" s="1"/>
  <c r="Q83" i="1" s="1"/>
  <c r="D83" i="1"/>
  <c r="O83" i="1" l="1"/>
  <c r="R83" i="1" s="1"/>
  <c r="K83" i="1" s="1"/>
  <c r="P83" i="1"/>
  <c r="S83" i="1" s="1"/>
  <c r="M83" i="1" s="1"/>
  <c r="I83" i="1"/>
  <c r="J83" i="1"/>
  <c r="G83" i="1" l="1"/>
  <c r="H83" i="1"/>
  <c r="C84" i="1"/>
  <c r="E84" i="1"/>
  <c r="L83" i="1"/>
  <c r="F83" i="1" l="1"/>
  <c r="D84" i="1" l="1"/>
  <c r="B84" i="1"/>
  <c r="N84" i="1" s="1"/>
  <c r="Q84" i="1" s="1"/>
  <c r="O84" i="1" l="1"/>
  <c r="R84" i="1" s="1"/>
  <c r="P84" i="1"/>
  <c r="S84" i="1" s="1"/>
  <c r="M84" i="1" s="1"/>
  <c r="H84" i="1" l="1"/>
  <c r="I84" i="1"/>
  <c r="J84" i="1"/>
  <c r="K84" i="1"/>
  <c r="L84" i="1"/>
  <c r="G84" i="1" l="1"/>
  <c r="F84" i="1"/>
  <c r="B85" i="1" l="1"/>
  <c r="D85" i="1"/>
  <c r="C85" i="1"/>
  <c r="E85" i="1"/>
  <c r="N85" i="1" l="1"/>
  <c r="Q85" i="1" s="1"/>
  <c r="I85" i="1" s="1"/>
  <c r="P85" i="1"/>
  <c r="S85" i="1" s="1"/>
  <c r="M85" i="1" s="1"/>
  <c r="O85" i="1"/>
  <c r="R85" i="1" s="1"/>
  <c r="J85" i="1" s="1"/>
  <c r="L85" i="1" l="1"/>
  <c r="H85" i="1"/>
  <c r="F85" i="1" s="1"/>
  <c r="K85" i="1"/>
  <c r="G85" i="1" s="1"/>
  <c r="C86" i="1" l="1"/>
  <c r="E86" i="1"/>
  <c r="B86" i="1"/>
  <c r="D86" i="1"/>
  <c r="N86" i="1" l="1"/>
  <c r="Q86" i="1" s="1"/>
  <c r="H86" i="1" s="1"/>
  <c r="P86" i="1"/>
  <c r="S86" i="1" s="1"/>
  <c r="M86" i="1" s="1"/>
  <c r="O86" i="1"/>
  <c r="R86" i="1" s="1"/>
  <c r="J86" i="1" s="1"/>
  <c r="I86" i="1" l="1"/>
  <c r="K86" i="1"/>
  <c r="G86" i="1" s="1"/>
  <c r="L86" i="1"/>
  <c r="F86" i="1" s="1"/>
  <c r="D87" i="1" l="1"/>
  <c r="B87" i="1"/>
  <c r="E87" i="1"/>
  <c r="C87" i="1"/>
  <c r="N87" i="1" l="1"/>
  <c r="Q87" i="1" s="1"/>
  <c r="I87" i="1" s="1"/>
  <c r="P87" i="1"/>
  <c r="S87" i="1" s="1"/>
  <c r="M87" i="1" s="1"/>
  <c r="O87" i="1"/>
  <c r="R87" i="1" s="1"/>
  <c r="J87" i="1" s="1"/>
  <c r="H87" i="1" l="1"/>
  <c r="L87" i="1"/>
  <c r="K87" i="1"/>
  <c r="G87" i="1" s="1"/>
  <c r="E88" i="1" l="1"/>
  <c r="C88" i="1"/>
  <c r="F87" i="1"/>
  <c r="D88" i="1" l="1"/>
  <c r="B88" i="1"/>
  <c r="N88" i="1" s="1"/>
  <c r="Q88" i="1" s="1"/>
  <c r="O88" i="1" l="1"/>
  <c r="R88" i="1" s="1"/>
  <c r="K88" i="1" s="1"/>
  <c r="P88" i="1"/>
  <c r="S88" i="1" s="1"/>
  <c r="M88" i="1" s="1"/>
  <c r="I88" i="1"/>
  <c r="G88" i="1" l="1"/>
  <c r="H88" i="1"/>
  <c r="J88" i="1"/>
  <c r="C89" i="1"/>
  <c r="E89" i="1"/>
  <c r="L88" i="1"/>
  <c r="F88" i="1" l="1"/>
  <c r="D89" i="1" l="1"/>
  <c r="B89" i="1"/>
  <c r="N89" i="1" s="1"/>
  <c r="Q89" i="1" s="1"/>
  <c r="P89" i="1" l="1"/>
  <c r="S89" i="1" s="1"/>
  <c r="M89" i="1" s="1"/>
  <c r="O89" i="1"/>
  <c r="R89" i="1" s="1"/>
  <c r="J89" i="1" l="1"/>
  <c r="K89" i="1"/>
  <c r="H89" i="1"/>
  <c r="I89" i="1"/>
  <c r="G89" i="1" s="1"/>
  <c r="L89" i="1"/>
  <c r="E90" i="1" l="1"/>
  <c r="C90" i="1"/>
  <c r="F89" i="1"/>
  <c r="B90" i="1" l="1"/>
  <c r="N90" i="1" s="1"/>
  <c r="Q90" i="1" s="1"/>
  <c r="D90" i="1"/>
  <c r="P90" i="1" l="1"/>
  <c r="S90" i="1" s="1"/>
  <c r="M90" i="1" s="1"/>
  <c r="O90" i="1"/>
  <c r="R90" i="1" s="1"/>
  <c r="J90" i="1" l="1"/>
  <c r="K90" i="1"/>
  <c r="H90" i="1"/>
  <c r="I90" i="1"/>
  <c r="G90" i="1" s="1"/>
  <c r="L90" i="1"/>
  <c r="F90" i="1" l="1"/>
  <c r="C91" i="1"/>
  <c r="E91" i="1"/>
  <c r="D91" i="1" l="1"/>
  <c r="B91" i="1"/>
  <c r="N91" i="1" s="1"/>
  <c r="Q91" i="1" s="1"/>
  <c r="P91" i="1" l="1"/>
  <c r="S91" i="1" s="1"/>
  <c r="M91" i="1" s="1"/>
  <c r="O91" i="1"/>
  <c r="R91" i="1" s="1"/>
  <c r="K91" i="1" s="1"/>
  <c r="I91" i="1"/>
  <c r="G91" i="1" l="1"/>
  <c r="J91" i="1"/>
  <c r="E92" i="1"/>
  <c r="C92" i="1"/>
  <c r="H91" i="1"/>
  <c r="L91" i="1"/>
  <c r="F91" i="1" l="1"/>
  <c r="D92" i="1" l="1"/>
  <c r="B92" i="1"/>
  <c r="N92" i="1" s="1"/>
  <c r="Q92" i="1" s="1"/>
  <c r="P92" i="1" l="1"/>
  <c r="S92" i="1" s="1"/>
  <c r="M92" i="1" s="1"/>
  <c r="O92" i="1"/>
  <c r="R92" i="1" s="1"/>
  <c r="K92" i="1" s="1"/>
  <c r="J92" i="1" l="1"/>
  <c r="H92" i="1"/>
  <c r="I92" i="1"/>
  <c r="G92" i="1" s="1"/>
  <c r="L92" i="1"/>
  <c r="F92" i="1" l="1"/>
  <c r="C93" i="1"/>
  <c r="E93" i="1"/>
  <c r="D93" i="1" l="1"/>
  <c r="B93" i="1"/>
  <c r="N93" i="1" s="1"/>
  <c r="Q93" i="1" s="1"/>
  <c r="O93" i="1" l="1"/>
  <c r="R93" i="1" s="1"/>
  <c r="P93" i="1"/>
  <c r="S93" i="1" s="1"/>
  <c r="M93" i="1" s="1"/>
  <c r="H93" i="1" l="1"/>
  <c r="I93" i="1"/>
  <c r="J93" i="1"/>
  <c r="K93" i="1"/>
  <c r="L93" i="1"/>
  <c r="G93" i="1" l="1"/>
  <c r="F93" i="1"/>
  <c r="B94" i="1" l="1"/>
  <c r="D94" i="1"/>
  <c r="E94" i="1"/>
  <c r="C94" i="1"/>
  <c r="N94" i="1" l="1"/>
  <c r="Q94" i="1" s="1"/>
  <c r="P94" i="1"/>
  <c r="S94" i="1" s="1"/>
  <c r="M94" i="1" s="1"/>
  <c r="I94" i="1"/>
  <c r="O94" i="1"/>
  <c r="R94" i="1" s="1"/>
  <c r="J94" i="1" s="1"/>
  <c r="K94" i="1" l="1"/>
  <c r="G94" i="1"/>
  <c r="L94" i="1"/>
  <c r="H94" i="1"/>
  <c r="F94" i="1" s="1"/>
  <c r="D95" i="1" l="1"/>
  <c r="B95" i="1"/>
  <c r="E95" i="1"/>
  <c r="C95" i="1"/>
  <c r="N95" i="1" l="1"/>
  <c r="Q95" i="1" s="1"/>
  <c r="H95" i="1" s="1"/>
  <c r="O95" i="1"/>
  <c r="R95" i="1" s="1"/>
  <c r="J95" i="1" s="1"/>
  <c r="P95" i="1"/>
  <c r="S95" i="1" s="1"/>
  <c r="L95" i="1" s="1"/>
  <c r="I95" i="1"/>
  <c r="K95" i="1" l="1"/>
  <c r="M95" i="1"/>
  <c r="F95" i="1"/>
  <c r="G95" i="1" l="1"/>
  <c r="C96" i="1"/>
  <c r="E96" i="1"/>
  <c r="B96" i="1"/>
  <c r="N96" i="1" s="1"/>
  <c r="Q96" i="1" s="1"/>
  <c r="D96" i="1"/>
  <c r="I96" i="1" l="1"/>
  <c r="O96" i="1"/>
  <c r="R96" i="1" s="1"/>
  <c r="P96" i="1"/>
  <c r="S96" i="1" s="1"/>
  <c r="M96" i="1" s="1"/>
  <c r="H96" i="1"/>
  <c r="J96" i="1" l="1"/>
  <c r="K96" i="1"/>
  <c r="G96" i="1" s="1"/>
  <c r="L96" i="1"/>
  <c r="F96" i="1" l="1"/>
  <c r="B97" i="1" s="1"/>
  <c r="D97" i="1"/>
  <c r="C97" i="1"/>
  <c r="E97" i="1"/>
  <c r="N97" i="1" l="1"/>
  <c r="Q97" i="1" s="1"/>
  <c r="O97" i="1"/>
  <c r="R97" i="1" s="1"/>
  <c r="K97" i="1" s="1"/>
  <c r="I97" i="1"/>
  <c r="P97" i="1"/>
  <c r="S97" i="1" s="1"/>
  <c r="M97" i="1" s="1"/>
  <c r="H97" i="1" l="1"/>
  <c r="G97" i="1"/>
  <c r="L97" i="1"/>
  <c r="J97" i="1"/>
  <c r="F97" i="1" l="1"/>
  <c r="B98" i="1" s="1"/>
  <c r="C98" i="1"/>
  <c r="E98" i="1"/>
  <c r="D98" i="1" l="1"/>
  <c r="N98" i="1"/>
  <c r="Q98" i="1" s="1"/>
  <c r="I98" i="1" s="1"/>
  <c r="O98" i="1"/>
  <c r="R98" i="1" s="1"/>
  <c r="J98" i="1" s="1"/>
  <c r="P98" i="1"/>
  <c r="S98" i="1" s="1"/>
  <c r="M98" i="1" s="1"/>
  <c r="L98" i="1" l="1"/>
  <c r="K98" i="1"/>
  <c r="G98" i="1"/>
  <c r="H98" i="1"/>
  <c r="F98" i="1" s="1"/>
  <c r="D99" i="1" l="1"/>
  <c r="B99" i="1"/>
  <c r="E99" i="1"/>
  <c r="C99" i="1"/>
  <c r="N99" i="1" l="1"/>
  <c r="Q99" i="1" s="1"/>
  <c r="P99" i="1"/>
  <c r="S99" i="1" s="1"/>
  <c r="M99" i="1" s="1"/>
  <c r="I99" i="1"/>
  <c r="O99" i="1"/>
  <c r="R99" i="1" s="1"/>
  <c r="K99" i="1" s="1"/>
  <c r="G99" i="1" l="1"/>
  <c r="J99" i="1"/>
  <c r="L99" i="1"/>
  <c r="H99" i="1"/>
  <c r="F99" i="1" s="1"/>
  <c r="B100" i="1" l="1"/>
  <c r="D100" i="1"/>
  <c r="E100" i="1"/>
  <c r="C100" i="1"/>
  <c r="N100" i="1" l="1"/>
  <c r="Q100" i="1" s="1"/>
  <c r="I100" i="1" s="1"/>
  <c r="O100" i="1"/>
  <c r="R100" i="1" s="1"/>
  <c r="K100" i="1" s="1"/>
  <c r="P100" i="1"/>
  <c r="S100" i="1" s="1"/>
  <c r="M100" i="1" s="1"/>
  <c r="L100" i="1" l="1"/>
  <c r="H100" i="1"/>
  <c r="G100" i="1"/>
  <c r="J100" i="1"/>
  <c r="F100" i="1" s="1"/>
  <c r="E101" i="1" l="1"/>
  <c r="C101" i="1"/>
  <c r="B101" i="1"/>
  <c r="N101" i="1" s="1"/>
  <c r="Q101" i="1" s="1"/>
  <c r="D101" i="1"/>
  <c r="P101" i="1" l="1"/>
  <c r="S101" i="1" s="1"/>
  <c r="M101" i="1" s="1"/>
  <c r="I101" i="1"/>
  <c r="O101" i="1"/>
  <c r="R101" i="1" s="1"/>
  <c r="K101" i="1" s="1"/>
  <c r="H101" i="1"/>
  <c r="J101" i="1" l="1"/>
  <c r="G101" i="1"/>
  <c r="C102" i="1" s="1"/>
  <c r="L101" i="1"/>
  <c r="F101" i="1" s="1"/>
  <c r="E102" i="1"/>
  <c r="B102" i="1" l="1"/>
  <c r="N102" i="1" s="1"/>
  <c r="Q102" i="1" s="1"/>
  <c r="D102" i="1"/>
  <c r="P102" i="1" l="1"/>
  <c r="S102" i="1" s="1"/>
  <c r="M102" i="1" s="1"/>
  <c r="I102" i="1"/>
  <c r="O102" i="1"/>
  <c r="R102" i="1" s="1"/>
  <c r="K102" i="1" s="1"/>
  <c r="H102" i="1"/>
  <c r="J102" i="1" l="1"/>
  <c r="G102" i="1"/>
  <c r="L102" i="1"/>
  <c r="F102" i="1" s="1"/>
  <c r="D103" i="1" l="1"/>
  <c r="B103" i="1"/>
  <c r="E103" i="1"/>
  <c r="C103" i="1"/>
  <c r="N103" i="1" l="1"/>
  <c r="Q103" i="1" s="1"/>
  <c r="O103" i="1"/>
  <c r="R103" i="1" s="1"/>
  <c r="K103" i="1" s="1"/>
  <c r="P103" i="1"/>
  <c r="S103" i="1" s="1"/>
  <c r="M103" i="1" s="1"/>
  <c r="H103" i="1"/>
  <c r="J103" i="1" l="1"/>
  <c r="L103" i="1"/>
  <c r="I103" i="1"/>
  <c r="G103" i="1" s="1"/>
  <c r="F103" i="1" l="1"/>
  <c r="B104" i="1"/>
  <c r="D104" i="1"/>
  <c r="E104" i="1"/>
  <c r="C104" i="1"/>
  <c r="N104" i="1" l="1"/>
  <c r="Q104" i="1" s="1"/>
  <c r="P104" i="1"/>
  <c r="S104" i="1" s="1"/>
  <c r="L104" i="1" s="1"/>
  <c r="O104" i="1"/>
  <c r="R104" i="1" s="1"/>
  <c r="J104" i="1" s="1"/>
  <c r="I104" i="1"/>
  <c r="M104" i="1" l="1"/>
  <c r="H104" i="1"/>
  <c r="F104" i="1" s="1"/>
  <c r="K104" i="1"/>
  <c r="G104" i="1" s="1"/>
  <c r="B105" i="1" l="1"/>
  <c r="D105" i="1"/>
  <c r="E105" i="1"/>
  <c r="C105" i="1"/>
  <c r="N105" i="1" l="1"/>
  <c r="Q105" i="1" s="1"/>
  <c r="P105" i="1"/>
  <c r="S105" i="1" s="1"/>
  <c r="L105" i="1" s="1"/>
  <c r="O105" i="1"/>
  <c r="R105" i="1" s="1"/>
  <c r="K105" i="1" s="1"/>
  <c r="I105" i="1"/>
  <c r="J105" i="1" l="1"/>
  <c r="H105" i="1"/>
  <c r="M105" i="1"/>
  <c r="F105" i="1"/>
  <c r="G105" i="1"/>
  <c r="E106" i="1" l="1"/>
  <c r="C106" i="1"/>
  <c r="D106" i="1"/>
  <c r="B106" i="1"/>
  <c r="N106" i="1" s="1"/>
  <c r="Q106" i="1" s="1"/>
  <c r="O106" i="1" l="1"/>
  <c r="R106" i="1" s="1"/>
  <c r="J106" i="1" s="1"/>
  <c r="H106" i="1"/>
  <c r="P106" i="1"/>
  <c r="S106" i="1" s="1"/>
  <c r="L106" i="1" s="1"/>
  <c r="I106" i="1"/>
  <c r="K106" i="1" l="1"/>
  <c r="M106" i="1"/>
  <c r="G106" i="1" s="1"/>
  <c r="F106" i="1"/>
  <c r="C107" i="1" l="1"/>
  <c r="E107" i="1"/>
  <c r="B107" i="1"/>
  <c r="N107" i="1" s="1"/>
  <c r="Q107" i="1" s="1"/>
  <c r="D107" i="1"/>
  <c r="P107" i="1" l="1"/>
  <c r="S107" i="1" s="1"/>
  <c r="M107" i="1" s="1"/>
  <c r="O107" i="1"/>
  <c r="R107" i="1" s="1"/>
  <c r="K107" i="1" s="1"/>
  <c r="J107" i="1" l="1"/>
  <c r="H107" i="1"/>
  <c r="I107" i="1"/>
  <c r="G107" i="1" s="1"/>
  <c r="L107" i="1"/>
  <c r="F107" i="1" l="1"/>
  <c r="D108" i="1"/>
  <c r="B108" i="1"/>
  <c r="E108" i="1"/>
  <c r="C108" i="1"/>
  <c r="N108" i="1" l="1"/>
  <c r="Q108" i="1" s="1"/>
  <c r="P108" i="1"/>
  <c r="S108" i="1" s="1"/>
  <c r="M108" i="1" s="1"/>
  <c r="O108" i="1"/>
  <c r="R108" i="1" s="1"/>
  <c r="J108" i="1" s="1"/>
  <c r="H108" i="1"/>
  <c r="L108" i="1" l="1"/>
  <c r="F108" i="1" s="1"/>
  <c r="I108" i="1"/>
  <c r="K108" i="1"/>
  <c r="G108" i="1" l="1"/>
  <c r="E109" i="1" s="1"/>
  <c r="D109" i="1"/>
  <c r="B109" i="1"/>
  <c r="C109" i="1" l="1"/>
  <c r="N109" i="1" s="1"/>
  <c r="Q109" i="1" s="1"/>
  <c r="I109" i="1" s="1"/>
  <c r="P109" i="1"/>
  <c r="S109" i="1" s="1"/>
  <c r="M109" i="1" s="1"/>
  <c r="O109" i="1" l="1"/>
  <c r="R109" i="1" s="1"/>
  <c r="J109" i="1" s="1"/>
  <c r="L109" i="1"/>
  <c r="H109" i="1"/>
  <c r="K109" i="1" l="1"/>
  <c r="G109" i="1" s="1"/>
  <c r="C110" i="1" s="1"/>
  <c r="F109" i="1"/>
  <c r="E110" i="1" l="1"/>
  <c r="B110" i="1"/>
  <c r="N110" i="1" s="1"/>
  <c r="Q110" i="1" s="1"/>
  <c r="D110" i="1"/>
  <c r="P110" i="1" l="1"/>
  <c r="S110" i="1" s="1"/>
  <c r="M110" i="1" s="1"/>
  <c r="I110" i="1"/>
  <c r="O110" i="1"/>
  <c r="R110" i="1" s="1"/>
  <c r="H110" i="1" l="1"/>
  <c r="L110" i="1"/>
  <c r="J110" i="1"/>
  <c r="K110" i="1"/>
  <c r="G110" i="1" s="1"/>
  <c r="E111" i="1" l="1"/>
  <c r="C111" i="1"/>
  <c r="F110" i="1"/>
  <c r="D111" i="1" l="1"/>
  <c r="B111" i="1"/>
  <c r="N111" i="1" s="1"/>
  <c r="Q111" i="1" s="1"/>
  <c r="O111" i="1" l="1"/>
  <c r="R111" i="1" s="1"/>
  <c r="P111" i="1"/>
  <c r="S111" i="1" s="1"/>
  <c r="M111" i="1" s="1"/>
  <c r="I111" i="1"/>
  <c r="H111" i="1" l="1"/>
  <c r="J111" i="1"/>
  <c r="K111" i="1"/>
  <c r="G111" i="1" s="1"/>
  <c r="L111" i="1"/>
  <c r="C112" i="1" l="1"/>
  <c r="E112" i="1"/>
  <c r="F111" i="1"/>
  <c r="D112" i="1" l="1"/>
  <c r="B112" i="1"/>
  <c r="N112" i="1" s="1"/>
  <c r="Q112" i="1" s="1"/>
  <c r="P112" i="1" l="1"/>
  <c r="S112" i="1" s="1"/>
  <c r="M112" i="1" s="1"/>
  <c r="O112" i="1"/>
  <c r="R112" i="1" s="1"/>
  <c r="K112" i="1" s="1"/>
  <c r="I112" i="1"/>
  <c r="G112" i="1" l="1"/>
  <c r="H112" i="1"/>
  <c r="J112" i="1"/>
  <c r="E113" i="1"/>
  <c r="C113" i="1"/>
  <c r="L112" i="1"/>
  <c r="F112" i="1" l="1"/>
  <c r="B113" i="1" l="1"/>
  <c r="N113" i="1" s="1"/>
  <c r="Q113" i="1" s="1"/>
  <c r="D113" i="1"/>
  <c r="O113" i="1" l="1"/>
  <c r="R113" i="1" s="1"/>
  <c r="P113" i="1"/>
  <c r="S113" i="1" s="1"/>
  <c r="M113" i="1" s="1"/>
  <c r="J113" i="1" l="1"/>
  <c r="K113" i="1"/>
  <c r="H113" i="1"/>
  <c r="I113" i="1"/>
  <c r="G113" i="1" s="1"/>
  <c r="L113" i="1"/>
  <c r="E114" i="1" l="1"/>
  <c r="C114" i="1"/>
  <c r="F113" i="1"/>
  <c r="B114" i="1" l="1"/>
  <c r="N114" i="1" s="1"/>
  <c r="Q114" i="1" s="1"/>
  <c r="D114" i="1"/>
  <c r="I114" i="1" l="1"/>
  <c r="O114" i="1"/>
  <c r="R114" i="1" s="1"/>
  <c r="P114" i="1"/>
  <c r="S114" i="1" s="1"/>
  <c r="M114" i="1" s="1"/>
  <c r="H114" i="1"/>
  <c r="J114" i="1" l="1"/>
  <c r="K114" i="1"/>
  <c r="L114" i="1"/>
  <c r="G114" i="1"/>
  <c r="F114" i="1" l="1"/>
  <c r="D115" i="1"/>
  <c r="B115" i="1"/>
  <c r="E115" i="1"/>
  <c r="C115" i="1"/>
  <c r="N115" i="1" l="1"/>
  <c r="Q115" i="1" s="1"/>
  <c r="O115" i="1"/>
  <c r="R115" i="1" s="1"/>
  <c r="K115" i="1" s="1"/>
  <c r="P115" i="1"/>
  <c r="S115" i="1" s="1"/>
  <c r="M115" i="1" s="1"/>
  <c r="H115" i="1"/>
  <c r="I115" i="1"/>
  <c r="J115" i="1" l="1"/>
  <c r="G115" i="1"/>
  <c r="C116" i="1" s="1"/>
  <c r="L115" i="1"/>
  <c r="F115" i="1" s="1"/>
  <c r="E116" i="1" l="1"/>
  <c r="B116" i="1"/>
  <c r="N116" i="1" s="1"/>
  <c r="Q116" i="1" s="1"/>
  <c r="D116" i="1"/>
  <c r="P116" i="1" l="1"/>
  <c r="S116" i="1" s="1"/>
  <c r="M116" i="1" s="1"/>
  <c r="O116" i="1"/>
  <c r="R116" i="1" s="1"/>
  <c r="K116" i="1" s="1"/>
  <c r="I116" i="1"/>
  <c r="J116" i="1"/>
  <c r="H116" i="1"/>
  <c r="G116" i="1" l="1"/>
  <c r="C117" i="1" s="1"/>
  <c r="E117" i="1"/>
  <c r="L116" i="1"/>
  <c r="F116" i="1" s="1"/>
  <c r="D117" i="1" l="1"/>
  <c r="B117" i="1"/>
  <c r="N117" i="1" s="1"/>
  <c r="Q117" i="1" s="1"/>
  <c r="P117" i="1" l="1"/>
  <c r="S117" i="1" s="1"/>
  <c r="M117" i="1" s="1"/>
  <c r="O117" i="1"/>
  <c r="R117" i="1" s="1"/>
  <c r="K117" i="1" s="1"/>
  <c r="I117" i="1"/>
  <c r="G117" i="1" l="1"/>
  <c r="C118" i="1" s="1"/>
  <c r="J117" i="1"/>
  <c r="H117" i="1"/>
  <c r="L117" i="1"/>
  <c r="E118" i="1" l="1"/>
  <c r="F117" i="1"/>
  <c r="B118" i="1" l="1"/>
  <c r="N118" i="1" s="1"/>
  <c r="Q118" i="1" s="1"/>
  <c r="D118" i="1"/>
  <c r="I118" i="1" l="1"/>
  <c r="P118" i="1"/>
  <c r="S118" i="1" s="1"/>
  <c r="M118" i="1" s="1"/>
  <c r="O118" i="1"/>
  <c r="R118" i="1" s="1"/>
  <c r="K118" i="1" s="1"/>
  <c r="H118" i="1"/>
  <c r="J118" i="1" l="1"/>
  <c r="G118" i="1"/>
  <c r="L118" i="1"/>
  <c r="F118" i="1" l="1"/>
  <c r="B119" i="1" s="1"/>
  <c r="E119" i="1"/>
  <c r="C119" i="1"/>
  <c r="D119" i="1" l="1"/>
  <c r="N119" i="1"/>
  <c r="P119" i="1"/>
  <c r="S119" i="1" s="1"/>
  <c r="M119" i="1" s="1"/>
  <c r="O119" i="1"/>
  <c r="R119" i="1" s="1"/>
  <c r="J119" i="1" s="1"/>
  <c r="Q119" i="1" l="1"/>
  <c r="H119" i="1" s="1"/>
  <c r="L119" i="1"/>
  <c r="K119" i="1"/>
  <c r="I119" i="1" l="1"/>
  <c r="G119" i="1" s="1"/>
  <c r="F119" i="1"/>
  <c r="D120" i="1"/>
  <c r="B120" i="1"/>
  <c r="C120" i="1" l="1"/>
  <c r="N120" i="1" s="1"/>
  <c r="E120" i="1"/>
  <c r="O120" i="1"/>
  <c r="R120" i="1" s="1"/>
  <c r="K120" i="1" s="1"/>
  <c r="P120" i="1"/>
  <c r="S120" i="1" s="1"/>
  <c r="Q120" i="1" l="1"/>
  <c r="H120" i="1" s="1"/>
  <c r="J120" i="1"/>
  <c r="M120" i="1"/>
  <c r="L120" i="1"/>
  <c r="I120" i="1"/>
  <c r="G120" i="1" s="1"/>
  <c r="E121" i="1" s="1"/>
  <c r="F120" i="1" l="1"/>
  <c r="B121" i="1"/>
  <c r="D121" i="1"/>
  <c r="C121" i="1"/>
  <c r="N121" i="1" l="1"/>
  <c r="Q121" i="1" s="1"/>
  <c r="P121" i="1"/>
  <c r="S121" i="1" s="1"/>
  <c r="M121" i="1" s="1"/>
  <c r="O121" i="1"/>
  <c r="R121" i="1" s="1"/>
  <c r="J121" i="1" s="1"/>
  <c r="H121" i="1"/>
  <c r="L121" i="1" l="1"/>
  <c r="F121" i="1" s="1"/>
  <c r="K121" i="1"/>
  <c r="I121" i="1"/>
  <c r="G121" i="1" s="1"/>
  <c r="E122" i="1" l="1"/>
  <c r="C122" i="1"/>
  <c r="B122" i="1"/>
  <c r="N122" i="1" s="1"/>
  <c r="Q122" i="1" s="1"/>
  <c r="D122" i="1"/>
  <c r="P122" i="1" l="1"/>
  <c r="S122" i="1" s="1"/>
  <c r="M122" i="1" s="1"/>
  <c r="O122" i="1"/>
  <c r="R122" i="1" s="1"/>
  <c r="K122" i="1" s="1"/>
  <c r="I122" i="1"/>
  <c r="H122" i="1" l="1"/>
  <c r="J122" i="1"/>
  <c r="G122" i="1"/>
  <c r="C123" i="1" s="1"/>
  <c r="L122" i="1"/>
  <c r="F122" i="1" l="1"/>
  <c r="E123" i="1"/>
  <c r="D123" i="1"/>
  <c r="B123" i="1"/>
  <c r="N123" i="1" s="1"/>
  <c r="Q123" i="1" s="1"/>
  <c r="I123" i="1" l="1"/>
  <c r="P123" i="1"/>
  <c r="S123" i="1" s="1"/>
  <c r="M123" i="1" s="1"/>
  <c r="O123" i="1"/>
  <c r="R123" i="1" s="1"/>
  <c r="K123" i="1" s="1"/>
  <c r="H123" i="1"/>
  <c r="G123" i="1" l="1"/>
  <c r="E124" i="1" s="1"/>
  <c r="J123" i="1"/>
  <c r="L123" i="1"/>
  <c r="C124" i="1" l="1"/>
  <c r="F123" i="1"/>
  <c r="B124" i="1" s="1"/>
  <c r="D124" i="1" l="1"/>
  <c r="N124" i="1"/>
  <c r="Q124" i="1" s="1"/>
  <c r="O124" i="1"/>
  <c r="R124" i="1" s="1"/>
  <c r="K124" i="1" s="1"/>
  <c r="P124" i="1"/>
  <c r="S124" i="1" s="1"/>
  <c r="M124" i="1" s="1"/>
  <c r="I124" i="1"/>
  <c r="J124" i="1"/>
  <c r="G124" i="1" l="1"/>
  <c r="C125" i="1" s="1"/>
  <c r="H124" i="1"/>
  <c r="L124" i="1"/>
  <c r="E125" i="1" l="1"/>
  <c r="F124" i="1"/>
  <c r="D125" i="1" l="1"/>
  <c r="B125" i="1"/>
  <c r="N125" i="1" s="1"/>
  <c r="Q125" i="1" s="1"/>
  <c r="P125" i="1" l="1"/>
  <c r="S125" i="1" s="1"/>
  <c r="M125" i="1" s="1"/>
  <c r="O125" i="1"/>
  <c r="R125" i="1" s="1"/>
  <c r="H125" i="1" l="1"/>
  <c r="I125" i="1"/>
  <c r="J125" i="1"/>
  <c r="K125" i="1"/>
  <c r="L125" i="1"/>
  <c r="G125" i="1" l="1"/>
  <c r="F125" i="1"/>
  <c r="B126" i="1" l="1"/>
  <c r="D126" i="1"/>
  <c r="C126" i="1"/>
  <c r="E126" i="1"/>
  <c r="N126" i="1" l="1"/>
  <c r="Q126" i="1" s="1"/>
  <c r="P126" i="1"/>
  <c r="S126" i="1" s="1"/>
  <c r="M126" i="1" s="1"/>
  <c r="O126" i="1"/>
  <c r="R126" i="1" s="1"/>
  <c r="J126" i="1" s="1"/>
  <c r="I126" i="1"/>
  <c r="L126" i="1" l="1"/>
  <c r="H126" i="1"/>
  <c r="K126" i="1"/>
  <c r="G126" i="1" s="1"/>
  <c r="E127" i="1" l="1"/>
  <c r="C127" i="1"/>
  <c r="F126" i="1"/>
  <c r="B127" i="1" l="1"/>
  <c r="N127" i="1" s="1"/>
  <c r="Q127" i="1" s="1"/>
  <c r="D127" i="1"/>
  <c r="P127" i="1" l="1"/>
  <c r="S127" i="1" s="1"/>
  <c r="M127" i="1" s="1"/>
  <c r="O127" i="1"/>
  <c r="R127" i="1" s="1"/>
  <c r="I127" i="1"/>
  <c r="J127" i="1" l="1"/>
  <c r="K127" i="1"/>
  <c r="G127" i="1" s="1"/>
  <c r="L127" i="1"/>
  <c r="H127" i="1"/>
  <c r="F127" i="1" s="1"/>
  <c r="C128" i="1" l="1"/>
  <c r="E128" i="1"/>
  <c r="D128" i="1"/>
  <c r="B128" i="1"/>
  <c r="N128" i="1" s="1"/>
  <c r="Q128" i="1" s="1"/>
  <c r="P128" i="1" l="1"/>
  <c r="S128" i="1" s="1"/>
  <c r="M128" i="1" s="1"/>
  <c r="O128" i="1"/>
  <c r="R128" i="1" s="1"/>
  <c r="K128" i="1" s="1"/>
  <c r="I128" i="1"/>
  <c r="H128" i="1" l="1"/>
  <c r="J128" i="1"/>
  <c r="G128" i="1"/>
  <c r="E129" i="1" s="1"/>
  <c r="L128" i="1"/>
  <c r="F128" i="1" s="1"/>
  <c r="C129" i="1" l="1"/>
  <c r="D129" i="1"/>
  <c r="B129" i="1"/>
  <c r="N129" i="1" s="1"/>
  <c r="Q129" i="1" s="1"/>
  <c r="P129" i="1" l="1"/>
  <c r="S129" i="1" s="1"/>
  <c r="M129" i="1" s="1"/>
  <c r="O129" i="1"/>
  <c r="R129" i="1" s="1"/>
  <c r="K129" i="1" s="1"/>
  <c r="I129" i="1"/>
  <c r="G129" i="1" l="1"/>
  <c r="J129" i="1"/>
  <c r="H129" i="1"/>
  <c r="E130" i="1"/>
  <c r="C130" i="1"/>
  <c r="L129" i="1"/>
  <c r="F129" i="1" l="1"/>
  <c r="B130" i="1" l="1"/>
  <c r="N130" i="1" s="1"/>
  <c r="Q130" i="1" s="1"/>
  <c r="D130" i="1"/>
  <c r="O130" i="1" l="1"/>
  <c r="R130" i="1" s="1"/>
  <c r="K130" i="1" s="1"/>
  <c r="P130" i="1"/>
  <c r="S130" i="1" s="1"/>
  <c r="M130" i="1" s="1"/>
  <c r="I130" i="1"/>
  <c r="H130" i="1"/>
  <c r="J130" i="1" l="1"/>
  <c r="G130" i="1"/>
  <c r="E131" i="1" s="1"/>
  <c r="C131" i="1"/>
  <c r="L130" i="1"/>
  <c r="F130" i="1" s="1"/>
  <c r="D131" i="1" l="1"/>
  <c r="B131" i="1"/>
  <c r="N131" i="1" s="1"/>
  <c r="Q131" i="1" s="1"/>
  <c r="P131" i="1" l="1"/>
  <c r="S131" i="1" s="1"/>
  <c r="M131" i="1" s="1"/>
  <c r="O131" i="1"/>
  <c r="R131" i="1" s="1"/>
  <c r="K131" i="1" s="1"/>
  <c r="I131" i="1"/>
  <c r="H131" i="1"/>
  <c r="G131" i="1" l="1"/>
  <c r="J131" i="1"/>
  <c r="L131" i="1"/>
  <c r="E132" i="1"/>
  <c r="C132" i="1"/>
  <c r="F131" i="1" l="1"/>
  <c r="B132" i="1"/>
  <c r="N132" i="1" s="1"/>
  <c r="Q132" i="1" s="1"/>
  <c r="D132" i="1"/>
  <c r="I132" i="1" l="1"/>
  <c r="P132" i="1"/>
  <c r="S132" i="1" s="1"/>
  <c r="M132" i="1" s="1"/>
  <c r="O132" i="1"/>
  <c r="R132" i="1" s="1"/>
  <c r="K132" i="1" s="1"/>
  <c r="H132" i="1"/>
  <c r="J132" i="1" l="1"/>
  <c r="G132" i="1"/>
  <c r="L132" i="1"/>
  <c r="F132" i="1" l="1"/>
  <c r="B133" i="1" s="1"/>
  <c r="E133" i="1"/>
  <c r="C133" i="1"/>
  <c r="D133" i="1" l="1"/>
  <c r="N133" i="1"/>
  <c r="Q133" i="1" s="1"/>
  <c r="O133" i="1"/>
  <c r="R133" i="1" s="1"/>
  <c r="K133" i="1" s="1"/>
  <c r="H133" i="1"/>
  <c r="P133" i="1"/>
  <c r="S133" i="1" s="1"/>
  <c r="M133" i="1" s="1"/>
  <c r="L133" i="1" l="1"/>
  <c r="I133" i="1"/>
  <c r="G133" i="1"/>
  <c r="J133" i="1"/>
  <c r="F133" i="1" s="1"/>
  <c r="B134" i="1" l="1"/>
  <c r="D134" i="1"/>
  <c r="E134" i="1"/>
  <c r="C134" i="1"/>
  <c r="N134" i="1" l="1"/>
  <c r="Q134" i="1" s="1"/>
  <c r="H134" i="1" s="1"/>
  <c r="P134" i="1"/>
  <c r="S134" i="1" s="1"/>
  <c r="M134" i="1" s="1"/>
  <c r="O134" i="1"/>
  <c r="R134" i="1" s="1"/>
  <c r="K134" i="1" s="1"/>
  <c r="L134" i="1" l="1"/>
  <c r="I134" i="1"/>
  <c r="G134" i="1" s="1"/>
  <c r="J134" i="1"/>
  <c r="F134" i="1" s="1"/>
  <c r="B135" i="1" l="1"/>
  <c r="D135" i="1"/>
  <c r="C135" i="1"/>
  <c r="E135" i="1"/>
  <c r="N135" i="1" l="1"/>
  <c r="Q135" i="1" s="1"/>
  <c r="O135" i="1"/>
  <c r="R135" i="1" s="1"/>
  <c r="K135" i="1" s="1"/>
  <c r="P135" i="1"/>
  <c r="S135" i="1" s="1"/>
  <c r="I135" i="1"/>
  <c r="M135" i="1" l="1"/>
  <c r="G135" i="1" s="1"/>
  <c r="L135" i="1"/>
  <c r="H135" i="1"/>
  <c r="J135" i="1"/>
  <c r="F135" i="1" l="1"/>
  <c r="D136" i="1" s="1"/>
  <c r="E136" i="1"/>
  <c r="C136" i="1"/>
  <c r="B136" i="1" l="1"/>
  <c r="N136" i="1" s="1"/>
  <c r="Q136" i="1" s="1"/>
  <c r="I136" i="1" s="1"/>
  <c r="H136" i="1" l="1"/>
  <c r="P136" i="1"/>
  <c r="S136" i="1" s="1"/>
  <c r="M136" i="1" s="1"/>
  <c r="O136" i="1"/>
  <c r="R136" i="1" s="1"/>
  <c r="K136" i="1" s="1"/>
  <c r="G136" i="1" s="1"/>
  <c r="L136" i="1"/>
  <c r="J136" i="1" l="1"/>
  <c r="F136" i="1"/>
  <c r="B137" i="1"/>
  <c r="D137" i="1"/>
  <c r="C137" i="1"/>
  <c r="E137" i="1"/>
  <c r="N137" i="1" l="1"/>
  <c r="Q137" i="1" s="1"/>
  <c r="I137" i="1" s="1"/>
  <c r="O137" i="1"/>
  <c r="R137" i="1" s="1"/>
  <c r="J137" i="1" s="1"/>
  <c r="P137" i="1"/>
  <c r="S137" i="1" s="1"/>
  <c r="M137" i="1" s="1"/>
  <c r="L137" i="1" l="1"/>
  <c r="K137" i="1"/>
  <c r="G137" i="1" s="1"/>
  <c r="H137" i="1"/>
  <c r="F137" i="1" s="1"/>
  <c r="E138" i="1" l="1"/>
  <c r="C138" i="1"/>
  <c r="D138" i="1"/>
  <c r="B138" i="1"/>
  <c r="N138" i="1" s="1"/>
  <c r="Q138" i="1" s="1"/>
  <c r="P138" i="1" l="1"/>
  <c r="S138" i="1" s="1"/>
  <c r="M138" i="1" s="1"/>
  <c r="I138" i="1"/>
  <c r="O138" i="1"/>
  <c r="R138" i="1" s="1"/>
  <c r="J138" i="1" s="1"/>
  <c r="K138" i="1" l="1"/>
  <c r="G138" i="1" s="1"/>
  <c r="H138" i="1"/>
  <c r="L138" i="1"/>
  <c r="F138" i="1" s="1"/>
  <c r="D139" i="1" l="1"/>
  <c r="B139" i="1"/>
  <c r="C139" i="1"/>
  <c r="E139" i="1"/>
  <c r="N139" i="1" l="1"/>
  <c r="P139" i="1"/>
  <c r="S139" i="1" s="1"/>
  <c r="L139" i="1" s="1"/>
  <c r="O139" i="1"/>
  <c r="R139" i="1" s="1"/>
  <c r="J139" i="1" s="1"/>
  <c r="Q139" i="1" l="1"/>
  <c r="I139" i="1" s="1"/>
  <c r="M139" i="1"/>
  <c r="K139" i="1"/>
  <c r="H139" i="1" l="1"/>
  <c r="F139" i="1" s="1"/>
  <c r="G139" i="1"/>
  <c r="B140" i="1"/>
  <c r="D140" i="1"/>
  <c r="E140" i="1"/>
  <c r="C140" i="1"/>
  <c r="N140" i="1" l="1"/>
  <c r="Q140" i="1" s="1"/>
  <c r="I140" i="1" s="1"/>
  <c r="O140" i="1"/>
  <c r="R140" i="1" s="1"/>
  <c r="K140" i="1" s="1"/>
  <c r="P140" i="1"/>
  <c r="S140" i="1" s="1"/>
  <c r="H140" i="1" l="1"/>
  <c r="L140" i="1"/>
  <c r="M140" i="1"/>
  <c r="G140" i="1" s="1"/>
  <c r="J140" i="1"/>
  <c r="F140" i="1" s="1"/>
  <c r="E141" i="1" l="1"/>
  <c r="C141" i="1"/>
  <c r="D141" i="1"/>
  <c r="B141" i="1"/>
  <c r="N141" i="1" s="1"/>
  <c r="Q141" i="1" s="1"/>
  <c r="O141" i="1" l="1"/>
  <c r="R141" i="1" s="1"/>
  <c r="K141" i="1" s="1"/>
  <c r="P141" i="1"/>
  <c r="S141" i="1" s="1"/>
  <c r="M141" i="1" s="1"/>
  <c r="I141" i="1"/>
  <c r="J141" i="1" l="1"/>
  <c r="G141" i="1"/>
  <c r="H141" i="1"/>
  <c r="C142" i="1"/>
  <c r="E142" i="1"/>
  <c r="L141" i="1"/>
  <c r="F141" i="1" l="1"/>
  <c r="D142" i="1" l="1"/>
  <c r="B142" i="1"/>
  <c r="N142" i="1" s="1"/>
  <c r="Q142" i="1" s="1"/>
  <c r="I142" i="1" l="1"/>
  <c r="O142" i="1"/>
  <c r="R142" i="1" s="1"/>
  <c r="K142" i="1" s="1"/>
  <c r="P142" i="1"/>
  <c r="S142" i="1" s="1"/>
  <c r="M142" i="1" s="1"/>
  <c r="H142" i="1"/>
  <c r="J142" i="1" l="1"/>
  <c r="G142" i="1"/>
  <c r="L142" i="1"/>
  <c r="F142" i="1" s="1"/>
  <c r="D143" i="1" l="1"/>
  <c r="B143" i="1"/>
  <c r="C143" i="1"/>
  <c r="E143" i="1"/>
  <c r="N143" i="1" l="1"/>
  <c r="Q143" i="1" s="1"/>
  <c r="H143" i="1" s="1"/>
  <c r="P143" i="1"/>
  <c r="S143" i="1" s="1"/>
  <c r="M143" i="1" s="1"/>
  <c r="O143" i="1"/>
  <c r="R143" i="1" s="1"/>
  <c r="K143" i="1" s="1"/>
  <c r="I143" i="1" l="1"/>
  <c r="G143" i="1" s="1"/>
  <c r="L143" i="1"/>
  <c r="J143" i="1"/>
  <c r="F143" i="1" l="1"/>
  <c r="B144" i="1" s="1"/>
  <c r="E144" i="1"/>
  <c r="C144" i="1"/>
  <c r="D144" i="1" l="1"/>
  <c r="N144" i="1"/>
  <c r="Q144" i="1" s="1"/>
  <c r="H144" i="1" s="1"/>
  <c r="O144" i="1"/>
  <c r="R144" i="1" s="1"/>
  <c r="J144" i="1" s="1"/>
  <c r="P144" i="1"/>
  <c r="S144" i="1" s="1"/>
  <c r="M144" i="1" s="1"/>
  <c r="L144" i="1" l="1"/>
  <c r="F144" i="1" s="1"/>
  <c r="I144" i="1"/>
  <c r="K144" i="1"/>
  <c r="B145" i="1" l="1"/>
  <c r="D145" i="1"/>
  <c r="G144" i="1"/>
  <c r="E145" i="1" l="1"/>
  <c r="C145" i="1"/>
  <c r="N145" i="1" s="1"/>
  <c r="Q145" i="1" s="1"/>
  <c r="O145" i="1" l="1"/>
  <c r="R145" i="1" s="1"/>
  <c r="J145" i="1" s="1"/>
  <c r="P145" i="1"/>
  <c r="S145" i="1" s="1"/>
  <c r="L145" i="1" s="1"/>
  <c r="H145" i="1"/>
  <c r="M145" i="1" l="1"/>
  <c r="F145" i="1"/>
  <c r="K145" i="1"/>
  <c r="I145" i="1"/>
  <c r="G145" i="1" l="1"/>
  <c r="D146" i="1"/>
  <c r="B146" i="1"/>
  <c r="E146" i="1" l="1"/>
  <c r="C146" i="1"/>
  <c r="N146" i="1" s="1"/>
  <c r="Q146" i="1" s="1"/>
  <c r="P146" i="1" l="1"/>
  <c r="S146" i="1" s="1"/>
  <c r="L146" i="1" s="1"/>
  <c r="H146" i="1"/>
  <c r="O146" i="1"/>
  <c r="R146" i="1" s="1"/>
  <c r="J146" i="1" s="1"/>
  <c r="I146" i="1"/>
  <c r="F146" i="1" l="1"/>
  <c r="K146" i="1"/>
  <c r="M146" i="1"/>
  <c r="D147" i="1"/>
  <c r="B147" i="1"/>
  <c r="G146" i="1" l="1"/>
  <c r="C147" i="1"/>
  <c r="N147" i="1" s="1"/>
  <c r="E147" i="1"/>
  <c r="P147" i="1"/>
  <c r="S147" i="1" s="1"/>
  <c r="O147" i="1"/>
  <c r="R147" i="1" s="1"/>
  <c r="Q147" i="1" l="1"/>
  <c r="I147" i="1" s="1"/>
  <c r="M147" i="1"/>
  <c r="H147" i="1"/>
  <c r="J147" i="1"/>
  <c r="K147" i="1"/>
  <c r="L147" i="1"/>
  <c r="G147" i="1" l="1"/>
  <c r="E148" i="1"/>
  <c r="C148" i="1"/>
  <c r="F147" i="1"/>
  <c r="D148" i="1" l="1"/>
  <c r="B148" i="1"/>
  <c r="N148" i="1" s="1"/>
  <c r="Q148" i="1" s="1"/>
  <c r="P148" i="1" l="1"/>
  <c r="S148" i="1" s="1"/>
  <c r="M148" i="1" s="1"/>
  <c r="O148" i="1"/>
  <c r="R148" i="1" s="1"/>
  <c r="J148" i="1" l="1"/>
  <c r="K148" i="1"/>
  <c r="H148" i="1"/>
  <c r="I148" i="1"/>
  <c r="G148" i="1" s="1"/>
  <c r="L148" i="1"/>
  <c r="F148" i="1" l="1"/>
  <c r="C149" i="1"/>
  <c r="E149" i="1"/>
  <c r="B149" i="1" l="1"/>
  <c r="N149" i="1" s="1"/>
  <c r="Q149" i="1" s="1"/>
  <c r="D149" i="1"/>
  <c r="O149" i="1" l="1"/>
  <c r="R149" i="1" s="1"/>
  <c r="P149" i="1"/>
  <c r="S149" i="1" s="1"/>
  <c r="M149" i="1" s="1"/>
  <c r="J149" i="1" l="1"/>
  <c r="K149" i="1"/>
  <c r="H149" i="1"/>
  <c r="I149" i="1"/>
  <c r="G149" i="1" s="1"/>
  <c r="L149" i="1"/>
  <c r="E150" i="1" l="1"/>
  <c r="C150" i="1"/>
  <c r="F149" i="1"/>
  <c r="D150" i="1" l="1"/>
  <c r="B150" i="1"/>
  <c r="N150" i="1" s="1"/>
  <c r="Q150" i="1" s="1"/>
  <c r="P150" i="1" l="1"/>
  <c r="S150" i="1" s="1"/>
  <c r="M150" i="1" s="1"/>
  <c r="O150" i="1"/>
  <c r="R150" i="1" s="1"/>
  <c r="K150" i="1" s="1"/>
  <c r="I150" i="1"/>
  <c r="J150" i="1" l="1"/>
  <c r="G150" i="1"/>
  <c r="C151" i="1"/>
  <c r="E151" i="1"/>
  <c r="H150" i="1"/>
  <c r="L150" i="1"/>
  <c r="F150" i="1" l="1"/>
  <c r="D151" i="1"/>
  <c r="B151" i="1"/>
  <c r="N151" i="1" s="1"/>
  <c r="Q151" i="1" s="1"/>
  <c r="I151" i="1" l="1"/>
  <c r="P151" i="1"/>
  <c r="S151" i="1" s="1"/>
  <c r="O151" i="1"/>
  <c r="R151" i="1" s="1"/>
  <c r="K151" i="1" s="1"/>
  <c r="H151" i="1"/>
  <c r="M151" i="1" l="1"/>
  <c r="G151" i="1" s="1"/>
  <c r="J151" i="1"/>
  <c r="L151" i="1"/>
  <c r="E152" i="1" l="1"/>
  <c r="C152" i="1"/>
  <c r="F151" i="1"/>
  <c r="D152" i="1" s="1"/>
  <c r="B152" i="1" l="1"/>
  <c r="N152" i="1" s="1"/>
  <c r="Q152" i="1" s="1"/>
  <c r="O152" i="1"/>
  <c r="R152" i="1" s="1"/>
  <c r="K152" i="1" s="1"/>
  <c r="I152" i="1"/>
  <c r="P152" i="1"/>
  <c r="S152" i="1" s="1"/>
  <c r="M152" i="1" s="1"/>
  <c r="J152" i="1"/>
  <c r="G152" i="1" l="1"/>
  <c r="H152" i="1"/>
  <c r="C153" i="1"/>
  <c r="E153" i="1"/>
  <c r="L152" i="1"/>
  <c r="F152" i="1" l="1"/>
  <c r="B153" i="1" l="1"/>
  <c r="N153" i="1" s="1"/>
  <c r="Q153" i="1" s="1"/>
  <c r="D153" i="1"/>
  <c r="P153" i="1" l="1"/>
  <c r="S153" i="1" s="1"/>
  <c r="M153" i="1" s="1"/>
  <c r="I153" i="1"/>
  <c r="O153" i="1"/>
  <c r="R153" i="1" s="1"/>
  <c r="K153" i="1" s="1"/>
  <c r="J153" i="1" l="1"/>
  <c r="H153" i="1"/>
  <c r="G153" i="1"/>
  <c r="L153" i="1"/>
  <c r="E154" i="1" l="1"/>
  <c r="C154" i="1"/>
  <c r="F153" i="1"/>
  <c r="D154" i="1" l="1"/>
  <c r="B154" i="1"/>
  <c r="N154" i="1" s="1"/>
  <c r="Q154" i="1" s="1"/>
  <c r="O154" i="1" l="1"/>
  <c r="R154" i="1" s="1"/>
  <c r="K154" i="1" s="1"/>
  <c r="P154" i="1"/>
  <c r="S154" i="1" s="1"/>
  <c r="M154" i="1" s="1"/>
  <c r="J154" i="1"/>
  <c r="H154" i="1" l="1"/>
  <c r="I154" i="1"/>
  <c r="G154" i="1"/>
  <c r="L154" i="1"/>
  <c r="C155" i="1" l="1"/>
  <c r="E155" i="1"/>
  <c r="F154" i="1"/>
  <c r="B155" i="1" l="1"/>
  <c r="N155" i="1" s="1"/>
  <c r="Q155" i="1" s="1"/>
  <c r="D155" i="1"/>
  <c r="P155" i="1" l="1"/>
  <c r="S155" i="1" s="1"/>
  <c r="M155" i="1" s="1"/>
  <c r="O155" i="1"/>
  <c r="R155" i="1" s="1"/>
  <c r="H155" i="1" l="1"/>
  <c r="I155" i="1"/>
  <c r="J155" i="1"/>
  <c r="K155" i="1"/>
  <c r="L155" i="1"/>
  <c r="G155" i="1" l="1"/>
  <c r="F155" i="1"/>
  <c r="D156" i="1" l="1"/>
  <c r="B156" i="1"/>
  <c r="E156" i="1"/>
  <c r="C156" i="1"/>
  <c r="N156" i="1" l="1"/>
  <c r="Q156" i="1" s="1"/>
  <c r="O156" i="1"/>
  <c r="R156" i="1" s="1"/>
  <c r="K156" i="1" s="1"/>
  <c r="P156" i="1"/>
  <c r="S156" i="1" s="1"/>
  <c r="M156" i="1" s="1"/>
  <c r="H156" i="1"/>
  <c r="J156" i="1" l="1"/>
  <c r="L156" i="1"/>
  <c r="F156" i="1" s="1"/>
  <c r="I156" i="1"/>
  <c r="G156" i="1" s="1"/>
  <c r="B157" i="1" l="1"/>
  <c r="D157" i="1"/>
  <c r="C157" i="1"/>
  <c r="E157" i="1"/>
  <c r="N157" i="1" l="1"/>
  <c r="Q157" i="1" s="1"/>
  <c r="O157" i="1"/>
  <c r="R157" i="1" s="1"/>
  <c r="J157" i="1" s="1"/>
  <c r="I157" i="1"/>
  <c r="P157" i="1"/>
  <c r="S157" i="1" s="1"/>
  <c r="M157" i="1" s="1"/>
  <c r="K157" i="1" l="1"/>
  <c r="G157" i="1" s="1"/>
  <c r="H157" i="1"/>
  <c r="L157" i="1"/>
  <c r="E158" i="1" l="1"/>
  <c r="C158" i="1"/>
  <c r="F157" i="1"/>
  <c r="D158" i="1" l="1"/>
  <c r="B158" i="1"/>
  <c r="N158" i="1" s="1"/>
  <c r="Q158" i="1" s="1"/>
  <c r="P158" i="1" l="1"/>
  <c r="S158" i="1" s="1"/>
  <c r="M158" i="1" s="1"/>
  <c r="O158" i="1"/>
  <c r="R158" i="1" s="1"/>
  <c r="H158" i="1" l="1"/>
  <c r="I158" i="1"/>
  <c r="J158" i="1"/>
  <c r="K158" i="1"/>
  <c r="L158" i="1"/>
  <c r="G158" i="1" l="1"/>
  <c r="E159" i="1"/>
  <c r="C159" i="1"/>
  <c r="F158" i="1"/>
  <c r="B159" i="1" l="1"/>
  <c r="N159" i="1" s="1"/>
  <c r="Q159" i="1" s="1"/>
  <c r="D159" i="1"/>
  <c r="P159" i="1" l="1"/>
  <c r="S159" i="1" s="1"/>
  <c r="M159" i="1" s="1"/>
  <c r="I159" i="1"/>
  <c r="O159" i="1"/>
  <c r="R159" i="1" s="1"/>
  <c r="H159" i="1" l="1"/>
  <c r="J159" i="1"/>
  <c r="K159" i="1"/>
  <c r="G159" i="1" s="1"/>
  <c r="L159" i="1"/>
  <c r="E160" i="1" l="1"/>
  <c r="C160" i="1"/>
  <c r="F159" i="1"/>
  <c r="D160" i="1" l="1"/>
  <c r="B160" i="1"/>
  <c r="N160" i="1" s="1"/>
  <c r="Q160" i="1" s="1"/>
  <c r="O160" i="1" l="1"/>
  <c r="R160" i="1" s="1"/>
  <c r="K160" i="1" s="1"/>
  <c r="P160" i="1"/>
  <c r="S160" i="1" s="1"/>
  <c r="M160" i="1" s="1"/>
  <c r="I160" i="1"/>
  <c r="G160" i="1" l="1"/>
  <c r="J160" i="1"/>
  <c r="E161" i="1"/>
  <c r="C161" i="1"/>
  <c r="H160" i="1"/>
  <c r="L160" i="1"/>
  <c r="F160" i="1" l="1"/>
  <c r="B161" i="1" l="1"/>
  <c r="N161" i="1" s="1"/>
  <c r="Q161" i="1" s="1"/>
  <c r="D161" i="1"/>
  <c r="P161" i="1" l="1"/>
  <c r="S161" i="1" s="1"/>
  <c r="M161" i="1" s="1"/>
  <c r="O161" i="1"/>
  <c r="R161" i="1" s="1"/>
  <c r="I161" i="1"/>
  <c r="J161" i="1" l="1"/>
  <c r="K161" i="1"/>
  <c r="G161" i="1" s="1"/>
  <c r="L161" i="1"/>
  <c r="H161" i="1"/>
  <c r="F161" i="1" l="1"/>
  <c r="E162" i="1"/>
  <c r="C162" i="1"/>
  <c r="D162" i="1" l="1"/>
  <c r="B162" i="1"/>
  <c r="N162" i="1" s="1"/>
  <c r="Q162" i="1" s="1"/>
  <c r="P162" i="1" l="1"/>
  <c r="S162" i="1" s="1"/>
  <c r="M162" i="1" s="1"/>
  <c r="O162" i="1"/>
  <c r="R162" i="1" s="1"/>
  <c r="K162" i="1" s="1"/>
  <c r="I162" i="1"/>
  <c r="G162" i="1" l="1"/>
  <c r="C163" i="1"/>
  <c r="E163" i="1"/>
  <c r="J162" i="1"/>
  <c r="H162" i="1"/>
  <c r="L162" i="1"/>
  <c r="F162" i="1" l="1"/>
  <c r="B163" i="1" l="1"/>
  <c r="N163" i="1" s="1"/>
  <c r="Q163" i="1" s="1"/>
  <c r="D163" i="1"/>
  <c r="P163" i="1" l="1"/>
  <c r="S163" i="1" s="1"/>
  <c r="M163" i="1" s="1"/>
  <c r="O163" i="1"/>
  <c r="R163" i="1" s="1"/>
  <c r="J163" i="1" l="1"/>
  <c r="K163" i="1"/>
  <c r="L163" i="1"/>
  <c r="H163" i="1"/>
  <c r="I163" i="1"/>
  <c r="G163" i="1" s="1"/>
  <c r="E164" i="1" l="1"/>
  <c r="C164" i="1"/>
  <c r="F163" i="1"/>
  <c r="D164" i="1" l="1"/>
  <c r="B164" i="1"/>
  <c r="N164" i="1" s="1"/>
  <c r="Q164" i="1" s="1"/>
  <c r="O164" i="1" l="1"/>
  <c r="R164" i="1" s="1"/>
  <c r="P164" i="1"/>
  <c r="S164" i="1" s="1"/>
  <c r="M164" i="1" s="1"/>
  <c r="H164" i="1" l="1"/>
  <c r="I164" i="1"/>
  <c r="J164" i="1"/>
  <c r="K164" i="1"/>
  <c r="L164" i="1"/>
  <c r="F164" i="1" l="1"/>
  <c r="G164" i="1"/>
  <c r="B165" i="1"/>
  <c r="D165" i="1"/>
  <c r="C165" i="1" l="1"/>
  <c r="N165" i="1" s="1"/>
  <c r="Q165" i="1" s="1"/>
  <c r="E165" i="1"/>
  <c r="P165" i="1" l="1"/>
  <c r="S165" i="1" s="1"/>
  <c r="M165" i="1" s="1"/>
  <c r="O165" i="1"/>
  <c r="R165" i="1" s="1"/>
  <c r="K165" i="1" s="1"/>
  <c r="I165" i="1"/>
  <c r="H165" i="1"/>
  <c r="L165" i="1"/>
  <c r="J165" i="1"/>
  <c r="G165" i="1" l="1"/>
  <c r="E166" i="1" s="1"/>
  <c r="C166" i="1"/>
  <c r="F165" i="1"/>
  <c r="D166" i="1" l="1"/>
  <c r="B166" i="1"/>
  <c r="N166" i="1" s="1"/>
  <c r="Q166" i="1" s="1"/>
  <c r="O166" i="1" l="1"/>
  <c r="R166" i="1" s="1"/>
  <c r="P166" i="1"/>
  <c r="S166" i="1" s="1"/>
  <c r="M166" i="1" s="1"/>
  <c r="I166" i="1"/>
  <c r="H166" i="1" l="1"/>
  <c r="J166" i="1"/>
  <c r="K166" i="1"/>
  <c r="G166" i="1" s="1"/>
  <c r="L166" i="1"/>
  <c r="E167" i="1" l="1"/>
  <c r="C167" i="1"/>
  <c r="F166" i="1"/>
  <c r="B167" i="1" l="1"/>
  <c r="N167" i="1" s="1"/>
  <c r="Q167" i="1" s="1"/>
  <c r="D167" i="1"/>
  <c r="P167" i="1" l="1"/>
  <c r="S167" i="1" s="1"/>
  <c r="M167" i="1" s="1"/>
  <c r="O167" i="1"/>
  <c r="R167" i="1" s="1"/>
  <c r="H167" i="1" l="1"/>
  <c r="I167" i="1"/>
  <c r="J167" i="1"/>
  <c r="K167" i="1"/>
  <c r="L167" i="1"/>
  <c r="F167" i="1" l="1"/>
  <c r="G167" i="1"/>
  <c r="D168" i="1"/>
  <c r="B168" i="1"/>
  <c r="E168" i="1" l="1"/>
  <c r="C168" i="1"/>
  <c r="N168" i="1" s="1"/>
  <c r="Q168" i="1" s="1"/>
  <c r="O168" i="1" l="1"/>
  <c r="R168" i="1" s="1"/>
  <c r="P168" i="1"/>
  <c r="S168" i="1" s="1"/>
  <c r="M168" i="1" s="1"/>
  <c r="L168" i="1" l="1"/>
  <c r="I168" i="1"/>
  <c r="H168" i="1"/>
  <c r="K168" i="1"/>
  <c r="J168" i="1"/>
  <c r="G168" i="1" l="1"/>
  <c r="F168" i="1"/>
  <c r="B169" i="1" l="1"/>
  <c r="D169" i="1"/>
  <c r="E169" i="1"/>
  <c r="C169" i="1"/>
  <c r="N169" i="1" l="1"/>
  <c r="Q169" i="1" s="1"/>
  <c r="I169" i="1" s="1"/>
  <c r="P169" i="1"/>
  <c r="S169" i="1" s="1"/>
  <c r="L169" i="1" s="1"/>
  <c r="O169" i="1"/>
  <c r="R169" i="1" s="1"/>
  <c r="K169" i="1" s="1"/>
  <c r="H169" i="1" l="1"/>
  <c r="J169" i="1"/>
  <c r="M169" i="1"/>
  <c r="G169" i="1" s="1"/>
  <c r="F169" i="1" l="1"/>
  <c r="D170" i="1"/>
  <c r="B170" i="1"/>
  <c r="E170" i="1"/>
  <c r="C170" i="1"/>
  <c r="N170" i="1" l="1"/>
  <c r="Q170" i="1" s="1"/>
  <c r="O170" i="1"/>
  <c r="R170" i="1" s="1"/>
  <c r="P170" i="1"/>
  <c r="S170" i="1" s="1"/>
  <c r="L170" i="1" s="1"/>
  <c r="I170" i="1" l="1"/>
  <c r="H170" i="1"/>
  <c r="K170" i="1"/>
  <c r="J170" i="1"/>
  <c r="M170" i="1"/>
  <c r="F170" i="1" l="1"/>
  <c r="G170" i="1"/>
  <c r="C171" i="1" l="1"/>
  <c r="E171" i="1"/>
  <c r="D171" i="1"/>
  <c r="B171" i="1"/>
  <c r="N171" i="1" s="1"/>
  <c r="Q171" i="1" s="1"/>
  <c r="I171" i="1" l="1"/>
  <c r="O171" i="1"/>
  <c r="R171" i="1" s="1"/>
  <c r="K171" i="1" s="1"/>
  <c r="P171" i="1"/>
  <c r="S171" i="1" s="1"/>
  <c r="H171" i="1"/>
  <c r="L171" i="1"/>
  <c r="J171" i="1"/>
  <c r="M171" i="1"/>
  <c r="F171" i="1" l="1"/>
  <c r="G171" i="1"/>
  <c r="C172" i="1" l="1"/>
  <c r="E172" i="1"/>
  <c r="D172" i="1"/>
  <c r="B172" i="1"/>
  <c r="N172" i="1" s="1"/>
  <c r="Q172" i="1" s="1"/>
  <c r="P172" i="1" l="1"/>
  <c r="S172" i="1" s="1"/>
  <c r="L172" i="1" s="1"/>
  <c r="O172" i="1"/>
  <c r="R172" i="1" s="1"/>
  <c r="K172" i="1" s="1"/>
  <c r="I172" i="1"/>
  <c r="M172" i="1" l="1"/>
  <c r="J172" i="1"/>
  <c r="G172" i="1"/>
  <c r="H172" i="1"/>
  <c r="F172" i="1" s="1"/>
  <c r="D173" i="1" s="1"/>
  <c r="B173" i="1" l="1"/>
  <c r="E173" i="1"/>
  <c r="C173" i="1"/>
  <c r="N173" i="1" s="1"/>
  <c r="O173" i="1"/>
  <c r="R173" i="1" s="1"/>
  <c r="K173" i="1" s="1"/>
  <c r="P173" i="1" l="1"/>
  <c r="S173" i="1" s="1"/>
  <c r="Q173" i="1"/>
  <c r="I173" i="1" s="1"/>
  <c r="J173" i="1"/>
  <c r="M173" i="1"/>
  <c r="H173" i="1"/>
  <c r="L173" i="1"/>
  <c r="F173" i="1" l="1"/>
  <c r="G173" i="1"/>
  <c r="C174" i="1" s="1"/>
  <c r="E174" i="1"/>
  <c r="D174" i="1"/>
  <c r="B174" i="1"/>
  <c r="N174" i="1" l="1"/>
  <c r="Q174" i="1" s="1"/>
  <c r="I174" i="1" s="1"/>
  <c r="O174" i="1"/>
  <c r="R174" i="1" s="1"/>
  <c r="K174" i="1" s="1"/>
  <c r="P174" i="1"/>
  <c r="S174" i="1" s="1"/>
  <c r="M174" i="1" s="1"/>
  <c r="H174" i="1"/>
  <c r="J174" i="1" l="1"/>
  <c r="G174" i="1"/>
  <c r="L174" i="1"/>
  <c r="F174" i="1" s="1"/>
  <c r="B175" i="1" l="1"/>
  <c r="D175" i="1"/>
  <c r="E175" i="1"/>
  <c r="C175" i="1"/>
  <c r="N175" i="1" l="1"/>
  <c r="Q175" i="1" s="1"/>
  <c r="H175" i="1" s="1"/>
  <c r="O175" i="1"/>
  <c r="R175" i="1" s="1"/>
  <c r="J175" i="1" s="1"/>
  <c r="P175" i="1"/>
  <c r="S175" i="1" s="1"/>
  <c r="M175" i="1" s="1"/>
  <c r="L175" i="1" l="1"/>
  <c r="F175" i="1"/>
  <c r="D176" i="1" s="1"/>
  <c r="K175" i="1"/>
  <c r="B176" i="1"/>
  <c r="I175" i="1"/>
  <c r="G175" i="1" s="1"/>
  <c r="E176" i="1" l="1"/>
  <c r="C176" i="1"/>
  <c r="N176" i="1" s="1"/>
  <c r="P176" i="1"/>
  <c r="S176" i="1" s="1"/>
  <c r="O176" i="1"/>
  <c r="R176" i="1" s="1"/>
  <c r="K176" i="1" s="1"/>
  <c r="Q176" i="1" l="1"/>
  <c r="H176" i="1" s="1"/>
  <c r="J176" i="1"/>
  <c r="M176" i="1"/>
  <c r="I176" i="1"/>
  <c r="G176" i="1" s="1"/>
  <c r="C177" i="1" s="1"/>
  <c r="L176" i="1"/>
  <c r="E177" i="1" l="1"/>
  <c r="F176" i="1"/>
  <c r="D177" i="1" s="1"/>
  <c r="B177" i="1"/>
  <c r="N177" i="1" s="1"/>
  <c r="Q177" i="1" s="1"/>
  <c r="O177" i="1" l="1"/>
  <c r="R177" i="1" s="1"/>
  <c r="K177" i="1" s="1"/>
  <c r="I177" i="1"/>
  <c r="P177" i="1"/>
  <c r="S177" i="1" s="1"/>
  <c r="M177" i="1" s="1"/>
  <c r="J177" i="1"/>
  <c r="H177" i="1"/>
  <c r="G177" i="1" l="1"/>
  <c r="L177" i="1"/>
  <c r="F177" i="1" s="1"/>
  <c r="D178" i="1" l="1"/>
  <c r="B178" i="1"/>
  <c r="C178" i="1"/>
  <c r="E178" i="1"/>
  <c r="N178" i="1" l="1"/>
  <c r="Q178" i="1" s="1"/>
  <c r="P178" i="1"/>
  <c r="S178" i="1" s="1"/>
  <c r="M178" i="1" s="1"/>
  <c r="O178" i="1"/>
  <c r="R178" i="1" s="1"/>
  <c r="K178" i="1" s="1"/>
  <c r="I178" i="1" l="1"/>
  <c r="H178" i="1"/>
  <c r="J178" i="1"/>
  <c r="G178" i="1"/>
  <c r="E179" i="1" s="1"/>
  <c r="L178" i="1"/>
  <c r="F178" i="1" s="1"/>
  <c r="C179" i="1" l="1"/>
  <c r="B179" i="1"/>
  <c r="N179" i="1" s="1"/>
  <c r="Q179" i="1" s="1"/>
  <c r="D179" i="1"/>
  <c r="O179" i="1" l="1"/>
  <c r="R179" i="1" s="1"/>
  <c r="K179" i="1" s="1"/>
  <c r="P179" i="1"/>
  <c r="S179" i="1" s="1"/>
  <c r="M179" i="1" s="1"/>
  <c r="I179" i="1"/>
  <c r="J179" i="1"/>
  <c r="H179" i="1" l="1"/>
  <c r="G179" i="1"/>
  <c r="E180" i="1" s="1"/>
  <c r="L179" i="1"/>
  <c r="F179" i="1" s="1"/>
  <c r="C180" i="1" l="1"/>
  <c r="D180" i="1"/>
  <c r="B180" i="1"/>
  <c r="N180" i="1" s="1"/>
  <c r="Q180" i="1" s="1"/>
  <c r="P180" i="1" l="1"/>
  <c r="S180" i="1" s="1"/>
  <c r="M180" i="1" s="1"/>
  <c r="I180" i="1"/>
  <c r="O180" i="1"/>
  <c r="R180" i="1" s="1"/>
  <c r="K180" i="1" s="1"/>
  <c r="H180" i="1"/>
  <c r="G180" i="1" l="1"/>
  <c r="J180" i="1"/>
  <c r="L180" i="1"/>
  <c r="F180" i="1" l="1"/>
  <c r="B181" i="1"/>
  <c r="D181" i="1"/>
  <c r="C181" i="1"/>
  <c r="E181" i="1"/>
  <c r="N181" i="1" l="1"/>
  <c r="O181" i="1"/>
  <c r="R181" i="1" s="1"/>
  <c r="J181" i="1" s="1"/>
  <c r="P181" i="1"/>
  <c r="S181" i="1" s="1"/>
  <c r="M181" i="1" s="1"/>
  <c r="Q181" i="1" l="1"/>
  <c r="H181" i="1" s="1"/>
  <c r="L181" i="1"/>
  <c r="I181" i="1"/>
  <c r="K181" i="1"/>
  <c r="F181" i="1" l="1"/>
  <c r="B182" i="1" s="1"/>
  <c r="G181" i="1"/>
  <c r="D182" i="1" l="1"/>
  <c r="C182" i="1"/>
  <c r="N182" i="1" s="1"/>
  <c r="E182" i="1"/>
  <c r="P182" i="1"/>
  <c r="S182" i="1" s="1"/>
  <c r="O182" i="1"/>
  <c r="R182" i="1" s="1"/>
  <c r="J182" i="1" s="1"/>
  <c r="Q182" i="1" l="1"/>
  <c r="H182" i="1" s="1"/>
  <c r="M182" i="1"/>
  <c r="L182" i="1"/>
  <c r="K182" i="1"/>
  <c r="I182" i="1"/>
  <c r="G182" i="1" s="1"/>
  <c r="E183" i="1" s="1"/>
  <c r="F182" i="1" l="1"/>
  <c r="C183" i="1"/>
  <c r="D183" i="1"/>
  <c r="B183" i="1"/>
  <c r="N183" i="1" s="1"/>
  <c r="Q183" i="1" s="1"/>
  <c r="P183" i="1" l="1"/>
  <c r="S183" i="1" s="1"/>
  <c r="M183" i="1" s="1"/>
  <c r="I183" i="1"/>
  <c r="O183" i="1"/>
  <c r="R183" i="1" s="1"/>
  <c r="K183" i="1" s="1"/>
  <c r="H183" i="1" l="1"/>
  <c r="G183" i="1"/>
  <c r="J183" i="1"/>
  <c r="F183" i="1" s="1"/>
  <c r="L183" i="1"/>
  <c r="B184" i="1" l="1"/>
  <c r="D184" i="1"/>
  <c r="E184" i="1"/>
  <c r="C184" i="1"/>
  <c r="N184" i="1" l="1"/>
  <c r="Q184" i="1" s="1"/>
  <c r="O184" i="1"/>
  <c r="R184" i="1" s="1"/>
  <c r="J184" i="1" s="1"/>
  <c r="H184" i="1"/>
  <c r="P184" i="1"/>
  <c r="S184" i="1" s="1"/>
  <c r="M184" i="1" s="1"/>
  <c r="L184" i="1" l="1"/>
  <c r="F184" i="1" s="1"/>
  <c r="I184" i="1"/>
  <c r="K184" i="1"/>
  <c r="G184" i="1" l="1"/>
  <c r="B185" i="1"/>
  <c r="D185" i="1"/>
  <c r="E185" i="1"/>
  <c r="C185" i="1"/>
  <c r="N185" i="1" l="1"/>
  <c r="Q185" i="1" s="1"/>
  <c r="P185" i="1"/>
  <c r="S185" i="1" s="1"/>
  <c r="L185" i="1" s="1"/>
  <c r="O185" i="1"/>
  <c r="R185" i="1" s="1"/>
  <c r="J185" i="1" s="1"/>
  <c r="H185" i="1"/>
  <c r="F185" i="1" l="1"/>
  <c r="M185" i="1"/>
  <c r="D186" i="1"/>
  <c r="B186" i="1"/>
  <c r="K185" i="1"/>
  <c r="I185" i="1"/>
  <c r="G185" i="1" s="1"/>
  <c r="C186" i="1" l="1"/>
  <c r="N186" i="1" s="1"/>
  <c r="E186" i="1"/>
  <c r="O186" i="1"/>
  <c r="R186" i="1" s="1"/>
  <c r="J186" i="1" s="1"/>
  <c r="P186" i="1"/>
  <c r="S186" i="1" s="1"/>
  <c r="Q186" i="1" l="1"/>
  <c r="H186" i="1" s="1"/>
  <c r="M186" i="1"/>
  <c r="L186" i="1"/>
  <c r="K186" i="1"/>
  <c r="I186" i="1"/>
  <c r="G186" i="1" s="1"/>
  <c r="C187" i="1" s="1"/>
  <c r="F186" i="1" l="1"/>
  <c r="B187" i="1"/>
  <c r="N187" i="1" s="1"/>
  <c r="Q187" i="1" s="1"/>
  <c r="D187" i="1"/>
  <c r="E187" i="1"/>
  <c r="P187" i="1" l="1"/>
  <c r="S187" i="1" s="1"/>
  <c r="M187" i="1" s="1"/>
  <c r="O187" i="1"/>
  <c r="R187" i="1" s="1"/>
  <c r="J187" i="1" l="1"/>
  <c r="K187" i="1"/>
  <c r="L187" i="1"/>
  <c r="H187" i="1"/>
  <c r="F187" i="1" s="1"/>
  <c r="I187" i="1"/>
  <c r="G187" i="1" s="1"/>
  <c r="C188" i="1" l="1"/>
  <c r="E188" i="1"/>
  <c r="D188" i="1"/>
  <c r="B188" i="1"/>
  <c r="N188" i="1" s="1"/>
  <c r="Q188" i="1" s="1"/>
  <c r="O188" i="1" l="1"/>
  <c r="R188" i="1" s="1"/>
  <c r="J188" i="1" s="1"/>
  <c r="I188" i="1"/>
  <c r="P188" i="1"/>
  <c r="S188" i="1" s="1"/>
  <c r="L188" i="1" s="1"/>
  <c r="H188" i="1"/>
  <c r="M188" i="1" l="1"/>
  <c r="F188" i="1"/>
  <c r="K188" i="1"/>
  <c r="G188" i="1" s="1"/>
  <c r="C189" i="1" l="1"/>
  <c r="E189" i="1"/>
  <c r="B189" i="1"/>
  <c r="N189" i="1" s="1"/>
  <c r="Q189" i="1" s="1"/>
  <c r="D189" i="1"/>
  <c r="H189" i="1" l="1"/>
  <c r="O189" i="1"/>
  <c r="R189" i="1" s="1"/>
  <c r="J189" i="1" s="1"/>
  <c r="P189" i="1"/>
  <c r="S189" i="1" s="1"/>
  <c r="L189" i="1" s="1"/>
  <c r="K189" i="1"/>
  <c r="M189" i="1" l="1"/>
  <c r="F189" i="1"/>
  <c r="I189" i="1"/>
  <c r="G189" i="1" s="1"/>
  <c r="D190" i="1" l="1"/>
  <c r="B190" i="1"/>
  <c r="C190" i="1"/>
  <c r="E190" i="1"/>
  <c r="N190" i="1" l="1"/>
  <c r="Q190" i="1" s="1"/>
  <c r="O190" i="1"/>
  <c r="R190" i="1" s="1"/>
  <c r="J190" i="1" s="1"/>
  <c r="I190" i="1"/>
  <c r="P190" i="1"/>
  <c r="S190" i="1" s="1"/>
  <c r="M190" i="1" s="1"/>
  <c r="K190" i="1" l="1"/>
  <c r="G190" i="1" s="1"/>
  <c r="L190" i="1"/>
  <c r="H190" i="1"/>
  <c r="F190" i="1" l="1"/>
  <c r="C191" i="1"/>
  <c r="E191" i="1"/>
  <c r="B191" i="1"/>
  <c r="N191" i="1" s="1"/>
  <c r="Q191" i="1" s="1"/>
  <c r="D191" i="1"/>
  <c r="P191" i="1" l="1"/>
  <c r="S191" i="1" s="1"/>
  <c r="M191" i="1" s="1"/>
  <c r="I191" i="1"/>
  <c r="O191" i="1"/>
  <c r="R191" i="1" s="1"/>
  <c r="J191" i="1" s="1"/>
  <c r="L191" i="1" l="1"/>
  <c r="K191" i="1"/>
  <c r="G191" i="1" s="1"/>
  <c r="H191" i="1"/>
  <c r="F191" i="1" l="1"/>
  <c r="E192" i="1"/>
  <c r="C192" i="1"/>
  <c r="B192" i="1" l="1"/>
  <c r="N192" i="1" s="1"/>
  <c r="Q192" i="1" s="1"/>
  <c r="D192" i="1"/>
  <c r="P192" i="1" l="1"/>
  <c r="S192" i="1" s="1"/>
  <c r="M192" i="1" s="1"/>
  <c r="O192" i="1"/>
  <c r="R192" i="1" s="1"/>
  <c r="K192" i="1" s="1"/>
  <c r="I192" i="1"/>
  <c r="G192" i="1" l="1"/>
  <c r="H192" i="1"/>
  <c r="E193" i="1"/>
  <c r="C193" i="1"/>
  <c r="J192" i="1"/>
  <c r="L192" i="1"/>
  <c r="F192" i="1" l="1"/>
  <c r="D193" i="1" l="1"/>
  <c r="B193" i="1"/>
  <c r="N193" i="1" s="1"/>
  <c r="Q193" i="1" s="1"/>
  <c r="O193" i="1" l="1"/>
  <c r="R193" i="1" s="1"/>
  <c r="K193" i="1" s="1"/>
  <c r="P193" i="1"/>
  <c r="S193" i="1" s="1"/>
  <c r="M193" i="1" s="1"/>
  <c r="J193" i="1"/>
  <c r="L193" i="1" l="1"/>
  <c r="H193" i="1"/>
  <c r="F193" i="1" s="1"/>
  <c r="I193" i="1"/>
  <c r="G193" i="1" s="1"/>
  <c r="D194" i="1" l="1"/>
  <c r="B194" i="1"/>
  <c r="E194" i="1"/>
  <c r="C194" i="1"/>
  <c r="N194" i="1" l="1"/>
  <c r="Q194" i="1" s="1"/>
  <c r="O194" i="1"/>
  <c r="R194" i="1" s="1"/>
  <c r="K194" i="1" s="1"/>
  <c r="H194" i="1"/>
  <c r="P194" i="1"/>
  <c r="S194" i="1" s="1"/>
  <c r="M194" i="1" s="1"/>
  <c r="I194" i="1" l="1"/>
  <c r="G194" i="1"/>
  <c r="J194" i="1"/>
  <c r="L194" i="1"/>
  <c r="F194" i="1" l="1"/>
  <c r="D195" i="1"/>
  <c r="B195" i="1"/>
  <c r="C195" i="1"/>
  <c r="E195" i="1"/>
  <c r="N195" i="1" l="1"/>
  <c r="Q195" i="1" s="1"/>
  <c r="P195" i="1"/>
  <c r="S195" i="1" s="1"/>
  <c r="M195" i="1" s="1"/>
  <c r="I195" i="1"/>
  <c r="O195" i="1"/>
  <c r="R195" i="1" s="1"/>
  <c r="K195" i="1" s="1"/>
  <c r="H195" i="1"/>
  <c r="G195" i="1" l="1"/>
  <c r="J195" i="1"/>
  <c r="L195" i="1"/>
  <c r="F195" i="1" l="1"/>
  <c r="D196" i="1"/>
  <c r="B196" i="1"/>
  <c r="N196" i="1" s="1"/>
  <c r="Q196" i="1" s="1"/>
  <c r="C196" i="1"/>
  <c r="E196" i="1"/>
  <c r="I196" i="1" l="1"/>
  <c r="P196" i="1"/>
  <c r="S196" i="1" s="1"/>
  <c r="M196" i="1" s="1"/>
  <c r="O196" i="1"/>
  <c r="R196" i="1" s="1"/>
  <c r="K196" i="1" s="1"/>
  <c r="J196" i="1" l="1"/>
  <c r="H196" i="1"/>
  <c r="G196" i="1"/>
  <c r="L196" i="1"/>
  <c r="F196" i="1" l="1"/>
  <c r="E197" i="1"/>
  <c r="C197" i="1"/>
  <c r="B197" i="1" l="1"/>
  <c r="N197" i="1" s="1"/>
  <c r="Q197" i="1" s="1"/>
  <c r="D197" i="1"/>
  <c r="O197" i="1" l="1"/>
  <c r="R197" i="1" s="1"/>
  <c r="K197" i="1" s="1"/>
  <c r="P197" i="1"/>
  <c r="S197" i="1" s="1"/>
  <c r="M197" i="1" s="1"/>
  <c r="J197" i="1" l="1"/>
  <c r="H197" i="1"/>
  <c r="I197" i="1"/>
  <c r="G197" i="1" s="1"/>
  <c r="L197" i="1"/>
  <c r="C198" i="1" l="1"/>
  <c r="E198" i="1"/>
  <c r="F197" i="1"/>
  <c r="D198" i="1" l="1"/>
  <c r="B198" i="1"/>
  <c r="N198" i="1" s="1"/>
  <c r="Q198" i="1" s="1"/>
  <c r="P198" i="1" l="1"/>
  <c r="S198" i="1" s="1"/>
  <c r="M198" i="1" s="1"/>
  <c r="O198" i="1"/>
  <c r="R198" i="1" s="1"/>
  <c r="K198" i="1" s="1"/>
  <c r="J198" i="1" l="1"/>
  <c r="H198" i="1"/>
  <c r="I198" i="1"/>
  <c r="G198" i="1" s="1"/>
  <c r="L198" i="1"/>
  <c r="F198" i="1" l="1"/>
  <c r="B199" i="1"/>
  <c r="D199" i="1"/>
  <c r="E199" i="1"/>
  <c r="C199" i="1"/>
  <c r="N199" i="1" l="1"/>
  <c r="Q199" i="1" s="1"/>
  <c r="I199" i="1" s="1"/>
  <c r="O199" i="1"/>
  <c r="R199" i="1" s="1"/>
  <c r="K199" i="1" s="1"/>
  <c r="P199" i="1"/>
  <c r="S199" i="1" s="1"/>
  <c r="M199" i="1" s="1"/>
  <c r="J199" i="1" l="1"/>
  <c r="G199" i="1"/>
  <c r="L199" i="1"/>
  <c r="H199" i="1"/>
  <c r="F199" i="1" l="1"/>
  <c r="E200" i="1"/>
  <c r="C200" i="1"/>
  <c r="D200" i="1" l="1"/>
  <c r="B200" i="1"/>
  <c r="N200" i="1" s="1"/>
  <c r="Q200" i="1" s="1"/>
  <c r="O200" i="1" l="1"/>
  <c r="R200" i="1" s="1"/>
  <c r="K200" i="1" s="1"/>
  <c r="I200" i="1"/>
  <c r="P200" i="1"/>
  <c r="S200" i="1" s="1"/>
  <c r="M200" i="1" s="1"/>
  <c r="G200" i="1" l="1"/>
  <c r="H200" i="1"/>
  <c r="L200" i="1"/>
  <c r="J200" i="1"/>
  <c r="F200" i="1" l="1"/>
  <c r="B201" i="1"/>
  <c r="D201" i="1"/>
  <c r="C201" i="1"/>
  <c r="E201" i="1"/>
  <c r="N201" i="1" l="1"/>
  <c r="Q201" i="1" s="1"/>
  <c r="O201" i="1"/>
  <c r="R201" i="1" s="1"/>
  <c r="P201" i="1"/>
  <c r="S201" i="1" s="1"/>
  <c r="M201" i="1" s="1"/>
  <c r="H201" i="1"/>
  <c r="J201" i="1"/>
  <c r="K201" i="1"/>
  <c r="L201" i="1" l="1"/>
  <c r="F201" i="1" s="1"/>
  <c r="I201" i="1"/>
  <c r="G201" i="1" s="1"/>
  <c r="B202" i="1" l="1"/>
  <c r="D202" i="1"/>
  <c r="C202" i="1"/>
  <c r="E202" i="1"/>
  <c r="N202" i="1" l="1"/>
  <c r="Q202" i="1" s="1"/>
  <c r="O202" i="1"/>
  <c r="R202" i="1" s="1"/>
  <c r="J202" i="1" s="1"/>
  <c r="H202" i="1"/>
  <c r="P202" i="1"/>
  <c r="S202" i="1" s="1"/>
  <c r="L202" i="1" s="1"/>
  <c r="F202" i="1" l="1"/>
  <c r="M202" i="1"/>
  <c r="B203" i="1"/>
  <c r="D203" i="1"/>
  <c r="K202" i="1"/>
  <c r="I202" i="1"/>
  <c r="G202" i="1" l="1"/>
  <c r="E203" i="1" l="1"/>
  <c r="C203" i="1"/>
  <c r="N203" i="1" s="1"/>
  <c r="Q203" i="1" s="1"/>
  <c r="H203" i="1" l="1"/>
  <c r="O203" i="1"/>
  <c r="R203" i="1" s="1"/>
  <c r="J203" i="1" s="1"/>
  <c r="P203" i="1"/>
  <c r="S203" i="1" s="1"/>
  <c r="L203" i="1" s="1"/>
  <c r="M203" i="1" l="1"/>
  <c r="K203" i="1"/>
  <c r="F203" i="1"/>
  <c r="I203" i="1"/>
  <c r="G203" i="1" l="1"/>
  <c r="D204" i="1"/>
  <c r="B204" i="1"/>
  <c r="C204" i="1" l="1"/>
  <c r="N204" i="1" s="1"/>
  <c r="Q204" i="1" s="1"/>
  <c r="E204" i="1"/>
  <c r="P204" i="1" l="1"/>
  <c r="S204" i="1" s="1"/>
  <c r="L204" i="1" s="1"/>
  <c r="O204" i="1"/>
  <c r="R204" i="1" s="1"/>
  <c r="J204" i="1" s="1"/>
  <c r="H204" i="1"/>
  <c r="F204" i="1" l="1"/>
  <c r="M204" i="1"/>
  <c r="D205" i="1"/>
  <c r="B205" i="1"/>
  <c r="I204" i="1"/>
  <c r="K204" i="1"/>
  <c r="G204" i="1" l="1"/>
  <c r="E205" i="1" l="1"/>
  <c r="C205" i="1"/>
  <c r="N205" i="1" s="1"/>
  <c r="Q205" i="1" s="1"/>
  <c r="O205" i="1" l="1"/>
  <c r="R205" i="1" s="1"/>
  <c r="J205" i="1" s="1"/>
  <c r="H205" i="1"/>
  <c r="P205" i="1"/>
  <c r="S205" i="1" s="1"/>
  <c r="L205" i="1" s="1"/>
  <c r="F205" i="1" l="1"/>
  <c r="M205" i="1"/>
  <c r="D206" i="1"/>
  <c r="B206" i="1"/>
  <c r="K205" i="1"/>
  <c r="I205" i="1"/>
  <c r="G205" i="1" s="1"/>
  <c r="C206" i="1" l="1"/>
  <c r="N206" i="1" s="1"/>
  <c r="Q206" i="1" s="1"/>
  <c r="E206" i="1"/>
  <c r="P206" i="1" l="1"/>
  <c r="S206" i="1" s="1"/>
  <c r="L206" i="1" s="1"/>
  <c r="O206" i="1"/>
  <c r="R206" i="1" s="1"/>
  <c r="M206" i="1" l="1"/>
  <c r="K206" i="1"/>
  <c r="J206" i="1"/>
  <c r="I206" i="1"/>
  <c r="H206" i="1"/>
  <c r="F206" i="1" s="1"/>
  <c r="D207" i="1" l="1"/>
  <c r="B207" i="1"/>
  <c r="G206" i="1"/>
  <c r="E207" i="1" l="1"/>
  <c r="C207" i="1"/>
  <c r="N207" i="1" s="1"/>
  <c r="Q207" i="1" s="1"/>
  <c r="H207" i="1" l="1"/>
  <c r="O207" i="1"/>
  <c r="R207" i="1" s="1"/>
  <c r="J207" i="1" s="1"/>
  <c r="P207" i="1"/>
  <c r="S207" i="1" s="1"/>
  <c r="L207" i="1" s="1"/>
  <c r="M207" i="1" l="1"/>
  <c r="F207" i="1"/>
  <c r="K207" i="1"/>
  <c r="I207" i="1"/>
  <c r="G207" i="1" s="1"/>
  <c r="C208" i="1" l="1"/>
  <c r="E208" i="1"/>
  <c r="D208" i="1"/>
  <c r="B208" i="1"/>
  <c r="N208" i="1" s="1"/>
  <c r="Q208" i="1" s="1"/>
  <c r="I208" i="1" l="1"/>
  <c r="O208" i="1"/>
  <c r="R208" i="1" s="1"/>
  <c r="J208" i="1" s="1"/>
  <c r="P208" i="1"/>
  <c r="S208" i="1" s="1"/>
  <c r="M208" i="1" s="1"/>
  <c r="H208" i="1"/>
  <c r="L208" i="1" l="1"/>
  <c r="F208" i="1" s="1"/>
  <c r="K208" i="1"/>
  <c r="G208" i="1" s="1"/>
  <c r="E209" i="1" l="1"/>
  <c r="C209" i="1"/>
  <c r="B209" i="1"/>
  <c r="N209" i="1" s="1"/>
  <c r="Q209" i="1" s="1"/>
  <c r="D209" i="1"/>
  <c r="P209" i="1" l="1"/>
  <c r="S209" i="1" s="1"/>
  <c r="L209" i="1" s="1"/>
  <c r="I209" i="1"/>
  <c r="O209" i="1"/>
  <c r="R209" i="1" s="1"/>
  <c r="J209" i="1" s="1"/>
  <c r="H209" i="1"/>
  <c r="M209" i="1" l="1"/>
  <c r="F209" i="1"/>
  <c r="K209" i="1"/>
  <c r="G209" i="1" s="1"/>
  <c r="C210" i="1" l="1"/>
  <c r="E210" i="1"/>
  <c r="D210" i="1"/>
  <c r="B210" i="1"/>
  <c r="N210" i="1" s="1"/>
  <c r="Q210" i="1" s="1"/>
  <c r="O210" i="1" l="1"/>
  <c r="R210" i="1" s="1"/>
  <c r="K210" i="1" s="1"/>
  <c r="I210" i="1"/>
  <c r="P210" i="1"/>
  <c r="S210" i="1" s="1"/>
  <c r="M210" i="1" s="1"/>
  <c r="J210" i="1"/>
  <c r="G210" i="1" l="1"/>
  <c r="E211" i="1"/>
  <c r="C211" i="1"/>
  <c r="H210" i="1"/>
  <c r="L210" i="1"/>
  <c r="F210" i="1" l="1"/>
  <c r="D211" i="1" l="1"/>
  <c r="B211" i="1"/>
  <c r="N211" i="1" s="1"/>
  <c r="Q211" i="1" s="1"/>
  <c r="O211" i="1" l="1"/>
  <c r="R211" i="1" s="1"/>
  <c r="K211" i="1" s="1"/>
  <c r="I211" i="1"/>
  <c r="P211" i="1"/>
  <c r="S211" i="1" s="1"/>
  <c r="M211" i="1" l="1"/>
  <c r="G211" i="1" s="1"/>
  <c r="J211" i="1"/>
  <c r="H211" i="1"/>
  <c r="L211" i="1"/>
  <c r="E212" i="1" l="1"/>
  <c r="C212" i="1"/>
  <c r="F211" i="1"/>
  <c r="B212" i="1" l="1"/>
  <c r="N212" i="1" s="1"/>
  <c r="Q212" i="1" s="1"/>
  <c r="D212" i="1"/>
  <c r="I212" i="1" l="1"/>
  <c r="O212" i="1"/>
  <c r="R212" i="1" s="1"/>
  <c r="K212" i="1" s="1"/>
  <c r="P212" i="1"/>
  <c r="S212" i="1" s="1"/>
  <c r="M212" i="1" s="1"/>
  <c r="J212" i="1"/>
  <c r="G212" i="1" l="1"/>
  <c r="L212" i="1"/>
  <c r="H212" i="1"/>
  <c r="F212" i="1" s="1"/>
  <c r="D213" i="1" l="1"/>
  <c r="B213" i="1"/>
  <c r="E213" i="1"/>
  <c r="C213" i="1"/>
  <c r="N213" i="1" l="1"/>
  <c r="P213" i="1"/>
  <c r="S213" i="1" s="1"/>
  <c r="M213" i="1" s="1"/>
  <c r="O213" i="1"/>
  <c r="R213" i="1" s="1"/>
  <c r="J213" i="1" s="1"/>
  <c r="Q213" i="1" l="1"/>
  <c r="H213" i="1" s="1"/>
  <c r="L213" i="1"/>
  <c r="K213" i="1"/>
  <c r="I213" i="1"/>
  <c r="G213" i="1" s="1"/>
  <c r="F213" i="1" l="1"/>
  <c r="B214" i="1"/>
  <c r="D214" i="1"/>
  <c r="C214" i="1"/>
  <c r="E214" i="1"/>
  <c r="N214" i="1" l="1"/>
  <c r="Q214" i="1" s="1"/>
  <c r="O214" i="1"/>
  <c r="R214" i="1" s="1"/>
  <c r="K214" i="1" s="1"/>
  <c r="I214" i="1"/>
  <c r="P214" i="1"/>
  <c r="S214" i="1" s="1"/>
  <c r="M214" i="1" s="1"/>
  <c r="H214" i="1" l="1"/>
  <c r="L214" i="1"/>
  <c r="G214" i="1"/>
  <c r="J214" i="1"/>
  <c r="F214" i="1" s="1"/>
  <c r="B215" i="1" l="1"/>
  <c r="D215" i="1"/>
  <c r="C215" i="1"/>
  <c r="E215" i="1"/>
  <c r="N215" i="1" l="1"/>
  <c r="P215" i="1"/>
  <c r="S215" i="1" s="1"/>
  <c r="M215" i="1" s="1"/>
  <c r="O215" i="1"/>
  <c r="R215" i="1" s="1"/>
  <c r="J215" i="1" s="1"/>
  <c r="Q215" i="1" l="1"/>
  <c r="H215" i="1" s="1"/>
  <c r="L215" i="1"/>
  <c r="K215" i="1"/>
  <c r="I215" i="1"/>
  <c r="G215" i="1" s="1"/>
  <c r="F215" i="1" l="1"/>
  <c r="D216" i="1"/>
  <c r="B216" i="1"/>
  <c r="E216" i="1"/>
  <c r="C216" i="1"/>
  <c r="N216" i="1" l="1"/>
  <c r="Q216" i="1" s="1"/>
  <c r="O216" i="1"/>
  <c r="R216" i="1" s="1"/>
  <c r="J216" i="1" s="1"/>
  <c r="H216" i="1"/>
  <c r="P216" i="1"/>
  <c r="S216" i="1" s="1"/>
  <c r="L216" i="1" s="1"/>
  <c r="M216" i="1" l="1"/>
  <c r="F216" i="1"/>
  <c r="I216" i="1"/>
  <c r="K216" i="1"/>
  <c r="G216" i="1" l="1"/>
  <c r="C217" i="1"/>
  <c r="E217" i="1"/>
  <c r="D217" i="1"/>
  <c r="B217" i="1"/>
  <c r="N217" i="1" s="1"/>
  <c r="Q217" i="1" s="1"/>
  <c r="O217" i="1" l="1"/>
  <c r="R217" i="1" s="1"/>
  <c r="K217" i="1" s="1"/>
  <c r="P217" i="1"/>
  <c r="S217" i="1" s="1"/>
  <c r="M217" i="1" s="1"/>
  <c r="H217" i="1"/>
  <c r="J217" i="1"/>
  <c r="L217" i="1" l="1"/>
  <c r="F217" i="1" s="1"/>
  <c r="I217" i="1"/>
  <c r="G217" i="1" s="1"/>
  <c r="D218" i="1" l="1"/>
  <c r="B218" i="1"/>
  <c r="C218" i="1"/>
  <c r="E218" i="1"/>
  <c r="N218" i="1" l="1"/>
  <c r="P218" i="1"/>
  <c r="S218" i="1" s="1"/>
  <c r="M218" i="1" s="1"/>
  <c r="O218" i="1"/>
  <c r="R218" i="1" s="1"/>
  <c r="J218" i="1" s="1"/>
  <c r="Q218" i="1" l="1"/>
  <c r="H218" i="1" s="1"/>
  <c r="L218" i="1"/>
  <c r="I218" i="1"/>
  <c r="K218" i="1"/>
  <c r="F218" i="1" l="1"/>
  <c r="B219" i="1"/>
  <c r="D219" i="1"/>
  <c r="G218" i="1"/>
  <c r="C219" i="1" l="1"/>
  <c r="N219" i="1" s="1"/>
  <c r="E219" i="1"/>
  <c r="O219" i="1"/>
  <c r="R219" i="1" s="1"/>
  <c r="J219" i="1" s="1"/>
  <c r="P219" i="1"/>
  <c r="S219" i="1" s="1"/>
  <c r="L219" i="1" s="1"/>
  <c r="Q219" i="1" l="1"/>
  <c r="H219" i="1" s="1"/>
  <c r="F219" i="1" s="1"/>
  <c r="M219" i="1"/>
  <c r="I219" i="1"/>
  <c r="K219" i="1"/>
  <c r="G219" i="1" l="1"/>
  <c r="C220" i="1" s="1"/>
  <c r="E220" i="1"/>
  <c r="D220" i="1"/>
  <c r="B220" i="1"/>
  <c r="N220" i="1" s="1"/>
  <c r="Q220" i="1" s="1"/>
  <c r="O220" i="1" l="1"/>
  <c r="R220" i="1" s="1"/>
  <c r="P220" i="1"/>
  <c r="S220" i="1" s="1"/>
  <c r="M220" i="1" s="1"/>
  <c r="H220" i="1" l="1"/>
  <c r="I220" i="1"/>
  <c r="J220" i="1"/>
  <c r="K220" i="1"/>
  <c r="L220" i="1"/>
  <c r="G220" i="1" l="1"/>
  <c r="F220" i="1"/>
  <c r="B221" i="1" l="1"/>
  <c r="D221" i="1"/>
  <c r="E221" i="1"/>
  <c r="C221" i="1"/>
  <c r="N221" i="1" l="1"/>
  <c r="Q221" i="1" s="1"/>
  <c r="O221" i="1"/>
  <c r="R221" i="1" s="1"/>
  <c r="J221" i="1" s="1"/>
  <c r="H221" i="1"/>
  <c r="P221" i="1"/>
  <c r="S221" i="1" s="1"/>
  <c r="M221" i="1" s="1"/>
  <c r="L221" i="1" l="1"/>
  <c r="I221" i="1"/>
  <c r="K221" i="1"/>
  <c r="G221" i="1" s="1"/>
  <c r="F221" i="1"/>
  <c r="E222" i="1" l="1"/>
  <c r="C222" i="1"/>
  <c r="B222" i="1"/>
  <c r="N222" i="1" s="1"/>
  <c r="Q222" i="1" s="1"/>
  <c r="D222" i="1"/>
  <c r="H222" i="1" l="1"/>
  <c r="P222" i="1"/>
  <c r="S222" i="1" s="1"/>
  <c r="M222" i="1" s="1"/>
  <c r="O222" i="1"/>
  <c r="R222" i="1" s="1"/>
  <c r="J222" i="1" s="1"/>
  <c r="I222" i="1"/>
  <c r="K222" i="1" l="1"/>
  <c r="G222" i="1"/>
  <c r="E223" i="1" s="1"/>
  <c r="L222" i="1"/>
  <c r="F222" i="1" s="1"/>
  <c r="C223" i="1" l="1"/>
  <c r="B223" i="1"/>
  <c r="N223" i="1" s="1"/>
  <c r="Q223" i="1" s="1"/>
  <c r="D223" i="1"/>
  <c r="O223" i="1" l="1"/>
  <c r="R223" i="1" s="1"/>
  <c r="K223" i="1" s="1"/>
  <c r="I223" i="1"/>
  <c r="P223" i="1"/>
  <c r="S223" i="1" s="1"/>
  <c r="M223" i="1" s="1"/>
  <c r="H223" i="1"/>
  <c r="J223" i="1" l="1"/>
  <c r="G223" i="1"/>
  <c r="L223" i="1"/>
  <c r="F223" i="1" s="1"/>
  <c r="D224" i="1" l="1"/>
  <c r="B224" i="1"/>
  <c r="E224" i="1"/>
  <c r="C224" i="1"/>
  <c r="N224" i="1" l="1"/>
  <c r="Q224" i="1" s="1"/>
  <c r="P224" i="1"/>
  <c r="S224" i="1" s="1"/>
  <c r="M224" i="1" s="1"/>
  <c r="I224" i="1"/>
  <c r="O224" i="1"/>
  <c r="R224" i="1" s="1"/>
  <c r="K224" i="1" s="1"/>
  <c r="H224" i="1" l="1"/>
  <c r="G224" i="1"/>
  <c r="J224" i="1"/>
  <c r="L224" i="1"/>
  <c r="F224" i="1" l="1"/>
  <c r="B225" i="1"/>
  <c r="D225" i="1"/>
  <c r="E225" i="1"/>
  <c r="C225" i="1"/>
  <c r="N225" i="1" l="1"/>
  <c r="Q225" i="1" s="1"/>
  <c r="I225" i="1" s="1"/>
  <c r="O225" i="1"/>
  <c r="R225" i="1" s="1"/>
  <c r="K225" i="1" s="1"/>
  <c r="P225" i="1"/>
  <c r="S225" i="1" s="1"/>
  <c r="M225" i="1" s="1"/>
  <c r="L225" i="1" l="1"/>
  <c r="G225" i="1"/>
  <c r="J225" i="1"/>
  <c r="H225" i="1"/>
  <c r="F225" i="1" l="1"/>
  <c r="D226" i="1"/>
  <c r="B226" i="1"/>
  <c r="C226" i="1"/>
  <c r="E226" i="1"/>
  <c r="N226" i="1" l="1"/>
  <c r="Q226" i="1" s="1"/>
  <c r="O226" i="1"/>
  <c r="R226" i="1" s="1"/>
  <c r="J226" i="1" s="1"/>
  <c r="P226" i="1"/>
  <c r="S226" i="1" s="1"/>
  <c r="L226" i="1" s="1"/>
  <c r="I226" i="1"/>
  <c r="H226" i="1" l="1"/>
  <c r="M226" i="1"/>
  <c r="F226" i="1"/>
  <c r="K226" i="1"/>
  <c r="G226" i="1" s="1"/>
  <c r="E227" i="1" l="1"/>
  <c r="C227" i="1"/>
  <c r="B227" i="1"/>
  <c r="N227" i="1" s="1"/>
  <c r="Q227" i="1" s="1"/>
  <c r="D227" i="1"/>
  <c r="P227" i="1" l="1"/>
  <c r="S227" i="1" s="1"/>
  <c r="M227" i="1" s="1"/>
  <c r="O227" i="1"/>
  <c r="R227" i="1" s="1"/>
  <c r="K227" i="1" s="1"/>
  <c r="H227" i="1"/>
  <c r="I227" i="1"/>
  <c r="G227" i="1" l="1"/>
  <c r="E228" i="1" s="1"/>
  <c r="J227" i="1"/>
  <c r="C228" i="1"/>
  <c r="L227" i="1"/>
  <c r="F227" i="1" l="1"/>
  <c r="B228" i="1"/>
  <c r="N228" i="1" s="1"/>
  <c r="Q228" i="1" s="1"/>
  <c r="D228" i="1"/>
  <c r="O228" i="1" l="1"/>
  <c r="R228" i="1" s="1"/>
  <c r="P228" i="1"/>
  <c r="S228" i="1" s="1"/>
  <c r="M228" i="1" s="1"/>
  <c r="H228" i="1" l="1"/>
  <c r="I228" i="1"/>
  <c r="J228" i="1"/>
  <c r="K228" i="1"/>
  <c r="L228" i="1"/>
  <c r="G228" i="1" l="1"/>
  <c r="E229" i="1"/>
  <c r="C229" i="1"/>
  <c r="F228" i="1"/>
  <c r="D229" i="1" l="1"/>
  <c r="B229" i="1"/>
  <c r="N229" i="1" s="1"/>
  <c r="Q229" i="1" s="1"/>
  <c r="I229" i="1" l="1"/>
  <c r="O229" i="1"/>
  <c r="R229" i="1" s="1"/>
  <c r="P229" i="1"/>
  <c r="S229" i="1" s="1"/>
  <c r="M229" i="1" s="1"/>
  <c r="H229" i="1"/>
  <c r="J229" i="1" l="1"/>
  <c r="K229" i="1"/>
  <c r="G229" i="1" s="1"/>
  <c r="L229" i="1"/>
  <c r="F229" i="1" l="1"/>
  <c r="C230" i="1"/>
  <c r="E230" i="1"/>
  <c r="D230" i="1"/>
  <c r="B230" i="1"/>
  <c r="N230" i="1" s="1"/>
  <c r="Q230" i="1" s="1"/>
  <c r="O230" i="1" l="1"/>
  <c r="R230" i="1" s="1"/>
  <c r="K230" i="1" s="1"/>
  <c r="I230" i="1"/>
  <c r="P230" i="1"/>
  <c r="S230" i="1" s="1"/>
  <c r="M230" i="1" s="1"/>
  <c r="J230" i="1"/>
  <c r="H230" i="1"/>
  <c r="G230" i="1" l="1"/>
  <c r="E231" i="1" s="1"/>
  <c r="L230" i="1"/>
  <c r="F230" i="1" s="1"/>
  <c r="C231" i="1" l="1"/>
  <c r="D231" i="1"/>
  <c r="B231" i="1"/>
  <c r="N231" i="1" s="1"/>
  <c r="Q231" i="1" s="1"/>
  <c r="I231" i="1" l="1"/>
  <c r="O231" i="1"/>
  <c r="R231" i="1" s="1"/>
  <c r="K231" i="1" s="1"/>
  <c r="P231" i="1"/>
  <c r="S231" i="1" s="1"/>
  <c r="M231" i="1" s="1"/>
  <c r="H231" i="1"/>
  <c r="J231" i="1" l="1"/>
  <c r="G231" i="1"/>
  <c r="L231" i="1"/>
  <c r="F231" i="1" l="1"/>
  <c r="B232" i="1"/>
  <c r="D232" i="1"/>
  <c r="E232" i="1"/>
  <c r="C232" i="1"/>
  <c r="N232" i="1" l="1"/>
  <c r="Q232" i="1" s="1"/>
  <c r="P232" i="1"/>
  <c r="S232" i="1" s="1"/>
  <c r="M232" i="1" s="1"/>
  <c r="H232" i="1"/>
  <c r="O232" i="1"/>
  <c r="R232" i="1" s="1"/>
  <c r="K232" i="1" s="1"/>
  <c r="I232" i="1" l="1"/>
  <c r="G232" i="1" s="1"/>
  <c r="L232" i="1"/>
  <c r="J232" i="1"/>
  <c r="F232" i="1" s="1"/>
  <c r="B233" i="1" l="1"/>
  <c r="D233" i="1"/>
  <c r="E233" i="1"/>
  <c r="C233" i="1"/>
  <c r="N233" i="1" l="1"/>
  <c r="Q233" i="1" s="1"/>
  <c r="P233" i="1"/>
  <c r="S233" i="1" s="1"/>
  <c r="M233" i="1" s="1"/>
  <c r="O233" i="1"/>
  <c r="R233" i="1" s="1"/>
  <c r="J233" i="1" s="1"/>
  <c r="I233" i="1"/>
  <c r="K233" i="1" l="1"/>
  <c r="G233" i="1" s="1"/>
  <c r="L233" i="1"/>
  <c r="H233" i="1"/>
  <c r="F233" i="1" s="1"/>
  <c r="E234" i="1" l="1"/>
  <c r="C234" i="1"/>
  <c r="B234" i="1"/>
  <c r="N234" i="1" s="1"/>
  <c r="Q234" i="1" s="1"/>
  <c r="D234" i="1"/>
  <c r="P234" i="1" l="1"/>
  <c r="S234" i="1" s="1"/>
  <c r="M234" i="1" s="1"/>
  <c r="O234" i="1"/>
  <c r="R234" i="1" s="1"/>
  <c r="J234" i="1" s="1"/>
  <c r="I234" i="1"/>
  <c r="K234" i="1" l="1"/>
  <c r="G234" i="1" s="1"/>
  <c r="H234" i="1"/>
  <c r="L234" i="1"/>
  <c r="F234" i="1" l="1"/>
  <c r="C235" i="1"/>
  <c r="E235" i="1"/>
  <c r="B235" i="1" l="1"/>
  <c r="N235" i="1" s="1"/>
  <c r="Q235" i="1" s="1"/>
  <c r="D235" i="1"/>
  <c r="O235" i="1" l="1"/>
  <c r="R235" i="1" s="1"/>
  <c r="K235" i="1" s="1"/>
  <c r="P235" i="1"/>
  <c r="S235" i="1" s="1"/>
  <c r="M235" i="1" s="1"/>
  <c r="I235" i="1"/>
  <c r="J235" i="1"/>
  <c r="H235" i="1"/>
  <c r="G235" i="1" l="1"/>
  <c r="E236" i="1"/>
  <c r="C236" i="1"/>
  <c r="L235" i="1"/>
  <c r="F235" i="1" s="1"/>
  <c r="B236" i="1" l="1"/>
  <c r="N236" i="1" s="1"/>
  <c r="Q236" i="1" s="1"/>
  <c r="D236" i="1"/>
  <c r="P236" i="1" l="1"/>
  <c r="S236" i="1" s="1"/>
  <c r="M236" i="1" s="1"/>
  <c r="O236" i="1"/>
  <c r="R236" i="1" s="1"/>
  <c r="H236" i="1" l="1"/>
  <c r="I236" i="1"/>
  <c r="J236" i="1"/>
  <c r="K236" i="1"/>
  <c r="L236" i="1"/>
  <c r="G236" i="1" l="1"/>
  <c r="E237" i="1"/>
  <c r="C237" i="1"/>
  <c r="F236" i="1"/>
  <c r="D237" i="1" l="1"/>
  <c r="B237" i="1"/>
  <c r="N237" i="1" s="1"/>
  <c r="Q237" i="1" s="1"/>
  <c r="P237" i="1" l="1"/>
  <c r="S237" i="1" s="1"/>
  <c r="M237" i="1" s="1"/>
  <c r="I237" i="1"/>
  <c r="O237" i="1"/>
  <c r="R237" i="1" s="1"/>
  <c r="J237" i="1" l="1"/>
  <c r="K237" i="1"/>
  <c r="H237" i="1"/>
  <c r="G237" i="1"/>
  <c r="L237" i="1"/>
  <c r="C238" i="1" l="1"/>
  <c r="E238" i="1"/>
  <c r="F237" i="1"/>
  <c r="B238" i="1" l="1"/>
  <c r="N238" i="1" s="1"/>
  <c r="Q238" i="1" s="1"/>
  <c r="D238" i="1"/>
  <c r="P238" i="1" l="1"/>
  <c r="S238" i="1" s="1"/>
  <c r="M238" i="1" s="1"/>
  <c r="O238" i="1"/>
  <c r="R238" i="1" s="1"/>
  <c r="K238" i="1" s="1"/>
  <c r="I238" i="1"/>
  <c r="H238" i="1" l="1"/>
  <c r="J238" i="1"/>
  <c r="G238" i="1"/>
  <c r="L238" i="1"/>
  <c r="F238" i="1" l="1"/>
  <c r="B239" i="1"/>
  <c r="D239" i="1"/>
  <c r="E239" i="1"/>
  <c r="C239" i="1"/>
  <c r="N239" i="1" l="1"/>
  <c r="O239" i="1"/>
  <c r="R239" i="1" s="1"/>
  <c r="K239" i="1" s="1"/>
  <c r="P239" i="1"/>
  <c r="S239" i="1" s="1"/>
  <c r="M239" i="1" s="1"/>
  <c r="J239" i="1"/>
  <c r="Q239" i="1" l="1"/>
  <c r="I239" i="1" s="1"/>
  <c r="G239" i="1" s="1"/>
  <c r="H239" i="1"/>
  <c r="L239" i="1"/>
  <c r="C240" i="1" l="1"/>
  <c r="E240" i="1"/>
  <c r="F239" i="1"/>
  <c r="D240" i="1" l="1"/>
  <c r="B240" i="1"/>
  <c r="N240" i="1" s="1"/>
  <c r="Q240" i="1" s="1"/>
  <c r="P240" i="1" l="1"/>
  <c r="S240" i="1" s="1"/>
  <c r="M240" i="1" s="1"/>
  <c r="O240" i="1"/>
  <c r="R240" i="1" s="1"/>
  <c r="K240" i="1" s="1"/>
  <c r="I240" i="1"/>
  <c r="J240" i="1" l="1"/>
  <c r="G240" i="1"/>
  <c r="C241" i="1" s="1"/>
  <c r="E241" i="1"/>
  <c r="H240" i="1"/>
  <c r="L240" i="1"/>
  <c r="F240" i="1" l="1"/>
  <c r="B241" i="1" s="1"/>
  <c r="N241" i="1" s="1"/>
  <c r="Q241" i="1" s="1"/>
  <c r="D241" i="1" l="1"/>
  <c r="I241" i="1"/>
  <c r="P241" i="1"/>
  <c r="S241" i="1" s="1"/>
  <c r="M241" i="1" s="1"/>
  <c r="O241" i="1"/>
  <c r="R241" i="1" s="1"/>
  <c r="K241" i="1" s="1"/>
  <c r="H241" i="1"/>
  <c r="J241" i="1" l="1"/>
  <c r="G241" i="1"/>
  <c r="L241" i="1"/>
  <c r="F241" i="1" l="1"/>
  <c r="D242" i="1" s="1"/>
  <c r="E242" i="1"/>
  <c r="C242" i="1"/>
  <c r="B242" i="1" l="1"/>
  <c r="N242" i="1" s="1"/>
  <c r="Q242" i="1" s="1"/>
  <c r="I242" i="1" s="1"/>
  <c r="O242" i="1"/>
  <c r="R242" i="1" s="1"/>
  <c r="K242" i="1" s="1"/>
  <c r="P242" i="1"/>
  <c r="S242" i="1" s="1"/>
  <c r="M242" i="1" s="1"/>
  <c r="H242" i="1"/>
  <c r="J242" i="1" l="1"/>
  <c r="G242" i="1"/>
  <c r="C243" i="1" s="1"/>
  <c r="L242" i="1"/>
  <c r="F242" i="1" s="1"/>
  <c r="E243" i="1" l="1"/>
  <c r="D243" i="1"/>
  <c r="B243" i="1"/>
  <c r="N243" i="1" s="1"/>
  <c r="Q243" i="1" s="1"/>
  <c r="P243" i="1" l="1"/>
  <c r="S243" i="1" s="1"/>
  <c r="M243" i="1" s="1"/>
  <c r="I243" i="1"/>
  <c r="O243" i="1"/>
  <c r="R243" i="1" s="1"/>
  <c r="K243" i="1" s="1"/>
  <c r="H243" i="1"/>
  <c r="G243" i="1" l="1"/>
  <c r="J243" i="1"/>
  <c r="L243" i="1"/>
  <c r="F243" i="1" l="1"/>
  <c r="B244" i="1"/>
  <c r="D244" i="1"/>
  <c r="E244" i="1"/>
  <c r="C244" i="1"/>
  <c r="N244" i="1" l="1"/>
  <c r="O244" i="1"/>
  <c r="R244" i="1" s="1"/>
  <c r="J244" i="1" s="1"/>
  <c r="P244" i="1"/>
  <c r="S244" i="1" s="1"/>
  <c r="M244" i="1" s="1"/>
  <c r="Q244" i="1" l="1"/>
  <c r="I244" i="1" s="1"/>
  <c r="L244" i="1"/>
  <c r="H244" i="1"/>
  <c r="F244" i="1" s="1"/>
  <c r="K244" i="1"/>
  <c r="G244" i="1" l="1"/>
  <c r="D245" i="1"/>
  <c r="B245" i="1"/>
  <c r="C245" i="1"/>
  <c r="E245" i="1"/>
  <c r="N245" i="1" l="1"/>
  <c r="Q245" i="1" s="1"/>
  <c r="O245" i="1"/>
  <c r="R245" i="1" s="1"/>
  <c r="K245" i="1" s="1"/>
  <c r="I245" i="1"/>
  <c r="P245" i="1"/>
  <c r="S245" i="1" s="1"/>
  <c r="M245" i="1" s="1"/>
  <c r="J245" i="1" l="1"/>
  <c r="G245" i="1"/>
  <c r="L245" i="1"/>
  <c r="H245" i="1"/>
  <c r="F245" i="1" s="1"/>
  <c r="E246" i="1" l="1"/>
  <c r="C246" i="1"/>
  <c r="B246" i="1"/>
  <c r="N246" i="1" s="1"/>
  <c r="Q246" i="1" s="1"/>
  <c r="D246" i="1"/>
  <c r="O246" i="1" l="1"/>
  <c r="R246" i="1" s="1"/>
  <c r="K246" i="1" s="1"/>
  <c r="I246" i="1"/>
  <c r="P246" i="1"/>
  <c r="S246" i="1" s="1"/>
  <c r="L246" i="1" s="1"/>
  <c r="J246" i="1"/>
  <c r="H246" i="1"/>
  <c r="M246" i="1" l="1"/>
  <c r="F246" i="1"/>
  <c r="G246" i="1"/>
  <c r="C247" i="1" l="1"/>
  <c r="E247" i="1"/>
  <c r="B247" i="1"/>
  <c r="N247" i="1" s="1"/>
  <c r="Q247" i="1" s="1"/>
  <c r="D247" i="1"/>
  <c r="P247" i="1" l="1"/>
  <c r="S247" i="1" s="1"/>
  <c r="M247" i="1" s="1"/>
  <c r="I247" i="1"/>
  <c r="O247" i="1"/>
  <c r="R247" i="1" s="1"/>
  <c r="K247" i="1" s="1"/>
  <c r="H247" i="1"/>
  <c r="J247" i="1" l="1"/>
  <c r="G247" i="1"/>
  <c r="L247" i="1"/>
  <c r="F247" i="1" l="1"/>
  <c r="B248" i="1"/>
  <c r="D248" i="1"/>
  <c r="E248" i="1"/>
  <c r="C248" i="1"/>
  <c r="N248" i="1" l="1"/>
  <c r="O248" i="1"/>
  <c r="R248" i="1" s="1"/>
  <c r="K248" i="1" s="1"/>
  <c r="P248" i="1"/>
  <c r="S248" i="1" s="1"/>
  <c r="Q248" i="1" l="1"/>
  <c r="I248" i="1" s="1"/>
  <c r="M248" i="1"/>
  <c r="L248" i="1"/>
  <c r="H248" i="1"/>
  <c r="J248" i="1"/>
  <c r="G248" i="1" l="1"/>
  <c r="C249" i="1"/>
  <c r="E249" i="1"/>
  <c r="F248" i="1"/>
  <c r="B249" i="1" s="1"/>
  <c r="N249" i="1" s="1"/>
  <c r="Q249" i="1" s="1"/>
  <c r="D249" i="1" l="1"/>
  <c r="O249" i="1"/>
  <c r="R249" i="1" s="1"/>
  <c r="K249" i="1" s="1"/>
  <c r="P249" i="1"/>
  <c r="S249" i="1" s="1"/>
  <c r="M249" i="1" s="1"/>
  <c r="I249" i="1"/>
  <c r="J249" i="1"/>
  <c r="H249" i="1" l="1"/>
  <c r="G249" i="1"/>
  <c r="L249" i="1"/>
  <c r="F249" i="1" s="1"/>
  <c r="D250" i="1" l="1"/>
  <c r="B250" i="1"/>
  <c r="E250" i="1"/>
  <c r="C250" i="1"/>
  <c r="N250" i="1" l="1"/>
  <c r="P250" i="1"/>
  <c r="S250" i="1" s="1"/>
  <c r="M250" i="1" s="1"/>
  <c r="O250" i="1"/>
  <c r="R250" i="1" s="1"/>
  <c r="K250" i="1" s="1"/>
  <c r="J250" i="1"/>
  <c r="Q250" i="1" l="1"/>
  <c r="I250" i="1" s="1"/>
  <c r="G250" i="1" s="1"/>
  <c r="E251" i="1" s="1"/>
  <c r="L250" i="1"/>
  <c r="H250" i="1"/>
  <c r="F250" i="1" s="1"/>
  <c r="C251" i="1" l="1"/>
  <c r="B251" i="1"/>
  <c r="D251" i="1"/>
  <c r="N251" i="1" l="1"/>
  <c r="Q251" i="1" s="1"/>
  <c r="P251" i="1"/>
  <c r="S251" i="1" s="1"/>
  <c r="M251" i="1" s="1"/>
  <c r="O251" i="1"/>
  <c r="R251" i="1" s="1"/>
  <c r="K251" i="1" s="1"/>
  <c r="I251" i="1" l="1"/>
  <c r="H251" i="1"/>
  <c r="G251" i="1"/>
  <c r="J251" i="1"/>
  <c r="C252" i="1"/>
  <c r="E252" i="1"/>
  <c r="L251" i="1"/>
  <c r="F251" i="1" s="1"/>
  <c r="D252" i="1" l="1"/>
  <c r="B252" i="1"/>
  <c r="N252" i="1" s="1"/>
  <c r="Q252" i="1" s="1"/>
  <c r="P252" i="1" l="1"/>
  <c r="S252" i="1" s="1"/>
  <c r="M252" i="1" s="1"/>
  <c r="O252" i="1"/>
  <c r="R252" i="1" s="1"/>
  <c r="K252" i="1" s="1"/>
  <c r="I252" i="1"/>
  <c r="G252" i="1" l="1"/>
  <c r="E253" i="1"/>
  <c r="C253" i="1"/>
  <c r="H252" i="1"/>
  <c r="J252" i="1"/>
  <c r="L252" i="1"/>
  <c r="F252" i="1" l="1"/>
  <c r="B253" i="1" l="1"/>
  <c r="N253" i="1" s="1"/>
  <c r="Q253" i="1" s="1"/>
  <c r="D253" i="1"/>
  <c r="O253" i="1" l="1"/>
  <c r="R253" i="1" s="1"/>
  <c r="K253" i="1" s="1"/>
  <c r="P253" i="1"/>
  <c r="S253" i="1" s="1"/>
  <c r="M253" i="1" s="1"/>
  <c r="J253" i="1" l="1"/>
  <c r="H253" i="1"/>
  <c r="I253" i="1"/>
  <c r="G253" i="1" s="1"/>
  <c r="L253" i="1"/>
  <c r="C254" i="1" l="1"/>
  <c r="E254" i="1"/>
  <c r="F253" i="1"/>
  <c r="D254" i="1" l="1"/>
  <c r="B254" i="1"/>
  <c r="N254" i="1" s="1"/>
  <c r="Q254" i="1" s="1"/>
  <c r="P254" i="1" l="1"/>
  <c r="S254" i="1" s="1"/>
  <c r="M254" i="1" s="1"/>
  <c r="O254" i="1"/>
  <c r="R254" i="1" s="1"/>
  <c r="K254" i="1" s="1"/>
  <c r="J254" i="1" l="1"/>
  <c r="H254" i="1"/>
  <c r="I254" i="1"/>
  <c r="G254" i="1" s="1"/>
  <c r="L254" i="1"/>
  <c r="C255" i="1" l="1"/>
  <c r="E255" i="1"/>
  <c r="F254" i="1"/>
  <c r="B255" i="1" l="1"/>
  <c r="N255" i="1" s="1"/>
  <c r="Q255" i="1" s="1"/>
  <c r="D255" i="1"/>
  <c r="O255" i="1" l="1"/>
  <c r="R255" i="1" s="1"/>
  <c r="K255" i="1" s="1"/>
  <c r="P255" i="1"/>
  <c r="S255" i="1" s="1"/>
  <c r="M255" i="1" s="1"/>
  <c r="I255" i="1"/>
  <c r="J255" i="1"/>
  <c r="H255" i="1" l="1"/>
  <c r="G255" i="1"/>
  <c r="L255" i="1"/>
  <c r="F255" i="1" l="1"/>
  <c r="D256" i="1"/>
  <c r="B256" i="1"/>
  <c r="E256" i="1"/>
  <c r="C256" i="1"/>
  <c r="N256" i="1" l="1"/>
  <c r="Q256" i="1" s="1"/>
  <c r="P256" i="1"/>
  <c r="S256" i="1" s="1"/>
  <c r="M256" i="1" s="1"/>
  <c r="O256" i="1"/>
  <c r="R256" i="1" s="1"/>
  <c r="J256" i="1" s="1"/>
  <c r="H256" i="1"/>
  <c r="I256" i="1" l="1"/>
  <c r="L256" i="1"/>
  <c r="K256" i="1"/>
  <c r="G256" i="1" s="1"/>
  <c r="F256" i="1"/>
  <c r="E257" i="1" l="1"/>
  <c r="C257" i="1"/>
  <c r="B257" i="1"/>
  <c r="N257" i="1" s="1"/>
  <c r="Q257" i="1" s="1"/>
  <c r="D257" i="1"/>
  <c r="O257" i="1" l="1"/>
  <c r="R257" i="1" s="1"/>
  <c r="J257" i="1" s="1"/>
  <c r="P257" i="1"/>
  <c r="S257" i="1" s="1"/>
  <c r="L257" i="1" s="1"/>
  <c r="I257" i="1"/>
  <c r="H257" i="1" l="1"/>
  <c r="F257" i="1" s="1"/>
  <c r="M257" i="1"/>
  <c r="K257" i="1"/>
  <c r="G257" i="1" s="1"/>
  <c r="C258" i="1" l="1"/>
  <c r="E258" i="1"/>
  <c r="D258" i="1"/>
  <c r="B258" i="1"/>
  <c r="N258" i="1" s="1"/>
  <c r="Q258" i="1" s="1"/>
  <c r="O258" i="1" l="1"/>
  <c r="R258" i="1" s="1"/>
  <c r="J258" i="1" s="1"/>
  <c r="I258" i="1"/>
  <c r="P258" i="1"/>
  <c r="S258" i="1" s="1"/>
  <c r="M258" i="1" s="1"/>
  <c r="H258" i="1"/>
  <c r="L258" i="1" l="1"/>
  <c r="F258" i="1" s="1"/>
  <c r="K258" i="1"/>
  <c r="G258" i="1" s="1"/>
  <c r="C259" i="1" l="1"/>
  <c r="E259" i="1"/>
  <c r="D259" i="1"/>
  <c r="B259" i="1"/>
  <c r="N259" i="1" l="1"/>
  <c r="Q259" i="1" s="1"/>
  <c r="P259" i="1"/>
  <c r="S259" i="1" s="1"/>
  <c r="M259" i="1" s="1"/>
  <c r="O259" i="1"/>
  <c r="R259" i="1" s="1"/>
  <c r="K259" i="1" s="1"/>
  <c r="I259" i="1" l="1"/>
  <c r="G259" i="1" s="1"/>
  <c r="H259" i="1"/>
  <c r="J259" i="1"/>
  <c r="L259" i="1"/>
  <c r="F259" i="1" s="1"/>
  <c r="E260" i="1" l="1"/>
  <c r="C260" i="1"/>
  <c r="D260" i="1"/>
  <c r="B260" i="1"/>
  <c r="N260" i="1" s="1"/>
  <c r="Q260" i="1" s="1"/>
  <c r="P260" i="1" l="1"/>
  <c r="S260" i="1" s="1"/>
  <c r="M260" i="1" s="1"/>
  <c r="I260" i="1"/>
  <c r="O260" i="1"/>
  <c r="R260" i="1" s="1"/>
  <c r="J260" i="1" l="1"/>
  <c r="K260" i="1"/>
  <c r="H260" i="1"/>
  <c r="G260" i="1"/>
  <c r="L260" i="1"/>
  <c r="F260" i="1" l="1"/>
  <c r="E261" i="1"/>
  <c r="C261" i="1"/>
  <c r="B261" i="1" l="1"/>
  <c r="N261" i="1" s="1"/>
  <c r="Q261" i="1" s="1"/>
  <c r="D261" i="1"/>
  <c r="P261" i="1" l="1"/>
  <c r="S261" i="1" s="1"/>
  <c r="M261" i="1" s="1"/>
  <c r="I261" i="1"/>
  <c r="O261" i="1"/>
  <c r="R261" i="1" s="1"/>
  <c r="K261" i="1" s="1"/>
  <c r="H261" i="1"/>
  <c r="J261" i="1" l="1"/>
  <c r="G261" i="1"/>
  <c r="E262" i="1" s="1"/>
  <c r="L261" i="1"/>
  <c r="F261" i="1" s="1"/>
  <c r="C262" i="1" l="1"/>
  <c r="D262" i="1"/>
  <c r="B262" i="1"/>
  <c r="N262" i="1" s="1"/>
  <c r="Q262" i="1" s="1"/>
  <c r="O262" i="1" l="1"/>
  <c r="R262" i="1" s="1"/>
  <c r="K262" i="1" s="1"/>
  <c r="I262" i="1"/>
  <c r="P262" i="1"/>
  <c r="S262" i="1" s="1"/>
  <c r="J262" i="1"/>
  <c r="M262" i="1" l="1"/>
  <c r="G262" i="1" s="1"/>
  <c r="H262" i="1"/>
  <c r="L262" i="1"/>
  <c r="E263" i="1" l="1"/>
  <c r="C263" i="1"/>
  <c r="F262" i="1"/>
  <c r="B263" i="1" l="1"/>
  <c r="N263" i="1" s="1"/>
  <c r="Q263" i="1" s="1"/>
  <c r="D263" i="1"/>
  <c r="P263" i="1" l="1"/>
  <c r="S263" i="1" s="1"/>
  <c r="M263" i="1" s="1"/>
  <c r="O263" i="1"/>
  <c r="R263" i="1" s="1"/>
  <c r="K263" i="1" s="1"/>
  <c r="I263" i="1"/>
  <c r="J263" i="1" l="1"/>
  <c r="G263" i="1"/>
  <c r="H263" i="1"/>
  <c r="C264" i="1"/>
  <c r="E264" i="1"/>
  <c r="L263" i="1"/>
  <c r="F263" i="1"/>
  <c r="D264" i="1" l="1"/>
  <c r="B264" i="1"/>
  <c r="N264" i="1" s="1"/>
  <c r="Q264" i="1" s="1"/>
  <c r="I264" i="1" l="1"/>
  <c r="P264" i="1"/>
  <c r="S264" i="1" s="1"/>
  <c r="M264" i="1" s="1"/>
  <c r="O264" i="1"/>
  <c r="R264" i="1" s="1"/>
  <c r="K264" i="1" s="1"/>
  <c r="H264" i="1"/>
  <c r="J264" i="1" l="1"/>
  <c r="G264" i="1"/>
  <c r="L264" i="1"/>
  <c r="F264" i="1" s="1"/>
  <c r="B265" i="1" l="1"/>
  <c r="D265" i="1"/>
  <c r="E265" i="1"/>
  <c r="C265" i="1"/>
  <c r="N265" i="1" l="1"/>
  <c r="Q265" i="1" s="1"/>
  <c r="P265" i="1"/>
  <c r="S265" i="1" s="1"/>
  <c r="M265" i="1" s="1"/>
  <c r="O265" i="1"/>
  <c r="R265" i="1" s="1"/>
  <c r="K265" i="1" s="1"/>
  <c r="H265" i="1"/>
  <c r="I265" i="1" l="1"/>
  <c r="G265" i="1" s="1"/>
  <c r="L265" i="1"/>
  <c r="J265" i="1"/>
  <c r="F265" i="1" s="1"/>
  <c r="D266" i="1" l="1"/>
  <c r="B266" i="1"/>
  <c r="E266" i="1"/>
  <c r="C266" i="1"/>
  <c r="N266" i="1" l="1"/>
  <c r="Q266" i="1" s="1"/>
  <c r="P266" i="1"/>
  <c r="S266" i="1" s="1"/>
  <c r="M266" i="1" s="1"/>
  <c r="I266" i="1"/>
  <c r="O266" i="1"/>
  <c r="R266" i="1" s="1"/>
  <c r="J266" i="1" s="1"/>
  <c r="H266" i="1"/>
  <c r="K266" i="1" l="1"/>
  <c r="G266" i="1"/>
  <c r="L266" i="1"/>
  <c r="F266" i="1" s="1"/>
  <c r="D267" i="1" l="1"/>
  <c r="B267" i="1"/>
  <c r="E267" i="1"/>
  <c r="C267" i="1"/>
  <c r="N267" i="1" l="1"/>
  <c r="Q267" i="1" s="1"/>
  <c r="P267" i="1"/>
  <c r="S267" i="1" s="1"/>
  <c r="M267" i="1" s="1"/>
  <c r="O267" i="1"/>
  <c r="R267" i="1" s="1"/>
  <c r="J267" i="1" s="1"/>
  <c r="I267" i="1"/>
  <c r="L267" i="1" l="1"/>
  <c r="K267" i="1"/>
  <c r="G267" i="1" s="1"/>
  <c r="H267" i="1"/>
  <c r="F267" i="1" s="1"/>
  <c r="E268" i="1" l="1"/>
  <c r="C268" i="1"/>
  <c r="B268" i="1"/>
  <c r="N268" i="1" s="1"/>
  <c r="Q268" i="1" s="1"/>
  <c r="D268" i="1"/>
  <c r="I268" i="1" l="1"/>
  <c r="O268" i="1"/>
  <c r="R268" i="1" s="1"/>
  <c r="K268" i="1" s="1"/>
  <c r="P268" i="1"/>
  <c r="S268" i="1" s="1"/>
  <c r="M268" i="1" s="1"/>
  <c r="J268" i="1"/>
  <c r="G268" i="1" l="1"/>
  <c r="H268" i="1"/>
  <c r="L268" i="1"/>
  <c r="F268" i="1" l="1"/>
  <c r="D269" i="1"/>
  <c r="B269" i="1"/>
  <c r="C269" i="1"/>
  <c r="E269" i="1"/>
  <c r="N269" i="1" l="1"/>
  <c r="Q269" i="1" s="1"/>
  <c r="I269" i="1" s="1"/>
  <c r="P269" i="1"/>
  <c r="S269" i="1" s="1"/>
  <c r="M269" i="1" s="1"/>
  <c r="O269" i="1"/>
  <c r="R269" i="1" s="1"/>
  <c r="K269" i="1" s="1"/>
  <c r="H269" i="1"/>
  <c r="J269" i="1" l="1"/>
  <c r="G269" i="1"/>
  <c r="L269" i="1"/>
  <c r="F269" i="1" l="1"/>
  <c r="B270" i="1"/>
  <c r="D270" i="1"/>
  <c r="C270" i="1"/>
  <c r="E270" i="1"/>
  <c r="N270" i="1" l="1"/>
  <c r="Q270" i="1" s="1"/>
  <c r="O270" i="1"/>
  <c r="R270" i="1" s="1"/>
  <c r="K270" i="1" s="1"/>
  <c r="P270" i="1"/>
  <c r="S270" i="1" s="1"/>
  <c r="L270" i="1" s="1"/>
  <c r="I270" i="1"/>
  <c r="M270" i="1" l="1"/>
  <c r="G270" i="1"/>
  <c r="H270" i="1"/>
  <c r="J270" i="1"/>
  <c r="E271" i="1" l="1"/>
  <c r="C271" i="1"/>
  <c r="F270" i="1"/>
  <c r="B271" i="1" l="1"/>
  <c r="N271" i="1" s="1"/>
  <c r="Q271" i="1" s="1"/>
  <c r="D271" i="1"/>
  <c r="P271" i="1" l="1"/>
  <c r="S271" i="1" s="1"/>
  <c r="M271" i="1" s="1"/>
  <c r="I271" i="1"/>
  <c r="O271" i="1"/>
  <c r="R271" i="1" s="1"/>
  <c r="K271" i="1" s="1"/>
  <c r="H271" i="1"/>
  <c r="J271" i="1" l="1"/>
  <c r="G271" i="1"/>
  <c r="L271" i="1"/>
  <c r="F271" i="1" l="1"/>
  <c r="D272" i="1"/>
  <c r="B272" i="1"/>
  <c r="E272" i="1"/>
  <c r="C272" i="1"/>
  <c r="N272" i="1" l="1"/>
  <c r="Q272" i="1" s="1"/>
  <c r="P272" i="1"/>
  <c r="S272" i="1" s="1"/>
  <c r="M272" i="1" s="1"/>
  <c r="O272" i="1"/>
  <c r="R272" i="1" s="1"/>
  <c r="K272" i="1" s="1"/>
  <c r="I272" i="1"/>
  <c r="G272" i="1" l="1"/>
  <c r="E273" i="1"/>
  <c r="C273" i="1"/>
  <c r="J272" i="1"/>
  <c r="L272" i="1"/>
  <c r="H272" i="1"/>
  <c r="F272" i="1" s="1"/>
  <c r="B273" i="1" l="1"/>
  <c r="N273" i="1" s="1"/>
  <c r="Q273" i="1" s="1"/>
  <c r="D273" i="1"/>
  <c r="I273" i="1" l="1"/>
  <c r="P273" i="1"/>
  <c r="S273" i="1" s="1"/>
  <c r="M273" i="1" s="1"/>
  <c r="O273" i="1"/>
  <c r="R273" i="1" s="1"/>
  <c r="K273" i="1" s="1"/>
  <c r="H273" i="1"/>
  <c r="J273" i="1" l="1"/>
  <c r="G273" i="1"/>
  <c r="L273" i="1"/>
  <c r="F273" i="1" s="1"/>
  <c r="D274" i="1" l="1"/>
  <c r="B274" i="1"/>
  <c r="C274" i="1"/>
  <c r="E274" i="1"/>
  <c r="N274" i="1" l="1"/>
  <c r="Q274" i="1" s="1"/>
  <c r="O274" i="1"/>
  <c r="R274" i="1" s="1"/>
  <c r="K274" i="1" s="1"/>
  <c r="P274" i="1"/>
  <c r="S274" i="1" s="1"/>
  <c r="M274" i="1" s="1"/>
  <c r="I274" i="1"/>
  <c r="J274" i="1"/>
  <c r="G274" i="1" l="1"/>
  <c r="C275" i="1" s="1"/>
  <c r="E275" i="1"/>
  <c r="H274" i="1"/>
  <c r="L274" i="1"/>
  <c r="F274" i="1" l="1"/>
  <c r="B275" i="1" l="1"/>
  <c r="N275" i="1" s="1"/>
  <c r="Q275" i="1" s="1"/>
  <c r="D275" i="1"/>
  <c r="P275" i="1" l="1"/>
  <c r="S275" i="1" s="1"/>
  <c r="M275" i="1" s="1"/>
  <c r="I275" i="1"/>
  <c r="O275" i="1"/>
  <c r="R275" i="1" s="1"/>
  <c r="K275" i="1" s="1"/>
  <c r="H275" i="1" l="1"/>
  <c r="G275" i="1"/>
  <c r="L275" i="1"/>
  <c r="J275" i="1"/>
  <c r="F275" i="1" s="1"/>
  <c r="B276" i="1" l="1"/>
  <c r="D276" i="1"/>
  <c r="E276" i="1"/>
  <c r="C276" i="1"/>
  <c r="N276" i="1" l="1"/>
  <c r="P276" i="1"/>
  <c r="S276" i="1" s="1"/>
  <c r="M276" i="1" s="1"/>
  <c r="O276" i="1"/>
  <c r="R276" i="1" s="1"/>
  <c r="K276" i="1" s="1"/>
  <c r="Q276" i="1" l="1"/>
  <c r="H276" i="1" s="1"/>
  <c r="I276" i="1"/>
  <c r="G276" i="1" s="1"/>
  <c r="L276" i="1"/>
  <c r="J276" i="1"/>
  <c r="F276" i="1" l="1"/>
  <c r="B277" i="1"/>
  <c r="D277" i="1"/>
  <c r="E277" i="1"/>
  <c r="C277" i="1"/>
  <c r="N277" i="1" l="1"/>
  <c r="Q277" i="1" s="1"/>
  <c r="P277" i="1"/>
  <c r="S277" i="1" s="1"/>
  <c r="M277" i="1" s="1"/>
  <c r="O277" i="1"/>
  <c r="R277" i="1" s="1"/>
  <c r="K277" i="1" s="1"/>
  <c r="I277" i="1"/>
  <c r="H277" i="1"/>
  <c r="G277" i="1" l="1"/>
  <c r="L277" i="1"/>
  <c r="J277" i="1"/>
  <c r="F277" i="1" s="1"/>
  <c r="D278" i="1" l="1"/>
  <c r="B278" i="1"/>
  <c r="C278" i="1"/>
  <c r="E278" i="1"/>
  <c r="N278" i="1" l="1"/>
  <c r="Q278" i="1" s="1"/>
  <c r="P278" i="1"/>
  <c r="S278" i="1" s="1"/>
  <c r="M278" i="1" s="1"/>
  <c r="O278" i="1"/>
  <c r="R278" i="1" s="1"/>
  <c r="K278" i="1" s="1"/>
  <c r="I278" i="1" l="1"/>
  <c r="H278" i="1"/>
  <c r="J278" i="1"/>
  <c r="G278" i="1"/>
  <c r="L278" i="1"/>
  <c r="F278" i="1" l="1"/>
  <c r="B279" i="1"/>
  <c r="D279" i="1"/>
  <c r="E279" i="1"/>
  <c r="C279" i="1"/>
  <c r="N279" i="1" l="1"/>
  <c r="Q279" i="1" s="1"/>
  <c r="P279" i="1"/>
  <c r="S279" i="1" s="1"/>
  <c r="M279" i="1" s="1"/>
  <c r="I279" i="1"/>
  <c r="O279" i="1"/>
  <c r="R279" i="1" s="1"/>
  <c r="J279" i="1" s="1"/>
  <c r="K279" i="1" l="1"/>
  <c r="G279" i="1" s="1"/>
  <c r="L279" i="1"/>
  <c r="H279" i="1"/>
  <c r="F279" i="1" s="1"/>
  <c r="B280" i="1" l="1"/>
  <c r="D280" i="1"/>
  <c r="E280" i="1"/>
  <c r="C280" i="1"/>
  <c r="N280" i="1" l="1"/>
  <c r="Q280" i="1" s="1"/>
  <c r="P280" i="1"/>
  <c r="S280" i="1" s="1"/>
  <c r="M280" i="1" s="1"/>
  <c r="I280" i="1"/>
  <c r="O280" i="1"/>
  <c r="R280" i="1" s="1"/>
  <c r="K280" i="1" s="1"/>
  <c r="G280" i="1" l="1"/>
  <c r="E281" i="1"/>
  <c r="C281" i="1"/>
  <c r="L280" i="1"/>
  <c r="H280" i="1"/>
  <c r="J280" i="1"/>
  <c r="F280" i="1" l="1"/>
  <c r="B281" i="1" l="1"/>
  <c r="N281" i="1" s="1"/>
  <c r="Q281" i="1" s="1"/>
  <c r="D281" i="1"/>
  <c r="P281" i="1" l="1"/>
  <c r="S281" i="1" s="1"/>
  <c r="M281" i="1" s="1"/>
  <c r="I281" i="1"/>
  <c r="O281" i="1"/>
  <c r="R281" i="1" s="1"/>
  <c r="K281" i="1" s="1"/>
  <c r="H281" i="1"/>
  <c r="J281" i="1" l="1"/>
  <c r="G281" i="1"/>
  <c r="C282" i="1" s="1"/>
  <c r="L281" i="1"/>
  <c r="F281" i="1" s="1"/>
  <c r="E282" i="1" l="1"/>
  <c r="D282" i="1"/>
  <c r="B282" i="1"/>
  <c r="N282" i="1" s="1"/>
  <c r="Q282" i="1" s="1"/>
  <c r="P282" i="1" l="1"/>
  <c r="S282" i="1" s="1"/>
  <c r="M282" i="1" s="1"/>
  <c r="I282" i="1"/>
  <c r="O282" i="1"/>
  <c r="R282" i="1" s="1"/>
  <c r="K282" i="1" s="1"/>
  <c r="H282" i="1"/>
  <c r="J282" i="1" l="1"/>
  <c r="G282" i="1"/>
  <c r="L282" i="1"/>
  <c r="F282" i="1" s="1"/>
  <c r="B283" i="1" l="1"/>
  <c r="D283" i="1"/>
  <c r="C283" i="1"/>
  <c r="E283" i="1"/>
  <c r="N283" i="1" l="1"/>
  <c r="Q283" i="1" s="1"/>
  <c r="O283" i="1"/>
  <c r="R283" i="1" s="1"/>
  <c r="K283" i="1" s="1"/>
  <c r="P283" i="1"/>
  <c r="S283" i="1" s="1"/>
  <c r="M283" i="1" s="1"/>
  <c r="I283" i="1"/>
  <c r="G283" i="1" l="1"/>
  <c r="E284" i="1"/>
  <c r="C284" i="1"/>
  <c r="L283" i="1"/>
  <c r="J283" i="1"/>
  <c r="H283" i="1"/>
  <c r="F283" i="1" s="1"/>
  <c r="B284" i="1" l="1"/>
  <c r="N284" i="1" s="1"/>
  <c r="Q284" i="1" s="1"/>
  <c r="D284" i="1"/>
  <c r="P284" i="1" l="1"/>
  <c r="S284" i="1" s="1"/>
  <c r="M284" i="1" s="1"/>
  <c r="O284" i="1"/>
  <c r="R284" i="1" s="1"/>
  <c r="I284" i="1"/>
  <c r="H284" i="1" l="1"/>
  <c r="J284" i="1"/>
  <c r="K284" i="1"/>
  <c r="G284" i="1" s="1"/>
  <c r="L284" i="1"/>
  <c r="F284" i="1" l="1"/>
  <c r="C285" i="1"/>
  <c r="E285" i="1"/>
  <c r="D285" i="1"/>
  <c r="B285" i="1"/>
  <c r="N285" i="1" s="1"/>
  <c r="Q285" i="1" s="1"/>
  <c r="P285" i="1" l="1"/>
  <c r="S285" i="1" s="1"/>
  <c r="L285" i="1" s="1"/>
  <c r="H285" i="1"/>
  <c r="O285" i="1"/>
  <c r="R285" i="1" s="1"/>
  <c r="K285" i="1" s="1"/>
  <c r="J285" i="1" l="1"/>
  <c r="M285" i="1"/>
  <c r="F285" i="1"/>
  <c r="I285" i="1"/>
  <c r="G285" i="1" s="1"/>
  <c r="C286" i="1" l="1"/>
  <c r="E286" i="1"/>
  <c r="B286" i="1"/>
  <c r="N286" i="1" s="1"/>
  <c r="Q286" i="1" s="1"/>
  <c r="D286" i="1"/>
  <c r="O286" i="1" l="1"/>
  <c r="R286" i="1" s="1"/>
  <c r="K286" i="1" s="1"/>
  <c r="I286" i="1"/>
  <c r="P286" i="1"/>
  <c r="S286" i="1" s="1"/>
  <c r="L286" i="1" s="1"/>
  <c r="J286" i="1"/>
  <c r="H286" i="1"/>
  <c r="M286" i="1" l="1"/>
  <c r="F286" i="1"/>
  <c r="G286" i="1"/>
  <c r="E287" i="1" l="1"/>
  <c r="C287" i="1"/>
  <c r="D287" i="1"/>
  <c r="B287" i="1"/>
  <c r="N287" i="1" s="1"/>
  <c r="Q287" i="1" s="1"/>
  <c r="H287" i="1" l="1"/>
  <c r="O287" i="1"/>
  <c r="R287" i="1" s="1"/>
  <c r="K287" i="1" s="1"/>
  <c r="P287" i="1"/>
  <c r="S287" i="1" s="1"/>
  <c r="L287" i="1" s="1"/>
  <c r="J287" i="1"/>
  <c r="M287" i="1" l="1"/>
  <c r="F287" i="1"/>
  <c r="I287" i="1"/>
  <c r="G287" i="1" s="1"/>
  <c r="C288" i="1" l="1"/>
  <c r="E288" i="1"/>
  <c r="D288" i="1"/>
  <c r="B288" i="1"/>
  <c r="N288" i="1" s="1"/>
  <c r="Q288" i="1" s="1"/>
  <c r="P288" i="1" l="1"/>
  <c r="S288" i="1" s="1"/>
  <c r="M288" i="1" s="1"/>
  <c r="O288" i="1"/>
  <c r="R288" i="1" s="1"/>
  <c r="K288" i="1" s="1"/>
  <c r="H288" i="1"/>
  <c r="J288" i="1" l="1"/>
  <c r="L288" i="1"/>
  <c r="F288" i="1" s="1"/>
  <c r="I288" i="1"/>
  <c r="G288" i="1" s="1"/>
  <c r="D289" i="1" l="1"/>
  <c r="B289" i="1"/>
  <c r="C289" i="1"/>
  <c r="E289" i="1"/>
  <c r="N289" i="1" l="1"/>
  <c r="Q289" i="1" s="1"/>
  <c r="O289" i="1"/>
  <c r="R289" i="1" s="1"/>
  <c r="J289" i="1" s="1"/>
  <c r="P289" i="1"/>
  <c r="S289" i="1" s="1"/>
  <c r="L289" i="1" s="1"/>
  <c r="K289" i="1" l="1"/>
  <c r="I289" i="1"/>
  <c r="H289" i="1"/>
  <c r="M289" i="1"/>
  <c r="F289" i="1"/>
  <c r="G289" i="1"/>
  <c r="C290" i="1" l="1"/>
  <c r="E290" i="1"/>
  <c r="D290" i="1"/>
  <c r="B290" i="1"/>
  <c r="N290" i="1" s="1"/>
  <c r="Q290" i="1" s="1"/>
  <c r="P290" i="1" l="1"/>
  <c r="S290" i="1" s="1"/>
  <c r="M290" i="1" s="1"/>
  <c r="O290" i="1"/>
  <c r="R290" i="1" s="1"/>
  <c r="K290" i="1" s="1"/>
  <c r="I290" i="1"/>
  <c r="H290" i="1" l="1"/>
  <c r="J290" i="1"/>
  <c r="G290" i="1"/>
  <c r="E291" i="1" s="1"/>
  <c r="L290" i="1"/>
  <c r="F290" i="1" s="1"/>
  <c r="C291" i="1" l="1"/>
  <c r="D291" i="1"/>
  <c r="B291" i="1"/>
  <c r="N291" i="1" s="1"/>
  <c r="Q291" i="1" s="1"/>
  <c r="I291" i="1" l="1"/>
  <c r="P291" i="1"/>
  <c r="S291" i="1" s="1"/>
  <c r="M291" i="1" s="1"/>
  <c r="O291" i="1"/>
  <c r="R291" i="1" s="1"/>
  <c r="K291" i="1" s="1"/>
  <c r="H291" i="1"/>
  <c r="J291" i="1" l="1"/>
  <c r="G291" i="1"/>
  <c r="L291" i="1"/>
  <c r="F291" i="1" s="1"/>
  <c r="D292" i="1" l="1"/>
  <c r="B292" i="1"/>
  <c r="C292" i="1"/>
  <c r="E292" i="1"/>
  <c r="N292" i="1" l="1"/>
  <c r="Q292" i="1" s="1"/>
  <c r="O292" i="1"/>
  <c r="R292" i="1" s="1"/>
  <c r="J292" i="1" s="1"/>
  <c r="P292" i="1"/>
  <c r="S292" i="1" s="1"/>
  <c r="L292" i="1" s="1"/>
  <c r="K292" i="1"/>
  <c r="I292" i="1" l="1"/>
  <c r="H292" i="1"/>
  <c r="M292" i="1"/>
  <c r="F292" i="1"/>
  <c r="G292" i="1"/>
  <c r="C293" i="1" l="1"/>
  <c r="E293" i="1"/>
  <c r="D293" i="1"/>
  <c r="B293" i="1"/>
  <c r="N293" i="1" s="1"/>
  <c r="Q293" i="1" s="1"/>
  <c r="P293" i="1" l="1"/>
  <c r="S293" i="1" s="1"/>
  <c r="M293" i="1" s="1"/>
  <c r="O293" i="1"/>
  <c r="R293" i="1" s="1"/>
  <c r="K293" i="1" s="1"/>
  <c r="H293" i="1"/>
  <c r="J293" i="1" l="1"/>
  <c r="L293" i="1"/>
  <c r="F293" i="1" s="1"/>
  <c r="I293" i="1"/>
  <c r="G293" i="1" s="1"/>
  <c r="D294" i="1" l="1"/>
  <c r="B294" i="1"/>
  <c r="C294" i="1"/>
  <c r="E294" i="1"/>
  <c r="N294" i="1" l="1"/>
  <c r="Q294" i="1" s="1"/>
  <c r="P294" i="1"/>
  <c r="S294" i="1" s="1"/>
  <c r="M294" i="1" s="1"/>
  <c r="O294" i="1"/>
  <c r="R294" i="1" s="1"/>
  <c r="J294" i="1" s="1"/>
  <c r="H294" i="1"/>
  <c r="I294" i="1" l="1"/>
  <c r="L294" i="1"/>
  <c r="K294" i="1"/>
  <c r="G294" i="1" s="1"/>
  <c r="F294" i="1"/>
  <c r="C295" i="1" l="1"/>
  <c r="E295" i="1"/>
  <c r="D295" i="1"/>
  <c r="B295" i="1"/>
  <c r="N295" i="1" s="1"/>
  <c r="Q295" i="1" s="1"/>
  <c r="I295" i="1" l="1"/>
  <c r="O295" i="1"/>
  <c r="R295" i="1" s="1"/>
  <c r="J295" i="1" s="1"/>
  <c r="P295" i="1"/>
  <c r="S295" i="1" s="1"/>
  <c r="M295" i="1" s="1"/>
  <c r="L295" i="1" l="1"/>
  <c r="H295" i="1"/>
  <c r="F295" i="1" s="1"/>
  <c r="K295" i="1"/>
  <c r="G295" i="1" s="1"/>
  <c r="C296" i="1" l="1"/>
  <c r="E296" i="1"/>
  <c r="D296" i="1"/>
  <c r="B296" i="1"/>
  <c r="N296" i="1" s="1"/>
  <c r="Q296" i="1" s="1"/>
  <c r="P296" i="1" l="1"/>
  <c r="S296" i="1" s="1"/>
  <c r="M296" i="1" s="1"/>
  <c r="I296" i="1"/>
  <c r="O296" i="1"/>
  <c r="R296" i="1" s="1"/>
  <c r="K296" i="1" s="1"/>
  <c r="H296" i="1"/>
  <c r="J296" i="1" l="1"/>
  <c r="G296" i="1"/>
  <c r="L296" i="1"/>
  <c r="F296" i="1" s="1"/>
  <c r="D297" i="1" l="1"/>
  <c r="B297" i="1"/>
  <c r="E297" i="1"/>
  <c r="C297" i="1"/>
  <c r="N297" i="1" l="1"/>
  <c r="Q297" i="1" s="1"/>
  <c r="O297" i="1"/>
  <c r="R297" i="1" s="1"/>
  <c r="K297" i="1" s="1"/>
  <c r="P297" i="1"/>
  <c r="S297" i="1" s="1"/>
  <c r="L297" i="1" s="1"/>
  <c r="I297" i="1" l="1"/>
  <c r="H297" i="1"/>
  <c r="J297" i="1"/>
  <c r="M297" i="1"/>
  <c r="F297" i="1"/>
  <c r="G297" i="1"/>
  <c r="C298" i="1" l="1"/>
  <c r="E298" i="1"/>
  <c r="D298" i="1"/>
  <c r="B298" i="1"/>
  <c r="N298" i="1" s="1"/>
  <c r="Q298" i="1" s="1"/>
  <c r="P298" i="1" l="1"/>
  <c r="S298" i="1" s="1"/>
  <c r="L298" i="1" s="1"/>
  <c r="O298" i="1"/>
  <c r="R298" i="1" s="1"/>
  <c r="K298" i="1" s="1"/>
  <c r="I298" i="1"/>
  <c r="J298" i="1" l="1"/>
  <c r="H298" i="1"/>
  <c r="M298" i="1"/>
  <c r="F298" i="1"/>
  <c r="G298" i="1"/>
  <c r="E299" i="1" l="1"/>
  <c r="C299" i="1"/>
  <c r="D299" i="1"/>
  <c r="B299" i="1"/>
  <c r="N299" i="1" s="1"/>
  <c r="Q299" i="1" s="1"/>
  <c r="O299" i="1" l="1"/>
  <c r="R299" i="1" s="1"/>
  <c r="J299" i="1" s="1"/>
  <c r="I299" i="1"/>
  <c r="P299" i="1"/>
  <c r="S299" i="1" s="1"/>
  <c r="H299" i="1"/>
  <c r="K299" i="1"/>
  <c r="M299" i="1" l="1"/>
  <c r="G299" i="1" s="1"/>
  <c r="L299" i="1"/>
  <c r="F299" i="1" s="1"/>
  <c r="C300" i="1" l="1"/>
  <c r="E300" i="1"/>
  <c r="D300" i="1"/>
  <c r="B300" i="1"/>
  <c r="N300" i="1" s="1"/>
  <c r="Q300" i="1" s="1"/>
  <c r="P300" i="1" l="1"/>
  <c r="S300" i="1" s="1"/>
  <c r="M300" i="1" s="1"/>
  <c r="I300" i="1"/>
  <c r="O300" i="1"/>
  <c r="R300" i="1" s="1"/>
  <c r="J300" i="1" l="1"/>
  <c r="K300" i="1"/>
  <c r="H300" i="1"/>
  <c r="G300" i="1"/>
  <c r="L300" i="1"/>
  <c r="F300" i="1" l="1"/>
  <c r="E301" i="1"/>
  <c r="C301" i="1"/>
  <c r="B301" i="1" l="1"/>
  <c r="N301" i="1" s="1"/>
  <c r="Q301" i="1" s="1"/>
  <c r="D301" i="1"/>
  <c r="O301" i="1" l="1"/>
  <c r="R301" i="1" s="1"/>
  <c r="I301" i="1"/>
  <c r="P301" i="1"/>
  <c r="S301" i="1" s="1"/>
  <c r="M301" i="1" s="1"/>
  <c r="H301" i="1"/>
  <c r="L301" i="1" l="1"/>
  <c r="J301" i="1"/>
  <c r="F301" i="1" s="1"/>
  <c r="K301" i="1"/>
  <c r="G301" i="1" s="1"/>
  <c r="E302" i="1" l="1"/>
  <c r="C302" i="1"/>
  <c r="D302" i="1"/>
  <c r="B302" i="1"/>
  <c r="N302" i="1" s="1"/>
  <c r="Q302" i="1" s="1"/>
  <c r="I302" i="1" l="1"/>
  <c r="O302" i="1"/>
  <c r="R302" i="1" s="1"/>
  <c r="J302" i="1" s="1"/>
  <c r="P302" i="1"/>
  <c r="S302" i="1" s="1"/>
  <c r="M302" i="1" s="1"/>
  <c r="H302" i="1"/>
  <c r="K302" i="1" l="1"/>
  <c r="G302" i="1" s="1"/>
  <c r="L302" i="1"/>
  <c r="F302" i="1" s="1"/>
  <c r="B303" i="1" l="1"/>
  <c r="D303" i="1"/>
  <c r="C303" i="1"/>
  <c r="E303" i="1"/>
  <c r="N303" i="1" l="1"/>
  <c r="Q303" i="1" s="1"/>
  <c r="P303" i="1"/>
  <c r="S303" i="1" s="1"/>
  <c r="M303" i="1" s="1"/>
  <c r="I303" i="1"/>
  <c r="O303" i="1"/>
  <c r="R303" i="1" s="1"/>
  <c r="J303" i="1" s="1"/>
  <c r="L303" i="1" l="1"/>
  <c r="H303" i="1"/>
  <c r="F303" i="1" s="1"/>
  <c r="K303" i="1"/>
  <c r="G303" i="1" s="1"/>
  <c r="E304" i="1" l="1"/>
  <c r="C304" i="1"/>
  <c r="B304" i="1"/>
  <c r="N304" i="1" s="1"/>
  <c r="Q304" i="1" s="1"/>
  <c r="D304" i="1"/>
  <c r="I304" i="1" l="1"/>
  <c r="P304" i="1"/>
  <c r="S304" i="1" s="1"/>
  <c r="L304" i="1" s="1"/>
  <c r="O304" i="1"/>
  <c r="R304" i="1" s="1"/>
  <c r="J304" i="1" s="1"/>
  <c r="H304" i="1"/>
  <c r="K304" i="1" l="1"/>
  <c r="M304" i="1"/>
  <c r="F304" i="1"/>
  <c r="G304" i="1"/>
  <c r="C305" i="1" l="1"/>
  <c r="E305" i="1"/>
  <c r="B305" i="1"/>
  <c r="N305" i="1" s="1"/>
  <c r="Q305" i="1" s="1"/>
  <c r="D305" i="1"/>
  <c r="P305" i="1" l="1"/>
  <c r="S305" i="1" s="1"/>
  <c r="L305" i="1" s="1"/>
  <c r="H305" i="1"/>
  <c r="O305" i="1"/>
  <c r="R305" i="1" s="1"/>
  <c r="K305" i="1" s="1"/>
  <c r="M305" i="1" l="1"/>
  <c r="J305" i="1"/>
  <c r="F305" i="1"/>
  <c r="I305" i="1"/>
  <c r="G305" i="1" s="1"/>
  <c r="C306" i="1" l="1"/>
  <c r="E306" i="1"/>
  <c r="B306" i="1"/>
  <c r="N306" i="1" s="1"/>
  <c r="Q306" i="1" s="1"/>
  <c r="D306" i="1"/>
  <c r="H306" i="1" l="1"/>
  <c r="O306" i="1"/>
  <c r="R306" i="1" s="1"/>
  <c r="K306" i="1" s="1"/>
  <c r="P306" i="1"/>
  <c r="S306" i="1" s="1"/>
  <c r="M306" i="1" s="1"/>
  <c r="J306" i="1" l="1"/>
  <c r="I306" i="1"/>
  <c r="G306" i="1" s="1"/>
  <c r="L306" i="1"/>
  <c r="F306" i="1" s="1"/>
  <c r="D307" i="1" l="1"/>
  <c r="B307" i="1"/>
  <c r="C307" i="1"/>
  <c r="E307" i="1"/>
  <c r="N307" i="1" l="1"/>
  <c r="Q307" i="1" s="1"/>
  <c r="P307" i="1"/>
  <c r="S307" i="1" s="1"/>
  <c r="M307" i="1" s="1"/>
  <c r="O307" i="1"/>
  <c r="R307" i="1" s="1"/>
  <c r="K307" i="1" s="1"/>
  <c r="I307" i="1"/>
  <c r="J307" i="1" l="1"/>
  <c r="G307" i="1"/>
  <c r="E308" i="1" s="1"/>
  <c r="H307" i="1"/>
  <c r="L307" i="1"/>
  <c r="C308" i="1"/>
  <c r="F307" i="1" l="1"/>
  <c r="D308" i="1" l="1"/>
  <c r="B308" i="1"/>
  <c r="N308" i="1" s="1"/>
  <c r="Q308" i="1" s="1"/>
  <c r="I308" i="1" l="1"/>
  <c r="P308" i="1"/>
  <c r="S308" i="1" s="1"/>
  <c r="O308" i="1"/>
  <c r="R308" i="1" s="1"/>
  <c r="K308" i="1" s="1"/>
  <c r="H308" i="1"/>
  <c r="M308" i="1" l="1"/>
  <c r="G308" i="1" s="1"/>
  <c r="J308" i="1"/>
  <c r="L308" i="1"/>
  <c r="E309" i="1" l="1"/>
  <c r="C309" i="1"/>
  <c r="F308" i="1"/>
  <c r="D309" i="1" s="1"/>
  <c r="B309" i="1" l="1"/>
  <c r="N309" i="1" s="1"/>
  <c r="Q309" i="1" s="1"/>
  <c r="O309" i="1"/>
  <c r="R309" i="1" s="1"/>
  <c r="K309" i="1" s="1"/>
  <c r="P309" i="1"/>
  <c r="S309" i="1" s="1"/>
  <c r="M309" i="1" s="1"/>
  <c r="J309" i="1" l="1"/>
  <c r="I309" i="1"/>
  <c r="H309" i="1"/>
  <c r="G309" i="1"/>
  <c r="L309" i="1"/>
  <c r="F309" i="1" s="1"/>
  <c r="D310" i="1" l="1"/>
  <c r="B310" i="1"/>
  <c r="C310" i="1"/>
  <c r="E310" i="1"/>
  <c r="N310" i="1" l="1"/>
  <c r="Q310" i="1" s="1"/>
  <c r="P310" i="1"/>
  <c r="S310" i="1" s="1"/>
  <c r="M310" i="1" s="1"/>
  <c r="O310" i="1"/>
  <c r="R310" i="1" s="1"/>
  <c r="K310" i="1" s="1"/>
  <c r="I310" i="1" l="1"/>
  <c r="H310" i="1"/>
  <c r="J310" i="1"/>
  <c r="G310" i="1"/>
  <c r="C311" i="1" s="1"/>
  <c r="L310" i="1"/>
  <c r="F310" i="1" s="1"/>
  <c r="E311" i="1" l="1"/>
  <c r="D311" i="1"/>
  <c r="B311" i="1"/>
  <c r="N311" i="1" s="1"/>
  <c r="Q311" i="1" s="1"/>
  <c r="I311" i="1" l="1"/>
  <c r="O311" i="1"/>
  <c r="R311" i="1" s="1"/>
  <c r="K311" i="1" s="1"/>
  <c r="P311" i="1"/>
  <c r="S311" i="1" s="1"/>
  <c r="H311" i="1"/>
  <c r="M311" i="1" l="1"/>
  <c r="G311" i="1" s="1"/>
  <c r="J311" i="1"/>
  <c r="L311" i="1"/>
  <c r="E312" i="1" l="1"/>
  <c r="C312" i="1"/>
  <c r="F311" i="1"/>
  <c r="B312" i="1" s="1"/>
  <c r="N312" i="1" s="1"/>
  <c r="Q312" i="1" s="1"/>
  <c r="D312" i="1" l="1"/>
  <c r="O312" i="1"/>
  <c r="R312" i="1" s="1"/>
  <c r="K312" i="1" s="1"/>
  <c r="P312" i="1"/>
  <c r="S312" i="1" s="1"/>
  <c r="I312" i="1"/>
  <c r="J312" i="1"/>
  <c r="H312" i="1" l="1"/>
  <c r="M312" i="1"/>
  <c r="G312" i="1" s="1"/>
  <c r="L312" i="1"/>
  <c r="F312" i="1" s="1"/>
  <c r="C313" i="1" l="1"/>
  <c r="E313" i="1"/>
  <c r="D313" i="1"/>
  <c r="B313" i="1"/>
  <c r="N313" i="1" s="1"/>
  <c r="Q313" i="1" s="1"/>
  <c r="P313" i="1" l="1"/>
  <c r="S313" i="1" s="1"/>
  <c r="M313" i="1" s="1"/>
  <c r="O313" i="1"/>
  <c r="R313" i="1" s="1"/>
  <c r="J313" i="1" l="1"/>
  <c r="K313" i="1"/>
  <c r="H313" i="1"/>
  <c r="I313" i="1"/>
  <c r="G313" i="1" s="1"/>
  <c r="L313" i="1"/>
  <c r="E314" i="1" l="1"/>
  <c r="C314" i="1"/>
  <c r="F313" i="1"/>
  <c r="B314" i="1" l="1"/>
  <c r="N314" i="1" s="1"/>
  <c r="Q314" i="1" s="1"/>
  <c r="D314" i="1"/>
  <c r="O314" i="1" l="1"/>
  <c r="R314" i="1" s="1"/>
  <c r="P314" i="1"/>
  <c r="S314" i="1" s="1"/>
  <c r="M314" i="1" s="1"/>
  <c r="H314" i="1" l="1"/>
  <c r="I314" i="1"/>
  <c r="L314" i="1"/>
  <c r="J314" i="1"/>
  <c r="K314" i="1"/>
  <c r="G314" i="1" l="1"/>
  <c r="F314" i="1"/>
  <c r="D315" i="1" l="1"/>
  <c r="B315" i="1"/>
  <c r="E315" i="1"/>
  <c r="C315" i="1"/>
  <c r="N315" i="1" l="1"/>
  <c r="Q315" i="1" s="1"/>
  <c r="P315" i="1"/>
  <c r="S315" i="1" s="1"/>
  <c r="M315" i="1" s="1"/>
  <c r="H315" i="1"/>
  <c r="O315" i="1"/>
  <c r="R315" i="1" s="1"/>
  <c r="K315" i="1" s="1"/>
  <c r="J315" i="1" l="1"/>
  <c r="L315" i="1"/>
  <c r="F315" i="1" s="1"/>
  <c r="I315" i="1"/>
  <c r="G315" i="1" s="1"/>
  <c r="B316" i="1" l="1"/>
  <c r="D316" i="1"/>
  <c r="E316" i="1"/>
  <c r="C316" i="1"/>
  <c r="N316" i="1" l="1"/>
  <c r="P316" i="1"/>
  <c r="S316" i="1" s="1"/>
  <c r="M316" i="1" s="1"/>
  <c r="O316" i="1"/>
  <c r="R316" i="1" s="1"/>
  <c r="K316" i="1" s="1"/>
  <c r="Q316" i="1" l="1"/>
  <c r="I316" i="1" s="1"/>
  <c r="G316" i="1" s="1"/>
  <c r="L316" i="1"/>
  <c r="H316" i="1"/>
  <c r="J316" i="1"/>
  <c r="C317" i="1" l="1"/>
  <c r="E317" i="1"/>
  <c r="F316" i="1"/>
  <c r="D317" i="1" s="1"/>
  <c r="B317" i="1" l="1"/>
  <c r="N317" i="1" s="1"/>
  <c r="Q317" i="1" s="1"/>
  <c r="I317" i="1" s="1"/>
  <c r="P317" i="1"/>
  <c r="S317" i="1" s="1"/>
  <c r="M317" i="1" s="1"/>
  <c r="O317" i="1"/>
  <c r="R317" i="1" s="1"/>
  <c r="K317" i="1" s="1"/>
  <c r="H317" i="1"/>
  <c r="J317" i="1" l="1"/>
  <c r="G317" i="1"/>
  <c r="L317" i="1"/>
  <c r="F317" i="1" l="1"/>
  <c r="B318" i="1"/>
  <c r="D318" i="1"/>
  <c r="E318" i="1"/>
  <c r="C318" i="1"/>
  <c r="N318" i="1" l="1"/>
  <c r="Q318" i="1" s="1"/>
  <c r="P318" i="1"/>
  <c r="S318" i="1" s="1"/>
  <c r="M318" i="1" s="1"/>
  <c r="I318" i="1"/>
  <c r="O318" i="1"/>
  <c r="R318" i="1" s="1"/>
  <c r="J318" i="1" s="1"/>
  <c r="L318" i="1" l="1"/>
  <c r="K318" i="1"/>
  <c r="G318" i="1" s="1"/>
  <c r="H318" i="1"/>
  <c r="F318" i="1" s="1"/>
  <c r="E319" i="1" l="1"/>
  <c r="C319" i="1"/>
  <c r="B319" i="1"/>
  <c r="N319" i="1" s="1"/>
  <c r="Q319" i="1" s="1"/>
  <c r="D319" i="1"/>
  <c r="O319" i="1" l="1"/>
  <c r="R319" i="1" s="1"/>
  <c r="K319" i="1" s="1"/>
  <c r="I319" i="1"/>
  <c r="P319" i="1"/>
  <c r="S319" i="1" s="1"/>
  <c r="M319" i="1" s="1"/>
  <c r="J319" i="1"/>
  <c r="H319" i="1"/>
  <c r="G319" i="1" l="1"/>
  <c r="L319" i="1"/>
  <c r="F319" i="1" s="1"/>
  <c r="D320" i="1" l="1"/>
  <c r="B320" i="1"/>
  <c r="C320" i="1"/>
  <c r="E320" i="1"/>
  <c r="N320" i="1" l="1"/>
  <c r="Q320" i="1" s="1"/>
  <c r="I320" i="1" s="1"/>
  <c r="O320" i="1"/>
  <c r="R320" i="1" s="1"/>
  <c r="K320" i="1" s="1"/>
  <c r="P320" i="1"/>
  <c r="S320" i="1" s="1"/>
  <c r="M320" i="1" s="1"/>
  <c r="J320" i="1" l="1"/>
  <c r="L320" i="1"/>
  <c r="G320" i="1"/>
  <c r="H320" i="1"/>
  <c r="F320" i="1" s="1"/>
  <c r="E321" i="1" l="1"/>
  <c r="C321" i="1"/>
  <c r="B321" i="1"/>
  <c r="N321" i="1" s="1"/>
  <c r="Q321" i="1" s="1"/>
  <c r="D321" i="1"/>
  <c r="I321" i="1" l="1"/>
  <c r="O321" i="1"/>
  <c r="R321" i="1" s="1"/>
  <c r="K321" i="1" s="1"/>
  <c r="P321" i="1"/>
  <c r="S321" i="1" s="1"/>
  <c r="L321" i="1" s="1"/>
  <c r="H321" i="1"/>
  <c r="M321" i="1" l="1"/>
  <c r="J321" i="1"/>
  <c r="F321" i="1" s="1"/>
  <c r="G321" i="1"/>
  <c r="B322" i="1" l="1"/>
  <c r="D322" i="1"/>
  <c r="C322" i="1"/>
  <c r="E322" i="1"/>
  <c r="N322" i="1" l="1"/>
  <c r="Q322" i="1" s="1"/>
  <c r="P322" i="1"/>
  <c r="S322" i="1" s="1"/>
  <c r="M322" i="1" s="1"/>
  <c r="I322" i="1"/>
  <c r="O322" i="1"/>
  <c r="R322" i="1" s="1"/>
  <c r="K322" i="1" s="1"/>
  <c r="G322" i="1" l="1"/>
  <c r="C323" i="1"/>
  <c r="E323" i="1"/>
  <c r="J322" i="1"/>
  <c r="L322" i="1"/>
  <c r="H322" i="1"/>
  <c r="F322" i="1" s="1"/>
  <c r="B323" i="1" l="1"/>
  <c r="N323" i="1" s="1"/>
  <c r="Q323" i="1" s="1"/>
  <c r="D323" i="1"/>
  <c r="O323" i="1" l="1"/>
  <c r="R323" i="1" s="1"/>
  <c r="K323" i="1" s="1"/>
  <c r="I323" i="1"/>
  <c r="P323" i="1"/>
  <c r="S323" i="1" s="1"/>
  <c r="M323" i="1" s="1"/>
  <c r="J323" i="1"/>
  <c r="H323" i="1"/>
  <c r="G323" i="1" l="1"/>
  <c r="E324" i="1"/>
  <c r="C324" i="1"/>
  <c r="L323" i="1"/>
  <c r="F323" i="1" s="1"/>
  <c r="D324" i="1" l="1"/>
  <c r="B324" i="1"/>
  <c r="N324" i="1" s="1"/>
  <c r="Q324" i="1" s="1"/>
  <c r="O324" i="1" l="1"/>
  <c r="R324" i="1" s="1"/>
  <c r="I324" i="1"/>
  <c r="P324" i="1"/>
  <c r="S324" i="1" s="1"/>
  <c r="M324" i="1" s="1"/>
  <c r="H324" i="1" l="1"/>
  <c r="J324" i="1"/>
  <c r="K324" i="1"/>
  <c r="G324" i="1" s="1"/>
  <c r="L324" i="1"/>
  <c r="E325" i="1" l="1"/>
  <c r="C325" i="1"/>
  <c r="F324" i="1"/>
  <c r="B325" i="1" l="1"/>
  <c r="N325" i="1" s="1"/>
  <c r="Q325" i="1" s="1"/>
  <c r="D325" i="1"/>
  <c r="P325" i="1" l="1"/>
  <c r="S325" i="1" s="1"/>
  <c r="M325" i="1" s="1"/>
  <c r="O325" i="1"/>
  <c r="R325" i="1" s="1"/>
  <c r="K325" i="1" s="1"/>
  <c r="I325" i="1"/>
  <c r="G325" i="1" s="1"/>
  <c r="H325" i="1" l="1"/>
  <c r="J325" i="1"/>
  <c r="C326" i="1"/>
  <c r="E326" i="1"/>
  <c r="L325" i="1"/>
  <c r="F325" i="1" s="1"/>
  <c r="B326" i="1" l="1"/>
  <c r="N326" i="1" s="1"/>
  <c r="Q326" i="1" s="1"/>
  <c r="D326" i="1"/>
  <c r="I326" i="1" l="1"/>
  <c r="O326" i="1"/>
  <c r="R326" i="1" s="1"/>
  <c r="K326" i="1" s="1"/>
  <c r="P326" i="1"/>
  <c r="S326" i="1" s="1"/>
  <c r="M326" i="1" s="1"/>
  <c r="J326" i="1"/>
  <c r="H326" i="1"/>
  <c r="G326" i="1" l="1"/>
  <c r="C327" i="1"/>
  <c r="E327" i="1"/>
  <c r="L326" i="1"/>
  <c r="F326" i="1" s="1"/>
  <c r="D327" i="1" l="1"/>
  <c r="B327" i="1"/>
  <c r="N327" i="1" s="1"/>
  <c r="Q327" i="1" s="1"/>
  <c r="P327" i="1" l="1"/>
  <c r="S327" i="1" s="1"/>
  <c r="M327" i="1" s="1"/>
  <c r="I327" i="1"/>
  <c r="O327" i="1"/>
  <c r="R327" i="1" s="1"/>
  <c r="J327" i="1" l="1"/>
  <c r="K327" i="1"/>
  <c r="H327" i="1"/>
  <c r="G327" i="1"/>
  <c r="L327" i="1"/>
  <c r="F327" i="1" l="1"/>
  <c r="E328" i="1"/>
  <c r="C328" i="1"/>
  <c r="B328" i="1" l="1"/>
  <c r="N328" i="1" s="1"/>
  <c r="Q328" i="1" s="1"/>
  <c r="D328" i="1"/>
  <c r="O328" i="1" l="1"/>
  <c r="R328" i="1" s="1"/>
  <c r="I328" i="1"/>
  <c r="P328" i="1"/>
  <c r="S328" i="1" s="1"/>
  <c r="M328" i="1" s="1"/>
  <c r="H328" i="1"/>
  <c r="L328" i="1" l="1"/>
  <c r="J328" i="1"/>
  <c r="F328" i="1" s="1"/>
  <c r="K328" i="1"/>
  <c r="G328" i="1" s="1"/>
  <c r="C329" i="1" l="1"/>
  <c r="E329" i="1"/>
  <c r="D329" i="1"/>
  <c r="B329" i="1"/>
  <c r="N329" i="1" s="1"/>
  <c r="Q329" i="1" s="1"/>
  <c r="I329" i="1" l="1"/>
  <c r="P329" i="1"/>
  <c r="S329" i="1" s="1"/>
  <c r="M329" i="1" s="1"/>
  <c r="O329" i="1"/>
  <c r="R329" i="1" s="1"/>
  <c r="K329" i="1" s="1"/>
  <c r="H329" i="1"/>
  <c r="J329" i="1" l="1"/>
  <c r="G329" i="1"/>
  <c r="E330" i="1" s="1"/>
  <c r="L329" i="1"/>
  <c r="F329" i="1" s="1"/>
  <c r="C330" i="1" l="1"/>
  <c r="D330" i="1"/>
  <c r="B330" i="1"/>
  <c r="N330" i="1" s="1"/>
  <c r="Q330" i="1" s="1"/>
  <c r="O330" i="1" l="1"/>
  <c r="R330" i="1" s="1"/>
  <c r="K330" i="1" s="1"/>
  <c r="I330" i="1"/>
  <c r="P330" i="1"/>
  <c r="S330" i="1" s="1"/>
  <c r="M330" i="1" s="1"/>
  <c r="J330" i="1"/>
  <c r="G330" i="1" l="1"/>
  <c r="H330" i="1"/>
  <c r="E331" i="1"/>
  <c r="C331" i="1"/>
  <c r="L330" i="1"/>
  <c r="F330" i="1" l="1"/>
  <c r="B331" i="1" l="1"/>
  <c r="N331" i="1" s="1"/>
  <c r="Q331" i="1" s="1"/>
  <c r="D331" i="1"/>
  <c r="O331" i="1" l="1"/>
  <c r="R331" i="1" s="1"/>
  <c r="K331" i="1" s="1"/>
  <c r="P331" i="1"/>
  <c r="S331" i="1" s="1"/>
  <c r="M331" i="1" s="1"/>
  <c r="I331" i="1"/>
  <c r="G331" i="1" s="1"/>
  <c r="J331" i="1"/>
  <c r="H331" i="1" l="1"/>
  <c r="E332" i="1"/>
  <c r="C332" i="1"/>
  <c r="L331" i="1"/>
  <c r="F331" i="1" l="1"/>
  <c r="D332" i="1" l="1"/>
  <c r="B332" i="1"/>
  <c r="N332" i="1" s="1"/>
  <c r="Q332" i="1" s="1"/>
  <c r="P332" i="1" l="1"/>
  <c r="S332" i="1" s="1"/>
  <c r="M332" i="1" s="1"/>
  <c r="O332" i="1"/>
  <c r="R332" i="1" s="1"/>
  <c r="K332" i="1" s="1"/>
  <c r="I332" i="1"/>
  <c r="G332" i="1" s="1"/>
  <c r="J332" i="1" l="1"/>
  <c r="H332" i="1"/>
  <c r="E333" i="1"/>
  <c r="C333" i="1"/>
  <c r="L332" i="1"/>
  <c r="F332" i="1" l="1"/>
  <c r="B333" i="1" l="1"/>
  <c r="N333" i="1" s="1"/>
  <c r="Q333" i="1" s="1"/>
  <c r="D333" i="1"/>
  <c r="P333" i="1" l="1"/>
  <c r="S333" i="1" s="1"/>
  <c r="M333" i="1" s="1"/>
  <c r="O333" i="1"/>
  <c r="R333" i="1" s="1"/>
  <c r="H333" i="1" l="1"/>
  <c r="I333" i="1"/>
  <c r="J333" i="1"/>
  <c r="K333" i="1"/>
  <c r="L333" i="1"/>
  <c r="G333" i="1" l="1"/>
  <c r="F333" i="1"/>
  <c r="D334" i="1" l="1"/>
  <c r="B334" i="1"/>
  <c r="E334" i="1"/>
  <c r="C334" i="1"/>
  <c r="N334" i="1" l="1"/>
  <c r="Q334" i="1" s="1"/>
  <c r="P334" i="1"/>
  <c r="S334" i="1" s="1"/>
  <c r="M334" i="1" s="1"/>
  <c r="O334" i="1"/>
  <c r="R334" i="1" s="1"/>
  <c r="K334" i="1" s="1"/>
  <c r="H334" i="1"/>
  <c r="L334" i="1" l="1"/>
  <c r="I334" i="1"/>
  <c r="G334" i="1" s="1"/>
  <c r="J334" i="1"/>
  <c r="F334" i="1" s="1"/>
  <c r="D335" i="1" l="1"/>
  <c r="B335" i="1"/>
  <c r="C335" i="1"/>
  <c r="E335" i="1"/>
  <c r="N335" i="1" l="1"/>
  <c r="Q335" i="1" s="1"/>
  <c r="O335" i="1"/>
  <c r="R335" i="1" s="1"/>
  <c r="K335" i="1" s="1"/>
  <c r="I335" i="1"/>
  <c r="P335" i="1"/>
  <c r="S335" i="1" s="1"/>
  <c r="L335" i="1" s="1"/>
  <c r="J335" i="1"/>
  <c r="H335" i="1"/>
  <c r="M335" i="1" l="1"/>
  <c r="F335" i="1"/>
  <c r="G335" i="1"/>
  <c r="C336" i="1" l="1"/>
  <c r="E336" i="1"/>
  <c r="D336" i="1"/>
  <c r="B336" i="1"/>
  <c r="N336" i="1" s="1"/>
  <c r="Q336" i="1" s="1"/>
  <c r="I336" i="1" l="1"/>
  <c r="O336" i="1"/>
  <c r="R336" i="1" s="1"/>
  <c r="K336" i="1" s="1"/>
  <c r="P336" i="1"/>
  <c r="S336" i="1" s="1"/>
  <c r="L336" i="1" s="1"/>
  <c r="H336" i="1"/>
  <c r="M336" i="1" l="1"/>
  <c r="J336" i="1"/>
  <c r="F336" i="1" s="1"/>
  <c r="G336" i="1"/>
  <c r="B337" i="1" l="1"/>
  <c r="D337" i="1"/>
  <c r="E337" i="1"/>
  <c r="C337" i="1"/>
  <c r="N337" i="1" l="1"/>
  <c r="Q337" i="1" s="1"/>
  <c r="O337" i="1"/>
  <c r="R337" i="1" s="1"/>
  <c r="K337" i="1" s="1"/>
  <c r="P337" i="1"/>
  <c r="S337" i="1" s="1"/>
  <c r="M337" i="1" s="1"/>
  <c r="I337" i="1"/>
  <c r="G337" i="1" l="1"/>
  <c r="C338" i="1"/>
  <c r="E338" i="1"/>
  <c r="L337" i="1"/>
  <c r="H337" i="1"/>
  <c r="J337" i="1"/>
  <c r="F337" i="1" l="1"/>
  <c r="B338" i="1"/>
  <c r="N338" i="1" s="1"/>
  <c r="Q338" i="1" s="1"/>
  <c r="D338" i="1"/>
  <c r="P338" i="1" l="1"/>
  <c r="S338" i="1" s="1"/>
  <c r="M338" i="1" s="1"/>
  <c r="I338" i="1"/>
  <c r="O338" i="1"/>
  <c r="R338" i="1" s="1"/>
  <c r="H338" i="1"/>
  <c r="J338" i="1" l="1"/>
  <c r="K338" i="1"/>
  <c r="G338" i="1"/>
  <c r="L338" i="1"/>
  <c r="F338" i="1" l="1"/>
  <c r="D339" i="1"/>
  <c r="B339" i="1"/>
  <c r="E339" i="1"/>
  <c r="C339" i="1"/>
  <c r="N339" i="1" l="1"/>
  <c r="Q339" i="1" s="1"/>
  <c r="O339" i="1"/>
  <c r="R339" i="1" s="1"/>
  <c r="J339" i="1" s="1"/>
  <c r="I339" i="1"/>
  <c r="P339" i="1"/>
  <c r="S339" i="1" s="1"/>
  <c r="L339" i="1" s="1"/>
  <c r="K339" i="1"/>
  <c r="M339" i="1" l="1"/>
  <c r="H339" i="1"/>
  <c r="F339" i="1" s="1"/>
  <c r="G339" i="1"/>
  <c r="C340" i="1" l="1"/>
  <c r="E340" i="1"/>
  <c r="B340" i="1"/>
  <c r="N340" i="1" s="1"/>
  <c r="Q340" i="1" s="1"/>
  <c r="D340" i="1"/>
  <c r="H340" i="1" l="1"/>
  <c r="P340" i="1"/>
  <c r="S340" i="1" s="1"/>
  <c r="L340" i="1" s="1"/>
  <c r="O340" i="1"/>
  <c r="R340" i="1" s="1"/>
  <c r="J340" i="1" s="1"/>
  <c r="K340" i="1" l="1"/>
  <c r="M340" i="1"/>
  <c r="F340" i="1"/>
  <c r="I340" i="1"/>
  <c r="G340" i="1" s="1"/>
  <c r="C341" i="1" l="1"/>
  <c r="E341" i="1"/>
  <c r="D341" i="1"/>
  <c r="B341" i="1"/>
  <c r="N341" i="1" s="1"/>
  <c r="Q341" i="1" s="1"/>
  <c r="O341" i="1" l="1"/>
  <c r="R341" i="1" s="1"/>
  <c r="J341" i="1" s="1"/>
  <c r="P341" i="1"/>
  <c r="S341" i="1" s="1"/>
  <c r="M341" i="1" s="1"/>
  <c r="H341" i="1"/>
  <c r="K341" i="1"/>
  <c r="L341" i="1" l="1"/>
  <c r="F341" i="1" s="1"/>
  <c r="I341" i="1"/>
  <c r="G341" i="1" s="1"/>
  <c r="D342" i="1" l="1"/>
  <c r="B342" i="1"/>
  <c r="E342" i="1"/>
  <c r="C342" i="1"/>
  <c r="N342" i="1" l="1"/>
  <c r="O342" i="1"/>
  <c r="R342" i="1" s="1"/>
  <c r="J342" i="1" s="1"/>
  <c r="P342" i="1"/>
  <c r="S342" i="1" s="1"/>
  <c r="M342" i="1" s="1"/>
  <c r="Q342" i="1" l="1"/>
  <c r="H342" i="1" s="1"/>
  <c r="L342" i="1"/>
  <c r="K342" i="1"/>
  <c r="I342" i="1"/>
  <c r="G342" i="1" s="1"/>
  <c r="F342" i="1" l="1"/>
  <c r="B343" i="1"/>
  <c r="D343" i="1"/>
  <c r="E343" i="1"/>
  <c r="C343" i="1"/>
  <c r="N343" i="1" l="1"/>
  <c r="Q343" i="1" s="1"/>
  <c r="P343" i="1"/>
  <c r="S343" i="1" s="1"/>
  <c r="M343" i="1" s="1"/>
  <c r="O343" i="1"/>
  <c r="R343" i="1" s="1"/>
  <c r="K343" i="1" s="1"/>
  <c r="H343" i="1"/>
  <c r="L343" i="1" l="1"/>
  <c r="I343" i="1"/>
  <c r="G343" i="1" s="1"/>
  <c r="J343" i="1"/>
  <c r="F343" i="1" s="1"/>
  <c r="D344" i="1" l="1"/>
  <c r="B344" i="1"/>
  <c r="C344" i="1"/>
  <c r="E344" i="1"/>
  <c r="N344" i="1" l="1"/>
  <c r="Q344" i="1" s="1"/>
  <c r="O344" i="1"/>
  <c r="R344" i="1" s="1"/>
  <c r="K344" i="1" s="1"/>
  <c r="I344" i="1"/>
  <c r="P344" i="1"/>
  <c r="S344" i="1" s="1"/>
  <c r="M344" i="1" s="1"/>
  <c r="J344" i="1"/>
  <c r="H344" i="1" l="1"/>
  <c r="G344" i="1"/>
  <c r="C345" i="1" s="1"/>
  <c r="L344" i="1"/>
  <c r="F344" i="1" s="1"/>
  <c r="E345" i="1" l="1"/>
  <c r="D345" i="1"/>
  <c r="B345" i="1"/>
  <c r="N345" i="1" s="1"/>
  <c r="Q345" i="1" s="1"/>
  <c r="P345" i="1" l="1"/>
  <c r="S345" i="1" s="1"/>
  <c r="M345" i="1" s="1"/>
  <c r="O345" i="1"/>
  <c r="R345" i="1" s="1"/>
  <c r="K345" i="1" s="1"/>
  <c r="I345" i="1"/>
  <c r="G345" i="1" l="1"/>
  <c r="E346" i="1"/>
  <c r="C346" i="1"/>
  <c r="J345" i="1"/>
  <c r="H345" i="1"/>
  <c r="L345" i="1"/>
  <c r="F345" i="1" l="1"/>
  <c r="B346" i="1"/>
  <c r="N346" i="1" s="1"/>
  <c r="Q346" i="1" s="1"/>
  <c r="D346" i="1"/>
  <c r="I346" i="1" l="1"/>
  <c r="O346" i="1"/>
  <c r="R346" i="1" s="1"/>
  <c r="K346" i="1" s="1"/>
  <c r="P346" i="1"/>
  <c r="S346" i="1" s="1"/>
  <c r="M346" i="1" s="1"/>
  <c r="H346" i="1"/>
  <c r="J346" i="1" l="1"/>
  <c r="G346" i="1"/>
  <c r="L346" i="1"/>
  <c r="F346" i="1" l="1"/>
  <c r="B347" i="1"/>
  <c r="D347" i="1"/>
  <c r="C347" i="1"/>
  <c r="E347" i="1"/>
  <c r="N347" i="1" l="1"/>
  <c r="P347" i="1"/>
  <c r="S347" i="1" s="1"/>
  <c r="M347" i="1" s="1"/>
  <c r="O347" i="1"/>
  <c r="R347" i="1" s="1"/>
  <c r="K347" i="1" s="1"/>
  <c r="Q347" i="1" l="1"/>
  <c r="I347" i="1" s="1"/>
  <c r="G347" i="1" s="1"/>
  <c r="L347" i="1"/>
  <c r="J347" i="1"/>
  <c r="H347" i="1"/>
  <c r="F347" i="1" s="1"/>
  <c r="B348" i="1" l="1"/>
  <c r="D348" i="1"/>
  <c r="E348" i="1"/>
  <c r="C348" i="1"/>
  <c r="N348" i="1" l="1"/>
  <c r="Q348" i="1" s="1"/>
  <c r="P348" i="1"/>
  <c r="S348" i="1" s="1"/>
  <c r="M348" i="1" s="1"/>
  <c r="H348" i="1"/>
  <c r="O348" i="1"/>
  <c r="R348" i="1" s="1"/>
  <c r="K348" i="1" s="1"/>
  <c r="I348" i="1" l="1"/>
  <c r="G348" i="1" s="1"/>
  <c r="L348" i="1"/>
  <c r="J348" i="1"/>
  <c r="F348" i="1" s="1"/>
  <c r="B349" i="1" l="1"/>
  <c r="D349" i="1"/>
  <c r="E349" i="1"/>
  <c r="C349" i="1"/>
  <c r="N349" i="1" l="1"/>
  <c r="Q349" i="1" s="1"/>
  <c r="O349" i="1"/>
  <c r="R349" i="1" s="1"/>
  <c r="J349" i="1" s="1"/>
  <c r="I349" i="1"/>
  <c r="P349" i="1"/>
  <c r="S349" i="1" s="1"/>
  <c r="M349" i="1" s="1"/>
  <c r="L349" i="1" l="1"/>
  <c r="H349" i="1"/>
  <c r="F349" i="1" s="1"/>
  <c r="K349" i="1"/>
  <c r="G349" i="1" s="1"/>
  <c r="C350" i="1" l="1"/>
  <c r="E350" i="1"/>
  <c r="D350" i="1"/>
  <c r="B350" i="1"/>
  <c r="N350" i="1" s="1"/>
  <c r="Q350" i="1" s="1"/>
  <c r="I350" i="1" l="1"/>
  <c r="P350" i="1"/>
  <c r="S350" i="1" s="1"/>
  <c r="M350" i="1" s="1"/>
  <c r="O350" i="1"/>
  <c r="R350" i="1" s="1"/>
  <c r="K350" i="1" s="1"/>
  <c r="J350" i="1"/>
  <c r="H350" i="1"/>
  <c r="G350" i="1" l="1"/>
  <c r="L350" i="1"/>
  <c r="F350" i="1" s="1"/>
  <c r="D351" i="1" l="1"/>
  <c r="B351" i="1"/>
  <c r="E351" i="1"/>
  <c r="C351" i="1"/>
  <c r="N351" i="1" l="1"/>
  <c r="Q351" i="1" s="1"/>
  <c r="P351" i="1"/>
  <c r="S351" i="1" s="1"/>
  <c r="M351" i="1" s="1"/>
  <c r="O351" i="1"/>
  <c r="R351" i="1" s="1"/>
  <c r="K351" i="1" s="1"/>
  <c r="I351" i="1" l="1"/>
  <c r="H351" i="1"/>
  <c r="J351" i="1"/>
  <c r="G351" i="1"/>
  <c r="L351" i="1"/>
  <c r="F351" i="1" s="1"/>
  <c r="B352" i="1" l="1"/>
  <c r="D352" i="1"/>
  <c r="E352" i="1"/>
  <c r="C352" i="1"/>
  <c r="N352" i="1" l="1"/>
  <c r="Q352" i="1" s="1"/>
  <c r="O352" i="1"/>
  <c r="R352" i="1" s="1"/>
  <c r="K352" i="1" s="1"/>
  <c r="P352" i="1"/>
  <c r="S352" i="1" s="1"/>
  <c r="M352" i="1" s="1"/>
  <c r="H352" i="1"/>
  <c r="I352" i="1" l="1"/>
  <c r="G352" i="1" s="1"/>
  <c r="L352" i="1"/>
  <c r="J352" i="1"/>
  <c r="F352" i="1" s="1"/>
  <c r="B353" i="1" l="1"/>
  <c r="D353" i="1"/>
  <c r="E353" i="1"/>
  <c r="C353" i="1"/>
  <c r="N353" i="1" l="1"/>
  <c r="Q353" i="1" s="1"/>
  <c r="P353" i="1"/>
  <c r="S353" i="1" s="1"/>
  <c r="M353" i="1" s="1"/>
  <c r="I353" i="1"/>
  <c r="O353" i="1"/>
  <c r="R353" i="1" s="1"/>
  <c r="K353" i="1" s="1"/>
  <c r="G353" i="1" l="1"/>
  <c r="E354" i="1" s="1"/>
  <c r="H353" i="1"/>
  <c r="L353" i="1"/>
  <c r="C354" i="1"/>
  <c r="J353" i="1"/>
  <c r="F353" i="1" l="1"/>
  <c r="D354" i="1" l="1"/>
  <c r="B354" i="1"/>
  <c r="N354" i="1" s="1"/>
  <c r="Q354" i="1" s="1"/>
  <c r="I354" i="1" l="1"/>
  <c r="O354" i="1"/>
  <c r="R354" i="1" s="1"/>
  <c r="K354" i="1" s="1"/>
  <c r="P354" i="1"/>
  <c r="S354" i="1" s="1"/>
  <c r="M354" i="1" s="1"/>
  <c r="H354" i="1"/>
  <c r="J354" i="1" l="1"/>
  <c r="G354" i="1"/>
  <c r="L354" i="1"/>
  <c r="F354" i="1" l="1"/>
  <c r="B355" i="1"/>
  <c r="D355" i="1"/>
  <c r="E355" i="1"/>
  <c r="C355" i="1"/>
  <c r="N355" i="1" l="1"/>
  <c r="Q355" i="1" s="1"/>
  <c r="O355" i="1"/>
  <c r="R355" i="1" s="1"/>
  <c r="K355" i="1" s="1"/>
  <c r="P355" i="1"/>
  <c r="S355" i="1" s="1"/>
  <c r="M355" i="1" s="1"/>
  <c r="I355" i="1"/>
  <c r="G355" i="1" l="1"/>
  <c r="E356" i="1" s="1"/>
  <c r="J355" i="1"/>
  <c r="L355" i="1"/>
  <c r="C356" i="1"/>
  <c r="H355" i="1"/>
  <c r="F355" i="1" s="1"/>
  <c r="B356" i="1" l="1"/>
  <c r="N356" i="1" s="1"/>
  <c r="Q356" i="1" s="1"/>
  <c r="D356" i="1"/>
  <c r="P356" i="1" l="1"/>
  <c r="S356" i="1" s="1"/>
  <c r="M356" i="1" s="1"/>
  <c r="O356" i="1"/>
  <c r="R356" i="1" s="1"/>
  <c r="K356" i="1" s="1"/>
  <c r="I356" i="1"/>
  <c r="J356" i="1" l="1"/>
  <c r="G356" i="1"/>
  <c r="H356" i="1"/>
  <c r="E357" i="1"/>
  <c r="C357" i="1"/>
  <c r="L356" i="1"/>
  <c r="F356" i="1" s="1"/>
  <c r="D357" i="1" l="1"/>
  <c r="B357" i="1"/>
  <c r="N357" i="1" s="1"/>
  <c r="Q357" i="1" s="1"/>
  <c r="O357" i="1" l="1"/>
  <c r="R357" i="1" s="1"/>
  <c r="K357" i="1" s="1"/>
  <c r="I357" i="1"/>
  <c r="P357" i="1"/>
  <c r="S357" i="1" s="1"/>
  <c r="M357" i="1" s="1"/>
  <c r="J357" i="1"/>
  <c r="G357" i="1" l="1"/>
  <c r="H357" i="1"/>
  <c r="E358" i="1"/>
  <c r="C358" i="1"/>
  <c r="L357" i="1"/>
  <c r="F357" i="1" l="1"/>
  <c r="B358" i="1" l="1"/>
  <c r="N358" i="1" s="1"/>
  <c r="Q358" i="1" s="1"/>
  <c r="D358" i="1"/>
  <c r="I358" i="1" l="1"/>
  <c r="O358" i="1"/>
  <c r="R358" i="1" s="1"/>
  <c r="K358" i="1" s="1"/>
  <c r="P358" i="1"/>
  <c r="S358" i="1" s="1"/>
  <c r="H358" i="1"/>
  <c r="J358" i="1"/>
  <c r="M358" i="1" l="1"/>
  <c r="G358" i="1" s="1"/>
  <c r="L358" i="1"/>
  <c r="F358" i="1" s="1"/>
  <c r="E359" i="1" l="1"/>
  <c r="C359" i="1"/>
  <c r="D359" i="1"/>
  <c r="B359" i="1"/>
  <c r="N359" i="1" s="1"/>
  <c r="Q359" i="1" s="1"/>
  <c r="P359" i="1" l="1"/>
  <c r="S359" i="1" s="1"/>
  <c r="M359" i="1" s="1"/>
  <c r="I359" i="1"/>
  <c r="O359" i="1"/>
  <c r="R359" i="1" s="1"/>
  <c r="K359" i="1" s="1"/>
  <c r="H359" i="1"/>
  <c r="J359" i="1" l="1"/>
  <c r="G359" i="1"/>
  <c r="L359" i="1"/>
  <c r="F359" i="1" l="1"/>
  <c r="D360" i="1"/>
  <c r="B360" i="1"/>
  <c r="E360" i="1"/>
  <c r="C360" i="1"/>
  <c r="N360" i="1" l="1"/>
  <c r="Q360" i="1" s="1"/>
  <c r="P360" i="1"/>
  <c r="S360" i="1" s="1"/>
  <c r="L360" i="1" s="1"/>
  <c r="I360" i="1"/>
  <c r="O360" i="1"/>
  <c r="R360" i="1" s="1"/>
  <c r="J360" i="1" s="1"/>
  <c r="K360" i="1" l="1"/>
  <c r="M360" i="1"/>
  <c r="G360" i="1" s="1"/>
  <c r="H360" i="1"/>
  <c r="F360" i="1" s="1"/>
  <c r="C361" i="1" l="1"/>
  <c r="E361" i="1"/>
  <c r="D361" i="1"/>
  <c r="B361" i="1"/>
  <c r="N361" i="1" s="1"/>
  <c r="Q361" i="1" s="1"/>
  <c r="I361" i="1" l="1"/>
  <c r="P361" i="1"/>
  <c r="S361" i="1" s="1"/>
  <c r="M361" i="1" s="1"/>
  <c r="O361" i="1"/>
  <c r="R361" i="1" s="1"/>
  <c r="H361" i="1"/>
  <c r="J361" i="1" l="1"/>
  <c r="K361" i="1"/>
  <c r="G361" i="1"/>
  <c r="L361" i="1"/>
  <c r="F361" i="1" l="1"/>
  <c r="B362" i="1"/>
  <c r="D362" i="1"/>
  <c r="E362" i="1"/>
  <c r="C362" i="1"/>
  <c r="N362" i="1" l="1"/>
  <c r="Q362" i="1" s="1"/>
  <c r="H362" i="1" s="1"/>
  <c r="O362" i="1"/>
  <c r="R362" i="1" s="1"/>
  <c r="K362" i="1" s="1"/>
  <c r="P362" i="1"/>
  <c r="S362" i="1" s="1"/>
  <c r="M362" i="1" s="1"/>
  <c r="L362" i="1" l="1"/>
  <c r="I362" i="1"/>
  <c r="G362" i="1" s="1"/>
  <c r="J362" i="1"/>
  <c r="F362" i="1" s="1"/>
  <c r="B363" i="1" l="1"/>
  <c r="D363" i="1"/>
  <c r="E363" i="1"/>
  <c r="C363" i="1"/>
  <c r="N363" i="1" l="1"/>
  <c r="P363" i="1"/>
  <c r="S363" i="1" s="1"/>
  <c r="M363" i="1" s="1"/>
  <c r="O363" i="1"/>
  <c r="R363" i="1" s="1"/>
  <c r="K363" i="1" s="1"/>
  <c r="Q363" i="1" l="1"/>
  <c r="I363" i="1" s="1"/>
  <c r="G363" i="1" s="1"/>
  <c r="E364" i="1" s="1"/>
  <c r="J363" i="1"/>
  <c r="L363" i="1"/>
  <c r="H363" i="1"/>
  <c r="F363" i="1" s="1"/>
  <c r="C364" i="1" l="1"/>
  <c r="B364" i="1"/>
  <c r="N364" i="1" s="1"/>
  <c r="Q364" i="1" s="1"/>
  <c r="D364" i="1"/>
  <c r="O364" i="1" l="1"/>
  <c r="R364" i="1" s="1"/>
  <c r="K364" i="1" s="1"/>
  <c r="P364" i="1"/>
  <c r="S364" i="1" s="1"/>
  <c r="M364" i="1" s="1"/>
  <c r="I364" i="1"/>
  <c r="J364" i="1"/>
  <c r="G364" i="1" l="1"/>
  <c r="H364" i="1"/>
  <c r="E365" i="1"/>
  <c r="C365" i="1"/>
  <c r="L364" i="1"/>
  <c r="F364" i="1" s="1"/>
  <c r="D365" i="1" l="1"/>
  <c r="B365" i="1"/>
  <c r="N365" i="1" s="1"/>
  <c r="Q365" i="1" s="1"/>
  <c r="O365" i="1" l="1"/>
  <c r="R365" i="1" s="1"/>
  <c r="K365" i="1" s="1"/>
  <c r="P365" i="1"/>
  <c r="S365" i="1" s="1"/>
  <c r="M365" i="1" s="1"/>
  <c r="I365" i="1"/>
  <c r="G365" i="1" s="1"/>
  <c r="J365" i="1"/>
  <c r="H365" i="1" l="1"/>
  <c r="E366" i="1"/>
  <c r="C366" i="1"/>
  <c r="L365" i="1"/>
  <c r="F365" i="1" s="1"/>
  <c r="B366" i="1" l="1"/>
  <c r="N366" i="1" s="1"/>
  <c r="Q366" i="1" s="1"/>
  <c r="D366" i="1"/>
  <c r="P366" i="1" l="1"/>
  <c r="S366" i="1" s="1"/>
  <c r="M366" i="1" s="1"/>
  <c r="O366" i="1"/>
  <c r="R366" i="1" s="1"/>
  <c r="K366" i="1" s="1"/>
  <c r="I366" i="1"/>
  <c r="H366" i="1"/>
  <c r="J366" i="1" l="1"/>
  <c r="G366" i="1"/>
  <c r="L366" i="1"/>
  <c r="F366" i="1" s="1"/>
  <c r="D367" i="1" l="1"/>
  <c r="B367" i="1"/>
  <c r="E367" i="1"/>
  <c r="C367" i="1"/>
  <c r="N367" i="1" l="1"/>
  <c r="Q367" i="1" s="1"/>
  <c r="P367" i="1"/>
  <c r="S367" i="1" s="1"/>
  <c r="M367" i="1" s="1"/>
  <c r="O367" i="1"/>
  <c r="R367" i="1" s="1"/>
  <c r="K367" i="1" s="1"/>
  <c r="H367" i="1"/>
  <c r="J367" i="1" l="1"/>
  <c r="I367" i="1"/>
  <c r="G367" i="1" s="1"/>
  <c r="L367" i="1"/>
  <c r="F367" i="1" l="1"/>
  <c r="B368" i="1"/>
  <c r="D368" i="1"/>
  <c r="E368" i="1"/>
  <c r="C368" i="1"/>
  <c r="N368" i="1" l="1"/>
  <c r="Q368" i="1" s="1"/>
  <c r="I368" i="1" s="1"/>
  <c r="P368" i="1"/>
  <c r="S368" i="1" s="1"/>
  <c r="M368" i="1" s="1"/>
  <c r="O368" i="1"/>
  <c r="R368" i="1" s="1"/>
  <c r="K368" i="1" s="1"/>
  <c r="J368" i="1" l="1"/>
  <c r="G368" i="1"/>
  <c r="E369" i="1" s="1"/>
  <c r="L368" i="1"/>
  <c r="H368" i="1"/>
  <c r="F368" i="1" s="1"/>
  <c r="C369" i="1" l="1"/>
  <c r="B369" i="1"/>
  <c r="N369" i="1" s="1"/>
  <c r="Q369" i="1" s="1"/>
  <c r="D369" i="1"/>
  <c r="P369" i="1" l="1"/>
  <c r="S369" i="1" s="1"/>
  <c r="M369" i="1" s="1"/>
  <c r="I369" i="1"/>
  <c r="O369" i="1"/>
  <c r="R369" i="1" s="1"/>
  <c r="K369" i="1" s="1"/>
  <c r="H369" i="1"/>
  <c r="J369" i="1" l="1"/>
  <c r="G369" i="1"/>
  <c r="L369" i="1"/>
  <c r="F369" i="1" s="1"/>
  <c r="D370" i="1" l="1"/>
  <c r="B370" i="1"/>
  <c r="E370" i="1"/>
  <c r="C370" i="1"/>
  <c r="N370" i="1" l="1"/>
  <c r="Q370" i="1" s="1"/>
  <c r="P370" i="1"/>
  <c r="S370" i="1" s="1"/>
  <c r="M370" i="1" s="1"/>
  <c r="O370" i="1"/>
  <c r="R370" i="1" s="1"/>
  <c r="K370" i="1" s="1"/>
  <c r="H370" i="1"/>
  <c r="J370" i="1"/>
  <c r="L370" i="1" l="1"/>
  <c r="F370" i="1" s="1"/>
  <c r="I370" i="1"/>
  <c r="G370" i="1" s="1"/>
  <c r="B371" i="1" l="1"/>
  <c r="D371" i="1"/>
  <c r="E371" i="1"/>
  <c r="C371" i="1"/>
  <c r="N371" i="1" l="1"/>
  <c r="Q371" i="1" s="1"/>
  <c r="O371" i="1"/>
  <c r="R371" i="1" s="1"/>
  <c r="K371" i="1" s="1"/>
  <c r="P371" i="1"/>
  <c r="S371" i="1" s="1"/>
  <c r="M371" i="1" s="1"/>
  <c r="I371" i="1"/>
  <c r="J371" i="1"/>
  <c r="G371" i="1" l="1"/>
  <c r="E372" i="1" s="1"/>
  <c r="L371" i="1"/>
  <c r="C372" i="1"/>
  <c r="H371" i="1"/>
  <c r="F371" i="1" s="1"/>
  <c r="D372" i="1" l="1"/>
  <c r="B372" i="1"/>
  <c r="N372" i="1" s="1"/>
  <c r="Q372" i="1" s="1"/>
  <c r="O372" i="1" l="1"/>
  <c r="R372" i="1" s="1"/>
  <c r="K372" i="1" s="1"/>
  <c r="I372" i="1"/>
  <c r="P372" i="1"/>
  <c r="S372" i="1" s="1"/>
  <c r="M372" i="1" s="1"/>
  <c r="J372" i="1"/>
  <c r="H372" i="1"/>
  <c r="G372" i="1" l="1"/>
  <c r="L372" i="1"/>
  <c r="F372" i="1" s="1"/>
  <c r="B373" i="1" l="1"/>
  <c r="D373" i="1"/>
  <c r="E373" i="1"/>
  <c r="C373" i="1"/>
  <c r="N373" i="1" l="1"/>
  <c r="Q373" i="1" s="1"/>
  <c r="P373" i="1"/>
  <c r="S373" i="1" s="1"/>
  <c r="M373" i="1" s="1"/>
  <c r="I373" i="1"/>
  <c r="O373" i="1"/>
  <c r="R373" i="1" s="1"/>
  <c r="J373" i="1" s="1"/>
  <c r="L373" i="1" l="1"/>
  <c r="K373" i="1"/>
  <c r="G373" i="1" s="1"/>
  <c r="H373" i="1"/>
  <c r="F373" i="1" s="1"/>
  <c r="E374" i="1" l="1"/>
  <c r="C374" i="1"/>
  <c r="B374" i="1"/>
  <c r="N374" i="1" s="1"/>
  <c r="Q374" i="1" s="1"/>
  <c r="D374" i="1"/>
  <c r="I374" i="1" l="1"/>
  <c r="P374" i="1"/>
  <c r="S374" i="1" s="1"/>
  <c r="M374" i="1" s="1"/>
  <c r="O374" i="1"/>
  <c r="R374" i="1" s="1"/>
  <c r="K374" i="1" s="1"/>
  <c r="H374" i="1" l="1"/>
  <c r="L374" i="1"/>
  <c r="G374" i="1"/>
  <c r="J374" i="1"/>
  <c r="E375" i="1" l="1"/>
  <c r="C375" i="1"/>
  <c r="F374" i="1"/>
  <c r="B375" i="1" l="1"/>
  <c r="N375" i="1" s="1"/>
  <c r="Q375" i="1" s="1"/>
  <c r="D375" i="1"/>
  <c r="P375" i="1" l="1"/>
  <c r="S375" i="1" s="1"/>
  <c r="O375" i="1"/>
  <c r="R375" i="1" s="1"/>
  <c r="K375" i="1" s="1"/>
  <c r="I375" i="1"/>
  <c r="H375" i="1"/>
  <c r="J375" i="1" l="1"/>
  <c r="M375" i="1"/>
  <c r="G375" i="1" s="1"/>
  <c r="L375" i="1"/>
  <c r="F375" i="1" s="1"/>
  <c r="C376" i="1" l="1"/>
  <c r="E376" i="1"/>
  <c r="D376" i="1"/>
  <c r="B376" i="1"/>
  <c r="N376" i="1" s="1"/>
  <c r="Q376" i="1" s="1"/>
  <c r="P376" i="1" l="1"/>
  <c r="S376" i="1" s="1"/>
  <c r="M376" i="1" s="1"/>
  <c r="I376" i="1"/>
  <c r="O376" i="1"/>
  <c r="R376" i="1" s="1"/>
  <c r="K376" i="1" s="1"/>
  <c r="G376" i="1" l="1"/>
  <c r="J376" i="1"/>
  <c r="H376" i="1"/>
  <c r="E377" i="1"/>
  <c r="C377" i="1"/>
  <c r="L376" i="1"/>
  <c r="F376" i="1" l="1"/>
  <c r="B377" i="1" l="1"/>
  <c r="N377" i="1" s="1"/>
  <c r="Q377" i="1" s="1"/>
  <c r="D377" i="1"/>
  <c r="P377" i="1" l="1"/>
  <c r="S377" i="1" s="1"/>
  <c r="M377" i="1" s="1"/>
  <c r="O377" i="1"/>
  <c r="R377" i="1" s="1"/>
  <c r="K377" i="1" s="1"/>
  <c r="I377" i="1"/>
  <c r="H377" i="1"/>
  <c r="J377" i="1" l="1"/>
  <c r="G377" i="1"/>
  <c r="L377" i="1"/>
  <c r="F377" i="1" s="1"/>
  <c r="D378" i="1" l="1"/>
  <c r="B378" i="1"/>
  <c r="E378" i="1"/>
  <c r="C378" i="1"/>
  <c r="N378" i="1" l="1"/>
  <c r="Q378" i="1" s="1"/>
  <c r="P378" i="1"/>
  <c r="S378" i="1" s="1"/>
  <c r="M378" i="1" s="1"/>
  <c r="H378" i="1"/>
  <c r="O378" i="1"/>
  <c r="R378" i="1" s="1"/>
  <c r="K378" i="1" s="1"/>
  <c r="J378" i="1" l="1"/>
  <c r="I378" i="1"/>
  <c r="G378" i="1" s="1"/>
  <c r="L378" i="1"/>
  <c r="F378" i="1" l="1"/>
  <c r="B379" i="1"/>
  <c r="D379" i="1"/>
  <c r="E379" i="1"/>
  <c r="C379" i="1"/>
  <c r="N379" i="1" l="1"/>
  <c r="Q379" i="1" s="1"/>
  <c r="O379" i="1"/>
  <c r="R379" i="1" s="1"/>
  <c r="K379" i="1" s="1"/>
  <c r="P379" i="1"/>
  <c r="S379" i="1" s="1"/>
  <c r="M379" i="1" s="1"/>
  <c r="H379" i="1"/>
  <c r="L379" i="1" l="1"/>
  <c r="I379" i="1"/>
  <c r="G379" i="1" s="1"/>
  <c r="J379" i="1"/>
  <c r="F379" i="1" s="1"/>
  <c r="D380" i="1" l="1"/>
  <c r="B380" i="1"/>
  <c r="E380" i="1"/>
  <c r="C380" i="1"/>
  <c r="N380" i="1" l="1"/>
  <c r="Q380" i="1" s="1"/>
  <c r="O380" i="1"/>
  <c r="R380" i="1" s="1"/>
  <c r="J380" i="1" s="1"/>
  <c r="P380" i="1"/>
  <c r="S380" i="1" s="1"/>
  <c r="M380" i="1" s="1"/>
  <c r="I380" i="1"/>
  <c r="K380" i="1"/>
  <c r="G380" i="1" l="1"/>
  <c r="H380" i="1"/>
  <c r="L380" i="1"/>
  <c r="F380" i="1" l="1"/>
  <c r="E381" i="1"/>
  <c r="C381" i="1"/>
  <c r="D381" i="1" l="1"/>
  <c r="B381" i="1"/>
  <c r="N381" i="1" s="1"/>
  <c r="Q381" i="1" s="1"/>
  <c r="P381" i="1" l="1"/>
  <c r="S381" i="1" s="1"/>
  <c r="M381" i="1" s="1"/>
  <c r="O381" i="1"/>
  <c r="R381" i="1" s="1"/>
  <c r="I381" i="1"/>
  <c r="H381" i="1" l="1"/>
  <c r="J381" i="1"/>
  <c r="K381" i="1"/>
  <c r="G381" i="1" s="1"/>
  <c r="L381" i="1"/>
  <c r="C382" i="1" l="1"/>
  <c r="E382" i="1"/>
  <c r="F381" i="1"/>
  <c r="B382" i="1" l="1"/>
  <c r="N382" i="1" s="1"/>
  <c r="Q382" i="1" s="1"/>
  <c r="D382" i="1"/>
  <c r="P382" i="1" l="1"/>
  <c r="S382" i="1" s="1"/>
  <c r="M382" i="1" s="1"/>
  <c r="O382" i="1"/>
  <c r="R382" i="1" s="1"/>
  <c r="K382" i="1" s="1"/>
  <c r="J382" i="1" l="1"/>
  <c r="H382" i="1"/>
  <c r="I382" i="1"/>
  <c r="G382" i="1" s="1"/>
  <c r="L382" i="1"/>
  <c r="E383" i="1" l="1"/>
  <c r="C383" i="1"/>
  <c r="F382" i="1"/>
  <c r="D383" i="1" l="1"/>
  <c r="B383" i="1"/>
  <c r="N383" i="1" s="1"/>
  <c r="Q383" i="1" s="1"/>
  <c r="P383" i="1" l="1"/>
  <c r="S383" i="1" s="1"/>
  <c r="M383" i="1" s="1"/>
  <c r="O383" i="1"/>
  <c r="R383" i="1" s="1"/>
  <c r="J383" i="1" l="1"/>
  <c r="K383" i="1"/>
  <c r="H383" i="1"/>
  <c r="I383" i="1"/>
  <c r="G383" i="1" s="1"/>
  <c r="L383" i="1"/>
  <c r="C384" i="1" l="1"/>
  <c r="E384" i="1"/>
  <c r="F383" i="1"/>
  <c r="B384" i="1" l="1"/>
  <c r="N384" i="1" s="1"/>
  <c r="Q384" i="1" s="1"/>
  <c r="D384" i="1"/>
  <c r="I384" i="1" l="1"/>
  <c r="P384" i="1"/>
  <c r="S384" i="1" s="1"/>
  <c r="M384" i="1" s="1"/>
  <c r="O384" i="1"/>
  <c r="R384" i="1" s="1"/>
  <c r="K384" i="1" s="1"/>
  <c r="H384" i="1"/>
  <c r="J384" i="1" l="1"/>
  <c r="L384" i="1"/>
  <c r="G384" i="1"/>
  <c r="F384" i="1" l="1"/>
  <c r="D385" i="1"/>
  <c r="B385" i="1"/>
  <c r="E385" i="1"/>
  <c r="C385" i="1"/>
  <c r="N385" i="1" l="1"/>
  <c r="Q385" i="1" s="1"/>
  <c r="P385" i="1"/>
  <c r="S385" i="1" s="1"/>
  <c r="M385" i="1" s="1"/>
  <c r="O385" i="1"/>
  <c r="R385" i="1" s="1"/>
  <c r="K385" i="1" s="1"/>
  <c r="I385" i="1"/>
  <c r="H385" i="1" l="1"/>
  <c r="G385" i="1"/>
  <c r="J385" i="1"/>
  <c r="L385" i="1"/>
  <c r="F385" i="1" l="1"/>
  <c r="B386" i="1"/>
  <c r="D386" i="1"/>
  <c r="E386" i="1"/>
  <c r="C386" i="1"/>
  <c r="N386" i="1" l="1"/>
  <c r="Q386" i="1" s="1"/>
  <c r="P386" i="1"/>
  <c r="S386" i="1" s="1"/>
  <c r="M386" i="1" s="1"/>
  <c r="O386" i="1"/>
  <c r="R386" i="1" s="1"/>
  <c r="K386" i="1" s="1"/>
  <c r="I386" i="1"/>
  <c r="J386" i="1" l="1"/>
  <c r="G386" i="1"/>
  <c r="E387" i="1" s="1"/>
  <c r="L386" i="1"/>
  <c r="H386" i="1"/>
  <c r="F386" i="1" s="1"/>
  <c r="C387" i="1" l="1"/>
  <c r="B387" i="1"/>
  <c r="N387" i="1" s="1"/>
  <c r="Q387" i="1" s="1"/>
  <c r="D387" i="1"/>
  <c r="P387" i="1" l="1"/>
  <c r="S387" i="1" s="1"/>
  <c r="M387" i="1" s="1"/>
  <c r="I387" i="1"/>
  <c r="O387" i="1"/>
  <c r="R387" i="1" s="1"/>
  <c r="K387" i="1" s="1"/>
  <c r="G387" i="1" l="1"/>
  <c r="H387" i="1"/>
  <c r="J387" i="1"/>
  <c r="E388" i="1"/>
  <c r="C388" i="1"/>
  <c r="L387" i="1"/>
  <c r="F387" i="1" l="1"/>
  <c r="B388" i="1" l="1"/>
  <c r="N388" i="1" s="1"/>
  <c r="Q388" i="1" s="1"/>
  <c r="D388" i="1"/>
  <c r="O388" i="1" l="1"/>
  <c r="R388" i="1" s="1"/>
  <c r="P388" i="1"/>
  <c r="S388" i="1" s="1"/>
  <c r="M388" i="1" s="1"/>
  <c r="I388" i="1"/>
  <c r="H388" i="1" l="1"/>
  <c r="L388" i="1"/>
  <c r="J388" i="1"/>
  <c r="K388" i="1"/>
  <c r="G388" i="1" s="1"/>
  <c r="E389" i="1" l="1"/>
  <c r="C389" i="1"/>
  <c r="F388" i="1"/>
  <c r="D389" i="1" l="1"/>
  <c r="B389" i="1"/>
  <c r="N389" i="1" s="1"/>
  <c r="Q389" i="1" s="1"/>
  <c r="O389" i="1" l="1"/>
  <c r="R389" i="1" s="1"/>
  <c r="P389" i="1"/>
  <c r="S389" i="1" s="1"/>
  <c r="M389" i="1" s="1"/>
  <c r="J389" i="1" l="1"/>
  <c r="K389" i="1"/>
  <c r="H389" i="1"/>
  <c r="I389" i="1"/>
  <c r="G389" i="1" s="1"/>
  <c r="L389" i="1"/>
  <c r="E390" i="1" l="1"/>
  <c r="C390" i="1"/>
  <c r="F389" i="1"/>
  <c r="B390" i="1" l="1"/>
  <c r="N390" i="1" s="1"/>
  <c r="Q390" i="1" s="1"/>
  <c r="D390" i="1"/>
  <c r="P390" i="1" l="1"/>
  <c r="S390" i="1" s="1"/>
  <c r="M390" i="1" s="1"/>
  <c r="O390" i="1"/>
  <c r="R390" i="1" s="1"/>
  <c r="H390" i="1" l="1"/>
  <c r="I390" i="1"/>
  <c r="J390" i="1"/>
  <c r="K390" i="1"/>
  <c r="G390" i="1"/>
  <c r="L390" i="1"/>
  <c r="C391" i="1" l="1"/>
  <c r="E391" i="1"/>
  <c r="F390" i="1"/>
  <c r="D391" i="1" l="1"/>
  <c r="B391" i="1"/>
  <c r="N391" i="1" s="1"/>
  <c r="Q391" i="1" s="1"/>
  <c r="P391" i="1" l="1"/>
  <c r="S391" i="1" s="1"/>
  <c r="M391" i="1" s="1"/>
  <c r="I391" i="1"/>
  <c r="O391" i="1"/>
  <c r="R391" i="1" s="1"/>
  <c r="J391" i="1" l="1"/>
  <c r="K391" i="1"/>
  <c r="H391" i="1"/>
  <c r="G391" i="1"/>
  <c r="L391" i="1"/>
  <c r="F391" i="1" l="1"/>
  <c r="E392" i="1"/>
  <c r="C392" i="1"/>
  <c r="B392" i="1" l="1"/>
  <c r="N392" i="1" s="1"/>
  <c r="Q392" i="1" s="1"/>
  <c r="D392" i="1"/>
  <c r="O392" i="1" l="1"/>
  <c r="R392" i="1" s="1"/>
  <c r="K392" i="1" s="1"/>
  <c r="I392" i="1"/>
  <c r="P392" i="1"/>
  <c r="S392" i="1" s="1"/>
  <c r="M392" i="1" s="1"/>
  <c r="J392" i="1"/>
  <c r="G392" i="1" l="1"/>
  <c r="H392" i="1"/>
  <c r="C393" i="1"/>
  <c r="E393" i="1"/>
  <c r="L392" i="1"/>
  <c r="F392" i="1" s="1"/>
  <c r="D393" i="1" l="1"/>
  <c r="B393" i="1"/>
  <c r="N393" i="1" s="1"/>
  <c r="Q393" i="1" s="1"/>
  <c r="P393" i="1" l="1"/>
  <c r="S393" i="1" s="1"/>
  <c r="M393" i="1" s="1"/>
  <c r="I393" i="1"/>
  <c r="O393" i="1"/>
  <c r="R393" i="1" s="1"/>
  <c r="K393" i="1" s="1"/>
  <c r="H393" i="1" l="1"/>
  <c r="J393" i="1"/>
  <c r="G393" i="1"/>
  <c r="L393" i="1"/>
  <c r="C394" i="1" l="1"/>
  <c r="E394" i="1"/>
  <c r="F393" i="1"/>
  <c r="D394" i="1" l="1"/>
  <c r="B394" i="1"/>
  <c r="N394" i="1" s="1"/>
  <c r="Q394" i="1" s="1"/>
  <c r="P394" i="1" l="1"/>
  <c r="S394" i="1" s="1"/>
  <c r="M394" i="1" s="1"/>
  <c r="O394" i="1"/>
  <c r="R394" i="1" s="1"/>
  <c r="J394" i="1" l="1"/>
  <c r="K394" i="1"/>
  <c r="L394" i="1"/>
  <c r="H394" i="1"/>
  <c r="F394" i="1" s="1"/>
  <c r="I394" i="1"/>
  <c r="G394" i="1" s="1"/>
  <c r="D395" i="1" l="1"/>
  <c r="B395" i="1"/>
  <c r="C395" i="1"/>
  <c r="E395" i="1"/>
  <c r="N395" i="1" l="1"/>
  <c r="P395" i="1"/>
  <c r="S395" i="1" s="1"/>
  <c r="M395" i="1" s="1"/>
  <c r="O395" i="1"/>
  <c r="R395" i="1" s="1"/>
  <c r="K395" i="1" s="1"/>
  <c r="Q395" i="1" l="1"/>
  <c r="H395" i="1" s="1"/>
  <c r="J395" i="1"/>
  <c r="L395" i="1"/>
  <c r="I395" i="1"/>
  <c r="G395" i="1" s="1"/>
  <c r="F395" i="1" l="1"/>
  <c r="B396" i="1" s="1"/>
  <c r="E396" i="1"/>
  <c r="C396" i="1"/>
  <c r="N396" i="1" l="1"/>
  <c r="Q396" i="1" s="1"/>
  <c r="I396" i="1" s="1"/>
  <c r="D396" i="1"/>
  <c r="P396" i="1"/>
  <c r="S396" i="1" s="1"/>
  <c r="M396" i="1" s="1"/>
  <c r="O396" i="1"/>
  <c r="R396" i="1" s="1"/>
  <c r="J396" i="1" s="1"/>
  <c r="L396" i="1" l="1"/>
  <c r="H396" i="1"/>
  <c r="F396" i="1" s="1"/>
  <c r="K396" i="1"/>
  <c r="G396" i="1" s="1"/>
  <c r="E397" i="1" l="1"/>
  <c r="C397" i="1"/>
  <c r="D397" i="1"/>
  <c r="B397" i="1"/>
  <c r="N397" i="1" s="1"/>
  <c r="Q397" i="1" s="1"/>
  <c r="P397" i="1" l="1"/>
  <c r="S397" i="1" s="1"/>
  <c r="L397" i="1" s="1"/>
  <c r="O397" i="1"/>
  <c r="R397" i="1" s="1"/>
  <c r="J397" i="1" s="1"/>
  <c r="H397" i="1"/>
  <c r="K397" i="1" l="1"/>
  <c r="I397" i="1"/>
  <c r="M397" i="1"/>
  <c r="F397" i="1"/>
  <c r="G397" i="1"/>
  <c r="E398" i="1" l="1"/>
  <c r="C398" i="1"/>
  <c r="B398" i="1"/>
  <c r="N398" i="1" s="1"/>
  <c r="Q398" i="1" s="1"/>
  <c r="D398" i="1"/>
  <c r="P398" i="1" l="1"/>
  <c r="S398" i="1" s="1"/>
  <c r="M398" i="1" s="1"/>
  <c r="O398" i="1"/>
  <c r="R398" i="1" s="1"/>
  <c r="J398" i="1" s="1"/>
  <c r="I398" i="1"/>
  <c r="K398" i="1" l="1"/>
  <c r="G398" i="1"/>
  <c r="C399" i="1" s="1"/>
  <c r="H398" i="1"/>
  <c r="E399" i="1"/>
  <c r="L398" i="1"/>
  <c r="F398" i="1" l="1"/>
  <c r="D399" i="1" l="1"/>
  <c r="B399" i="1"/>
  <c r="N399" i="1" s="1"/>
  <c r="Q399" i="1" s="1"/>
  <c r="P399" i="1" l="1"/>
  <c r="S399" i="1" s="1"/>
  <c r="M399" i="1" s="1"/>
  <c r="I399" i="1"/>
  <c r="O399" i="1"/>
  <c r="R399" i="1" s="1"/>
  <c r="J399" i="1" l="1"/>
  <c r="K399" i="1"/>
  <c r="H399" i="1"/>
  <c r="G399" i="1"/>
  <c r="L399" i="1"/>
  <c r="F399" i="1" l="1"/>
  <c r="C400" i="1"/>
  <c r="E400" i="1"/>
  <c r="D400" i="1" l="1"/>
  <c r="B400" i="1"/>
  <c r="N400" i="1" s="1"/>
  <c r="Q400" i="1" s="1"/>
  <c r="O400" i="1" l="1"/>
  <c r="R400" i="1" s="1"/>
  <c r="P400" i="1"/>
  <c r="S400" i="1" s="1"/>
  <c r="M400" i="1" s="1"/>
  <c r="J400" i="1" l="1"/>
  <c r="K400" i="1"/>
  <c r="H400" i="1"/>
  <c r="I400" i="1"/>
  <c r="G400" i="1" s="1"/>
  <c r="L400" i="1"/>
  <c r="E401" i="1" l="1"/>
  <c r="C401" i="1"/>
  <c r="F400" i="1"/>
  <c r="D401" i="1" l="1"/>
  <c r="B401" i="1"/>
  <c r="N401" i="1" s="1"/>
  <c r="Q401" i="1" s="1"/>
  <c r="P401" i="1" l="1"/>
  <c r="S401" i="1" s="1"/>
  <c r="M401" i="1" s="1"/>
  <c r="O401" i="1"/>
  <c r="R401" i="1" s="1"/>
  <c r="H401" i="1" l="1"/>
  <c r="I401" i="1"/>
  <c r="J401" i="1"/>
  <c r="K401" i="1"/>
  <c r="L401" i="1"/>
  <c r="G401" i="1" l="1"/>
  <c r="F401" i="1"/>
  <c r="D402" i="1" l="1"/>
  <c r="B402" i="1"/>
  <c r="E402" i="1"/>
  <c r="C402" i="1"/>
  <c r="N402" i="1" l="1"/>
  <c r="O402" i="1"/>
  <c r="R402" i="1" s="1"/>
  <c r="J402" i="1" s="1"/>
  <c r="P402" i="1"/>
  <c r="S402" i="1" s="1"/>
  <c r="M402" i="1" s="1"/>
  <c r="Q402" i="1" l="1"/>
  <c r="H402" i="1" s="1"/>
  <c r="K402" i="1"/>
  <c r="L402" i="1"/>
  <c r="I402" i="1"/>
  <c r="G402" i="1" s="1"/>
  <c r="F402" i="1" l="1"/>
  <c r="B403" i="1" s="1"/>
  <c r="D403" i="1"/>
  <c r="E403" i="1"/>
  <c r="C403" i="1"/>
  <c r="N403" i="1" l="1"/>
  <c r="Q403" i="1" s="1"/>
  <c r="P403" i="1"/>
  <c r="S403" i="1" s="1"/>
  <c r="M403" i="1" s="1"/>
  <c r="H403" i="1"/>
  <c r="O403" i="1"/>
  <c r="R403" i="1" s="1"/>
  <c r="J403" i="1" s="1"/>
  <c r="K403" i="1" l="1"/>
  <c r="L403" i="1"/>
  <c r="F403" i="1" s="1"/>
  <c r="I403" i="1"/>
  <c r="G403" i="1" s="1"/>
  <c r="B404" i="1" l="1"/>
  <c r="D404" i="1"/>
  <c r="E404" i="1"/>
  <c r="C404" i="1"/>
  <c r="N404" i="1" l="1"/>
  <c r="O404" i="1"/>
  <c r="R404" i="1" s="1"/>
  <c r="J404" i="1" s="1"/>
  <c r="P404" i="1"/>
  <c r="S404" i="1" s="1"/>
  <c r="M404" i="1" s="1"/>
  <c r="Q404" i="1" l="1"/>
  <c r="H404" i="1" s="1"/>
  <c r="L404" i="1"/>
  <c r="K404" i="1"/>
  <c r="I404" i="1"/>
  <c r="F404" i="1" l="1"/>
  <c r="D405" i="1"/>
  <c r="B405" i="1"/>
  <c r="G404" i="1"/>
  <c r="C405" i="1" s="1"/>
  <c r="N405" i="1" s="1"/>
  <c r="Q405" i="1" s="1"/>
  <c r="E405" i="1" l="1"/>
  <c r="P405" i="1"/>
  <c r="S405" i="1" s="1"/>
  <c r="M405" i="1" s="1"/>
  <c r="H405" i="1"/>
  <c r="O405" i="1"/>
  <c r="R405" i="1" s="1"/>
  <c r="J405" i="1" s="1"/>
  <c r="L405" i="1" l="1"/>
  <c r="F405" i="1" s="1"/>
  <c r="K405" i="1"/>
  <c r="I405" i="1"/>
  <c r="D406" i="1" l="1"/>
  <c r="B406" i="1"/>
  <c r="G405" i="1"/>
  <c r="C406" i="1" l="1"/>
  <c r="N406" i="1" s="1"/>
  <c r="Q406" i="1" s="1"/>
  <c r="E406" i="1"/>
  <c r="P406" i="1" l="1"/>
  <c r="S406" i="1" s="1"/>
  <c r="M406" i="1" s="1"/>
  <c r="O406" i="1"/>
  <c r="R406" i="1" s="1"/>
  <c r="J406" i="1" s="1"/>
  <c r="H406" i="1"/>
  <c r="I406" i="1" l="1"/>
  <c r="L406" i="1"/>
  <c r="F406" i="1" s="1"/>
  <c r="K406" i="1"/>
  <c r="D407" i="1" l="1"/>
  <c r="B407" i="1"/>
  <c r="G406" i="1"/>
  <c r="C407" i="1" l="1"/>
  <c r="N407" i="1" s="1"/>
  <c r="E407" i="1"/>
  <c r="O407" i="1"/>
  <c r="R407" i="1" s="1"/>
  <c r="K407" i="1" s="1"/>
  <c r="P407" i="1"/>
  <c r="S407" i="1" s="1"/>
  <c r="Q407" i="1" l="1"/>
  <c r="H407" i="1" s="1"/>
  <c r="J407" i="1"/>
  <c r="M407" i="1"/>
  <c r="L407" i="1"/>
  <c r="I407" i="1"/>
  <c r="G407" i="1" s="1"/>
  <c r="E408" i="1" s="1"/>
  <c r="F407" i="1" l="1"/>
  <c r="B408" i="1"/>
  <c r="D408" i="1"/>
  <c r="C408" i="1"/>
  <c r="N408" i="1" l="1"/>
  <c r="Q408" i="1" s="1"/>
  <c r="O408" i="1"/>
  <c r="R408" i="1" s="1"/>
  <c r="K408" i="1" s="1"/>
  <c r="P408" i="1"/>
  <c r="S408" i="1" s="1"/>
  <c r="M408" i="1" s="1"/>
  <c r="I408" i="1" l="1"/>
  <c r="H408" i="1"/>
  <c r="J408" i="1"/>
  <c r="G408" i="1"/>
  <c r="L408" i="1"/>
  <c r="F408" i="1" s="1"/>
  <c r="D409" i="1" l="1"/>
  <c r="B409" i="1"/>
  <c r="E409" i="1"/>
  <c r="C409" i="1"/>
  <c r="N409" i="1" l="1"/>
  <c r="Q409" i="1" s="1"/>
  <c r="O409" i="1"/>
  <c r="R409" i="1" s="1"/>
  <c r="K409" i="1" s="1"/>
  <c r="P409" i="1"/>
  <c r="S409" i="1" s="1"/>
  <c r="M409" i="1" s="1"/>
  <c r="I409" i="1" l="1"/>
  <c r="H409" i="1"/>
  <c r="J409" i="1"/>
  <c r="G409" i="1"/>
  <c r="L409" i="1"/>
  <c r="F409" i="1" s="1"/>
  <c r="D410" i="1" l="1"/>
  <c r="B410" i="1"/>
  <c r="E410" i="1"/>
  <c r="C410" i="1"/>
  <c r="N410" i="1" l="1"/>
  <c r="Q410" i="1" s="1"/>
  <c r="P410" i="1"/>
  <c r="S410" i="1" s="1"/>
  <c r="M410" i="1" s="1"/>
  <c r="I410" i="1"/>
  <c r="O410" i="1"/>
  <c r="R410" i="1" s="1"/>
  <c r="K410" i="1" s="1"/>
  <c r="G410" i="1" l="1"/>
  <c r="E411" i="1" s="1"/>
  <c r="C411" i="1"/>
  <c r="H410" i="1"/>
  <c r="L410" i="1"/>
  <c r="J410" i="1"/>
  <c r="F410" i="1" l="1"/>
  <c r="B411" i="1" l="1"/>
  <c r="N411" i="1" s="1"/>
  <c r="Q411" i="1" s="1"/>
  <c r="D411" i="1"/>
  <c r="O411" i="1" l="1"/>
  <c r="R411" i="1" s="1"/>
  <c r="K411" i="1" s="1"/>
  <c r="P411" i="1"/>
  <c r="S411" i="1" s="1"/>
  <c r="M411" i="1" s="1"/>
  <c r="I411" i="1"/>
  <c r="J411" i="1"/>
  <c r="G411" i="1" l="1"/>
  <c r="C412" i="1"/>
  <c r="E412" i="1"/>
  <c r="H411" i="1"/>
  <c r="L411" i="1"/>
  <c r="F411" i="1" l="1"/>
  <c r="D412" i="1" l="1"/>
  <c r="B412" i="1"/>
  <c r="N412" i="1" s="1"/>
  <c r="Q412" i="1" s="1"/>
  <c r="I412" i="1" l="1"/>
  <c r="P412" i="1"/>
  <c r="S412" i="1" s="1"/>
  <c r="M412" i="1" s="1"/>
  <c r="O412" i="1"/>
  <c r="R412" i="1" s="1"/>
  <c r="K412" i="1" s="1"/>
  <c r="H412" i="1"/>
  <c r="J412" i="1" l="1"/>
  <c r="G412" i="1"/>
  <c r="L412" i="1"/>
  <c r="F412" i="1" s="1"/>
  <c r="D413" i="1" l="1"/>
  <c r="B413" i="1"/>
  <c r="E413" i="1"/>
  <c r="C413" i="1"/>
  <c r="N413" i="1" l="1"/>
  <c r="Q413" i="1" s="1"/>
  <c r="P413" i="1"/>
  <c r="S413" i="1" s="1"/>
  <c r="M413" i="1" s="1"/>
  <c r="O413" i="1"/>
  <c r="R413" i="1" s="1"/>
  <c r="K413" i="1" s="1"/>
  <c r="I413" i="1" l="1"/>
  <c r="H413" i="1"/>
  <c r="J413" i="1"/>
  <c r="G413" i="1"/>
  <c r="L413" i="1"/>
  <c r="F413" i="1" s="1"/>
  <c r="B414" i="1" l="1"/>
  <c r="D414" i="1"/>
  <c r="E414" i="1"/>
  <c r="C414" i="1"/>
  <c r="N414" i="1" l="1"/>
  <c r="P414" i="1"/>
  <c r="S414" i="1" s="1"/>
  <c r="O414" i="1"/>
  <c r="R414" i="1" s="1"/>
  <c r="K414" i="1" s="1"/>
  <c r="Q414" i="1" l="1"/>
  <c r="I414" i="1" s="1"/>
  <c r="M414" i="1"/>
  <c r="L414" i="1"/>
  <c r="J414" i="1"/>
  <c r="H414" i="1"/>
  <c r="F414" i="1" l="1"/>
  <c r="G414" i="1"/>
  <c r="E415" i="1" s="1"/>
  <c r="D415" i="1"/>
  <c r="B415" i="1"/>
  <c r="C415" i="1" l="1"/>
  <c r="N415" i="1" s="1"/>
  <c r="Q415" i="1" s="1"/>
  <c r="O415" i="1"/>
  <c r="R415" i="1" s="1"/>
  <c r="K415" i="1" s="1"/>
  <c r="I415" i="1" l="1"/>
  <c r="H415" i="1"/>
  <c r="P415" i="1"/>
  <c r="S415" i="1" s="1"/>
  <c r="M415" i="1" s="1"/>
  <c r="G415" i="1" s="1"/>
  <c r="J415" i="1"/>
  <c r="L415" i="1" l="1"/>
  <c r="F415" i="1" s="1"/>
  <c r="E416" i="1"/>
  <c r="C416" i="1"/>
  <c r="B416" i="1"/>
  <c r="N416" i="1" s="1"/>
  <c r="Q416" i="1" s="1"/>
  <c r="D416" i="1"/>
  <c r="P416" i="1" l="1"/>
  <c r="S416" i="1" s="1"/>
  <c r="I416" i="1"/>
  <c r="O416" i="1"/>
  <c r="R416" i="1" s="1"/>
  <c r="K416" i="1" s="1"/>
  <c r="H416" i="1"/>
  <c r="J416" i="1" l="1"/>
  <c r="M416" i="1"/>
  <c r="G416" i="1" s="1"/>
  <c r="L416" i="1"/>
  <c r="F416" i="1" s="1"/>
  <c r="E417" i="1" l="1"/>
  <c r="C417" i="1"/>
  <c r="D417" i="1"/>
  <c r="B417" i="1"/>
  <c r="N417" i="1" s="1"/>
  <c r="Q417" i="1" s="1"/>
  <c r="I417" i="1" l="1"/>
  <c r="O417" i="1"/>
  <c r="R417" i="1" s="1"/>
  <c r="K417" i="1" s="1"/>
  <c r="P417" i="1"/>
  <c r="S417" i="1" s="1"/>
  <c r="H417" i="1"/>
  <c r="M417" i="1" l="1"/>
  <c r="G417" i="1" s="1"/>
  <c r="J417" i="1"/>
  <c r="F417" i="1" s="1"/>
  <c r="L417" i="1"/>
  <c r="C418" i="1" l="1"/>
  <c r="E418" i="1"/>
  <c r="B418" i="1"/>
  <c r="N418" i="1" s="1"/>
  <c r="Q418" i="1" s="1"/>
  <c r="D418" i="1"/>
  <c r="P418" i="1" l="1"/>
  <c r="S418" i="1" s="1"/>
  <c r="M418" i="1" s="1"/>
  <c r="O418" i="1"/>
  <c r="R418" i="1" s="1"/>
  <c r="K418" i="1" s="1"/>
  <c r="I418" i="1"/>
  <c r="J418" i="1" l="1"/>
  <c r="G418" i="1"/>
  <c r="H418" i="1"/>
  <c r="E419" i="1"/>
  <c r="C419" i="1"/>
  <c r="L418" i="1"/>
  <c r="F418" i="1" s="1"/>
  <c r="D419" i="1" l="1"/>
  <c r="B419" i="1"/>
  <c r="N419" i="1" s="1"/>
  <c r="Q419" i="1" s="1"/>
  <c r="P419" i="1" l="1"/>
  <c r="S419" i="1" s="1"/>
  <c r="M419" i="1" s="1"/>
  <c r="O419" i="1"/>
  <c r="R419" i="1" s="1"/>
  <c r="I419" i="1"/>
  <c r="H419" i="1" l="1"/>
  <c r="J419" i="1"/>
  <c r="K419" i="1"/>
  <c r="G419" i="1" s="1"/>
  <c r="L419" i="1"/>
  <c r="E420" i="1" l="1"/>
  <c r="C420" i="1"/>
  <c r="F419" i="1"/>
  <c r="B420" i="1" l="1"/>
  <c r="N420" i="1" s="1"/>
  <c r="Q420" i="1" s="1"/>
  <c r="D420" i="1"/>
  <c r="P420" i="1" l="1"/>
  <c r="S420" i="1" s="1"/>
  <c r="M420" i="1" s="1"/>
  <c r="O420" i="1"/>
  <c r="R420" i="1" s="1"/>
  <c r="I420" i="1"/>
  <c r="H420" i="1" l="1"/>
  <c r="J420" i="1"/>
  <c r="K420" i="1"/>
  <c r="G420" i="1" s="1"/>
  <c r="L420" i="1"/>
  <c r="C421" i="1" l="1"/>
  <c r="E421" i="1"/>
  <c r="F420" i="1"/>
  <c r="B421" i="1" l="1"/>
  <c r="N421" i="1" s="1"/>
  <c r="Q421" i="1" s="1"/>
  <c r="D421" i="1"/>
  <c r="O421" i="1" l="1"/>
  <c r="R421" i="1" s="1"/>
  <c r="K421" i="1" s="1"/>
  <c r="P421" i="1"/>
  <c r="S421" i="1" s="1"/>
  <c r="M421" i="1" s="1"/>
  <c r="J421" i="1"/>
  <c r="H421" i="1" l="1"/>
  <c r="I421" i="1"/>
  <c r="G421" i="1" s="1"/>
  <c r="L421" i="1"/>
  <c r="E422" i="1" l="1"/>
  <c r="C422" i="1"/>
  <c r="F421" i="1"/>
  <c r="D422" i="1" l="1"/>
  <c r="B422" i="1"/>
  <c r="N422" i="1" s="1"/>
  <c r="Q422" i="1" s="1"/>
  <c r="O422" i="1" l="1"/>
  <c r="R422" i="1" s="1"/>
  <c r="K422" i="1" s="1"/>
  <c r="P422" i="1"/>
  <c r="S422" i="1" s="1"/>
  <c r="M422" i="1" s="1"/>
  <c r="I422" i="1"/>
  <c r="J422" i="1"/>
  <c r="G422" i="1" l="1"/>
  <c r="C423" i="1"/>
  <c r="E423" i="1"/>
  <c r="H422" i="1"/>
  <c r="L422" i="1"/>
  <c r="F422" i="1" l="1"/>
  <c r="D423" i="1"/>
  <c r="B423" i="1"/>
  <c r="N423" i="1" s="1"/>
  <c r="Q423" i="1" s="1"/>
  <c r="O423" i="1" l="1"/>
  <c r="R423" i="1" s="1"/>
  <c r="K423" i="1" s="1"/>
  <c r="I423" i="1"/>
  <c r="P423" i="1"/>
  <c r="S423" i="1" s="1"/>
  <c r="M423" i="1" s="1"/>
  <c r="H423" i="1"/>
  <c r="J423" i="1"/>
  <c r="G423" i="1" l="1"/>
  <c r="E424" i="1"/>
  <c r="C424" i="1"/>
  <c r="L423" i="1"/>
  <c r="F423" i="1" s="1"/>
  <c r="D424" i="1" l="1"/>
  <c r="B424" i="1"/>
  <c r="N424" i="1" s="1"/>
  <c r="Q424" i="1" s="1"/>
  <c r="O424" i="1" l="1"/>
  <c r="R424" i="1" s="1"/>
  <c r="I424" i="1"/>
  <c r="P424" i="1"/>
  <c r="S424" i="1" s="1"/>
  <c r="M424" i="1" s="1"/>
  <c r="H424" i="1"/>
  <c r="J424" i="1" l="1"/>
  <c r="K424" i="1"/>
  <c r="G424" i="1" s="1"/>
  <c r="L424" i="1"/>
  <c r="F424" i="1" l="1"/>
  <c r="E425" i="1"/>
  <c r="C425" i="1"/>
  <c r="D425" i="1"/>
  <c r="B425" i="1"/>
  <c r="N425" i="1" s="1"/>
  <c r="Q425" i="1" s="1"/>
  <c r="O425" i="1" l="1"/>
  <c r="R425" i="1" s="1"/>
  <c r="K425" i="1" s="1"/>
  <c r="H425" i="1"/>
  <c r="P425" i="1"/>
  <c r="S425" i="1" s="1"/>
  <c r="M425" i="1" s="1"/>
  <c r="J425" i="1"/>
  <c r="I425" i="1"/>
  <c r="G425" i="1" l="1"/>
  <c r="E426" i="1" s="1"/>
  <c r="C426" i="1"/>
  <c r="L425" i="1"/>
  <c r="F425" i="1" s="1"/>
  <c r="D426" i="1" l="1"/>
  <c r="B426" i="1"/>
  <c r="N426" i="1" s="1"/>
  <c r="Q426" i="1" s="1"/>
  <c r="P426" i="1" l="1"/>
  <c r="S426" i="1" s="1"/>
  <c r="M426" i="1" s="1"/>
  <c r="I426" i="1"/>
  <c r="O426" i="1"/>
  <c r="R426" i="1" s="1"/>
  <c r="K426" i="1" s="1"/>
  <c r="H426" i="1"/>
  <c r="G426" i="1" l="1"/>
  <c r="J426" i="1"/>
  <c r="E427" i="1"/>
  <c r="C427" i="1"/>
  <c r="L426" i="1"/>
  <c r="F426" i="1" l="1"/>
  <c r="D427" i="1" s="1"/>
  <c r="B427" i="1"/>
  <c r="N427" i="1" s="1"/>
  <c r="Q427" i="1" s="1"/>
  <c r="P427" i="1" l="1"/>
  <c r="S427" i="1" s="1"/>
  <c r="M427" i="1" s="1"/>
  <c r="I427" i="1"/>
  <c r="O427" i="1"/>
  <c r="R427" i="1" s="1"/>
  <c r="H427" i="1" l="1"/>
  <c r="J427" i="1"/>
  <c r="K427" i="1"/>
  <c r="G427" i="1" s="1"/>
  <c r="L427" i="1"/>
  <c r="F427" i="1" s="1"/>
  <c r="D428" i="1" l="1"/>
  <c r="B428" i="1"/>
  <c r="C428" i="1"/>
  <c r="E428" i="1"/>
  <c r="N428" i="1" l="1"/>
  <c r="Q428" i="1" s="1"/>
  <c r="I428" i="1" s="1"/>
  <c r="P428" i="1"/>
  <c r="S428" i="1" s="1"/>
  <c r="L428" i="1" s="1"/>
  <c r="O428" i="1"/>
  <c r="R428" i="1" s="1"/>
  <c r="J428" i="1" s="1"/>
  <c r="H428" i="1"/>
  <c r="K428" i="1" l="1"/>
  <c r="M428" i="1"/>
  <c r="F428" i="1"/>
  <c r="G428" i="1"/>
  <c r="C429" i="1" l="1"/>
  <c r="E429" i="1"/>
  <c r="D429" i="1"/>
  <c r="B429" i="1"/>
  <c r="N429" i="1" s="1"/>
  <c r="Q429" i="1" s="1"/>
  <c r="P429" i="1" l="1"/>
  <c r="S429" i="1" s="1"/>
  <c r="M429" i="1" s="1"/>
  <c r="O429" i="1"/>
  <c r="R429" i="1" s="1"/>
  <c r="J429" i="1" s="1"/>
  <c r="I429" i="1"/>
  <c r="H429" i="1" l="1"/>
  <c r="L429" i="1"/>
  <c r="F429" i="1" s="1"/>
  <c r="K429" i="1"/>
  <c r="G429" i="1" s="1"/>
  <c r="C430" i="1" l="1"/>
  <c r="E430" i="1"/>
  <c r="D430" i="1"/>
  <c r="B430" i="1"/>
  <c r="N430" i="1" s="1"/>
  <c r="Q430" i="1" s="1"/>
  <c r="P430" i="1" l="1"/>
  <c r="S430" i="1" s="1"/>
  <c r="M430" i="1" s="1"/>
  <c r="O430" i="1"/>
  <c r="R430" i="1" s="1"/>
  <c r="J430" i="1" s="1"/>
  <c r="H430" i="1"/>
  <c r="K430" i="1" l="1"/>
  <c r="L430" i="1"/>
  <c r="F430" i="1" s="1"/>
  <c r="I430" i="1"/>
  <c r="G430" i="1" s="1"/>
  <c r="B431" i="1" l="1"/>
  <c r="D431" i="1"/>
  <c r="E431" i="1"/>
  <c r="C431" i="1"/>
  <c r="N431" i="1" l="1"/>
  <c r="Q431" i="1" s="1"/>
  <c r="H431" i="1" s="1"/>
  <c r="P431" i="1"/>
  <c r="S431" i="1" s="1"/>
  <c r="M431" i="1" s="1"/>
  <c r="O431" i="1"/>
  <c r="R431" i="1" s="1"/>
  <c r="J431" i="1" s="1"/>
  <c r="L431" i="1" l="1"/>
  <c r="F431" i="1"/>
  <c r="B432" i="1" s="1"/>
  <c r="I431" i="1"/>
  <c r="K431" i="1"/>
  <c r="D432" i="1" l="1"/>
  <c r="G431" i="1"/>
  <c r="E432" i="1" l="1"/>
  <c r="C432" i="1"/>
  <c r="N432" i="1" s="1"/>
  <c r="Q432" i="1" s="1"/>
  <c r="O432" i="1" l="1"/>
  <c r="R432" i="1" s="1"/>
  <c r="P432" i="1"/>
  <c r="S432" i="1" s="1"/>
  <c r="M432" i="1" s="1"/>
  <c r="H432" i="1"/>
  <c r="L432" i="1" l="1"/>
  <c r="K432" i="1"/>
  <c r="J432" i="1"/>
  <c r="F432" i="1" s="1"/>
  <c r="I432" i="1"/>
  <c r="G432" i="1" s="1"/>
  <c r="B433" i="1" l="1"/>
  <c r="D433" i="1"/>
  <c r="C433" i="1"/>
  <c r="E433" i="1"/>
  <c r="N433" i="1" l="1"/>
  <c r="Q433" i="1" s="1"/>
  <c r="O433" i="1"/>
  <c r="R433" i="1" s="1"/>
  <c r="K433" i="1" s="1"/>
  <c r="P433" i="1"/>
  <c r="S433" i="1" s="1"/>
  <c r="M433" i="1" s="1"/>
  <c r="H433" i="1"/>
  <c r="L433" i="1" l="1"/>
  <c r="I433" i="1"/>
  <c r="G433" i="1" s="1"/>
  <c r="J433" i="1"/>
  <c r="F433" i="1" s="1"/>
  <c r="D434" i="1" l="1"/>
  <c r="B434" i="1"/>
  <c r="E434" i="1"/>
  <c r="C434" i="1"/>
  <c r="N434" i="1" l="1"/>
  <c r="Q434" i="1" s="1"/>
  <c r="I434" i="1" s="1"/>
  <c r="O434" i="1"/>
  <c r="R434" i="1" s="1"/>
  <c r="K434" i="1" s="1"/>
  <c r="P434" i="1"/>
  <c r="S434" i="1" s="1"/>
  <c r="M434" i="1" s="1"/>
  <c r="H434" i="1"/>
  <c r="J434" i="1" l="1"/>
  <c r="G434" i="1"/>
  <c r="L434" i="1"/>
  <c r="F434" i="1" l="1"/>
  <c r="B435" i="1"/>
  <c r="D435" i="1"/>
  <c r="C435" i="1"/>
  <c r="E435" i="1"/>
  <c r="N435" i="1" l="1"/>
  <c r="Q435" i="1" s="1"/>
  <c r="P435" i="1"/>
  <c r="S435" i="1" s="1"/>
  <c r="M435" i="1" s="1"/>
  <c r="I435" i="1"/>
  <c r="O435" i="1"/>
  <c r="R435" i="1" s="1"/>
  <c r="K435" i="1" s="1"/>
  <c r="G435" i="1" l="1"/>
  <c r="E436" i="1"/>
  <c r="C436" i="1"/>
  <c r="L435" i="1"/>
  <c r="H435" i="1"/>
  <c r="J435" i="1"/>
  <c r="F435" i="1" l="1"/>
  <c r="D436" i="1" l="1"/>
  <c r="B436" i="1"/>
  <c r="N436" i="1" s="1"/>
  <c r="Q436" i="1" s="1"/>
  <c r="P436" i="1" l="1"/>
  <c r="S436" i="1" s="1"/>
  <c r="M436" i="1" s="1"/>
  <c r="I436" i="1"/>
  <c r="O436" i="1"/>
  <c r="R436" i="1" s="1"/>
  <c r="K436" i="1" s="1"/>
  <c r="G436" i="1" l="1"/>
  <c r="H436" i="1"/>
  <c r="J436" i="1"/>
  <c r="C437" i="1"/>
  <c r="E437" i="1"/>
  <c r="L436" i="1"/>
  <c r="F436" i="1" l="1"/>
  <c r="B437" i="1" l="1"/>
  <c r="N437" i="1" s="1"/>
  <c r="Q437" i="1" s="1"/>
  <c r="D437" i="1"/>
  <c r="P437" i="1" l="1"/>
  <c r="S437" i="1" s="1"/>
  <c r="M437" i="1" s="1"/>
  <c r="O437" i="1"/>
  <c r="R437" i="1" s="1"/>
  <c r="K437" i="1" s="1"/>
  <c r="I437" i="1"/>
  <c r="G437" i="1" s="1"/>
  <c r="J437" i="1" l="1"/>
  <c r="H437" i="1"/>
  <c r="E438" i="1"/>
  <c r="C438" i="1"/>
  <c r="L437" i="1"/>
  <c r="F437" i="1" s="1"/>
  <c r="D438" i="1" l="1"/>
  <c r="B438" i="1"/>
  <c r="N438" i="1" s="1"/>
  <c r="Q438" i="1" s="1"/>
  <c r="P438" i="1" l="1"/>
  <c r="S438" i="1" s="1"/>
  <c r="M438" i="1" s="1"/>
  <c r="I438" i="1"/>
  <c r="O438" i="1"/>
  <c r="R438" i="1" s="1"/>
  <c r="K438" i="1" s="1"/>
  <c r="G438" i="1" l="1"/>
  <c r="H438" i="1"/>
  <c r="J438" i="1"/>
  <c r="C439" i="1"/>
  <c r="E439" i="1"/>
  <c r="L438" i="1"/>
  <c r="F438" i="1" l="1"/>
  <c r="B439" i="1" l="1"/>
  <c r="N439" i="1" s="1"/>
  <c r="Q439" i="1" s="1"/>
  <c r="D439" i="1"/>
  <c r="P439" i="1" l="1"/>
  <c r="S439" i="1" s="1"/>
  <c r="M439" i="1" s="1"/>
  <c r="O439" i="1"/>
  <c r="R439" i="1" s="1"/>
  <c r="K439" i="1" s="1"/>
  <c r="I439" i="1"/>
  <c r="H439" i="1"/>
  <c r="G439" i="1" l="1"/>
  <c r="J439" i="1"/>
  <c r="E440" i="1"/>
  <c r="C440" i="1"/>
  <c r="L439" i="1"/>
  <c r="F439" i="1" s="1"/>
  <c r="D440" i="1" l="1"/>
  <c r="B440" i="1"/>
  <c r="N440" i="1" s="1"/>
  <c r="Q440" i="1" s="1"/>
  <c r="O440" i="1" l="1"/>
  <c r="R440" i="1" s="1"/>
  <c r="K440" i="1" s="1"/>
  <c r="I440" i="1"/>
  <c r="P440" i="1"/>
  <c r="S440" i="1" s="1"/>
  <c r="J440" i="1"/>
  <c r="H440" i="1"/>
  <c r="M440" i="1" l="1"/>
  <c r="G440" i="1" s="1"/>
  <c r="L440" i="1"/>
  <c r="F440" i="1" s="1"/>
  <c r="E441" i="1" l="1"/>
  <c r="C441" i="1"/>
  <c r="D441" i="1"/>
  <c r="B441" i="1"/>
  <c r="N441" i="1" s="1"/>
  <c r="Q441" i="1" s="1"/>
  <c r="O441" i="1" l="1"/>
  <c r="R441" i="1" s="1"/>
  <c r="I441" i="1"/>
  <c r="P441" i="1"/>
  <c r="S441" i="1" s="1"/>
  <c r="M441" i="1" s="1"/>
  <c r="H441" i="1" l="1"/>
  <c r="J441" i="1"/>
  <c r="K441" i="1"/>
  <c r="G441" i="1" s="1"/>
  <c r="L441" i="1"/>
  <c r="C442" i="1" l="1"/>
  <c r="E442" i="1"/>
  <c r="F441" i="1"/>
  <c r="B442" i="1" l="1"/>
  <c r="N442" i="1" s="1"/>
  <c r="Q442" i="1" s="1"/>
  <c r="D442" i="1"/>
  <c r="P442" i="1" l="1"/>
  <c r="S442" i="1" s="1"/>
  <c r="O442" i="1"/>
  <c r="R442" i="1" s="1"/>
  <c r="K442" i="1" s="1"/>
  <c r="I442" i="1"/>
  <c r="H442" i="1"/>
  <c r="J442" i="1" l="1"/>
  <c r="M442" i="1"/>
  <c r="G442" i="1" s="1"/>
  <c r="L442" i="1"/>
  <c r="F442" i="1" s="1"/>
  <c r="C443" i="1" l="1"/>
  <c r="E443" i="1"/>
  <c r="D443" i="1"/>
  <c r="B443" i="1"/>
  <c r="N443" i="1" s="1"/>
  <c r="Q443" i="1" s="1"/>
  <c r="O443" i="1" l="1"/>
  <c r="R443" i="1" s="1"/>
  <c r="K443" i="1" s="1"/>
  <c r="I443" i="1"/>
  <c r="P443" i="1"/>
  <c r="S443" i="1" s="1"/>
  <c r="J443" i="1"/>
  <c r="M443" i="1" l="1"/>
  <c r="G443" i="1" s="1"/>
  <c r="H443" i="1"/>
  <c r="L443" i="1"/>
  <c r="C444" i="1" l="1"/>
  <c r="E444" i="1"/>
  <c r="F443" i="1"/>
  <c r="D444" i="1" l="1"/>
  <c r="B444" i="1"/>
  <c r="N444" i="1" s="1"/>
  <c r="Q444" i="1" s="1"/>
  <c r="P444" i="1" l="1"/>
  <c r="S444" i="1" s="1"/>
  <c r="M444" i="1" s="1"/>
  <c r="O444" i="1"/>
  <c r="R444" i="1" s="1"/>
  <c r="I444" i="1"/>
  <c r="J444" i="1" l="1"/>
  <c r="K444" i="1"/>
  <c r="H444" i="1"/>
  <c r="G444" i="1"/>
  <c r="L444" i="1"/>
  <c r="F444" i="1" l="1"/>
  <c r="C445" i="1"/>
  <c r="E445" i="1"/>
  <c r="B445" i="1" l="1"/>
  <c r="N445" i="1" s="1"/>
  <c r="Q445" i="1" s="1"/>
  <c r="D445" i="1"/>
  <c r="O445" i="1" l="1"/>
  <c r="R445" i="1" s="1"/>
  <c r="K445" i="1" s="1"/>
  <c r="P445" i="1"/>
  <c r="S445" i="1" s="1"/>
  <c r="M445" i="1" s="1"/>
  <c r="J445" i="1" l="1"/>
  <c r="H445" i="1"/>
  <c r="I445" i="1"/>
  <c r="G445" i="1" s="1"/>
  <c r="L445" i="1"/>
  <c r="E446" i="1" l="1"/>
  <c r="C446" i="1"/>
  <c r="F445" i="1"/>
  <c r="D446" i="1" l="1"/>
  <c r="B446" i="1"/>
  <c r="N446" i="1" s="1"/>
  <c r="Q446" i="1" s="1"/>
  <c r="O446" i="1" l="1"/>
  <c r="R446" i="1" s="1"/>
  <c r="K446" i="1" s="1"/>
  <c r="P446" i="1"/>
  <c r="S446" i="1" s="1"/>
  <c r="M446" i="1" s="1"/>
  <c r="I446" i="1"/>
  <c r="J446" i="1"/>
  <c r="G446" i="1" l="1"/>
  <c r="H446" i="1"/>
  <c r="C447" i="1"/>
  <c r="E447" i="1"/>
  <c r="L446" i="1"/>
  <c r="F446" i="1" s="1"/>
  <c r="D447" i="1" l="1"/>
  <c r="B447" i="1"/>
  <c r="N447" i="1" s="1"/>
  <c r="Q447" i="1" s="1"/>
  <c r="O447" i="1" l="1"/>
  <c r="R447" i="1" s="1"/>
  <c r="K447" i="1" s="1"/>
  <c r="P447" i="1"/>
  <c r="S447" i="1" s="1"/>
  <c r="M447" i="1" s="1"/>
  <c r="I447" i="1"/>
  <c r="J447" i="1"/>
  <c r="G447" i="1" l="1"/>
  <c r="C448" i="1"/>
  <c r="E448" i="1"/>
  <c r="H447" i="1"/>
  <c r="L447" i="1"/>
  <c r="F447" i="1" l="1"/>
  <c r="B448" i="1"/>
  <c r="N448" i="1" s="1"/>
  <c r="Q448" i="1" s="1"/>
  <c r="D448" i="1"/>
  <c r="P448" i="1" l="1"/>
  <c r="S448" i="1" s="1"/>
  <c r="M448" i="1" s="1"/>
  <c r="I448" i="1"/>
  <c r="O448" i="1"/>
  <c r="R448" i="1" s="1"/>
  <c r="H448" i="1"/>
  <c r="J448" i="1" l="1"/>
  <c r="K448" i="1"/>
  <c r="G448" i="1"/>
  <c r="L448" i="1"/>
  <c r="F448" i="1" l="1"/>
  <c r="D449" i="1"/>
  <c r="B449" i="1"/>
  <c r="E449" i="1"/>
  <c r="C449" i="1"/>
  <c r="N449" i="1" l="1"/>
  <c r="Q449" i="1" s="1"/>
  <c r="O449" i="1"/>
  <c r="R449" i="1" s="1"/>
  <c r="J449" i="1" s="1"/>
  <c r="I449" i="1"/>
  <c r="P449" i="1"/>
  <c r="S449" i="1" s="1"/>
  <c r="M449" i="1" s="1"/>
  <c r="K449" i="1" l="1"/>
  <c r="G449" i="1" s="1"/>
  <c r="L449" i="1"/>
  <c r="H449" i="1"/>
  <c r="F449" i="1" s="1"/>
  <c r="E450" i="1" l="1"/>
  <c r="C450" i="1"/>
  <c r="B450" i="1"/>
  <c r="N450" i="1" s="1"/>
  <c r="Q450" i="1" s="1"/>
  <c r="D450" i="1"/>
  <c r="P450" i="1" l="1"/>
  <c r="S450" i="1" s="1"/>
  <c r="M450" i="1" s="1"/>
  <c r="O450" i="1"/>
  <c r="R450" i="1" s="1"/>
  <c r="K450" i="1" s="1"/>
  <c r="H450" i="1"/>
  <c r="L450" i="1" l="1"/>
  <c r="I450" i="1"/>
  <c r="G450" i="1" s="1"/>
  <c r="J450" i="1"/>
  <c r="F450" i="1" s="1"/>
  <c r="D451" i="1" l="1"/>
  <c r="B451" i="1"/>
  <c r="C451" i="1"/>
  <c r="E451" i="1"/>
  <c r="N451" i="1" l="1"/>
  <c r="Q451" i="1" s="1"/>
  <c r="O451" i="1"/>
  <c r="R451" i="1" s="1"/>
  <c r="K451" i="1" s="1"/>
  <c r="P451" i="1"/>
  <c r="S451" i="1" s="1"/>
  <c r="M451" i="1" s="1"/>
  <c r="J451" i="1" l="1"/>
  <c r="I451" i="1"/>
  <c r="H451" i="1"/>
  <c r="G451" i="1"/>
  <c r="C452" i="1" s="1"/>
  <c r="L451" i="1"/>
  <c r="F451" i="1" s="1"/>
  <c r="E452" i="1" l="1"/>
  <c r="B452" i="1"/>
  <c r="N452" i="1" s="1"/>
  <c r="Q452" i="1" s="1"/>
  <c r="D452" i="1"/>
  <c r="I452" i="1" l="1"/>
  <c r="P452" i="1"/>
  <c r="S452" i="1" s="1"/>
  <c r="M452" i="1" s="1"/>
  <c r="O452" i="1"/>
  <c r="R452" i="1" s="1"/>
  <c r="K452" i="1" s="1"/>
  <c r="H452" i="1"/>
  <c r="J452" i="1" l="1"/>
  <c r="G452" i="1"/>
  <c r="L452" i="1"/>
  <c r="F452" i="1" s="1"/>
  <c r="E453" i="1"/>
  <c r="C453" i="1"/>
  <c r="D453" i="1" l="1"/>
  <c r="B453" i="1"/>
  <c r="N453" i="1" s="1"/>
  <c r="Q453" i="1" s="1"/>
  <c r="P453" i="1" l="1"/>
  <c r="S453" i="1" s="1"/>
  <c r="M453" i="1" s="1"/>
  <c r="I453" i="1"/>
  <c r="O453" i="1"/>
  <c r="R453" i="1" s="1"/>
  <c r="K453" i="1" s="1"/>
  <c r="G453" i="1" l="1"/>
  <c r="H453" i="1"/>
  <c r="J453" i="1"/>
  <c r="C454" i="1"/>
  <c r="E454" i="1"/>
  <c r="L453" i="1"/>
  <c r="F453" i="1" l="1"/>
  <c r="B454" i="1" l="1"/>
  <c r="N454" i="1" s="1"/>
  <c r="Q454" i="1" s="1"/>
  <c r="D454" i="1"/>
  <c r="I454" i="1" l="1"/>
  <c r="O454" i="1"/>
  <c r="R454" i="1" s="1"/>
  <c r="K454" i="1" s="1"/>
  <c r="P454" i="1"/>
  <c r="S454" i="1" s="1"/>
  <c r="M454" i="1" s="1"/>
  <c r="J454" i="1"/>
  <c r="H454" i="1"/>
  <c r="G454" i="1" l="1"/>
  <c r="L454" i="1"/>
  <c r="F454" i="1" s="1"/>
  <c r="E455" i="1"/>
  <c r="C455" i="1"/>
  <c r="D455" i="1" l="1"/>
  <c r="B455" i="1"/>
  <c r="N455" i="1" s="1"/>
  <c r="Q455" i="1" s="1"/>
  <c r="I455" i="1" l="1"/>
  <c r="P455" i="1"/>
  <c r="S455" i="1" s="1"/>
  <c r="M455" i="1" s="1"/>
  <c r="O455" i="1"/>
  <c r="R455" i="1" s="1"/>
  <c r="K455" i="1" s="1"/>
  <c r="H455" i="1"/>
  <c r="J455" i="1" l="1"/>
  <c r="G455" i="1"/>
  <c r="L455" i="1"/>
  <c r="F455" i="1" s="1"/>
  <c r="B456" i="1" l="1"/>
  <c r="D456" i="1"/>
  <c r="E456" i="1"/>
  <c r="C456" i="1"/>
  <c r="N456" i="1" l="1"/>
  <c r="P456" i="1"/>
  <c r="S456" i="1" s="1"/>
  <c r="O456" i="1"/>
  <c r="R456" i="1" s="1"/>
  <c r="K456" i="1" s="1"/>
  <c r="Q456" i="1" l="1"/>
  <c r="I456" i="1" s="1"/>
  <c r="M456" i="1"/>
  <c r="L456" i="1"/>
  <c r="H456" i="1"/>
  <c r="J456" i="1"/>
  <c r="G456" i="1" l="1"/>
  <c r="E457" i="1"/>
  <c r="C457" i="1"/>
  <c r="F456" i="1"/>
  <c r="D457" i="1" l="1"/>
  <c r="B457" i="1"/>
  <c r="N457" i="1" s="1"/>
  <c r="Q457" i="1" s="1"/>
  <c r="I457" i="1" l="1"/>
  <c r="O457" i="1"/>
  <c r="R457" i="1" s="1"/>
  <c r="K457" i="1" s="1"/>
  <c r="P457" i="1"/>
  <c r="S457" i="1" s="1"/>
  <c r="M457" i="1" s="1"/>
  <c r="H457" i="1"/>
  <c r="J457" i="1" l="1"/>
  <c r="G457" i="1"/>
  <c r="L457" i="1"/>
  <c r="F457" i="1" s="1"/>
  <c r="D458" i="1" l="1"/>
  <c r="B458" i="1"/>
  <c r="C458" i="1"/>
  <c r="E458" i="1"/>
  <c r="N458" i="1" l="1"/>
  <c r="Q458" i="1" s="1"/>
  <c r="P458" i="1"/>
  <c r="S458" i="1" s="1"/>
  <c r="M458" i="1" s="1"/>
  <c r="O458" i="1"/>
  <c r="R458" i="1" s="1"/>
  <c r="K458" i="1" s="1"/>
  <c r="I458" i="1"/>
  <c r="G458" i="1" l="1"/>
  <c r="E459" i="1"/>
  <c r="C459" i="1"/>
  <c r="H458" i="1"/>
  <c r="L458" i="1"/>
  <c r="J458" i="1"/>
  <c r="F458" i="1" l="1"/>
  <c r="B459" i="1" l="1"/>
  <c r="N459" i="1" s="1"/>
  <c r="Q459" i="1" s="1"/>
  <c r="D459" i="1"/>
  <c r="I459" i="1" l="1"/>
  <c r="P459" i="1"/>
  <c r="S459" i="1" s="1"/>
  <c r="M459" i="1" s="1"/>
  <c r="O459" i="1"/>
  <c r="R459" i="1" s="1"/>
  <c r="K459" i="1" s="1"/>
  <c r="H459" i="1"/>
  <c r="J459" i="1" l="1"/>
  <c r="G459" i="1"/>
  <c r="L459" i="1"/>
  <c r="F459" i="1" s="1"/>
  <c r="C460" i="1"/>
  <c r="E460" i="1"/>
  <c r="D460" i="1" l="1"/>
  <c r="B460" i="1"/>
  <c r="N460" i="1" s="1"/>
  <c r="Q460" i="1" s="1"/>
  <c r="P460" i="1" l="1"/>
  <c r="S460" i="1" s="1"/>
  <c r="M460" i="1" s="1"/>
  <c r="O460" i="1"/>
  <c r="R460" i="1" s="1"/>
  <c r="I460" i="1"/>
  <c r="H460" i="1" l="1"/>
  <c r="J460" i="1"/>
  <c r="K460" i="1"/>
  <c r="G460" i="1" s="1"/>
  <c r="L460" i="1"/>
  <c r="E461" i="1" l="1"/>
  <c r="C461" i="1"/>
  <c r="F460" i="1"/>
  <c r="B461" i="1" l="1"/>
  <c r="N461" i="1" s="1"/>
  <c r="Q461" i="1" s="1"/>
  <c r="D461" i="1"/>
  <c r="I461" i="1" l="1"/>
  <c r="P461" i="1"/>
  <c r="S461" i="1" s="1"/>
  <c r="M461" i="1" s="1"/>
  <c r="O461" i="1"/>
  <c r="R461" i="1" s="1"/>
  <c r="K461" i="1" s="1"/>
  <c r="H461" i="1"/>
  <c r="J461" i="1" l="1"/>
  <c r="G461" i="1"/>
  <c r="L461" i="1"/>
  <c r="F461" i="1" s="1"/>
  <c r="C462" i="1"/>
  <c r="E462" i="1"/>
  <c r="D462" i="1" l="1"/>
  <c r="B462" i="1"/>
  <c r="N462" i="1" s="1"/>
  <c r="Q462" i="1" s="1"/>
  <c r="I462" i="1" l="1"/>
  <c r="O462" i="1"/>
  <c r="R462" i="1" s="1"/>
  <c r="K462" i="1" s="1"/>
  <c r="P462" i="1"/>
  <c r="S462" i="1" s="1"/>
  <c r="H462" i="1"/>
  <c r="M462" i="1" l="1"/>
  <c r="G462" i="1" s="1"/>
  <c r="J462" i="1"/>
  <c r="F462" i="1" s="1"/>
  <c r="L462" i="1"/>
  <c r="E463" i="1" l="1"/>
  <c r="C463" i="1"/>
  <c r="B463" i="1"/>
  <c r="N463" i="1" s="1"/>
  <c r="Q463" i="1" s="1"/>
  <c r="D463" i="1"/>
  <c r="I463" i="1" l="1"/>
  <c r="P463" i="1"/>
  <c r="S463" i="1" s="1"/>
  <c r="M463" i="1" s="1"/>
  <c r="O463" i="1"/>
  <c r="R463" i="1" s="1"/>
  <c r="K463" i="1" s="1"/>
  <c r="H463" i="1"/>
  <c r="J463" i="1" l="1"/>
  <c r="L463" i="1"/>
  <c r="F463" i="1" s="1"/>
  <c r="G463" i="1"/>
  <c r="D464" i="1" l="1"/>
  <c r="B464" i="1"/>
  <c r="C464" i="1"/>
  <c r="E464" i="1"/>
  <c r="N464" i="1" l="1"/>
  <c r="Q464" i="1" s="1"/>
  <c r="O464" i="1"/>
  <c r="R464" i="1" s="1"/>
  <c r="K464" i="1" s="1"/>
  <c r="P464" i="1"/>
  <c r="S464" i="1" s="1"/>
  <c r="L464" i="1" s="1"/>
  <c r="I464" i="1"/>
  <c r="J464" i="1"/>
  <c r="H464" i="1" l="1"/>
  <c r="M464" i="1"/>
  <c r="F464" i="1"/>
  <c r="G464" i="1"/>
  <c r="C465" i="1" l="1"/>
  <c r="E465" i="1"/>
  <c r="D465" i="1"/>
  <c r="B465" i="1"/>
  <c r="N465" i="1" s="1"/>
  <c r="Q465" i="1" s="1"/>
  <c r="O465" i="1" l="1"/>
  <c r="R465" i="1" s="1"/>
  <c r="K465" i="1" s="1"/>
  <c r="P465" i="1"/>
  <c r="S465" i="1" s="1"/>
  <c r="M465" i="1" s="1"/>
  <c r="H465" i="1"/>
  <c r="J465" i="1"/>
  <c r="L465" i="1" l="1"/>
  <c r="F465" i="1" s="1"/>
  <c r="I465" i="1"/>
  <c r="G465" i="1" s="1"/>
  <c r="D466" i="1" l="1"/>
  <c r="B466" i="1"/>
  <c r="C466" i="1"/>
  <c r="E466" i="1"/>
  <c r="N466" i="1" l="1"/>
  <c r="Q466" i="1" s="1"/>
  <c r="P466" i="1"/>
  <c r="S466" i="1" s="1"/>
  <c r="M466" i="1" s="1"/>
  <c r="O466" i="1"/>
  <c r="R466" i="1" s="1"/>
  <c r="J466" i="1" s="1"/>
  <c r="H466" i="1"/>
  <c r="I466" i="1" l="1"/>
  <c r="L466" i="1"/>
  <c r="K466" i="1"/>
  <c r="G466" i="1" s="1"/>
  <c r="F466" i="1"/>
  <c r="C467" i="1" l="1"/>
  <c r="E467" i="1"/>
  <c r="B467" i="1"/>
  <c r="N467" i="1" s="1"/>
  <c r="Q467" i="1" s="1"/>
  <c r="D467" i="1"/>
  <c r="P467" i="1" l="1"/>
  <c r="S467" i="1" s="1"/>
  <c r="L467" i="1" s="1"/>
  <c r="H467" i="1"/>
  <c r="O467" i="1"/>
  <c r="R467" i="1" s="1"/>
  <c r="J467" i="1" s="1"/>
  <c r="M467" i="1" l="1"/>
  <c r="F467" i="1"/>
  <c r="K467" i="1"/>
  <c r="I467" i="1"/>
  <c r="G467" i="1" s="1"/>
  <c r="C468" i="1" l="1"/>
  <c r="E468" i="1"/>
  <c r="B468" i="1"/>
  <c r="N468" i="1" s="1"/>
  <c r="Q468" i="1" s="1"/>
  <c r="D468" i="1"/>
  <c r="P468" i="1" l="1"/>
  <c r="S468" i="1" s="1"/>
  <c r="L468" i="1" s="1"/>
  <c r="O468" i="1"/>
  <c r="R468" i="1" s="1"/>
  <c r="J468" i="1" s="1"/>
  <c r="H468" i="1"/>
  <c r="M468" i="1" l="1"/>
  <c r="F468" i="1"/>
  <c r="I468" i="1"/>
  <c r="K468" i="1"/>
  <c r="G468" i="1" l="1"/>
  <c r="C469" i="1" s="1"/>
  <c r="E469" i="1"/>
  <c r="B469" i="1"/>
  <c r="D469" i="1"/>
  <c r="N469" i="1" l="1"/>
  <c r="Q469" i="1" s="1"/>
  <c r="O469" i="1"/>
  <c r="R469" i="1" s="1"/>
  <c r="K469" i="1" s="1"/>
  <c r="I469" i="1"/>
  <c r="P469" i="1"/>
  <c r="S469" i="1" s="1"/>
  <c r="L469" i="1" s="1"/>
  <c r="M469" i="1" l="1"/>
  <c r="H469" i="1"/>
  <c r="J469" i="1"/>
  <c r="G469" i="1"/>
  <c r="E470" i="1" l="1"/>
  <c r="C470" i="1"/>
  <c r="F469" i="1"/>
  <c r="B470" i="1" l="1"/>
  <c r="N470" i="1" s="1"/>
  <c r="Q470" i="1" s="1"/>
  <c r="D470" i="1"/>
  <c r="O470" i="1" l="1"/>
  <c r="R470" i="1" s="1"/>
  <c r="K470" i="1" s="1"/>
  <c r="P470" i="1"/>
  <c r="S470" i="1" s="1"/>
  <c r="M470" i="1" s="1"/>
  <c r="I470" i="1"/>
  <c r="G470" i="1" s="1"/>
  <c r="J470" i="1"/>
  <c r="H470" i="1"/>
  <c r="C471" i="1" l="1"/>
  <c r="E471" i="1"/>
  <c r="L470" i="1"/>
  <c r="F470" i="1" s="1"/>
  <c r="D471" i="1" l="1"/>
  <c r="B471" i="1"/>
  <c r="N471" i="1" s="1"/>
  <c r="Q471" i="1" s="1"/>
  <c r="I471" i="1" l="1"/>
  <c r="O471" i="1"/>
  <c r="R471" i="1" s="1"/>
  <c r="K471" i="1" s="1"/>
  <c r="P471" i="1"/>
  <c r="S471" i="1" s="1"/>
  <c r="M471" i="1" s="1"/>
  <c r="H471" i="1"/>
  <c r="J471" i="1" l="1"/>
  <c r="G471" i="1"/>
  <c r="L471" i="1"/>
  <c r="F471" i="1" s="1"/>
  <c r="B472" i="1" l="1"/>
  <c r="D472" i="1"/>
  <c r="E472" i="1"/>
  <c r="C472" i="1"/>
  <c r="N472" i="1" l="1"/>
  <c r="Q472" i="1" s="1"/>
  <c r="O472" i="1"/>
  <c r="R472" i="1" s="1"/>
  <c r="K472" i="1" s="1"/>
  <c r="P472" i="1"/>
  <c r="S472" i="1" s="1"/>
  <c r="M472" i="1" s="1"/>
  <c r="H472" i="1"/>
  <c r="I472" i="1" l="1"/>
  <c r="G472" i="1" s="1"/>
  <c r="L472" i="1"/>
  <c r="J472" i="1"/>
  <c r="F472" i="1" s="1"/>
  <c r="B473" i="1" l="1"/>
  <c r="D473" i="1"/>
  <c r="E473" i="1"/>
  <c r="C473" i="1"/>
  <c r="N473" i="1" l="1"/>
  <c r="Q473" i="1" s="1"/>
  <c r="O473" i="1"/>
  <c r="R473" i="1" s="1"/>
  <c r="K473" i="1" s="1"/>
  <c r="H473" i="1"/>
  <c r="P473" i="1"/>
  <c r="S473" i="1" s="1"/>
  <c r="M473" i="1" s="1"/>
  <c r="I473" i="1" l="1"/>
  <c r="G473" i="1" s="1"/>
  <c r="L473" i="1"/>
  <c r="J473" i="1"/>
  <c r="F473" i="1" s="1"/>
  <c r="B474" i="1" l="1"/>
  <c r="D474" i="1"/>
  <c r="E474" i="1"/>
  <c r="C474" i="1"/>
  <c r="N474" i="1" l="1"/>
  <c r="Q474" i="1" s="1"/>
  <c r="P474" i="1"/>
  <c r="S474" i="1" s="1"/>
  <c r="M474" i="1" s="1"/>
  <c r="O474" i="1"/>
  <c r="R474" i="1" s="1"/>
  <c r="K474" i="1" s="1"/>
  <c r="H474" i="1"/>
  <c r="L474" i="1" l="1"/>
  <c r="I474" i="1"/>
  <c r="G474" i="1" s="1"/>
  <c r="J474" i="1"/>
  <c r="F474" i="1" s="1"/>
  <c r="D475" i="1" l="1"/>
  <c r="B475" i="1"/>
  <c r="E475" i="1"/>
  <c r="C475" i="1"/>
  <c r="N475" i="1" l="1"/>
  <c r="Q475" i="1" s="1"/>
  <c r="I475" i="1" s="1"/>
  <c r="O475" i="1"/>
  <c r="R475" i="1" s="1"/>
  <c r="J475" i="1" s="1"/>
  <c r="P475" i="1"/>
  <c r="S475" i="1" s="1"/>
  <c r="L475" i="1" s="1"/>
  <c r="H475" i="1"/>
  <c r="M475" i="1" l="1"/>
  <c r="F475" i="1"/>
  <c r="K475" i="1"/>
  <c r="G475" i="1" s="1"/>
  <c r="C476" i="1" l="1"/>
  <c r="E476" i="1"/>
  <c r="B476" i="1"/>
  <c r="N476" i="1" s="1"/>
  <c r="Q476" i="1" s="1"/>
  <c r="D476" i="1"/>
  <c r="O476" i="1" l="1"/>
  <c r="R476" i="1" s="1"/>
  <c r="J476" i="1" s="1"/>
  <c r="P476" i="1"/>
  <c r="S476" i="1" s="1"/>
  <c r="L476" i="1" s="1"/>
  <c r="H476" i="1"/>
  <c r="K476" i="1"/>
  <c r="M476" i="1" l="1"/>
  <c r="F476" i="1"/>
  <c r="I476" i="1"/>
  <c r="G476" i="1" s="1"/>
  <c r="C477" i="1" l="1"/>
  <c r="E477" i="1"/>
  <c r="B477" i="1"/>
  <c r="N477" i="1" s="1"/>
  <c r="Q477" i="1" s="1"/>
  <c r="D477" i="1"/>
  <c r="P477" i="1" l="1"/>
  <c r="S477" i="1" s="1"/>
  <c r="L477" i="1" s="1"/>
  <c r="H477" i="1"/>
  <c r="O477" i="1"/>
  <c r="R477" i="1" s="1"/>
  <c r="J477" i="1" s="1"/>
  <c r="K477" i="1" l="1"/>
  <c r="M477" i="1"/>
  <c r="F477" i="1"/>
  <c r="I477" i="1"/>
  <c r="G477" i="1" s="1"/>
  <c r="C478" i="1" l="1"/>
  <c r="E478" i="1"/>
  <c r="D478" i="1"/>
  <c r="B478" i="1"/>
  <c r="N478" i="1" s="1"/>
  <c r="Q478" i="1" s="1"/>
  <c r="P478" i="1" l="1"/>
  <c r="S478" i="1" s="1"/>
  <c r="M478" i="1" s="1"/>
  <c r="I478" i="1"/>
  <c r="O478" i="1"/>
  <c r="R478" i="1" s="1"/>
  <c r="K478" i="1" s="1"/>
  <c r="H478" i="1"/>
  <c r="G478" i="1" l="1"/>
  <c r="E479" i="1"/>
  <c r="C479" i="1"/>
  <c r="J478" i="1"/>
  <c r="L478" i="1"/>
  <c r="F478" i="1" l="1"/>
  <c r="D479" i="1"/>
  <c r="B479" i="1"/>
  <c r="N479" i="1" s="1"/>
  <c r="Q479" i="1" s="1"/>
  <c r="I479" i="1" l="1"/>
  <c r="O479" i="1"/>
  <c r="R479" i="1" s="1"/>
  <c r="K479" i="1" s="1"/>
  <c r="P479" i="1"/>
  <c r="S479" i="1" s="1"/>
  <c r="M479" i="1" s="1"/>
  <c r="H479" i="1"/>
  <c r="J479" i="1"/>
  <c r="G479" i="1" l="1"/>
  <c r="L479" i="1"/>
  <c r="F479" i="1" s="1"/>
  <c r="D480" i="1" l="1"/>
  <c r="B480" i="1"/>
  <c r="C480" i="1"/>
  <c r="E480" i="1"/>
  <c r="N480" i="1" l="1"/>
  <c r="Q480" i="1" s="1"/>
  <c r="P480" i="1"/>
  <c r="S480" i="1" s="1"/>
  <c r="O480" i="1"/>
  <c r="R480" i="1" s="1"/>
  <c r="K480" i="1" s="1"/>
  <c r="I480" i="1"/>
  <c r="J480" i="1"/>
  <c r="M480" i="1" l="1"/>
  <c r="G480" i="1" s="1"/>
  <c r="L480" i="1"/>
  <c r="H480" i="1"/>
  <c r="F480" i="1" s="1"/>
  <c r="E481" i="1" l="1"/>
  <c r="C481" i="1"/>
  <c r="B481" i="1"/>
  <c r="N481" i="1" s="1"/>
  <c r="Q481" i="1" s="1"/>
  <c r="D481" i="1"/>
  <c r="I481" i="1" l="1"/>
  <c r="O481" i="1"/>
  <c r="R481" i="1" s="1"/>
  <c r="K481" i="1" s="1"/>
  <c r="P481" i="1"/>
  <c r="S481" i="1" s="1"/>
  <c r="M481" i="1" s="1"/>
  <c r="J481" i="1"/>
  <c r="H481" i="1"/>
  <c r="G481" i="1" l="1"/>
  <c r="C482" i="1"/>
  <c r="E482" i="1"/>
  <c r="L481" i="1"/>
  <c r="F481" i="1" s="1"/>
  <c r="D482" i="1" l="1"/>
  <c r="B482" i="1"/>
  <c r="N482" i="1" s="1"/>
  <c r="Q482" i="1" s="1"/>
  <c r="O482" i="1" l="1"/>
  <c r="R482" i="1" s="1"/>
  <c r="K482" i="1" s="1"/>
  <c r="I482" i="1"/>
  <c r="P482" i="1"/>
  <c r="S482" i="1" s="1"/>
  <c r="M482" i="1" s="1"/>
  <c r="J482" i="1"/>
  <c r="G482" i="1" l="1"/>
  <c r="H482" i="1"/>
  <c r="C483" i="1"/>
  <c r="E483" i="1"/>
  <c r="L482" i="1"/>
  <c r="F482" i="1" l="1"/>
  <c r="D483" i="1" l="1"/>
  <c r="B483" i="1"/>
  <c r="N483" i="1" s="1"/>
  <c r="Q483" i="1" s="1"/>
  <c r="P483" i="1" l="1"/>
  <c r="S483" i="1" s="1"/>
  <c r="M483" i="1" s="1"/>
  <c r="O483" i="1"/>
  <c r="R483" i="1" s="1"/>
  <c r="K483" i="1" s="1"/>
  <c r="I483" i="1"/>
  <c r="J483" i="1" l="1"/>
  <c r="H483" i="1"/>
  <c r="G483" i="1"/>
  <c r="L483" i="1"/>
  <c r="C484" i="1" l="1"/>
  <c r="E484" i="1"/>
  <c r="F483" i="1"/>
  <c r="B484" i="1" l="1"/>
  <c r="N484" i="1" s="1"/>
  <c r="Q484" i="1" s="1"/>
  <c r="D484" i="1"/>
  <c r="O484" i="1" l="1"/>
  <c r="R484" i="1" s="1"/>
  <c r="P484" i="1"/>
  <c r="S484" i="1" s="1"/>
  <c r="M484" i="1" s="1"/>
  <c r="H484" i="1" l="1"/>
  <c r="I484" i="1"/>
  <c r="L484" i="1"/>
  <c r="J484" i="1"/>
  <c r="K484" i="1"/>
  <c r="G484" i="1" l="1"/>
  <c r="F484" i="1"/>
  <c r="D485" i="1" l="1"/>
  <c r="B485" i="1"/>
  <c r="E485" i="1"/>
  <c r="C485" i="1"/>
  <c r="N485" i="1" l="1"/>
  <c r="Q485" i="1" s="1"/>
  <c r="I485" i="1" s="1"/>
  <c r="O485" i="1"/>
  <c r="R485" i="1" s="1"/>
  <c r="K485" i="1" s="1"/>
  <c r="P485" i="1"/>
  <c r="S485" i="1" s="1"/>
  <c r="M485" i="1" s="1"/>
  <c r="J485" i="1" l="1"/>
  <c r="G485" i="1"/>
  <c r="E486" i="1" s="1"/>
  <c r="H485" i="1"/>
  <c r="L485" i="1"/>
  <c r="C486" i="1" l="1"/>
  <c r="F485" i="1"/>
  <c r="B486" i="1" l="1"/>
  <c r="N486" i="1" s="1"/>
  <c r="Q486" i="1" s="1"/>
  <c r="D486" i="1"/>
  <c r="O486" i="1" l="1"/>
  <c r="R486" i="1" s="1"/>
  <c r="K486" i="1" s="1"/>
  <c r="P486" i="1"/>
  <c r="S486" i="1" s="1"/>
  <c r="M486" i="1" s="1"/>
  <c r="I486" i="1"/>
  <c r="G486" i="1" s="1"/>
  <c r="H486" i="1"/>
  <c r="C487" i="1" l="1"/>
  <c r="E487" i="1"/>
  <c r="J486" i="1"/>
  <c r="L486" i="1"/>
  <c r="F486" i="1" l="1"/>
  <c r="D487" i="1"/>
  <c r="B487" i="1"/>
  <c r="N487" i="1" s="1"/>
  <c r="Q487" i="1" s="1"/>
  <c r="P487" i="1" l="1"/>
  <c r="S487" i="1" s="1"/>
  <c r="M487" i="1" s="1"/>
  <c r="I487" i="1"/>
  <c r="O487" i="1"/>
  <c r="R487" i="1" s="1"/>
  <c r="H487" i="1" l="1"/>
  <c r="J487" i="1"/>
  <c r="K487" i="1"/>
  <c r="G487" i="1"/>
  <c r="L487" i="1"/>
  <c r="E488" i="1" l="1"/>
  <c r="C488" i="1"/>
  <c r="F487" i="1"/>
  <c r="B488" i="1" l="1"/>
  <c r="N488" i="1" s="1"/>
  <c r="Q488" i="1" s="1"/>
  <c r="D488" i="1"/>
  <c r="P488" i="1" l="1"/>
  <c r="S488" i="1" s="1"/>
  <c r="M488" i="1" s="1"/>
  <c r="O488" i="1"/>
  <c r="R488" i="1" s="1"/>
  <c r="K488" i="1" s="1"/>
  <c r="I488" i="1"/>
  <c r="J488" i="1"/>
  <c r="G488" i="1" l="1"/>
  <c r="H488" i="1"/>
  <c r="C489" i="1"/>
  <c r="E489" i="1"/>
  <c r="L488" i="1"/>
  <c r="F488" i="1" s="1"/>
  <c r="D489" i="1" l="1"/>
  <c r="B489" i="1"/>
  <c r="N489" i="1" s="1"/>
  <c r="Q489" i="1" s="1"/>
  <c r="I489" i="1" l="1"/>
  <c r="O489" i="1"/>
  <c r="R489" i="1" s="1"/>
  <c r="K489" i="1" s="1"/>
  <c r="H489" i="1"/>
  <c r="P489" i="1"/>
  <c r="S489" i="1" s="1"/>
  <c r="M489" i="1" s="1"/>
  <c r="J489" i="1"/>
  <c r="G489" i="1" l="1"/>
  <c r="L489" i="1"/>
  <c r="F489" i="1" s="1"/>
  <c r="D490" i="1" l="1"/>
  <c r="B490" i="1"/>
  <c r="C490" i="1"/>
  <c r="E490" i="1"/>
  <c r="N490" i="1" l="1"/>
  <c r="O490" i="1"/>
  <c r="R490" i="1" s="1"/>
  <c r="K490" i="1" s="1"/>
  <c r="P490" i="1"/>
  <c r="S490" i="1" s="1"/>
  <c r="J490" i="1" l="1"/>
  <c r="Q490" i="1"/>
  <c r="I490" i="1" s="1"/>
  <c r="M490" i="1"/>
  <c r="L490" i="1"/>
  <c r="H490" i="1"/>
  <c r="F490" i="1" s="1"/>
  <c r="G490" i="1" l="1"/>
  <c r="E491" i="1"/>
  <c r="C491" i="1"/>
  <c r="B491" i="1"/>
  <c r="N491" i="1" s="1"/>
  <c r="Q491" i="1" s="1"/>
  <c r="D491" i="1"/>
  <c r="P491" i="1" l="1"/>
  <c r="S491" i="1" s="1"/>
  <c r="M491" i="1" s="1"/>
  <c r="O491" i="1"/>
  <c r="R491" i="1" s="1"/>
  <c r="I491" i="1"/>
  <c r="H491" i="1" l="1"/>
  <c r="J491" i="1"/>
  <c r="K491" i="1"/>
  <c r="G491" i="1" s="1"/>
  <c r="L491" i="1"/>
  <c r="C492" i="1" l="1"/>
  <c r="E492" i="1"/>
  <c r="F491" i="1"/>
  <c r="D492" i="1" l="1"/>
  <c r="B492" i="1"/>
  <c r="N492" i="1" s="1"/>
  <c r="Q492" i="1" s="1"/>
  <c r="P492" i="1" l="1"/>
  <c r="S492" i="1" s="1"/>
  <c r="M492" i="1" s="1"/>
  <c r="I492" i="1"/>
  <c r="O492" i="1"/>
  <c r="R492" i="1" s="1"/>
  <c r="K492" i="1" s="1"/>
  <c r="G492" i="1" l="1"/>
  <c r="H492" i="1"/>
  <c r="J492" i="1"/>
  <c r="E493" i="1"/>
  <c r="C493" i="1"/>
  <c r="L492" i="1"/>
  <c r="F492" i="1" l="1"/>
  <c r="B493" i="1" l="1"/>
  <c r="N493" i="1" s="1"/>
  <c r="Q493" i="1" s="1"/>
  <c r="D493" i="1"/>
  <c r="P493" i="1" l="1"/>
  <c r="S493" i="1" s="1"/>
  <c r="M493" i="1" s="1"/>
  <c r="O493" i="1"/>
  <c r="R493" i="1" s="1"/>
  <c r="K493" i="1" s="1"/>
  <c r="I493" i="1"/>
  <c r="J493" i="1" l="1"/>
  <c r="G493" i="1"/>
  <c r="H493" i="1"/>
  <c r="F493" i="1" s="1"/>
  <c r="L493" i="1"/>
  <c r="D494" i="1" l="1"/>
  <c r="B494" i="1"/>
  <c r="C494" i="1"/>
  <c r="E494" i="1"/>
  <c r="N494" i="1" l="1"/>
  <c r="Q494" i="1" s="1"/>
  <c r="O494" i="1"/>
  <c r="R494" i="1" s="1"/>
  <c r="K494" i="1" s="1"/>
  <c r="I494" i="1"/>
  <c r="P494" i="1"/>
  <c r="S494" i="1" s="1"/>
  <c r="M494" i="1" s="1"/>
  <c r="J494" i="1"/>
  <c r="H494" i="1"/>
  <c r="G494" i="1" l="1"/>
  <c r="C495" i="1" s="1"/>
  <c r="E495" i="1"/>
  <c r="L494" i="1"/>
  <c r="F494" i="1" s="1"/>
  <c r="B495" i="1" l="1"/>
  <c r="N495" i="1" s="1"/>
  <c r="Q495" i="1" s="1"/>
  <c r="D495" i="1"/>
  <c r="P495" i="1" l="1"/>
  <c r="S495" i="1" s="1"/>
  <c r="M495" i="1" s="1"/>
  <c r="I495" i="1"/>
  <c r="O495" i="1"/>
  <c r="R495" i="1" s="1"/>
  <c r="K495" i="1" s="1"/>
  <c r="H495" i="1"/>
  <c r="J495" i="1" l="1"/>
  <c r="L495" i="1"/>
  <c r="F495" i="1" s="1"/>
  <c r="G495" i="1"/>
  <c r="D496" i="1" l="1"/>
  <c r="B496" i="1"/>
  <c r="C496" i="1"/>
  <c r="E496" i="1"/>
  <c r="N496" i="1" l="1"/>
  <c r="Q496" i="1" s="1"/>
  <c r="O496" i="1"/>
  <c r="R496" i="1" s="1"/>
  <c r="J496" i="1" s="1"/>
  <c r="P496" i="1"/>
  <c r="S496" i="1" s="1"/>
  <c r="L496" i="1" s="1"/>
  <c r="K496" i="1" l="1"/>
  <c r="I496" i="1"/>
  <c r="H496" i="1"/>
  <c r="M496" i="1"/>
  <c r="F496" i="1"/>
  <c r="G496" i="1"/>
  <c r="C497" i="1" l="1"/>
  <c r="E497" i="1"/>
  <c r="D497" i="1"/>
  <c r="B497" i="1"/>
  <c r="N497" i="1" s="1"/>
  <c r="Q497" i="1" s="1"/>
  <c r="P497" i="1" l="1"/>
  <c r="S497" i="1" s="1"/>
  <c r="M497" i="1" s="1"/>
  <c r="I497" i="1"/>
  <c r="O497" i="1"/>
  <c r="R497" i="1" s="1"/>
  <c r="K497" i="1" s="1"/>
  <c r="H497" i="1"/>
  <c r="J497" i="1" l="1"/>
  <c r="G497" i="1"/>
  <c r="E498" i="1" s="1"/>
  <c r="L497" i="1"/>
  <c r="F497" i="1" s="1"/>
  <c r="C498" i="1" l="1"/>
  <c r="D498" i="1"/>
  <c r="B498" i="1"/>
  <c r="N498" i="1" s="1"/>
  <c r="Q498" i="1" s="1"/>
  <c r="I498" i="1" l="1"/>
  <c r="P498" i="1"/>
  <c r="S498" i="1" s="1"/>
  <c r="M498" i="1" s="1"/>
  <c r="O498" i="1"/>
  <c r="R498" i="1" s="1"/>
  <c r="K498" i="1" s="1"/>
  <c r="H498" i="1"/>
  <c r="J498" i="1" l="1"/>
  <c r="G498" i="1"/>
  <c r="L498" i="1"/>
  <c r="F498" i="1" l="1"/>
  <c r="D499" i="1"/>
  <c r="B499" i="1"/>
  <c r="C499" i="1"/>
  <c r="E499" i="1"/>
  <c r="N499" i="1" l="1"/>
  <c r="Q499" i="1" s="1"/>
  <c r="O499" i="1"/>
  <c r="R499" i="1" s="1"/>
  <c r="K499" i="1" s="1"/>
  <c r="I499" i="1"/>
  <c r="P499" i="1"/>
  <c r="S499" i="1" s="1"/>
  <c r="M499" i="1" s="1"/>
  <c r="G499" i="1" l="1"/>
  <c r="E500" i="1"/>
  <c r="C500" i="1"/>
  <c r="J499" i="1"/>
  <c r="L499" i="1"/>
  <c r="H499" i="1"/>
  <c r="F499" i="1" s="1"/>
  <c r="B500" i="1" l="1"/>
  <c r="N500" i="1" s="1"/>
  <c r="Q500" i="1" s="1"/>
  <c r="D500" i="1"/>
  <c r="O500" i="1" l="1"/>
  <c r="R500" i="1" s="1"/>
  <c r="K500" i="1" s="1"/>
  <c r="P500" i="1"/>
  <c r="S500" i="1" s="1"/>
  <c r="M500" i="1" s="1"/>
  <c r="I500" i="1"/>
  <c r="G500" i="1" s="1"/>
  <c r="J500" i="1"/>
  <c r="H500" i="1" l="1"/>
  <c r="C501" i="1"/>
  <c r="E501" i="1"/>
  <c r="L500" i="1"/>
  <c r="F500" i="1" s="1"/>
  <c r="D501" i="1" l="1"/>
  <c r="B501" i="1"/>
  <c r="N501" i="1" s="1"/>
  <c r="Q501" i="1" s="1"/>
  <c r="O501" i="1" l="1"/>
  <c r="R501" i="1" s="1"/>
  <c r="K501" i="1" s="1"/>
  <c r="I501" i="1"/>
  <c r="P501" i="1"/>
  <c r="S501" i="1" s="1"/>
  <c r="M501" i="1" s="1"/>
  <c r="J501" i="1"/>
  <c r="H501" i="1"/>
  <c r="G501" i="1" l="1"/>
  <c r="C502" i="1"/>
  <c r="E502" i="1"/>
  <c r="L501" i="1"/>
  <c r="F501" i="1" s="1"/>
  <c r="B502" i="1" l="1"/>
  <c r="N502" i="1" s="1"/>
  <c r="Q502" i="1" s="1"/>
  <c r="D502" i="1"/>
  <c r="O502" i="1" l="1"/>
  <c r="R502" i="1" s="1"/>
  <c r="K502" i="1" s="1"/>
  <c r="P502" i="1"/>
  <c r="S502" i="1" s="1"/>
  <c r="M502" i="1" s="1"/>
  <c r="I502" i="1"/>
  <c r="J502" i="1"/>
  <c r="H502" i="1"/>
  <c r="G502" i="1" l="1"/>
  <c r="L502" i="1"/>
  <c r="F502" i="1" s="1"/>
  <c r="D503" i="1" l="1"/>
  <c r="B503" i="1"/>
  <c r="C503" i="1"/>
  <c r="E503" i="1"/>
  <c r="N503" i="1" l="1"/>
  <c r="Q503" i="1" s="1"/>
  <c r="O503" i="1"/>
  <c r="R503" i="1" s="1"/>
  <c r="K503" i="1" s="1"/>
  <c r="P503" i="1"/>
  <c r="S503" i="1" s="1"/>
  <c r="M503" i="1" s="1"/>
  <c r="I503" i="1"/>
  <c r="J503" i="1" l="1"/>
  <c r="G503" i="1"/>
  <c r="E504" i="1" s="1"/>
  <c r="L503" i="1"/>
  <c r="H503" i="1"/>
  <c r="F503" i="1" s="1"/>
  <c r="C504" i="1" l="1"/>
  <c r="B504" i="1"/>
  <c r="N504" i="1" s="1"/>
  <c r="Q504" i="1" s="1"/>
  <c r="D504" i="1"/>
  <c r="O504" i="1" l="1"/>
  <c r="R504" i="1" s="1"/>
  <c r="K504" i="1" s="1"/>
  <c r="P504" i="1"/>
  <c r="S504" i="1" s="1"/>
  <c r="M504" i="1" s="1"/>
  <c r="I504" i="1"/>
  <c r="G504" i="1" s="1"/>
  <c r="H504" i="1" l="1"/>
  <c r="C505" i="1"/>
  <c r="E505" i="1"/>
  <c r="J504" i="1"/>
  <c r="L504" i="1"/>
  <c r="F504" i="1" s="1"/>
  <c r="D505" i="1" l="1"/>
  <c r="B505" i="1"/>
  <c r="N505" i="1" s="1"/>
  <c r="Q505" i="1" s="1"/>
  <c r="P505" i="1" l="1"/>
  <c r="S505" i="1" s="1"/>
  <c r="M505" i="1" s="1"/>
  <c r="O505" i="1"/>
  <c r="R505" i="1" s="1"/>
  <c r="K505" i="1" s="1"/>
  <c r="I505" i="1"/>
  <c r="G505" i="1" s="1"/>
  <c r="H505" i="1"/>
  <c r="J505" i="1" l="1"/>
  <c r="E506" i="1"/>
  <c r="C506" i="1"/>
  <c r="L505" i="1"/>
  <c r="F505" i="1" s="1"/>
  <c r="B506" i="1" l="1"/>
  <c r="N506" i="1" s="1"/>
  <c r="Q506" i="1" s="1"/>
  <c r="D506" i="1"/>
  <c r="P506" i="1" l="1"/>
  <c r="S506" i="1" s="1"/>
  <c r="M506" i="1" s="1"/>
  <c r="I506" i="1"/>
  <c r="O506" i="1"/>
  <c r="R506" i="1" s="1"/>
  <c r="K506" i="1" s="1"/>
  <c r="H506" i="1"/>
  <c r="J506" i="1" l="1"/>
  <c r="G506" i="1"/>
  <c r="L506" i="1"/>
  <c r="F506" i="1" s="1"/>
  <c r="D507" i="1" l="1"/>
  <c r="B507" i="1"/>
  <c r="E507" i="1"/>
  <c r="C507" i="1"/>
  <c r="N507" i="1" l="1"/>
  <c r="Q507" i="1" s="1"/>
  <c r="P507" i="1"/>
  <c r="S507" i="1" s="1"/>
  <c r="M507" i="1" s="1"/>
  <c r="I507" i="1"/>
  <c r="O507" i="1"/>
  <c r="R507" i="1" s="1"/>
  <c r="K507" i="1" s="1"/>
  <c r="H507" i="1"/>
  <c r="G507" i="1" l="1"/>
  <c r="C508" i="1" s="1"/>
  <c r="J507" i="1"/>
  <c r="L507" i="1"/>
  <c r="F507" i="1" l="1"/>
  <c r="E508" i="1"/>
  <c r="D508" i="1"/>
  <c r="B508" i="1"/>
  <c r="N508" i="1" s="1"/>
  <c r="Q508" i="1" s="1"/>
  <c r="P508" i="1" l="1"/>
  <c r="S508" i="1" s="1"/>
  <c r="M508" i="1" s="1"/>
  <c r="I508" i="1"/>
  <c r="O508" i="1"/>
  <c r="R508" i="1" s="1"/>
  <c r="K508" i="1" s="1"/>
  <c r="J508" i="1" l="1"/>
  <c r="H508" i="1"/>
  <c r="G508" i="1"/>
  <c r="L508" i="1"/>
  <c r="C509" i="1" l="1"/>
  <c r="E509" i="1"/>
  <c r="F508" i="1"/>
  <c r="D509" i="1" l="1"/>
  <c r="B509" i="1"/>
  <c r="N509" i="1" s="1"/>
  <c r="Q509" i="1" s="1"/>
  <c r="I509" i="1" l="1"/>
  <c r="O509" i="1"/>
  <c r="R509" i="1" s="1"/>
  <c r="K509" i="1" s="1"/>
  <c r="P509" i="1"/>
  <c r="S509" i="1" s="1"/>
  <c r="M509" i="1" s="1"/>
  <c r="H509" i="1"/>
  <c r="J509" i="1" l="1"/>
  <c r="G509" i="1"/>
  <c r="L509" i="1"/>
  <c r="F509" i="1" l="1"/>
  <c r="D510" i="1"/>
  <c r="B510" i="1"/>
  <c r="E510" i="1"/>
  <c r="C510" i="1"/>
  <c r="N510" i="1" l="1"/>
  <c r="Q510" i="1" s="1"/>
  <c r="I510" i="1" s="1"/>
  <c r="P510" i="1"/>
  <c r="S510" i="1" s="1"/>
  <c r="M510" i="1" s="1"/>
  <c r="O510" i="1"/>
  <c r="R510" i="1" s="1"/>
  <c r="K510" i="1" s="1"/>
  <c r="H510" i="1"/>
  <c r="J510" i="1" l="1"/>
  <c r="G510" i="1"/>
  <c r="L510" i="1"/>
  <c r="F510" i="1" l="1"/>
  <c r="B511" i="1"/>
  <c r="D511" i="1"/>
  <c r="E511" i="1"/>
  <c r="C511" i="1"/>
  <c r="N511" i="1" l="1"/>
  <c r="O511" i="1"/>
  <c r="R511" i="1" s="1"/>
  <c r="J511" i="1" s="1"/>
  <c r="P511" i="1"/>
  <c r="S511" i="1" s="1"/>
  <c r="M511" i="1" s="1"/>
  <c r="Q511" i="1" l="1"/>
  <c r="I511" i="1" s="1"/>
  <c r="L511" i="1"/>
  <c r="K511" i="1"/>
  <c r="H511" i="1"/>
  <c r="F511" i="1" s="1"/>
  <c r="G511" i="1" l="1"/>
  <c r="C512" i="1"/>
  <c r="E512" i="1"/>
  <c r="D512" i="1"/>
  <c r="B512" i="1"/>
  <c r="N512" i="1" s="1"/>
  <c r="Q512" i="1" s="1"/>
  <c r="I512" i="1" l="1"/>
  <c r="O512" i="1"/>
  <c r="R512" i="1" s="1"/>
  <c r="K512" i="1" s="1"/>
  <c r="P512" i="1"/>
  <c r="S512" i="1" s="1"/>
  <c r="M512" i="1" s="1"/>
  <c r="H512" i="1"/>
  <c r="J512" i="1"/>
  <c r="G512" i="1" l="1"/>
  <c r="E513" i="1"/>
  <c r="C513" i="1"/>
  <c r="L512" i="1"/>
  <c r="F512" i="1" s="1"/>
  <c r="D513" i="1" l="1"/>
  <c r="B513" i="1"/>
  <c r="N513" i="1" s="1"/>
  <c r="Q513" i="1" s="1"/>
  <c r="I513" i="1" l="1"/>
  <c r="P513" i="1"/>
  <c r="S513" i="1" s="1"/>
  <c r="M513" i="1" s="1"/>
  <c r="O513" i="1"/>
  <c r="R513" i="1" s="1"/>
  <c r="K513" i="1" s="1"/>
  <c r="H513" i="1"/>
  <c r="J513" i="1" l="1"/>
  <c r="G513" i="1"/>
  <c r="L513" i="1"/>
  <c r="F513" i="1" s="1"/>
  <c r="B514" i="1" l="1"/>
  <c r="D514" i="1"/>
  <c r="C514" i="1"/>
  <c r="E514" i="1"/>
  <c r="N514" i="1" l="1"/>
  <c r="Q514" i="1" s="1"/>
  <c r="P514" i="1"/>
  <c r="S514" i="1" s="1"/>
  <c r="O514" i="1"/>
  <c r="R514" i="1" s="1"/>
  <c r="K514" i="1" s="1"/>
  <c r="I514" i="1"/>
  <c r="M514" i="1" l="1"/>
  <c r="G514" i="1" s="1"/>
  <c r="L514" i="1"/>
  <c r="H514" i="1"/>
  <c r="J514" i="1"/>
  <c r="E515" i="1" l="1"/>
  <c r="C515" i="1"/>
  <c r="F514" i="1"/>
  <c r="D515" i="1" s="1"/>
  <c r="B515" i="1" l="1"/>
  <c r="N515" i="1" s="1"/>
  <c r="Q515" i="1" s="1"/>
  <c r="P515" i="1"/>
  <c r="S515" i="1" s="1"/>
  <c r="M515" i="1" s="1"/>
  <c r="I515" i="1"/>
  <c r="O515" i="1"/>
  <c r="R515" i="1" s="1"/>
  <c r="K515" i="1" s="1"/>
  <c r="H515" i="1"/>
  <c r="J515" i="1" l="1"/>
  <c r="G515" i="1"/>
  <c r="L515" i="1"/>
  <c r="F515" i="1" l="1"/>
  <c r="B516" i="1"/>
  <c r="D516" i="1"/>
  <c r="C516" i="1"/>
  <c r="E516" i="1"/>
  <c r="N516" i="1" l="1"/>
  <c r="Q516" i="1" s="1"/>
  <c r="O516" i="1"/>
  <c r="R516" i="1" s="1"/>
  <c r="K516" i="1" s="1"/>
  <c r="I516" i="1"/>
  <c r="P516" i="1"/>
  <c r="S516" i="1" s="1"/>
  <c r="M516" i="1" s="1"/>
  <c r="J516" i="1" l="1"/>
  <c r="G516" i="1"/>
  <c r="L516" i="1"/>
  <c r="H516" i="1"/>
  <c r="F516" i="1" s="1"/>
  <c r="C517" i="1" l="1"/>
  <c r="E517" i="1"/>
  <c r="B517" i="1"/>
  <c r="N517" i="1" s="1"/>
  <c r="Q517" i="1" s="1"/>
  <c r="D517" i="1"/>
  <c r="O517" i="1" l="1"/>
  <c r="R517" i="1" s="1"/>
  <c r="K517" i="1" s="1"/>
  <c r="P517" i="1"/>
  <c r="S517" i="1" s="1"/>
  <c r="M517" i="1" s="1"/>
  <c r="I517" i="1"/>
  <c r="J517" i="1"/>
  <c r="G517" i="1" l="1"/>
  <c r="E518" i="1" s="1"/>
  <c r="H517" i="1"/>
  <c r="C518" i="1"/>
  <c r="L517" i="1"/>
  <c r="F517" i="1" l="1"/>
  <c r="B518" i="1" l="1"/>
  <c r="N518" i="1" s="1"/>
  <c r="Q518" i="1" s="1"/>
  <c r="D518" i="1"/>
  <c r="O518" i="1" l="1"/>
  <c r="R518" i="1" s="1"/>
  <c r="K518" i="1" s="1"/>
  <c r="P518" i="1"/>
  <c r="S518" i="1" s="1"/>
  <c r="M518" i="1" s="1"/>
  <c r="J518" i="1"/>
  <c r="H518" i="1" l="1"/>
  <c r="I518" i="1"/>
  <c r="G518" i="1" s="1"/>
  <c r="L518" i="1"/>
  <c r="E519" i="1" l="1"/>
  <c r="C519" i="1"/>
  <c r="F518" i="1"/>
  <c r="D519" i="1" l="1"/>
  <c r="B519" i="1"/>
  <c r="N519" i="1" s="1"/>
  <c r="Q519" i="1" s="1"/>
  <c r="I519" i="1" l="1"/>
  <c r="O519" i="1"/>
  <c r="R519" i="1" s="1"/>
  <c r="P519" i="1"/>
  <c r="S519" i="1" s="1"/>
  <c r="M519" i="1" s="1"/>
  <c r="H519" i="1"/>
  <c r="J519" i="1" l="1"/>
  <c r="K519" i="1"/>
  <c r="G519" i="1"/>
  <c r="L519" i="1"/>
  <c r="F519" i="1" l="1"/>
  <c r="B520" i="1"/>
  <c r="D520" i="1"/>
  <c r="C520" i="1"/>
  <c r="E520" i="1"/>
  <c r="N520" i="1" l="1"/>
  <c r="Q520" i="1" s="1"/>
  <c r="P520" i="1"/>
  <c r="S520" i="1" s="1"/>
  <c r="M520" i="1" s="1"/>
  <c r="O520" i="1"/>
  <c r="R520" i="1" s="1"/>
  <c r="K520" i="1" s="1"/>
  <c r="H520" i="1"/>
  <c r="L520" i="1" l="1"/>
  <c r="I520" i="1"/>
  <c r="G520" i="1" s="1"/>
  <c r="J520" i="1"/>
  <c r="F520" i="1" s="1"/>
  <c r="D521" i="1" l="1"/>
  <c r="B521" i="1"/>
  <c r="C521" i="1"/>
  <c r="E521" i="1"/>
  <c r="N521" i="1" l="1"/>
  <c r="Q521" i="1" s="1"/>
  <c r="P521" i="1"/>
  <c r="S521" i="1" s="1"/>
  <c r="M521" i="1" s="1"/>
  <c r="O521" i="1"/>
  <c r="R521" i="1" s="1"/>
  <c r="J521" i="1" s="1"/>
  <c r="I521" i="1"/>
  <c r="H521" i="1" l="1"/>
  <c r="L521" i="1"/>
  <c r="K521" i="1"/>
  <c r="G521" i="1" s="1"/>
  <c r="E522" i="1" l="1"/>
  <c r="C522" i="1"/>
  <c r="F521" i="1"/>
  <c r="B522" i="1" l="1"/>
  <c r="N522" i="1" s="1"/>
  <c r="Q522" i="1" s="1"/>
  <c r="D522" i="1"/>
  <c r="I522" i="1" l="1"/>
  <c r="O522" i="1"/>
  <c r="R522" i="1" s="1"/>
  <c r="K522" i="1" s="1"/>
  <c r="P522" i="1"/>
  <c r="S522" i="1" s="1"/>
  <c r="M522" i="1" s="1"/>
  <c r="J522" i="1"/>
  <c r="H522" i="1"/>
  <c r="G522" i="1" l="1"/>
  <c r="C523" i="1"/>
  <c r="E523" i="1"/>
  <c r="L522" i="1"/>
  <c r="F522" i="1" s="1"/>
  <c r="D523" i="1" l="1"/>
  <c r="B523" i="1"/>
  <c r="N523" i="1" s="1"/>
  <c r="Q523" i="1" s="1"/>
  <c r="I523" i="1" l="1"/>
  <c r="O523" i="1"/>
  <c r="R523" i="1" s="1"/>
  <c r="K523" i="1" s="1"/>
  <c r="P523" i="1"/>
  <c r="S523" i="1" s="1"/>
  <c r="M523" i="1" s="1"/>
  <c r="J523" i="1"/>
  <c r="H523" i="1"/>
  <c r="G523" i="1" l="1"/>
  <c r="L523" i="1"/>
  <c r="F523" i="1" s="1"/>
  <c r="B524" i="1" l="1"/>
  <c r="D524" i="1"/>
  <c r="C524" i="1"/>
  <c r="E524" i="1"/>
  <c r="N524" i="1" l="1"/>
  <c r="O524" i="1"/>
  <c r="R524" i="1" s="1"/>
  <c r="K524" i="1" s="1"/>
  <c r="P524" i="1"/>
  <c r="S524" i="1" s="1"/>
  <c r="M524" i="1" s="1"/>
  <c r="J524" i="1"/>
  <c r="Q524" i="1" l="1"/>
  <c r="I524" i="1" s="1"/>
  <c r="G524" i="1" s="1"/>
  <c r="L524" i="1"/>
  <c r="H524" i="1"/>
  <c r="F524" i="1" s="1"/>
  <c r="C525" i="1" l="1"/>
  <c r="E525" i="1"/>
  <c r="B525" i="1"/>
  <c r="N525" i="1" s="1"/>
  <c r="Q525" i="1" s="1"/>
  <c r="D525" i="1"/>
  <c r="O525" i="1" l="1"/>
  <c r="R525" i="1" s="1"/>
  <c r="I525" i="1"/>
  <c r="P525" i="1"/>
  <c r="S525" i="1" s="1"/>
  <c r="M525" i="1" s="1"/>
  <c r="H525" i="1"/>
  <c r="J525" i="1" l="1"/>
  <c r="K525" i="1"/>
  <c r="G525" i="1" s="1"/>
  <c r="L525" i="1"/>
  <c r="F525" i="1" l="1"/>
  <c r="C526" i="1"/>
  <c r="E526" i="1"/>
  <c r="D526" i="1"/>
  <c r="B526" i="1"/>
  <c r="N526" i="1" s="1"/>
  <c r="Q526" i="1" s="1"/>
  <c r="I526" i="1" l="1"/>
  <c r="P526" i="1"/>
  <c r="S526" i="1" s="1"/>
  <c r="M526" i="1" s="1"/>
  <c r="O526" i="1"/>
  <c r="R526" i="1" s="1"/>
  <c r="J526" i="1" s="1"/>
  <c r="H526" i="1"/>
  <c r="L526" i="1" l="1"/>
  <c r="F526" i="1" s="1"/>
  <c r="K526" i="1"/>
  <c r="G526" i="1" s="1"/>
  <c r="C527" i="1" l="1"/>
  <c r="E527" i="1"/>
  <c r="D527" i="1"/>
  <c r="B527" i="1"/>
  <c r="N527" i="1" s="1"/>
  <c r="Q527" i="1" s="1"/>
  <c r="O527" i="1" l="1"/>
  <c r="R527" i="1" s="1"/>
  <c r="K527" i="1" s="1"/>
  <c r="I527" i="1"/>
  <c r="P527" i="1"/>
  <c r="S527" i="1" s="1"/>
  <c r="M527" i="1" s="1"/>
  <c r="J527" i="1"/>
  <c r="H527" i="1"/>
  <c r="G527" i="1" l="1"/>
  <c r="E528" i="1"/>
  <c r="C528" i="1"/>
  <c r="L527" i="1"/>
  <c r="F527" i="1" s="1"/>
  <c r="D528" i="1" l="1"/>
  <c r="B528" i="1"/>
  <c r="N528" i="1" s="1"/>
  <c r="Q528" i="1" s="1"/>
  <c r="I528" i="1" l="1"/>
  <c r="O528" i="1"/>
  <c r="R528" i="1" s="1"/>
  <c r="K528" i="1" s="1"/>
  <c r="P528" i="1"/>
  <c r="S528" i="1" s="1"/>
  <c r="M528" i="1" s="1"/>
  <c r="J528" i="1"/>
  <c r="H528" i="1"/>
  <c r="G528" i="1" l="1"/>
  <c r="L528" i="1"/>
  <c r="F528" i="1" s="1"/>
  <c r="D529" i="1" l="1"/>
  <c r="B529" i="1"/>
  <c r="C529" i="1"/>
  <c r="E529" i="1"/>
  <c r="N529" i="1" l="1"/>
  <c r="Q529" i="1" s="1"/>
  <c r="O529" i="1"/>
  <c r="R529" i="1" s="1"/>
  <c r="K529" i="1" s="1"/>
  <c r="I529" i="1"/>
  <c r="P529" i="1"/>
  <c r="S529" i="1" s="1"/>
  <c r="M529" i="1" s="1"/>
  <c r="J529" i="1"/>
  <c r="H529" i="1"/>
  <c r="G529" i="1" l="1"/>
  <c r="C530" i="1" s="1"/>
  <c r="E530" i="1"/>
  <c r="L529" i="1"/>
  <c r="F529" i="1" s="1"/>
  <c r="D530" i="1" l="1"/>
  <c r="B530" i="1"/>
  <c r="N530" i="1" s="1"/>
  <c r="Q530" i="1" s="1"/>
  <c r="O530" i="1" l="1"/>
  <c r="R530" i="1" s="1"/>
  <c r="K530" i="1" s="1"/>
  <c r="I530" i="1"/>
  <c r="P530" i="1"/>
  <c r="S530" i="1" s="1"/>
  <c r="M530" i="1" s="1"/>
  <c r="J530" i="1"/>
  <c r="H530" i="1"/>
  <c r="G530" i="1" l="1"/>
  <c r="C531" i="1"/>
  <c r="E531" i="1"/>
  <c r="L530" i="1"/>
  <c r="F530" i="1" s="1"/>
  <c r="B531" i="1" l="1"/>
  <c r="N531" i="1" s="1"/>
  <c r="Q531" i="1" s="1"/>
  <c r="D531" i="1"/>
  <c r="P531" i="1" l="1"/>
  <c r="S531" i="1" s="1"/>
  <c r="M531" i="1" s="1"/>
  <c r="O531" i="1"/>
  <c r="R531" i="1" s="1"/>
  <c r="K531" i="1" s="1"/>
  <c r="I531" i="1"/>
  <c r="H531" i="1"/>
  <c r="G531" i="1" l="1"/>
  <c r="J531" i="1"/>
  <c r="C532" i="1"/>
  <c r="E532" i="1"/>
  <c r="L531" i="1"/>
  <c r="F531" i="1" s="1"/>
  <c r="D532" i="1" l="1"/>
  <c r="B532" i="1"/>
  <c r="N532" i="1" s="1"/>
  <c r="Q532" i="1" s="1"/>
  <c r="P532" i="1" l="1"/>
  <c r="S532" i="1" s="1"/>
  <c r="M532" i="1" s="1"/>
  <c r="O532" i="1"/>
  <c r="R532" i="1" s="1"/>
  <c r="K532" i="1" s="1"/>
  <c r="I532" i="1"/>
  <c r="G532" i="1" l="1"/>
  <c r="H532" i="1"/>
  <c r="E533" i="1"/>
  <c r="C533" i="1"/>
  <c r="J532" i="1"/>
  <c r="L532" i="1"/>
  <c r="F532" i="1" l="1"/>
  <c r="D533" i="1" s="1"/>
  <c r="B533" i="1"/>
  <c r="N533" i="1" s="1"/>
  <c r="Q533" i="1" s="1"/>
  <c r="O533" i="1" l="1"/>
  <c r="R533" i="1" s="1"/>
  <c r="K533" i="1" s="1"/>
  <c r="I533" i="1"/>
  <c r="P533" i="1"/>
  <c r="S533" i="1" s="1"/>
  <c r="M533" i="1" s="1"/>
  <c r="J533" i="1"/>
  <c r="H533" i="1" l="1"/>
  <c r="G533" i="1"/>
  <c r="L533" i="1"/>
  <c r="E534" i="1" l="1"/>
  <c r="C534" i="1"/>
  <c r="F533" i="1"/>
  <c r="B534" i="1" l="1"/>
  <c r="N534" i="1" s="1"/>
  <c r="Q534" i="1" s="1"/>
  <c r="D534" i="1"/>
  <c r="P534" i="1" l="1"/>
  <c r="S534" i="1" s="1"/>
  <c r="M534" i="1" s="1"/>
  <c r="O534" i="1"/>
  <c r="R534" i="1" s="1"/>
  <c r="K534" i="1" s="1"/>
  <c r="I534" i="1"/>
  <c r="G534" i="1" l="1"/>
  <c r="H534" i="1"/>
  <c r="J534" i="1"/>
  <c r="C535" i="1"/>
  <c r="E535" i="1"/>
  <c r="L534" i="1"/>
  <c r="F534" i="1" s="1"/>
  <c r="D535" i="1" l="1"/>
  <c r="B535" i="1"/>
  <c r="N535" i="1" s="1"/>
  <c r="Q535" i="1" s="1"/>
  <c r="O535" i="1" l="1"/>
  <c r="R535" i="1" s="1"/>
  <c r="K535" i="1" s="1"/>
  <c r="P535" i="1"/>
  <c r="S535" i="1" s="1"/>
  <c r="M535" i="1" s="1"/>
  <c r="I535" i="1"/>
  <c r="G535" i="1" s="1"/>
  <c r="J535" i="1"/>
  <c r="C536" i="1" l="1"/>
  <c r="E536" i="1"/>
  <c r="H535" i="1"/>
  <c r="L535" i="1"/>
  <c r="F535" i="1" l="1"/>
  <c r="B536" i="1"/>
  <c r="N536" i="1" s="1"/>
  <c r="Q536" i="1" s="1"/>
  <c r="D536" i="1"/>
  <c r="O536" i="1" l="1"/>
  <c r="R536" i="1" s="1"/>
  <c r="I536" i="1"/>
  <c r="P536" i="1"/>
  <c r="S536" i="1" s="1"/>
  <c r="M536" i="1" s="1"/>
  <c r="H536" i="1"/>
  <c r="J536" i="1" l="1"/>
  <c r="K536" i="1"/>
  <c r="G536" i="1" s="1"/>
  <c r="L536" i="1"/>
  <c r="F536" i="1" l="1"/>
  <c r="E537" i="1"/>
  <c r="C537" i="1"/>
  <c r="D537" i="1"/>
  <c r="B537" i="1"/>
  <c r="N537" i="1" s="1"/>
  <c r="Q537" i="1" s="1"/>
  <c r="H537" i="1" l="1"/>
  <c r="O537" i="1"/>
  <c r="R537" i="1" s="1"/>
  <c r="K537" i="1" s="1"/>
  <c r="P537" i="1"/>
  <c r="S537" i="1" s="1"/>
  <c r="M537" i="1" s="1"/>
  <c r="J537" i="1" l="1"/>
  <c r="L537" i="1"/>
  <c r="F537" i="1"/>
  <c r="I537" i="1"/>
  <c r="G537" i="1" s="1"/>
  <c r="B538" i="1" l="1"/>
  <c r="D538" i="1"/>
  <c r="C538" i="1"/>
  <c r="E538" i="1"/>
  <c r="N538" i="1" l="1"/>
  <c r="O538" i="1"/>
  <c r="R538" i="1" s="1"/>
  <c r="J538" i="1" s="1"/>
  <c r="P538" i="1"/>
  <c r="S538" i="1" s="1"/>
  <c r="M538" i="1" s="1"/>
  <c r="Q538" i="1" l="1"/>
  <c r="I538" i="1" s="1"/>
  <c r="L538" i="1"/>
  <c r="H538" i="1"/>
  <c r="F538" i="1" s="1"/>
  <c r="K538" i="1"/>
  <c r="G538" i="1" l="1"/>
  <c r="E539" i="1"/>
  <c r="C539" i="1"/>
  <c r="B539" i="1"/>
  <c r="N539" i="1" s="1"/>
  <c r="Q539" i="1" s="1"/>
  <c r="D539" i="1"/>
  <c r="P539" i="1" l="1"/>
  <c r="S539" i="1" s="1"/>
  <c r="L539" i="1" s="1"/>
  <c r="I539" i="1"/>
  <c r="O539" i="1"/>
  <c r="R539" i="1" s="1"/>
  <c r="K539" i="1" s="1"/>
  <c r="M539" i="1" l="1"/>
  <c r="H539" i="1"/>
  <c r="J539" i="1"/>
  <c r="G539" i="1"/>
  <c r="C540" i="1" l="1"/>
  <c r="E540" i="1"/>
  <c r="F539" i="1"/>
  <c r="B540" i="1" l="1"/>
  <c r="N540" i="1" s="1"/>
  <c r="Q540" i="1" s="1"/>
  <c r="D540" i="1"/>
  <c r="P540" i="1" l="1"/>
  <c r="S540" i="1" s="1"/>
  <c r="M540" i="1" s="1"/>
  <c r="O540" i="1"/>
  <c r="R540" i="1" s="1"/>
  <c r="I540" i="1"/>
  <c r="H540" i="1" l="1"/>
  <c r="J540" i="1"/>
  <c r="K540" i="1"/>
  <c r="G540" i="1" s="1"/>
  <c r="L540" i="1"/>
  <c r="E541" i="1" l="1"/>
  <c r="C541" i="1"/>
  <c r="F540" i="1"/>
  <c r="D541" i="1" l="1"/>
  <c r="B541" i="1"/>
  <c r="N541" i="1" s="1"/>
  <c r="Q541" i="1" s="1"/>
  <c r="O541" i="1" l="1"/>
  <c r="R541" i="1" s="1"/>
  <c r="P541" i="1"/>
  <c r="S541" i="1" s="1"/>
  <c r="M541" i="1" s="1"/>
  <c r="H541" i="1" l="1"/>
  <c r="I541" i="1"/>
  <c r="J541" i="1"/>
  <c r="K541" i="1"/>
  <c r="L541" i="1"/>
  <c r="G541" i="1" l="1"/>
  <c r="F541" i="1"/>
  <c r="B542" i="1" l="1"/>
  <c r="D542" i="1"/>
  <c r="C542" i="1"/>
  <c r="E542" i="1"/>
  <c r="N542" i="1" l="1"/>
  <c r="Q542" i="1" s="1"/>
  <c r="P542" i="1"/>
  <c r="S542" i="1" s="1"/>
  <c r="M542" i="1" s="1"/>
  <c r="H542" i="1"/>
  <c r="O542" i="1"/>
  <c r="R542" i="1" s="1"/>
  <c r="J542" i="1" s="1"/>
  <c r="L542" i="1" l="1"/>
  <c r="F542" i="1" s="1"/>
  <c r="I542" i="1"/>
  <c r="K542" i="1"/>
  <c r="B543" i="1" l="1"/>
  <c r="D543" i="1"/>
  <c r="G542" i="1"/>
  <c r="E543" i="1" l="1"/>
  <c r="C543" i="1"/>
  <c r="N543" i="1" s="1"/>
  <c r="O543" i="1"/>
  <c r="R543" i="1" s="1"/>
  <c r="K543" i="1" s="1"/>
  <c r="P543" i="1"/>
  <c r="S543" i="1" s="1"/>
  <c r="L543" i="1" s="1"/>
  <c r="Q543" i="1" l="1"/>
  <c r="H543" i="1" s="1"/>
  <c r="M543" i="1"/>
  <c r="I543" i="1"/>
  <c r="G543" i="1" s="1"/>
  <c r="E544" i="1" s="1"/>
  <c r="J543" i="1"/>
  <c r="F543" i="1" l="1"/>
  <c r="B544" i="1"/>
  <c r="D544" i="1"/>
  <c r="C544" i="1"/>
  <c r="N544" i="1" l="1"/>
  <c r="Q544" i="1" s="1"/>
  <c r="P544" i="1"/>
  <c r="S544" i="1" s="1"/>
  <c r="M544" i="1" s="1"/>
  <c r="I544" i="1"/>
  <c r="O544" i="1"/>
  <c r="R544" i="1" s="1"/>
  <c r="K544" i="1" s="1"/>
  <c r="G544" i="1" l="1"/>
  <c r="L544" i="1"/>
  <c r="H544" i="1"/>
  <c r="J544" i="1"/>
  <c r="F544" i="1" l="1"/>
  <c r="E545" i="1"/>
  <c r="C545" i="1"/>
  <c r="B545" i="1" l="1"/>
  <c r="N545" i="1" s="1"/>
  <c r="Q545" i="1" s="1"/>
  <c r="D545" i="1"/>
  <c r="I545" i="1" l="1"/>
  <c r="P545" i="1"/>
  <c r="S545" i="1" s="1"/>
  <c r="M545" i="1" s="1"/>
  <c r="O545" i="1"/>
  <c r="R545" i="1" s="1"/>
  <c r="K545" i="1" s="1"/>
  <c r="H545" i="1"/>
  <c r="G545" i="1" l="1"/>
  <c r="J545" i="1"/>
  <c r="E546" i="1"/>
  <c r="C546" i="1"/>
  <c r="L545" i="1"/>
  <c r="F545" i="1" l="1"/>
  <c r="D546" i="1" s="1"/>
  <c r="B546" i="1"/>
  <c r="N546" i="1" s="1"/>
  <c r="Q546" i="1" s="1"/>
  <c r="O546" i="1" l="1"/>
  <c r="R546" i="1" s="1"/>
  <c r="K546" i="1" s="1"/>
  <c r="P546" i="1"/>
  <c r="S546" i="1" s="1"/>
  <c r="M546" i="1" s="1"/>
  <c r="I546" i="1"/>
  <c r="J546" i="1"/>
  <c r="G546" i="1" l="1"/>
  <c r="E547" i="1"/>
  <c r="C547" i="1"/>
  <c r="H546" i="1"/>
  <c r="L546" i="1"/>
  <c r="F546" i="1" l="1"/>
  <c r="B547" i="1" l="1"/>
  <c r="N547" i="1" s="1"/>
  <c r="Q547" i="1" s="1"/>
  <c r="D547" i="1"/>
  <c r="O547" i="1" l="1"/>
  <c r="R547" i="1" s="1"/>
  <c r="K547" i="1" s="1"/>
  <c r="I547" i="1"/>
  <c r="P547" i="1"/>
  <c r="S547" i="1" s="1"/>
  <c r="J547" i="1"/>
  <c r="H547" i="1"/>
  <c r="M547" i="1" l="1"/>
  <c r="G547" i="1" s="1"/>
  <c r="L547" i="1"/>
  <c r="F547" i="1" s="1"/>
  <c r="C548" i="1" l="1"/>
  <c r="E548" i="1"/>
  <c r="D548" i="1"/>
  <c r="B548" i="1"/>
  <c r="N548" i="1" s="1"/>
  <c r="Q548" i="1" s="1"/>
  <c r="P548" i="1" l="1"/>
  <c r="S548" i="1" s="1"/>
  <c r="M548" i="1" s="1"/>
  <c r="I548" i="1"/>
  <c r="O548" i="1"/>
  <c r="R548" i="1" s="1"/>
  <c r="K548" i="1" s="1"/>
  <c r="G548" i="1" l="1"/>
  <c r="H548" i="1"/>
  <c r="J548" i="1"/>
  <c r="C549" i="1"/>
  <c r="E549" i="1"/>
  <c r="L548" i="1"/>
  <c r="F548" i="1" l="1"/>
  <c r="B549" i="1" l="1"/>
  <c r="N549" i="1" s="1"/>
  <c r="Q549" i="1" s="1"/>
  <c r="D549" i="1"/>
  <c r="P549" i="1" l="1"/>
  <c r="S549" i="1" s="1"/>
  <c r="M549" i="1" s="1"/>
  <c r="O549" i="1"/>
  <c r="R549" i="1" s="1"/>
  <c r="I549" i="1"/>
  <c r="H549" i="1" l="1"/>
  <c r="J549" i="1"/>
  <c r="K549" i="1"/>
  <c r="G549" i="1" s="1"/>
  <c r="L549" i="1"/>
  <c r="F549" i="1" s="1"/>
  <c r="D550" i="1" l="1"/>
  <c r="B550" i="1"/>
  <c r="E550" i="1"/>
  <c r="C550" i="1"/>
  <c r="N550" i="1" l="1"/>
  <c r="Q550" i="1" s="1"/>
  <c r="P550" i="1"/>
  <c r="S550" i="1" s="1"/>
  <c r="M550" i="1" s="1"/>
  <c r="O550" i="1"/>
  <c r="R550" i="1" s="1"/>
  <c r="K550" i="1" s="1"/>
  <c r="I550" i="1"/>
  <c r="G550" i="1" l="1"/>
  <c r="E551" i="1" s="1"/>
  <c r="H550" i="1"/>
  <c r="C551" i="1"/>
  <c r="J550" i="1"/>
  <c r="L550" i="1"/>
  <c r="F550" i="1" s="1"/>
  <c r="D551" i="1" l="1"/>
  <c r="B551" i="1"/>
  <c r="N551" i="1" s="1"/>
  <c r="Q551" i="1" s="1"/>
  <c r="P551" i="1" l="1"/>
  <c r="S551" i="1" s="1"/>
  <c r="M551" i="1" s="1"/>
  <c r="I551" i="1"/>
  <c r="O551" i="1"/>
  <c r="R551" i="1" s="1"/>
  <c r="J551" i="1" l="1"/>
  <c r="K551" i="1"/>
  <c r="H551" i="1"/>
  <c r="G551" i="1"/>
  <c r="L551" i="1"/>
  <c r="E552" i="1" l="1"/>
  <c r="C552" i="1"/>
  <c r="F551" i="1"/>
  <c r="B552" i="1" l="1"/>
  <c r="N552" i="1" s="1"/>
  <c r="Q552" i="1" s="1"/>
  <c r="D552" i="1"/>
  <c r="I552" i="1" l="1"/>
  <c r="P552" i="1"/>
  <c r="S552" i="1" s="1"/>
  <c r="M552" i="1" s="1"/>
  <c r="O552" i="1"/>
  <c r="R552" i="1" s="1"/>
  <c r="K552" i="1" s="1"/>
  <c r="H552" i="1"/>
  <c r="J552" i="1" l="1"/>
  <c r="G552" i="1"/>
  <c r="L552" i="1"/>
  <c r="F552" i="1" s="1"/>
  <c r="C553" i="1"/>
  <c r="E553" i="1"/>
  <c r="D553" i="1" l="1"/>
  <c r="B553" i="1"/>
  <c r="N553" i="1" s="1"/>
  <c r="Q553" i="1" s="1"/>
  <c r="P553" i="1" l="1"/>
  <c r="S553" i="1" s="1"/>
  <c r="M553" i="1" s="1"/>
  <c r="O553" i="1"/>
  <c r="R553" i="1" s="1"/>
  <c r="K553" i="1" s="1"/>
  <c r="I553" i="1"/>
  <c r="G553" i="1" l="1"/>
  <c r="J553" i="1"/>
  <c r="E554" i="1"/>
  <c r="C554" i="1"/>
  <c r="H553" i="1"/>
  <c r="L553" i="1"/>
  <c r="F553" i="1" l="1"/>
  <c r="B554" i="1"/>
  <c r="N554" i="1" s="1"/>
  <c r="Q554" i="1" s="1"/>
  <c r="D554" i="1"/>
  <c r="O554" i="1" l="1"/>
  <c r="R554" i="1" s="1"/>
  <c r="K554" i="1" s="1"/>
  <c r="I554" i="1"/>
  <c r="P554" i="1"/>
  <c r="S554" i="1" s="1"/>
  <c r="M554" i="1" s="1"/>
  <c r="J554" i="1"/>
  <c r="H554" i="1"/>
  <c r="G554" i="1" l="1"/>
  <c r="L554" i="1"/>
  <c r="F554" i="1" s="1"/>
  <c r="D555" i="1" l="1"/>
  <c r="B555" i="1"/>
  <c r="E555" i="1"/>
  <c r="C555" i="1"/>
  <c r="N555" i="1" l="1"/>
  <c r="Q555" i="1" s="1"/>
  <c r="O555" i="1"/>
  <c r="R555" i="1" s="1"/>
  <c r="J555" i="1" s="1"/>
  <c r="I555" i="1"/>
  <c r="P555" i="1"/>
  <c r="S555" i="1" s="1"/>
  <c r="M555" i="1" s="1"/>
  <c r="L555" i="1" l="1"/>
  <c r="K555" i="1"/>
  <c r="G555" i="1" s="1"/>
  <c r="H555" i="1"/>
  <c r="F555" i="1" s="1"/>
  <c r="E556" i="1" l="1"/>
  <c r="C556" i="1"/>
  <c r="B556" i="1"/>
  <c r="N556" i="1" s="1"/>
  <c r="Q556" i="1" s="1"/>
  <c r="D556" i="1"/>
  <c r="P556" i="1" l="1"/>
  <c r="S556" i="1" s="1"/>
  <c r="O556" i="1"/>
  <c r="R556" i="1" s="1"/>
  <c r="K556" i="1" s="1"/>
  <c r="I556" i="1"/>
  <c r="M556" i="1" l="1"/>
  <c r="G556" i="1" s="1"/>
  <c r="J556" i="1"/>
  <c r="L556" i="1"/>
  <c r="H556" i="1"/>
  <c r="C557" i="1" l="1"/>
  <c r="E557" i="1"/>
  <c r="F556" i="1"/>
  <c r="B557" i="1" l="1"/>
  <c r="N557" i="1" s="1"/>
  <c r="Q557" i="1" s="1"/>
  <c r="D557" i="1"/>
  <c r="P557" i="1" l="1"/>
  <c r="S557" i="1" s="1"/>
  <c r="M557" i="1" s="1"/>
  <c r="O557" i="1"/>
  <c r="R557" i="1" s="1"/>
  <c r="K557" i="1" s="1"/>
  <c r="J557" i="1" l="1"/>
  <c r="H557" i="1"/>
  <c r="I557" i="1"/>
  <c r="G557" i="1" s="1"/>
  <c r="L557" i="1"/>
  <c r="C558" i="1" l="1"/>
  <c r="E558" i="1"/>
  <c r="F557" i="1"/>
  <c r="D558" i="1" l="1"/>
  <c r="B558" i="1"/>
  <c r="N558" i="1" s="1"/>
  <c r="Q558" i="1" s="1"/>
  <c r="P558" i="1" l="1"/>
  <c r="S558" i="1" s="1"/>
  <c r="M558" i="1" s="1"/>
  <c r="O558" i="1"/>
  <c r="R558" i="1" s="1"/>
  <c r="I558" i="1"/>
  <c r="H558" i="1" l="1"/>
  <c r="J558" i="1"/>
  <c r="K558" i="1"/>
  <c r="G558" i="1" s="1"/>
  <c r="L558" i="1"/>
  <c r="E559" i="1" l="1"/>
  <c r="C559" i="1"/>
  <c r="F558" i="1"/>
  <c r="B559" i="1" l="1"/>
  <c r="N559" i="1" s="1"/>
  <c r="Q559" i="1" s="1"/>
  <c r="D559" i="1"/>
  <c r="P559" i="1" l="1"/>
  <c r="S559" i="1" s="1"/>
  <c r="M559" i="1" s="1"/>
  <c r="O559" i="1"/>
  <c r="R559" i="1" s="1"/>
  <c r="J559" i="1" l="1"/>
  <c r="K559" i="1"/>
  <c r="H559" i="1"/>
  <c r="I559" i="1"/>
  <c r="L559" i="1"/>
  <c r="G559" i="1"/>
  <c r="C560" i="1" l="1"/>
  <c r="E560" i="1"/>
  <c r="F559" i="1"/>
  <c r="D560" i="1" l="1"/>
  <c r="B560" i="1"/>
  <c r="N560" i="1" s="1"/>
  <c r="Q560" i="1" s="1"/>
  <c r="O560" i="1" l="1"/>
  <c r="R560" i="1" s="1"/>
  <c r="P560" i="1"/>
  <c r="S560" i="1" s="1"/>
  <c r="M560" i="1" s="1"/>
  <c r="H560" i="1" l="1"/>
  <c r="I560" i="1"/>
  <c r="J560" i="1"/>
  <c r="K560" i="1"/>
  <c r="L560" i="1"/>
  <c r="G560" i="1" l="1"/>
  <c r="F560" i="1"/>
  <c r="B561" i="1" l="1"/>
  <c r="D561" i="1"/>
  <c r="E561" i="1"/>
  <c r="C561" i="1"/>
  <c r="N561" i="1" l="1"/>
  <c r="Q561" i="1" s="1"/>
  <c r="P561" i="1"/>
  <c r="S561" i="1" s="1"/>
  <c r="M561" i="1" s="1"/>
  <c r="O561" i="1"/>
  <c r="R561" i="1" s="1"/>
  <c r="K561" i="1" s="1"/>
  <c r="H561" i="1"/>
  <c r="L561" i="1" l="1"/>
  <c r="J561" i="1"/>
  <c r="F561" i="1" s="1"/>
  <c r="I561" i="1"/>
  <c r="G561" i="1" s="1"/>
  <c r="E562" i="1" l="1"/>
  <c r="C562" i="1"/>
  <c r="D562" i="1"/>
  <c r="B562" i="1"/>
  <c r="N562" i="1" s="1"/>
  <c r="Q562" i="1" s="1"/>
  <c r="O562" i="1" l="1"/>
  <c r="R562" i="1" s="1"/>
  <c r="K562" i="1" s="1"/>
  <c r="H562" i="1"/>
  <c r="P562" i="1"/>
  <c r="S562" i="1" s="1"/>
  <c r="L562" i="1" s="1"/>
  <c r="J562" i="1"/>
  <c r="M562" i="1" l="1"/>
  <c r="F562" i="1"/>
  <c r="I562" i="1"/>
  <c r="G562" i="1" s="1"/>
  <c r="E563" i="1" l="1"/>
  <c r="C563" i="1"/>
  <c r="B563" i="1"/>
  <c r="N563" i="1" s="1"/>
  <c r="Q563" i="1" s="1"/>
  <c r="D563" i="1"/>
  <c r="H563" i="1" l="1"/>
  <c r="O563" i="1"/>
  <c r="R563" i="1" s="1"/>
  <c r="J563" i="1" s="1"/>
  <c r="P563" i="1"/>
  <c r="S563" i="1" s="1"/>
  <c r="M563" i="1" s="1"/>
  <c r="K563" i="1"/>
  <c r="I563" i="1"/>
  <c r="G563" i="1" l="1"/>
  <c r="L563" i="1"/>
  <c r="F563" i="1" s="1"/>
  <c r="D564" i="1" l="1"/>
  <c r="B564" i="1"/>
  <c r="E564" i="1"/>
  <c r="C564" i="1"/>
  <c r="N564" i="1" l="1"/>
  <c r="Q564" i="1" s="1"/>
  <c r="O564" i="1"/>
  <c r="R564" i="1" s="1"/>
  <c r="J564" i="1" s="1"/>
  <c r="I564" i="1"/>
  <c r="P564" i="1"/>
  <c r="S564" i="1" s="1"/>
  <c r="L564" i="1" s="1"/>
  <c r="M564" i="1" l="1"/>
  <c r="H564" i="1"/>
  <c r="F564" i="1" s="1"/>
  <c r="K564" i="1"/>
  <c r="G564" i="1" s="1"/>
  <c r="E565" i="1" l="1"/>
  <c r="C565" i="1"/>
  <c r="B565" i="1"/>
  <c r="N565" i="1" s="1"/>
  <c r="Q565" i="1" s="1"/>
  <c r="D565" i="1"/>
  <c r="I565" i="1" l="1"/>
  <c r="P565" i="1"/>
  <c r="S565" i="1" s="1"/>
  <c r="L565" i="1" s="1"/>
  <c r="O565" i="1"/>
  <c r="R565" i="1" s="1"/>
  <c r="J565" i="1" s="1"/>
  <c r="M565" i="1" l="1"/>
  <c r="K565" i="1"/>
  <c r="G565" i="1" s="1"/>
  <c r="H565" i="1"/>
  <c r="F565" i="1" s="1"/>
  <c r="E566" i="1" l="1"/>
  <c r="C566" i="1"/>
  <c r="D566" i="1"/>
  <c r="B566" i="1"/>
  <c r="N566" i="1" s="1"/>
  <c r="Q566" i="1" s="1"/>
  <c r="I566" i="1" l="1"/>
  <c r="P566" i="1"/>
  <c r="S566" i="1" s="1"/>
  <c r="M566" i="1" s="1"/>
  <c r="O566" i="1"/>
  <c r="R566" i="1" s="1"/>
  <c r="K566" i="1" s="1"/>
  <c r="H566" i="1"/>
  <c r="J566" i="1" l="1"/>
  <c r="L566" i="1"/>
  <c r="F566" i="1" s="1"/>
  <c r="G566" i="1"/>
  <c r="D567" i="1" l="1"/>
  <c r="B567" i="1"/>
  <c r="C567" i="1"/>
  <c r="E567" i="1"/>
  <c r="N567" i="1" l="1"/>
  <c r="O567" i="1"/>
  <c r="R567" i="1" s="1"/>
  <c r="K567" i="1" s="1"/>
  <c r="P567" i="1"/>
  <c r="S567" i="1" s="1"/>
  <c r="M567" i="1" s="1"/>
  <c r="J567" i="1"/>
  <c r="Q567" i="1" l="1"/>
  <c r="I567" i="1" s="1"/>
  <c r="G567" i="1" s="1"/>
  <c r="L567" i="1"/>
  <c r="H567" i="1"/>
  <c r="F567" i="1" s="1"/>
  <c r="E568" i="1" l="1"/>
  <c r="C568" i="1"/>
  <c r="B568" i="1"/>
  <c r="N568" i="1" s="1"/>
  <c r="Q568" i="1" s="1"/>
  <c r="D568" i="1"/>
  <c r="O568" i="1" l="1"/>
  <c r="R568" i="1" s="1"/>
  <c r="K568" i="1" s="1"/>
  <c r="P568" i="1"/>
  <c r="S568" i="1" s="1"/>
  <c r="I568" i="1"/>
  <c r="J568" i="1"/>
  <c r="H568" i="1" l="1"/>
  <c r="M568" i="1"/>
  <c r="G568" i="1" s="1"/>
  <c r="L568" i="1"/>
  <c r="F568" i="1" s="1"/>
  <c r="C569" i="1" l="1"/>
  <c r="E569" i="1"/>
  <c r="D569" i="1"/>
  <c r="B569" i="1"/>
  <c r="N569" i="1" s="1"/>
  <c r="Q569" i="1" s="1"/>
  <c r="I569" i="1" l="1"/>
  <c r="O569" i="1"/>
  <c r="R569" i="1" s="1"/>
  <c r="K569" i="1" s="1"/>
  <c r="P569" i="1"/>
  <c r="S569" i="1" s="1"/>
  <c r="M569" i="1" s="1"/>
  <c r="J569" i="1"/>
  <c r="H569" i="1"/>
  <c r="G569" i="1" l="1"/>
  <c r="L569" i="1"/>
  <c r="F569" i="1" s="1"/>
  <c r="D570" i="1" l="1"/>
  <c r="B570" i="1"/>
  <c r="E570" i="1"/>
  <c r="C570" i="1"/>
  <c r="N570" i="1" l="1"/>
  <c r="Q570" i="1" s="1"/>
  <c r="P570" i="1"/>
  <c r="S570" i="1" s="1"/>
  <c r="M570" i="1" s="1"/>
  <c r="O570" i="1"/>
  <c r="R570" i="1" s="1"/>
  <c r="K570" i="1" s="1"/>
  <c r="H570" i="1"/>
  <c r="I570" i="1" l="1"/>
  <c r="G570" i="1" s="1"/>
  <c r="C571" i="1" s="1"/>
  <c r="J570" i="1"/>
  <c r="E571" i="1"/>
  <c r="L570" i="1"/>
  <c r="F570" i="1" l="1"/>
  <c r="D571" i="1"/>
  <c r="B571" i="1"/>
  <c r="N571" i="1" s="1"/>
  <c r="Q571" i="1" s="1"/>
  <c r="P571" i="1" l="1"/>
  <c r="S571" i="1" s="1"/>
  <c r="M571" i="1" s="1"/>
  <c r="O571" i="1"/>
  <c r="R571" i="1" s="1"/>
  <c r="K571" i="1" s="1"/>
  <c r="I571" i="1"/>
  <c r="J571" i="1" l="1"/>
  <c r="G571" i="1"/>
  <c r="H571" i="1"/>
  <c r="C572" i="1"/>
  <c r="E572" i="1"/>
  <c r="L571" i="1"/>
  <c r="F571" i="1" s="1"/>
  <c r="D572" i="1" l="1"/>
  <c r="B572" i="1"/>
  <c r="N572" i="1" s="1"/>
  <c r="Q572" i="1" s="1"/>
  <c r="O572" i="1" l="1"/>
  <c r="R572" i="1" s="1"/>
  <c r="K572" i="1" s="1"/>
  <c r="I572" i="1"/>
  <c r="P572" i="1"/>
  <c r="S572" i="1" s="1"/>
  <c r="M572" i="1" s="1"/>
  <c r="J572" i="1"/>
  <c r="G572" i="1" l="1"/>
  <c r="H572" i="1"/>
  <c r="C573" i="1"/>
  <c r="E573" i="1"/>
  <c r="L572" i="1"/>
  <c r="F572" i="1" l="1"/>
  <c r="D573" i="1" l="1"/>
  <c r="B573" i="1"/>
  <c r="N573" i="1" s="1"/>
  <c r="Q573" i="1" s="1"/>
  <c r="P573" i="1" l="1"/>
  <c r="S573" i="1" s="1"/>
  <c r="M573" i="1" s="1"/>
  <c r="O573" i="1"/>
  <c r="R573" i="1" s="1"/>
  <c r="K573" i="1" s="1"/>
  <c r="I573" i="1"/>
  <c r="G573" i="1" l="1"/>
  <c r="J573" i="1"/>
  <c r="H573" i="1"/>
  <c r="E574" i="1"/>
  <c r="C574" i="1"/>
  <c r="L573" i="1"/>
  <c r="F573" i="1"/>
  <c r="B574" i="1" l="1"/>
  <c r="N574" i="1" s="1"/>
  <c r="Q574" i="1" s="1"/>
  <c r="D574" i="1"/>
  <c r="O574" i="1" l="1"/>
  <c r="R574" i="1" s="1"/>
  <c r="K574" i="1" s="1"/>
  <c r="I574" i="1"/>
  <c r="P574" i="1"/>
  <c r="S574" i="1" s="1"/>
  <c r="M574" i="1" s="1"/>
  <c r="H574" i="1"/>
  <c r="J574" i="1"/>
  <c r="G574" i="1" l="1"/>
  <c r="E575" i="1"/>
  <c r="C575" i="1"/>
  <c r="L574" i="1"/>
  <c r="F574" i="1" s="1"/>
  <c r="D575" i="1" l="1"/>
  <c r="B575" i="1"/>
  <c r="N575" i="1" s="1"/>
  <c r="Q575" i="1" s="1"/>
  <c r="P575" i="1" l="1"/>
  <c r="S575" i="1" s="1"/>
  <c r="M575" i="1" s="1"/>
  <c r="O575" i="1"/>
  <c r="R575" i="1" s="1"/>
  <c r="K575" i="1" s="1"/>
  <c r="J575" i="1" l="1"/>
  <c r="H575" i="1"/>
  <c r="I575" i="1"/>
  <c r="G575" i="1" s="1"/>
  <c r="L575" i="1"/>
  <c r="F575" i="1" l="1"/>
  <c r="E576" i="1"/>
  <c r="C576" i="1"/>
  <c r="B576" i="1" l="1"/>
  <c r="N576" i="1" s="1"/>
  <c r="Q576" i="1" s="1"/>
  <c r="D576" i="1"/>
  <c r="I576" i="1" l="1"/>
  <c r="P576" i="1"/>
  <c r="S576" i="1" s="1"/>
  <c r="M576" i="1" s="1"/>
  <c r="O576" i="1"/>
  <c r="R576" i="1" s="1"/>
  <c r="K576" i="1" s="1"/>
  <c r="J576" i="1"/>
  <c r="H576" i="1"/>
  <c r="G576" i="1" l="1"/>
  <c r="L576" i="1"/>
  <c r="F576" i="1" s="1"/>
  <c r="C577" i="1"/>
  <c r="E577" i="1"/>
  <c r="D577" i="1" l="1"/>
  <c r="B577" i="1"/>
  <c r="N577" i="1" s="1"/>
  <c r="Q577" i="1" s="1"/>
  <c r="I577" i="1" l="1"/>
  <c r="O577" i="1"/>
  <c r="R577" i="1" s="1"/>
  <c r="K577" i="1" s="1"/>
  <c r="P577" i="1"/>
  <c r="S577" i="1" s="1"/>
  <c r="M577" i="1" s="1"/>
  <c r="H577" i="1"/>
  <c r="J577" i="1" l="1"/>
  <c r="G577" i="1"/>
  <c r="L577" i="1"/>
  <c r="F577" i="1" l="1"/>
  <c r="D578" i="1"/>
  <c r="B578" i="1"/>
  <c r="C578" i="1"/>
  <c r="E578" i="1"/>
  <c r="N578" i="1" l="1"/>
  <c r="Q578" i="1" s="1"/>
  <c r="O578" i="1"/>
  <c r="R578" i="1" s="1"/>
  <c r="K578" i="1" s="1"/>
  <c r="P578" i="1"/>
  <c r="S578" i="1" s="1"/>
  <c r="M578" i="1" s="1"/>
  <c r="I578" i="1"/>
  <c r="J578" i="1"/>
  <c r="G578" i="1" l="1"/>
  <c r="E579" i="1"/>
  <c r="C579" i="1"/>
  <c r="L578" i="1"/>
  <c r="H578" i="1"/>
  <c r="F578" i="1" s="1"/>
  <c r="B579" i="1" l="1"/>
  <c r="N579" i="1" s="1"/>
  <c r="Q579" i="1" s="1"/>
  <c r="D579" i="1"/>
  <c r="O579" i="1" l="1"/>
  <c r="R579" i="1" s="1"/>
  <c r="K579" i="1" s="1"/>
  <c r="P579" i="1"/>
  <c r="S579" i="1" s="1"/>
  <c r="M579" i="1" s="1"/>
  <c r="I579" i="1"/>
  <c r="J579" i="1"/>
  <c r="G579" i="1" l="1"/>
  <c r="H579" i="1"/>
  <c r="C580" i="1"/>
  <c r="E580" i="1"/>
  <c r="L579" i="1"/>
  <c r="F579" i="1" s="1"/>
  <c r="D580" i="1" l="1"/>
  <c r="B580" i="1"/>
  <c r="N580" i="1" s="1"/>
  <c r="Q580" i="1" s="1"/>
  <c r="O580" i="1" l="1"/>
  <c r="R580" i="1" s="1"/>
  <c r="K580" i="1" s="1"/>
  <c r="P580" i="1"/>
  <c r="S580" i="1" s="1"/>
  <c r="M580" i="1" s="1"/>
  <c r="I580" i="1"/>
  <c r="G580" i="1" s="1"/>
  <c r="J580" i="1"/>
  <c r="C581" i="1" l="1"/>
  <c r="E581" i="1"/>
  <c r="H580" i="1"/>
  <c r="L580" i="1"/>
  <c r="F580" i="1" l="1"/>
  <c r="B581" i="1"/>
  <c r="N581" i="1" s="1"/>
  <c r="Q581" i="1" s="1"/>
  <c r="D581" i="1"/>
  <c r="O581" i="1" l="1"/>
  <c r="R581" i="1" s="1"/>
  <c r="P581" i="1"/>
  <c r="S581" i="1" s="1"/>
  <c r="M581" i="1" s="1"/>
  <c r="I581" i="1"/>
  <c r="H581" i="1"/>
  <c r="L581" i="1" l="1"/>
  <c r="J581" i="1"/>
  <c r="F581" i="1" s="1"/>
  <c r="K581" i="1"/>
  <c r="G581" i="1" s="1"/>
  <c r="E582" i="1" l="1"/>
  <c r="C582" i="1"/>
  <c r="D582" i="1"/>
  <c r="B582" i="1"/>
  <c r="N582" i="1" s="1"/>
  <c r="Q582" i="1" s="1"/>
  <c r="O582" i="1" l="1"/>
  <c r="R582" i="1" s="1"/>
  <c r="J582" i="1" s="1"/>
  <c r="P582" i="1"/>
  <c r="S582" i="1" s="1"/>
  <c r="M582" i="1" s="1"/>
  <c r="I582" i="1"/>
  <c r="H582" i="1" l="1"/>
  <c r="L582" i="1"/>
  <c r="K582" i="1"/>
  <c r="G582" i="1" s="1"/>
  <c r="E583" i="1" l="1"/>
  <c r="C583" i="1"/>
  <c r="F582" i="1"/>
  <c r="D583" i="1" l="1"/>
  <c r="B583" i="1"/>
  <c r="N583" i="1" s="1"/>
  <c r="Q583" i="1" s="1"/>
  <c r="P583" i="1" l="1"/>
  <c r="S583" i="1" s="1"/>
  <c r="M583" i="1" s="1"/>
  <c r="O583" i="1"/>
  <c r="R583" i="1" s="1"/>
  <c r="K583" i="1" s="1"/>
  <c r="I583" i="1"/>
  <c r="J583" i="1" l="1"/>
  <c r="H583" i="1"/>
  <c r="G583" i="1"/>
  <c r="L583" i="1"/>
  <c r="C584" i="1" l="1"/>
  <c r="E584" i="1"/>
  <c r="F583" i="1"/>
  <c r="B584" i="1" l="1"/>
  <c r="N584" i="1" s="1"/>
  <c r="Q584" i="1" s="1"/>
  <c r="D584" i="1"/>
  <c r="O584" i="1" l="1"/>
  <c r="R584" i="1" s="1"/>
  <c r="K584" i="1" s="1"/>
  <c r="P584" i="1"/>
  <c r="S584" i="1" s="1"/>
  <c r="M584" i="1" s="1"/>
  <c r="I584" i="1"/>
  <c r="J584" i="1"/>
  <c r="H584" i="1" l="1"/>
  <c r="G584" i="1"/>
  <c r="L584" i="1"/>
  <c r="F584" i="1" s="1"/>
  <c r="D585" i="1" l="1"/>
  <c r="B585" i="1"/>
  <c r="E585" i="1"/>
  <c r="C585" i="1"/>
  <c r="N585" i="1" l="1"/>
  <c r="Q585" i="1" s="1"/>
  <c r="P585" i="1"/>
  <c r="S585" i="1" s="1"/>
  <c r="M585" i="1" s="1"/>
  <c r="H585" i="1"/>
  <c r="O585" i="1"/>
  <c r="R585" i="1" s="1"/>
  <c r="K585" i="1" s="1"/>
  <c r="I585" i="1"/>
  <c r="J585" i="1" l="1"/>
  <c r="G585" i="1"/>
  <c r="C586" i="1" s="1"/>
  <c r="L585" i="1"/>
  <c r="F585" i="1" s="1"/>
  <c r="E586" i="1" l="1"/>
  <c r="D586" i="1"/>
  <c r="B586" i="1"/>
  <c r="N586" i="1" s="1"/>
  <c r="Q586" i="1" s="1"/>
  <c r="P586" i="1" l="1"/>
  <c r="S586" i="1" s="1"/>
  <c r="M586" i="1" s="1"/>
  <c r="I586" i="1"/>
  <c r="O586" i="1"/>
  <c r="R586" i="1" s="1"/>
  <c r="K586" i="1" s="1"/>
  <c r="H586" i="1"/>
  <c r="J586" i="1" l="1"/>
  <c r="G586" i="1"/>
  <c r="L586" i="1"/>
  <c r="F586" i="1" s="1"/>
  <c r="D587" i="1" l="1"/>
  <c r="B587" i="1"/>
  <c r="C587" i="1"/>
  <c r="E587" i="1"/>
  <c r="N587" i="1" l="1"/>
  <c r="Q587" i="1" s="1"/>
  <c r="O587" i="1"/>
  <c r="R587" i="1" s="1"/>
  <c r="K587" i="1" s="1"/>
  <c r="H587" i="1"/>
  <c r="P587" i="1"/>
  <c r="S587" i="1" s="1"/>
  <c r="M587" i="1" s="1"/>
  <c r="J587" i="1" l="1"/>
  <c r="I587" i="1"/>
  <c r="G587" i="1" s="1"/>
  <c r="L587" i="1"/>
  <c r="F587" i="1" s="1"/>
  <c r="B588" i="1" l="1"/>
  <c r="D588" i="1"/>
  <c r="E588" i="1"/>
  <c r="C588" i="1"/>
  <c r="N588" i="1" l="1"/>
  <c r="Q588" i="1" s="1"/>
  <c r="O588" i="1"/>
  <c r="R588" i="1" s="1"/>
  <c r="K588" i="1" s="1"/>
  <c r="P588" i="1"/>
  <c r="S588" i="1" s="1"/>
  <c r="I588" i="1"/>
  <c r="M588" i="1" l="1"/>
  <c r="G588" i="1" s="1"/>
  <c r="L588" i="1"/>
  <c r="H588" i="1"/>
  <c r="J588" i="1"/>
  <c r="F588" i="1" l="1"/>
  <c r="C589" i="1"/>
  <c r="E589" i="1"/>
  <c r="D589" i="1"/>
  <c r="B589" i="1"/>
  <c r="N589" i="1" s="1"/>
  <c r="Q589" i="1" s="1"/>
  <c r="O589" i="1" l="1"/>
  <c r="R589" i="1" s="1"/>
  <c r="K589" i="1" s="1"/>
  <c r="P589" i="1"/>
  <c r="S589" i="1" s="1"/>
  <c r="M589" i="1" s="1"/>
  <c r="I589" i="1"/>
  <c r="J589" i="1"/>
  <c r="G589" i="1" l="1"/>
  <c r="C590" i="1"/>
  <c r="E590" i="1"/>
  <c r="H589" i="1"/>
  <c r="L589" i="1"/>
  <c r="F589" i="1" l="1"/>
  <c r="B590" i="1"/>
  <c r="N590" i="1" s="1"/>
  <c r="Q590" i="1" s="1"/>
  <c r="D590" i="1"/>
  <c r="O590" i="1" l="1"/>
  <c r="R590" i="1" s="1"/>
  <c r="K590" i="1" s="1"/>
  <c r="I590" i="1"/>
  <c r="P590" i="1"/>
  <c r="S590" i="1" s="1"/>
  <c r="M590" i="1" s="1"/>
  <c r="J590" i="1"/>
  <c r="H590" i="1"/>
  <c r="G590" i="1" l="1"/>
  <c r="E591" i="1"/>
  <c r="C591" i="1"/>
  <c r="L590" i="1"/>
  <c r="F590" i="1" s="1"/>
  <c r="D591" i="1" l="1"/>
  <c r="B591" i="1"/>
  <c r="N591" i="1" s="1"/>
  <c r="Q591" i="1" s="1"/>
  <c r="I591" i="1" l="1"/>
  <c r="O591" i="1"/>
  <c r="R591" i="1" s="1"/>
  <c r="P591" i="1"/>
  <c r="S591" i="1" s="1"/>
  <c r="M591" i="1" s="1"/>
  <c r="H591" i="1"/>
  <c r="J591" i="1" l="1"/>
  <c r="K591" i="1"/>
  <c r="G591" i="1" s="1"/>
  <c r="L591" i="1"/>
  <c r="F591" i="1" l="1"/>
  <c r="C592" i="1"/>
  <c r="E592" i="1"/>
  <c r="D592" i="1"/>
  <c r="B592" i="1"/>
  <c r="N592" i="1" s="1"/>
  <c r="Q592" i="1" s="1"/>
  <c r="P592" i="1" l="1"/>
  <c r="S592" i="1" s="1"/>
  <c r="M592" i="1" s="1"/>
  <c r="O592" i="1"/>
  <c r="R592" i="1" s="1"/>
  <c r="K592" i="1" s="1"/>
  <c r="I592" i="1"/>
  <c r="J592" i="1" l="1"/>
  <c r="G592" i="1"/>
  <c r="H592" i="1"/>
  <c r="E593" i="1"/>
  <c r="C593" i="1"/>
  <c r="L592" i="1"/>
  <c r="F592" i="1" s="1"/>
  <c r="D593" i="1" l="1"/>
  <c r="B593" i="1"/>
  <c r="N593" i="1" s="1"/>
  <c r="Q593" i="1" s="1"/>
  <c r="P593" i="1" l="1"/>
  <c r="S593" i="1" s="1"/>
  <c r="M593" i="1" s="1"/>
  <c r="O593" i="1"/>
  <c r="R593" i="1" s="1"/>
  <c r="K593" i="1" s="1"/>
  <c r="I593" i="1"/>
  <c r="G593" i="1" l="1"/>
  <c r="J593" i="1"/>
  <c r="C594" i="1"/>
  <c r="E594" i="1"/>
  <c r="H593" i="1"/>
  <c r="L593" i="1"/>
  <c r="F593" i="1" l="1"/>
  <c r="B594" i="1"/>
  <c r="N594" i="1" s="1"/>
  <c r="Q594" i="1" s="1"/>
  <c r="D594" i="1"/>
  <c r="P594" i="1" l="1"/>
  <c r="S594" i="1" s="1"/>
  <c r="M594" i="1" s="1"/>
  <c r="I594" i="1"/>
  <c r="O594" i="1"/>
  <c r="R594" i="1" s="1"/>
  <c r="K594" i="1" s="1"/>
  <c r="H594" i="1"/>
  <c r="J594" i="1" l="1"/>
  <c r="G594" i="1"/>
  <c r="E595" i="1" s="1"/>
  <c r="C595" i="1"/>
  <c r="L594" i="1"/>
  <c r="F594" i="1" s="1"/>
  <c r="D595" i="1" l="1"/>
  <c r="B595" i="1"/>
  <c r="N595" i="1" s="1"/>
  <c r="Q595" i="1" s="1"/>
  <c r="I595" i="1" l="1"/>
  <c r="P595" i="1"/>
  <c r="S595" i="1" s="1"/>
  <c r="M595" i="1" s="1"/>
  <c r="O595" i="1"/>
  <c r="R595" i="1" s="1"/>
  <c r="H595" i="1"/>
  <c r="J595" i="1" l="1"/>
  <c r="K595" i="1"/>
  <c r="G595" i="1"/>
  <c r="L595" i="1"/>
  <c r="F595" i="1" s="1"/>
  <c r="D596" i="1" l="1"/>
  <c r="B596" i="1"/>
  <c r="E596" i="1"/>
  <c r="C596" i="1"/>
  <c r="N596" i="1" l="1"/>
  <c r="Q596" i="1" s="1"/>
  <c r="O596" i="1"/>
  <c r="R596" i="1" s="1"/>
  <c r="J596" i="1" s="1"/>
  <c r="P596" i="1"/>
  <c r="S596" i="1" s="1"/>
  <c r="M596" i="1" s="1"/>
  <c r="H596" i="1"/>
  <c r="I596" i="1" l="1"/>
  <c r="K596" i="1"/>
  <c r="L596" i="1"/>
  <c r="G596" i="1"/>
  <c r="F596" i="1"/>
  <c r="B597" i="1" l="1"/>
  <c r="D597" i="1"/>
  <c r="E597" i="1"/>
  <c r="C597" i="1"/>
  <c r="N597" i="1" l="1"/>
  <c r="Q597" i="1" s="1"/>
  <c r="O597" i="1"/>
  <c r="R597" i="1" s="1"/>
  <c r="K597" i="1" s="1"/>
  <c r="H597" i="1"/>
  <c r="P597" i="1"/>
  <c r="S597" i="1" s="1"/>
  <c r="M597" i="1" s="1"/>
  <c r="L597" i="1" l="1"/>
  <c r="I597" i="1"/>
  <c r="G597" i="1" s="1"/>
  <c r="J597" i="1"/>
  <c r="F597" i="1" s="1"/>
  <c r="B598" i="1" l="1"/>
  <c r="D598" i="1"/>
  <c r="E598" i="1"/>
  <c r="C598" i="1"/>
  <c r="N598" i="1" l="1"/>
  <c r="Q598" i="1" s="1"/>
  <c r="P598" i="1"/>
  <c r="S598" i="1" s="1"/>
  <c r="M598" i="1" s="1"/>
  <c r="O598" i="1"/>
  <c r="R598" i="1" s="1"/>
  <c r="K598" i="1" s="1"/>
  <c r="H598" i="1"/>
  <c r="I598" i="1" l="1"/>
  <c r="G598" i="1" s="1"/>
  <c r="L598" i="1"/>
  <c r="J598" i="1"/>
  <c r="F598" i="1" l="1"/>
  <c r="B599" i="1"/>
  <c r="D599" i="1"/>
  <c r="E599" i="1"/>
  <c r="C599" i="1"/>
  <c r="N599" i="1" l="1"/>
  <c r="P599" i="1"/>
  <c r="S599" i="1" s="1"/>
  <c r="M599" i="1" s="1"/>
  <c r="O599" i="1"/>
  <c r="R599" i="1" s="1"/>
  <c r="J599" i="1" s="1"/>
  <c r="Q599" i="1" l="1"/>
  <c r="H599" i="1" s="1"/>
  <c r="L599" i="1"/>
  <c r="K599" i="1"/>
  <c r="I599" i="1"/>
  <c r="G599" i="1" s="1"/>
  <c r="F599" i="1" l="1"/>
  <c r="B600" i="1"/>
  <c r="D600" i="1"/>
  <c r="E600" i="1"/>
  <c r="C600" i="1"/>
  <c r="N600" i="1" l="1"/>
  <c r="P600" i="1"/>
  <c r="S600" i="1" s="1"/>
  <c r="M600" i="1" s="1"/>
  <c r="O600" i="1"/>
  <c r="R600" i="1" s="1"/>
  <c r="J600" i="1" s="1"/>
  <c r="Q600" i="1" l="1"/>
  <c r="H600" i="1" s="1"/>
  <c r="L600" i="1"/>
  <c r="K600" i="1"/>
  <c r="F600" i="1" l="1"/>
  <c r="I600" i="1"/>
  <c r="B601" i="1"/>
  <c r="D601" i="1"/>
  <c r="G600" i="1"/>
  <c r="C601" i="1" l="1"/>
  <c r="N601" i="1" s="1"/>
  <c r="E601" i="1"/>
  <c r="O601" i="1"/>
  <c r="R601" i="1" s="1"/>
  <c r="K601" i="1" s="1"/>
  <c r="P601" i="1"/>
  <c r="S601" i="1" s="1"/>
  <c r="L601" i="1" s="1"/>
  <c r="J601" i="1" l="1"/>
  <c r="Q601" i="1"/>
  <c r="H601" i="1" s="1"/>
  <c r="F601" i="1" s="1"/>
  <c r="M601" i="1"/>
  <c r="I601" i="1" l="1"/>
  <c r="D602" i="1"/>
  <c r="B602" i="1"/>
  <c r="G601" i="1"/>
  <c r="C602" i="1" l="1"/>
  <c r="N602" i="1" s="1"/>
  <c r="E602" i="1"/>
  <c r="P602" i="1"/>
  <c r="S602" i="1" s="1"/>
  <c r="O602" i="1"/>
  <c r="R602" i="1" s="1"/>
  <c r="J602" i="1" s="1"/>
  <c r="Q602" i="1" l="1"/>
  <c r="H602" i="1" s="1"/>
  <c r="M602" i="1"/>
  <c r="L602" i="1"/>
  <c r="I602" i="1"/>
  <c r="K602" i="1"/>
  <c r="G602" i="1" s="1"/>
  <c r="E603" i="1" s="1"/>
  <c r="F602" i="1" l="1"/>
  <c r="D603" i="1"/>
  <c r="B603" i="1"/>
  <c r="C603" i="1"/>
  <c r="N603" i="1" l="1"/>
  <c r="Q603" i="1" s="1"/>
  <c r="P603" i="1"/>
  <c r="S603" i="1" s="1"/>
  <c r="L603" i="1" s="1"/>
  <c r="O603" i="1"/>
  <c r="R603" i="1" s="1"/>
  <c r="K603" i="1" s="1"/>
  <c r="I603" i="1" l="1"/>
  <c r="H603" i="1"/>
  <c r="M603" i="1"/>
  <c r="J603" i="1"/>
  <c r="F603" i="1"/>
  <c r="G603" i="1"/>
  <c r="D604" i="1" l="1"/>
  <c r="B604" i="1"/>
  <c r="E604" i="1"/>
  <c r="C604" i="1"/>
  <c r="N604" i="1" l="1"/>
  <c r="Q604" i="1" s="1"/>
  <c r="P604" i="1"/>
  <c r="S604" i="1" s="1"/>
  <c r="M604" i="1" s="1"/>
  <c r="I604" i="1"/>
  <c r="O604" i="1"/>
  <c r="R604" i="1" s="1"/>
  <c r="K604" i="1" s="1"/>
  <c r="H604" i="1" l="1"/>
  <c r="G604" i="1"/>
  <c r="J604" i="1"/>
  <c r="L604" i="1"/>
  <c r="F604" i="1" l="1"/>
  <c r="B605" i="1"/>
  <c r="D605" i="1"/>
  <c r="E605" i="1"/>
  <c r="C605" i="1"/>
  <c r="N605" i="1" l="1"/>
  <c r="Q605" i="1" s="1"/>
  <c r="P605" i="1"/>
  <c r="S605" i="1" s="1"/>
  <c r="M605" i="1" s="1"/>
  <c r="O605" i="1"/>
  <c r="R605" i="1" s="1"/>
  <c r="K605" i="1" s="1"/>
  <c r="H605" i="1"/>
  <c r="L605" i="1" l="1"/>
  <c r="I605" i="1"/>
  <c r="G605" i="1" s="1"/>
  <c r="J605" i="1"/>
  <c r="F605" i="1" s="1"/>
  <c r="D606" i="1" l="1"/>
  <c r="B606" i="1"/>
  <c r="C606" i="1"/>
  <c r="E606" i="1"/>
  <c r="N606" i="1" l="1"/>
  <c r="Q606" i="1" s="1"/>
  <c r="O606" i="1"/>
  <c r="R606" i="1" s="1"/>
  <c r="K606" i="1" s="1"/>
  <c r="P606" i="1"/>
  <c r="S606" i="1" s="1"/>
  <c r="M606" i="1" s="1"/>
  <c r="I606" i="1" l="1"/>
  <c r="H606" i="1"/>
  <c r="J606" i="1"/>
  <c r="G606" i="1"/>
  <c r="C607" i="1" s="1"/>
  <c r="L606" i="1"/>
  <c r="F606" i="1" s="1"/>
  <c r="E607" i="1" l="1"/>
  <c r="D607" i="1"/>
  <c r="B607" i="1"/>
  <c r="N607" i="1" s="1"/>
  <c r="Q607" i="1" s="1"/>
  <c r="P607" i="1" l="1"/>
  <c r="S607" i="1" s="1"/>
  <c r="M607" i="1" s="1"/>
  <c r="O607" i="1"/>
  <c r="R607" i="1" s="1"/>
  <c r="K607" i="1" s="1"/>
  <c r="I607" i="1"/>
  <c r="G607" i="1" l="1"/>
  <c r="H607" i="1"/>
  <c r="J607" i="1"/>
  <c r="E608" i="1"/>
  <c r="C608" i="1"/>
  <c r="L607" i="1"/>
  <c r="F607" i="1" l="1"/>
  <c r="D608" i="1"/>
  <c r="B608" i="1"/>
  <c r="N608" i="1" s="1"/>
  <c r="Q608" i="1" s="1"/>
  <c r="P608" i="1" l="1"/>
  <c r="S608" i="1" s="1"/>
  <c r="M608" i="1" s="1"/>
  <c r="O608" i="1"/>
  <c r="R608" i="1" s="1"/>
  <c r="K608" i="1" s="1"/>
  <c r="I608" i="1"/>
  <c r="G608" i="1" l="1"/>
  <c r="J608" i="1"/>
  <c r="C609" i="1"/>
  <c r="E609" i="1"/>
  <c r="H608" i="1"/>
  <c r="L608" i="1"/>
  <c r="F608" i="1" l="1"/>
  <c r="D609" i="1" l="1"/>
  <c r="B609" i="1"/>
  <c r="N609" i="1" s="1"/>
  <c r="Q609" i="1" s="1"/>
  <c r="O609" i="1" l="1"/>
  <c r="R609" i="1" s="1"/>
  <c r="K609" i="1" s="1"/>
  <c r="I609" i="1"/>
  <c r="P609" i="1"/>
  <c r="S609" i="1" s="1"/>
  <c r="M609" i="1" s="1"/>
  <c r="J609" i="1"/>
  <c r="H609" i="1"/>
  <c r="G609" i="1" l="1"/>
  <c r="E610" i="1"/>
  <c r="C610" i="1"/>
  <c r="L609" i="1"/>
  <c r="F609" i="1" s="1"/>
  <c r="D610" i="1" l="1"/>
  <c r="B610" i="1"/>
  <c r="N610" i="1" s="1"/>
  <c r="Q610" i="1" s="1"/>
  <c r="I610" i="1" l="1"/>
  <c r="P610" i="1"/>
  <c r="S610" i="1" s="1"/>
  <c r="O610" i="1"/>
  <c r="R610" i="1" s="1"/>
  <c r="K610" i="1" s="1"/>
  <c r="H610" i="1"/>
  <c r="M610" i="1" l="1"/>
  <c r="G610" i="1" s="1"/>
  <c r="J610" i="1"/>
  <c r="L610" i="1"/>
  <c r="C611" i="1" l="1"/>
  <c r="E611" i="1"/>
  <c r="F610" i="1"/>
  <c r="D611" i="1" s="1"/>
  <c r="B611" i="1" l="1"/>
  <c r="N611" i="1" s="1"/>
  <c r="Q611" i="1" s="1"/>
  <c r="P611" i="1"/>
  <c r="S611" i="1" s="1"/>
  <c r="M611" i="1" s="1"/>
  <c r="O611" i="1"/>
  <c r="R611" i="1" s="1"/>
  <c r="K611" i="1" s="1"/>
  <c r="I611" i="1"/>
  <c r="G611" i="1" l="1"/>
  <c r="E612" i="1"/>
  <c r="C612" i="1"/>
  <c r="H611" i="1"/>
  <c r="J611" i="1"/>
  <c r="L611" i="1"/>
  <c r="F611" i="1" l="1"/>
  <c r="B612" i="1" l="1"/>
  <c r="N612" i="1" s="1"/>
  <c r="Q612" i="1" s="1"/>
  <c r="D612" i="1"/>
  <c r="P612" i="1" l="1"/>
  <c r="S612" i="1" s="1"/>
  <c r="M612" i="1" s="1"/>
  <c r="O612" i="1"/>
  <c r="R612" i="1" s="1"/>
  <c r="J612" i="1" l="1"/>
  <c r="K612" i="1"/>
  <c r="L612" i="1"/>
  <c r="H612" i="1"/>
  <c r="F612" i="1" s="1"/>
  <c r="I612" i="1"/>
  <c r="G612" i="1" s="1"/>
  <c r="D613" i="1" l="1"/>
  <c r="B613" i="1"/>
  <c r="C613" i="1"/>
  <c r="E613" i="1"/>
  <c r="N613" i="1" l="1"/>
  <c r="Q613" i="1" s="1"/>
  <c r="O613" i="1"/>
  <c r="R613" i="1" s="1"/>
  <c r="K613" i="1" s="1"/>
  <c r="P613" i="1"/>
  <c r="S613" i="1" s="1"/>
  <c r="M613" i="1" s="1"/>
  <c r="I613" i="1"/>
  <c r="J613" i="1"/>
  <c r="G613" i="1" l="1"/>
  <c r="C614" i="1" s="1"/>
  <c r="H613" i="1"/>
  <c r="E614" i="1"/>
  <c r="L613" i="1"/>
  <c r="F613" i="1" l="1"/>
  <c r="B614" i="1" l="1"/>
  <c r="N614" i="1" s="1"/>
  <c r="Q614" i="1" s="1"/>
  <c r="D614" i="1"/>
  <c r="P614" i="1" l="1"/>
  <c r="S614" i="1" s="1"/>
  <c r="M614" i="1" s="1"/>
  <c r="O614" i="1"/>
  <c r="R614" i="1" s="1"/>
  <c r="I614" i="1"/>
  <c r="H614" i="1" l="1"/>
  <c r="J614" i="1"/>
  <c r="K614" i="1"/>
  <c r="G614" i="1" s="1"/>
  <c r="L614" i="1"/>
  <c r="E615" i="1" l="1"/>
  <c r="C615" i="1"/>
  <c r="F614" i="1"/>
  <c r="D615" i="1" l="1"/>
  <c r="B615" i="1"/>
  <c r="N615" i="1" s="1"/>
  <c r="Q615" i="1" s="1"/>
  <c r="O615" i="1" l="1"/>
  <c r="R615" i="1" s="1"/>
  <c r="K615" i="1" s="1"/>
  <c r="I615" i="1"/>
  <c r="P615" i="1"/>
  <c r="S615" i="1" s="1"/>
  <c r="M615" i="1" s="1"/>
  <c r="J615" i="1"/>
  <c r="G615" i="1" l="1"/>
  <c r="H615" i="1"/>
  <c r="C616" i="1"/>
  <c r="E616" i="1"/>
  <c r="L615" i="1"/>
  <c r="F615" i="1" l="1"/>
  <c r="B616" i="1" l="1"/>
  <c r="N616" i="1" s="1"/>
  <c r="Q616" i="1" s="1"/>
  <c r="D616" i="1"/>
  <c r="I616" i="1" l="1"/>
  <c r="O616" i="1"/>
  <c r="R616" i="1" s="1"/>
  <c r="K616" i="1" s="1"/>
  <c r="P616" i="1"/>
  <c r="S616" i="1" s="1"/>
  <c r="M616" i="1" s="1"/>
  <c r="J616" i="1"/>
  <c r="H616" i="1"/>
  <c r="L616" i="1" l="1"/>
  <c r="F616" i="1" s="1"/>
  <c r="G616" i="1"/>
  <c r="D617" i="1" l="1"/>
  <c r="B617" i="1"/>
  <c r="C617" i="1"/>
  <c r="E617" i="1"/>
  <c r="N617" i="1" l="1"/>
  <c r="Q617" i="1" s="1"/>
  <c r="P617" i="1"/>
  <c r="S617" i="1" s="1"/>
  <c r="M617" i="1" s="1"/>
  <c r="I617" i="1"/>
  <c r="O617" i="1"/>
  <c r="R617" i="1" s="1"/>
  <c r="J617" i="1" s="1"/>
  <c r="L617" i="1" l="1"/>
  <c r="K617" i="1"/>
  <c r="G617" i="1" s="1"/>
  <c r="H617" i="1"/>
  <c r="F617" i="1" s="1"/>
  <c r="C618" i="1" l="1"/>
  <c r="E618" i="1"/>
  <c r="B618" i="1"/>
  <c r="N618" i="1" s="1"/>
  <c r="Q618" i="1" s="1"/>
  <c r="D618" i="1"/>
  <c r="O618" i="1" l="1"/>
  <c r="R618" i="1" s="1"/>
  <c r="K618" i="1" s="1"/>
  <c r="P618" i="1"/>
  <c r="S618" i="1" s="1"/>
  <c r="I618" i="1"/>
  <c r="J618" i="1"/>
  <c r="H618" i="1" l="1"/>
  <c r="M618" i="1"/>
  <c r="G618" i="1" s="1"/>
  <c r="L618" i="1"/>
  <c r="F618" i="1" s="1"/>
  <c r="E619" i="1" l="1"/>
  <c r="C619" i="1"/>
  <c r="B619" i="1"/>
  <c r="N619" i="1" s="1"/>
  <c r="Q619" i="1" s="1"/>
  <c r="D619" i="1"/>
  <c r="I619" i="1" l="1"/>
  <c r="P619" i="1"/>
  <c r="S619" i="1" s="1"/>
  <c r="O619" i="1"/>
  <c r="R619" i="1" s="1"/>
  <c r="K619" i="1" s="1"/>
  <c r="H619" i="1"/>
  <c r="J619" i="1" l="1"/>
  <c r="M619" i="1"/>
  <c r="G619" i="1" s="1"/>
  <c r="L619" i="1"/>
  <c r="F619" i="1" s="1"/>
  <c r="E620" i="1" l="1"/>
  <c r="C620" i="1"/>
  <c r="D620" i="1"/>
  <c r="B620" i="1"/>
  <c r="N620" i="1" s="1"/>
  <c r="Q620" i="1" s="1"/>
  <c r="P620" i="1" l="1"/>
  <c r="S620" i="1" s="1"/>
  <c r="M620" i="1" s="1"/>
  <c r="O620" i="1"/>
  <c r="R620" i="1" s="1"/>
  <c r="K620" i="1" s="1"/>
  <c r="I620" i="1"/>
  <c r="J620" i="1" l="1"/>
  <c r="H620" i="1"/>
  <c r="G620" i="1"/>
  <c r="L620" i="1"/>
  <c r="F620" i="1" s="1"/>
  <c r="D621" i="1" l="1"/>
  <c r="B621" i="1"/>
  <c r="E621" i="1"/>
  <c r="C621" i="1"/>
  <c r="N621" i="1" l="1"/>
  <c r="Q621" i="1" s="1"/>
  <c r="O621" i="1"/>
  <c r="R621" i="1" s="1"/>
  <c r="J621" i="1" s="1"/>
  <c r="I621" i="1"/>
  <c r="P621" i="1"/>
  <c r="S621" i="1" s="1"/>
  <c r="M621" i="1" s="1"/>
  <c r="H621" i="1"/>
  <c r="K621" i="1" l="1"/>
  <c r="G621" i="1" s="1"/>
  <c r="L621" i="1"/>
  <c r="F621" i="1" s="1"/>
  <c r="D622" i="1" l="1"/>
  <c r="B622" i="1"/>
  <c r="C622" i="1"/>
  <c r="E622" i="1"/>
  <c r="N622" i="1" l="1"/>
  <c r="Q622" i="1" s="1"/>
  <c r="O622" i="1"/>
  <c r="R622" i="1" s="1"/>
  <c r="K622" i="1" s="1"/>
  <c r="I622" i="1"/>
  <c r="P622" i="1"/>
  <c r="S622" i="1" s="1"/>
  <c r="M622" i="1" s="1"/>
  <c r="J622" i="1"/>
  <c r="H622" i="1" l="1"/>
  <c r="G622" i="1"/>
  <c r="L622" i="1"/>
  <c r="C623" i="1" l="1"/>
  <c r="E623" i="1"/>
  <c r="F622" i="1"/>
  <c r="D623" i="1" l="1"/>
  <c r="B623" i="1"/>
  <c r="N623" i="1" s="1"/>
  <c r="Q623" i="1" s="1"/>
  <c r="P623" i="1" l="1"/>
  <c r="S623" i="1" s="1"/>
  <c r="M623" i="1" s="1"/>
  <c r="I623" i="1"/>
  <c r="O623" i="1"/>
  <c r="R623" i="1" s="1"/>
  <c r="K623" i="1" s="1"/>
  <c r="G623" i="1" l="1"/>
  <c r="H623" i="1"/>
  <c r="J623" i="1"/>
  <c r="E624" i="1"/>
  <c r="C624" i="1"/>
  <c r="L623" i="1"/>
  <c r="F623" i="1" l="1"/>
  <c r="B624" i="1" l="1"/>
  <c r="N624" i="1" s="1"/>
  <c r="Q624" i="1" s="1"/>
  <c r="D624" i="1"/>
  <c r="P624" i="1" l="1"/>
  <c r="S624" i="1" s="1"/>
  <c r="M624" i="1" s="1"/>
  <c r="O624" i="1"/>
  <c r="R624" i="1" s="1"/>
  <c r="K624" i="1" s="1"/>
  <c r="I624" i="1"/>
  <c r="J624" i="1"/>
  <c r="H624" i="1"/>
  <c r="G624" i="1" l="1"/>
  <c r="C625" i="1"/>
  <c r="E625" i="1"/>
  <c r="L624" i="1"/>
  <c r="F624" i="1" s="1"/>
  <c r="D625" i="1" l="1"/>
  <c r="B625" i="1"/>
  <c r="N625" i="1" s="1"/>
  <c r="Q625" i="1" s="1"/>
  <c r="I625" i="1" l="1"/>
  <c r="P625" i="1"/>
  <c r="S625" i="1" s="1"/>
  <c r="M625" i="1" s="1"/>
  <c r="O625" i="1"/>
  <c r="R625" i="1" s="1"/>
  <c r="K625" i="1" s="1"/>
  <c r="H625" i="1"/>
  <c r="J625" i="1" l="1"/>
  <c r="G625" i="1"/>
  <c r="L625" i="1"/>
  <c r="F625" i="1" s="1"/>
  <c r="D626" i="1" l="1"/>
  <c r="B626" i="1"/>
  <c r="E626" i="1"/>
  <c r="C626" i="1"/>
  <c r="N626" i="1" l="1"/>
  <c r="Q626" i="1" s="1"/>
  <c r="P626" i="1"/>
  <c r="S626" i="1" s="1"/>
  <c r="M626" i="1" s="1"/>
  <c r="O626" i="1"/>
  <c r="R626" i="1" s="1"/>
  <c r="K626" i="1" s="1"/>
  <c r="H626" i="1"/>
  <c r="J626" i="1" l="1"/>
  <c r="L626" i="1"/>
  <c r="F626" i="1" s="1"/>
  <c r="I626" i="1"/>
  <c r="G626" i="1" s="1"/>
  <c r="B627" i="1" l="1"/>
  <c r="D627" i="1"/>
  <c r="E627" i="1"/>
  <c r="C627" i="1"/>
  <c r="N627" i="1" l="1"/>
  <c r="Q627" i="1" s="1"/>
  <c r="O627" i="1"/>
  <c r="R627" i="1" s="1"/>
  <c r="J627" i="1" s="1"/>
  <c r="P627" i="1"/>
  <c r="S627" i="1" s="1"/>
  <c r="M627" i="1" s="1"/>
  <c r="I627" i="1"/>
  <c r="L627" i="1" l="1"/>
  <c r="K627" i="1"/>
  <c r="G627" i="1" s="1"/>
  <c r="H627" i="1"/>
  <c r="F627" i="1" s="1"/>
  <c r="E628" i="1" l="1"/>
  <c r="C628" i="1"/>
  <c r="B628" i="1"/>
  <c r="N628" i="1" s="1"/>
  <c r="Q628" i="1" s="1"/>
  <c r="D628" i="1"/>
  <c r="O628" i="1" l="1"/>
  <c r="R628" i="1" s="1"/>
  <c r="J628" i="1" s="1"/>
  <c r="P628" i="1"/>
  <c r="S628" i="1" s="1"/>
  <c r="L628" i="1" s="1"/>
  <c r="H628" i="1"/>
  <c r="I628" i="1"/>
  <c r="K628" i="1"/>
  <c r="M628" i="1" l="1"/>
  <c r="F628" i="1"/>
  <c r="G628" i="1"/>
  <c r="C629" i="1" l="1"/>
  <c r="E629" i="1"/>
  <c r="D629" i="1"/>
  <c r="B629" i="1"/>
  <c r="N629" i="1" s="1"/>
  <c r="Q629" i="1" s="1"/>
  <c r="O629" i="1" l="1"/>
  <c r="R629" i="1" s="1"/>
  <c r="J629" i="1" s="1"/>
  <c r="I629" i="1"/>
  <c r="P629" i="1"/>
  <c r="S629" i="1" s="1"/>
  <c r="M629" i="1" s="1"/>
  <c r="H629" i="1" l="1"/>
  <c r="L629" i="1"/>
  <c r="K629" i="1"/>
  <c r="G629" i="1" s="1"/>
  <c r="F629" i="1" l="1"/>
  <c r="E630" i="1"/>
  <c r="C630" i="1"/>
  <c r="D630" i="1"/>
  <c r="B630" i="1"/>
  <c r="N630" i="1" s="1"/>
  <c r="Q630" i="1" s="1"/>
  <c r="O630" i="1" l="1"/>
  <c r="R630" i="1" s="1"/>
  <c r="K630" i="1" s="1"/>
  <c r="P630" i="1"/>
  <c r="S630" i="1" s="1"/>
  <c r="M630" i="1" s="1"/>
  <c r="I630" i="1"/>
  <c r="J630" i="1"/>
  <c r="G630" i="1" l="1"/>
  <c r="H630" i="1"/>
  <c r="C631" i="1"/>
  <c r="E631" i="1"/>
  <c r="L630" i="1"/>
  <c r="F630" i="1" s="1"/>
  <c r="D631" i="1" l="1"/>
  <c r="B631" i="1"/>
  <c r="N631" i="1" s="1"/>
  <c r="Q631" i="1" s="1"/>
  <c r="I631" i="1" l="1"/>
  <c r="O631" i="1"/>
  <c r="R631" i="1" s="1"/>
  <c r="K631" i="1" s="1"/>
  <c r="P631" i="1"/>
  <c r="S631" i="1" s="1"/>
  <c r="M631" i="1" s="1"/>
  <c r="J631" i="1"/>
  <c r="H631" i="1"/>
  <c r="G631" i="1" l="1"/>
  <c r="L631" i="1"/>
  <c r="F631" i="1" s="1"/>
  <c r="D632" i="1" l="1"/>
  <c r="B632" i="1"/>
  <c r="E632" i="1"/>
  <c r="C632" i="1"/>
  <c r="N632" i="1" l="1"/>
  <c r="Q632" i="1" s="1"/>
  <c r="P632" i="1"/>
  <c r="S632" i="1" s="1"/>
  <c r="L632" i="1" s="1"/>
  <c r="I632" i="1"/>
  <c r="O632" i="1"/>
  <c r="R632" i="1" s="1"/>
  <c r="K632" i="1" s="1"/>
  <c r="M632" i="1" l="1"/>
  <c r="J632" i="1"/>
  <c r="G632" i="1"/>
  <c r="H632" i="1"/>
  <c r="F632" i="1" s="1"/>
  <c r="B633" i="1" l="1"/>
  <c r="D633" i="1"/>
  <c r="E633" i="1"/>
  <c r="C633" i="1"/>
  <c r="N633" i="1" l="1"/>
  <c r="Q633" i="1" s="1"/>
  <c r="O633" i="1"/>
  <c r="R633" i="1" s="1"/>
  <c r="J633" i="1" s="1"/>
  <c r="P633" i="1"/>
  <c r="S633" i="1" s="1"/>
  <c r="M633" i="1" s="1"/>
  <c r="I633" i="1"/>
  <c r="L633" i="1" l="1"/>
  <c r="H633" i="1"/>
  <c r="F633" i="1" s="1"/>
  <c r="K633" i="1"/>
  <c r="G633" i="1" s="1"/>
  <c r="D634" i="1" l="1"/>
  <c r="B634" i="1"/>
  <c r="C634" i="1"/>
  <c r="E634" i="1"/>
  <c r="N634" i="1" l="1"/>
  <c r="Q634" i="1" s="1"/>
  <c r="P634" i="1"/>
  <c r="S634" i="1" s="1"/>
  <c r="M634" i="1" s="1"/>
  <c r="I634" i="1"/>
  <c r="O634" i="1"/>
  <c r="R634" i="1" s="1"/>
  <c r="J634" i="1" s="1"/>
  <c r="L634" i="1" l="1"/>
  <c r="H634" i="1"/>
  <c r="F634" i="1" s="1"/>
  <c r="K634" i="1"/>
  <c r="G634" i="1" s="1"/>
  <c r="E635" i="1" l="1"/>
  <c r="C635" i="1"/>
  <c r="B635" i="1"/>
  <c r="N635" i="1" s="1"/>
  <c r="Q635" i="1" s="1"/>
  <c r="D635" i="1"/>
  <c r="P635" i="1" l="1"/>
  <c r="S635" i="1" s="1"/>
  <c r="L635" i="1" s="1"/>
  <c r="O635" i="1"/>
  <c r="R635" i="1" s="1"/>
  <c r="J635" i="1" s="1"/>
  <c r="I635" i="1"/>
  <c r="K635" i="1" l="1"/>
  <c r="M635" i="1"/>
  <c r="G635" i="1" s="1"/>
  <c r="H635" i="1"/>
  <c r="F635" i="1" s="1"/>
  <c r="C636" i="1" l="1"/>
  <c r="E636" i="1"/>
  <c r="B636" i="1"/>
  <c r="N636" i="1" s="1"/>
  <c r="Q636" i="1" s="1"/>
  <c r="D636" i="1"/>
  <c r="I636" i="1" l="1"/>
  <c r="P636" i="1"/>
  <c r="S636" i="1" s="1"/>
  <c r="M636" i="1" s="1"/>
  <c r="O636" i="1"/>
  <c r="R636" i="1" s="1"/>
  <c r="H636" i="1"/>
  <c r="J636" i="1" l="1"/>
  <c r="K636" i="1"/>
  <c r="G636" i="1"/>
  <c r="L636" i="1"/>
  <c r="F636" i="1" s="1"/>
  <c r="D637" i="1" l="1"/>
  <c r="B637" i="1"/>
  <c r="E637" i="1"/>
  <c r="C637" i="1"/>
  <c r="N637" i="1" l="1"/>
  <c r="Q637" i="1" s="1"/>
  <c r="O637" i="1"/>
  <c r="R637" i="1" s="1"/>
  <c r="J637" i="1" s="1"/>
  <c r="P637" i="1"/>
  <c r="S637" i="1" s="1"/>
  <c r="L637" i="1" s="1"/>
  <c r="H637" i="1"/>
  <c r="K637" i="1"/>
  <c r="M637" i="1" l="1"/>
  <c r="F637" i="1"/>
  <c r="I637" i="1"/>
  <c r="G637" i="1" s="1"/>
  <c r="C638" i="1" l="1"/>
  <c r="E638" i="1"/>
  <c r="D638" i="1"/>
  <c r="B638" i="1"/>
  <c r="N638" i="1" s="1"/>
  <c r="Q638" i="1" s="1"/>
  <c r="I638" i="1" l="1"/>
  <c r="P638" i="1"/>
  <c r="S638" i="1" s="1"/>
  <c r="M638" i="1" s="1"/>
  <c r="O638" i="1"/>
  <c r="R638" i="1" s="1"/>
  <c r="K638" i="1" s="1"/>
  <c r="H638" i="1"/>
  <c r="G638" i="1" l="1"/>
  <c r="E639" i="1" s="1"/>
  <c r="J638" i="1"/>
  <c r="C639" i="1"/>
  <c r="L638" i="1"/>
  <c r="F638" i="1" l="1"/>
  <c r="D639" i="1"/>
  <c r="B639" i="1"/>
  <c r="N639" i="1" s="1"/>
  <c r="Q639" i="1" s="1"/>
  <c r="O639" i="1" l="1"/>
  <c r="R639" i="1" s="1"/>
  <c r="K639" i="1" s="1"/>
  <c r="P639" i="1"/>
  <c r="S639" i="1" s="1"/>
  <c r="M639" i="1" s="1"/>
  <c r="I639" i="1"/>
  <c r="J639" i="1"/>
  <c r="H639" i="1"/>
  <c r="G639" i="1" l="1"/>
  <c r="E640" i="1"/>
  <c r="C640" i="1"/>
  <c r="L639" i="1"/>
  <c r="F639" i="1" s="1"/>
  <c r="B640" i="1" l="1"/>
  <c r="N640" i="1" s="1"/>
  <c r="Q640" i="1" s="1"/>
  <c r="D640" i="1"/>
  <c r="O640" i="1" l="1"/>
  <c r="R640" i="1" s="1"/>
  <c r="K640" i="1" s="1"/>
  <c r="P640" i="1"/>
  <c r="S640" i="1" s="1"/>
  <c r="M640" i="1" s="1"/>
  <c r="I640" i="1"/>
  <c r="J640" i="1"/>
  <c r="H640" i="1"/>
  <c r="G640" i="1" l="1"/>
  <c r="C641" i="1"/>
  <c r="E641" i="1"/>
  <c r="L640" i="1"/>
  <c r="F640" i="1" s="1"/>
  <c r="D641" i="1" l="1"/>
  <c r="B641" i="1"/>
  <c r="N641" i="1" s="1"/>
  <c r="Q641" i="1" s="1"/>
  <c r="P641" i="1" l="1"/>
  <c r="S641" i="1" s="1"/>
  <c r="M641" i="1" s="1"/>
  <c r="O641" i="1"/>
  <c r="R641" i="1" s="1"/>
  <c r="I641" i="1"/>
  <c r="H641" i="1" l="1"/>
  <c r="J641" i="1"/>
  <c r="K641" i="1"/>
  <c r="G641" i="1" s="1"/>
  <c r="L641" i="1"/>
  <c r="E642" i="1" l="1"/>
  <c r="C642" i="1"/>
  <c r="F641" i="1"/>
  <c r="B642" i="1" l="1"/>
  <c r="N642" i="1" s="1"/>
  <c r="Q642" i="1" s="1"/>
  <c r="D642" i="1"/>
  <c r="O642" i="1" l="1"/>
  <c r="R642" i="1" s="1"/>
  <c r="P642" i="1"/>
  <c r="S642" i="1" s="1"/>
  <c r="M642" i="1" s="1"/>
  <c r="I642" i="1"/>
  <c r="H642" i="1" l="1"/>
  <c r="J642" i="1"/>
  <c r="K642" i="1"/>
  <c r="G642" i="1" s="1"/>
  <c r="L642" i="1"/>
  <c r="C643" i="1" l="1"/>
  <c r="E643" i="1"/>
  <c r="F642" i="1"/>
  <c r="D643" i="1" l="1"/>
  <c r="B643" i="1"/>
  <c r="N643" i="1" s="1"/>
  <c r="Q643" i="1" s="1"/>
  <c r="O643" i="1" l="1"/>
  <c r="R643" i="1" s="1"/>
  <c r="P643" i="1"/>
  <c r="S643" i="1" s="1"/>
  <c r="M643" i="1" s="1"/>
  <c r="H643" i="1" l="1"/>
  <c r="I643" i="1"/>
  <c r="J643" i="1"/>
  <c r="K643" i="1"/>
  <c r="L643" i="1"/>
  <c r="G643" i="1" l="1"/>
  <c r="F643" i="1"/>
  <c r="B644" i="1" l="1"/>
  <c r="D644" i="1"/>
  <c r="E644" i="1"/>
  <c r="C644" i="1"/>
  <c r="N644" i="1" l="1"/>
  <c r="Q644" i="1" s="1"/>
  <c r="O644" i="1"/>
  <c r="R644" i="1" s="1"/>
  <c r="J644" i="1" s="1"/>
  <c r="H644" i="1"/>
  <c r="P644" i="1"/>
  <c r="S644" i="1" s="1"/>
  <c r="M644" i="1" s="1"/>
  <c r="L644" i="1" l="1"/>
  <c r="I644" i="1"/>
  <c r="K644" i="1"/>
  <c r="G644" i="1"/>
  <c r="F644" i="1"/>
  <c r="E645" i="1" l="1"/>
  <c r="C645" i="1"/>
  <c r="B645" i="1"/>
  <c r="N645" i="1" s="1"/>
  <c r="Q645" i="1" s="1"/>
  <c r="D645" i="1"/>
  <c r="P645" i="1" l="1"/>
  <c r="S645" i="1" s="1"/>
  <c r="M645" i="1" s="1"/>
  <c r="I645" i="1"/>
  <c r="O645" i="1"/>
  <c r="R645" i="1" s="1"/>
  <c r="K645" i="1" s="1"/>
  <c r="J645" i="1" l="1"/>
  <c r="G645" i="1"/>
  <c r="H645" i="1"/>
  <c r="L645" i="1"/>
  <c r="F645" i="1" l="1"/>
  <c r="E646" i="1"/>
  <c r="C646" i="1"/>
  <c r="D646" i="1" l="1"/>
  <c r="B646" i="1"/>
  <c r="N646" i="1" s="1"/>
  <c r="Q646" i="1" s="1"/>
  <c r="P646" i="1" l="1"/>
  <c r="S646" i="1" s="1"/>
  <c r="M646" i="1" s="1"/>
  <c r="O646" i="1"/>
  <c r="R646" i="1" s="1"/>
  <c r="J646" i="1" l="1"/>
  <c r="K646" i="1"/>
  <c r="H646" i="1"/>
  <c r="I646" i="1"/>
  <c r="G646" i="1" s="1"/>
  <c r="L646" i="1"/>
  <c r="E647" i="1" l="1"/>
  <c r="C647" i="1"/>
  <c r="F646" i="1"/>
  <c r="D647" i="1" l="1"/>
  <c r="B647" i="1"/>
  <c r="N647" i="1" s="1"/>
  <c r="Q647" i="1" s="1"/>
  <c r="P647" i="1" l="1"/>
  <c r="S647" i="1" s="1"/>
  <c r="M647" i="1" s="1"/>
  <c r="I647" i="1"/>
  <c r="O647" i="1"/>
  <c r="R647" i="1" s="1"/>
  <c r="J647" i="1" l="1"/>
  <c r="K647" i="1"/>
  <c r="H647" i="1"/>
  <c r="G647" i="1"/>
  <c r="L647" i="1"/>
  <c r="F647" i="1" l="1"/>
  <c r="B648" i="1"/>
  <c r="D648" i="1"/>
  <c r="C648" i="1"/>
  <c r="E648" i="1"/>
  <c r="N648" i="1" l="1"/>
  <c r="Q648" i="1" s="1"/>
  <c r="P648" i="1"/>
  <c r="S648" i="1" s="1"/>
  <c r="M648" i="1" s="1"/>
  <c r="O648" i="1"/>
  <c r="R648" i="1" s="1"/>
  <c r="K648" i="1" s="1"/>
  <c r="I648" i="1"/>
  <c r="G648" i="1" l="1"/>
  <c r="E649" i="1"/>
  <c r="C649" i="1"/>
  <c r="L648" i="1"/>
  <c r="H648" i="1"/>
  <c r="J648" i="1"/>
  <c r="F648" i="1" l="1"/>
  <c r="B649" i="1" s="1"/>
  <c r="N649" i="1" s="1"/>
  <c r="Q649" i="1" s="1"/>
  <c r="D649" i="1"/>
  <c r="P649" i="1" l="1"/>
  <c r="S649" i="1" s="1"/>
  <c r="M649" i="1" s="1"/>
  <c r="I649" i="1"/>
  <c r="O649" i="1"/>
  <c r="R649" i="1" s="1"/>
  <c r="K649" i="1" s="1"/>
  <c r="H649" i="1"/>
  <c r="G649" i="1" l="1"/>
  <c r="J649" i="1"/>
  <c r="E650" i="1"/>
  <c r="C650" i="1"/>
  <c r="L649" i="1"/>
  <c r="F649" i="1" s="1"/>
  <c r="D650" i="1" l="1"/>
  <c r="B650" i="1"/>
  <c r="N650" i="1" s="1"/>
  <c r="Q650" i="1" s="1"/>
  <c r="O650" i="1" l="1"/>
  <c r="R650" i="1" s="1"/>
  <c r="I650" i="1"/>
  <c r="P650" i="1"/>
  <c r="S650" i="1" s="1"/>
  <c r="M650" i="1" s="1"/>
  <c r="H650" i="1" l="1"/>
  <c r="J650" i="1"/>
  <c r="K650" i="1"/>
  <c r="G650" i="1" s="1"/>
  <c r="L650" i="1"/>
  <c r="E651" i="1" l="1"/>
  <c r="C651" i="1"/>
  <c r="F650" i="1"/>
  <c r="B651" i="1" l="1"/>
  <c r="N651" i="1" s="1"/>
  <c r="Q651" i="1" s="1"/>
  <c r="D651" i="1"/>
  <c r="I651" i="1" l="1"/>
  <c r="O651" i="1"/>
  <c r="R651" i="1" s="1"/>
  <c r="K651" i="1" s="1"/>
  <c r="P651" i="1"/>
  <c r="S651" i="1" s="1"/>
  <c r="M651" i="1" s="1"/>
  <c r="J651" i="1"/>
  <c r="H651" i="1"/>
  <c r="G651" i="1" l="1"/>
  <c r="L651" i="1"/>
  <c r="F651" i="1" s="1"/>
  <c r="E652" i="1"/>
  <c r="C652" i="1"/>
  <c r="D652" i="1" l="1"/>
  <c r="B652" i="1"/>
  <c r="N652" i="1" s="1"/>
  <c r="Q652" i="1" s="1"/>
  <c r="O652" i="1" l="1"/>
  <c r="R652" i="1" s="1"/>
  <c r="K652" i="1" s="1"/>
  <c r="P652" i="1"/>
  <c r="S652" i="1" s="1"/>
  <c r="M652" i="1" s="1"/>
  <c r="I652" i="1"/>
  <c r="G652" i="1" s="1"/>
  <c r="J652" i="1"/>
  <c r="C653" i="1" l="1"/>
  <c r="E653" i="1"/>
  <c r="H652" i="1"/>
  <c r="L652" i="1"/>
  <c r="F652" i="1" l="1"/>
  <c r="B653" i="1"/>
  <c r="N653" i="1" s="1"/>
  <c r="Q653" i="1" s="1"/>
  <c r="D653" i="1"/>
  <c r="I653" i="1" l="1"/>
  <c r="P653" i="1"/>
  <c r="S653" i="1" s="1"/>
  <c r="M653" i="1" s="1"/>
  <c r="O653" i="1"/>
  <c r="R653" i="1" s="1"/>
  <c r="K653" i="1" s="1"/>
  <c r="H653" i="1"/>
  <c r="J653" i="1" l="1"/>
  <c r="G653" i="1"/>
  <c r="L653" i="1"/>
  <c r="F653" i="1" s="1"/>
  <c r="E654" i="1"/>
  <c r="C654" i="1"/>
  <c r="D654" i="1" l="1"/>
  <c r="B654" i="1"/>
  <c r="N654" i="1" s="1"/>
  <c r="Q654" i="1" s="1"/>
  <c r="P654" i="1" l="1"/>
  <c r="S654" i="1" s="1"/>
  <c r="M654" i="1" s="1"/>
  <c r="I654" i="1"/>
  <c r="O654" i="1"/>
  <c r="R654" i="1" s="1"/>
  <c r="K654" i="1" s="1"/>
  <c r="H654" i="1"/>
  <c r="G654" i="1" l="1"/>
  <c r="J654" i="1"/>
  <c r="E655" i="1"/>
  <c r="C655" i="1"/>
  <c r="L654" i="1"/>
  <c r="F654" i="1" l="1"/>
  <c r="D655" i="1" s="1"/>
  <c r="B655" i="1"/>
  <c r="N655" i="1" s="1"/>
  <c r="Q655" i="1" s="1"/>
  <c r="P655" i="1" l="1"/>
  <c r="S655" i="1" s="1"/>
  <c r="M655" i="1" s="1"/>
  <c r="I655" i="1"/>
  <c r="O655" i="1"/>
  <c r="R655" i="1" s="1"/>
  <c r="K655" i="1" s="1"/>
  <c r="G655" i="1" l="1"/>
  <c r="H655" i="1"/>
  <c r="J655" i="1"/>
  <c r="C656" i="1"/>
  <c r="E656" i="1"/>
  <c r="L655" i="1"/>
  <c r="F655" i="1" l="1"/>
  <c r="D656" i="1"/>
  <c r="B656" i="1"/>
  <c r="N656" i="1" s="1"/>
  <c r="Q656" i="1" s="1"/>
  <c r="P656" i="1" l="1"/>
  <c r="S656" i="1" s="1"/>
  <c r="M656" i="1" s="1"/>
  <c r="I656" i="1"/>
  <c r="O656" i="1"/>
  <c r="R656" i="1" s="1"/>
  <c r="K656" i="1" s="1"/>
  <c r="H656" i="1"/>
  <c r="J656" i="1" l="1"/>
  <c r="G656" i="1"/>
  <c r="L656" i="1"/>
  <c r="F656" i="1" s="1"/>
  <c r="B657" i="1" l="1"/>
  <c r="D657" i="1"/>
  <c r="C657" i="1"/>
  <c r="E657" i="1"/>
  <c r="N657" i="1" l="1"/>
  <c r="Q657" i="1" s="1"/>
  <c r="O657" i="1"/>
  <c r="R657" i="1" s="1"/>
  <c r="K657" i="1" s="1"/>
  <c r="H657" i="1"/>
  <c r="P657" i="1"/>
  <c r="S657" i="1" s="1"/>
  <c r="M657" i="1" s="1"/>
  <c r="J657" i="1"/>
  <c r="L657" i="1" l="1"/>
  <c r="F657" i="1" s="1"/>
  <c r="I657" i="1"/>
  <c r="G657" i="1" s="1"/>
  <c r="B658" i="1" l="1"/>
  <c r="D658" i="1"/>
  <c r="C658" i="1"/>
  <c r="E658" i="1"/>
  <c r="N658" i="1" l="1"/>
  <c r="Q658" i="1" s="1"/>
  <c r="P658" i="1"/>
  <c r="S658" i="1" s="1"/>
  <c r="M658" i="1" s="1"/>
  <c r="O658" i="1"/>
  <c r="R658" i="1" s="1"/>
  <c r="K658" i="1" s="1"/>
  <c r="I658" i="1"/>
  <c r="G658" i="1" l="1"/>
  <c r="E659" i="1"/>
  <c r="C659" i="1"/>
  <c r="L658" i="1"/>
  <c r="H658" i="1"/>
  <c r="J658" i="1"/>
  <c r="F658" i="1" l="1"/>
  <c r="B659" i="1"/>
  <c r="N659" i="1" s="1"/>
  <c r="Q659" i="1" s="1"/>
  <c r="D659" i="1"/>
  <c r="P659" i="1" l="1"/>
  <c r="S659" i="1" s="1"/>
  <c r="M659" i="1" s="1"/>
  <c r="O659" i="1"/>
  <c r="R659" i="1" s="1"/>
  <c r="K659" i="1" s="1"/>
  <c r="I659" i="1"/>
  <c r="G659" i="1" l="1"/>
  <c r="J659" i="1"/>
  <c r="C660" i="1"/>
  <c r="E660" i="1"/>
  <c r="H659" i="1"/>
  <c r="L659" i="1"/>
  <c r="F659" i="1" l="1"/>
  <c r="D660" i="1"/>
  <c r="B660" i="1"/>
  <c r="N660" i="1" s="1"/>
  <c r="Q660" i="1" s="1"/>
  <c r="P660" i="1" l="1"/>
  <c r="S660" i="1" s="1"/>
  <c r="M660" i="1" s="1"/>
  <c r="I660" i="1"/>
  <c r="O660" i="1"/>
  <c r="R660" i="1" s="1"/>
  <c r="K660" i="1" s="1"/>
  <c r="H660" i="1"/>
  <c r="G660" i="1" l="1"/>
  <c r="J660" i="1"/>
  <c r="E661" i="1"/>
  <c r="C661" i="1"/>
  <c r="L660" i="1"/>
  <c r="F660" i="1" l="1"/>
  <c r="D661" i="1" s="1"/>
  <c r="B661" i="1"/>
  <c r="N661" i="1" s="1"/>
  <c r="Q661" i="1" s="1"/>
  <c r="P661" i="1" l="1"/>
  <c r="S661" i="1" s="1"/>
  <c r="M661" i="1" s="1"/>
  <c r="I661" i="1"/>
  <c r="O661" i="1"/>
  <c r="R661" i="1" s="1"/>
  <c r="K661" i="1" s="1"/>
  <c r="G661" i="1" l="1"/>
  <c r="H661" i="1"/>
  <c r="J661" i="1"/>
  <c r="C662" i="1"/>
  <c r="E662" i="1"/>
  <c r="L661" i="1"/>
  <c r="F661" i="1" l="1"/>
  <c r="B662" i="1" l="1"/>
  <c r="N662" i="1" s="1"/>
  <c r="Q662" i="1" s="1"/>
  <c r="D662" i="1"/>
  <c r="O662" i="1" l="1"/>
  <c r="R662" i="1" s="1"/>
  <c r="P662" i="1"/>
  <c r="S662" i="1" s="1"/>
  <c r="M662" i="1" s="1"/>
  <c r="I662" i="1"/>
  <c r="H662" i="1"/>
  <c r="J662" i="1" l="1"/>
  <c r="K662" i="1"/>
  <c r="G662" i="1" s="1"/>
  <c r="L662" i="1"/>
  <c r="F662" i="1" l="1"/>
  <c r="E663" i="1"/>
  <c r="C663" i="1"/>
  <c r="D663" i="1"/>
  <c r="B663" i="1"/>
  <c r="N663" i="1" s="1"/>
  <c r="Q663" i="1" s="1"/>
  <c r="O663" i="1" l="1"/>
  <c r="R663" i="1" s="1"/>
  <c r="K663" i="1" s="1"/>
  <c r="I663" i="1"/>
  <c r="P663" i="1"/>
  <c r="S663" i="1" s="1"/>
  <c r="H663" i="1"/>
  <c r="J663" i="1"/>
  <c r="M663" i="1" l="1"/>
  <c r="G663" i="1" s="1"/>
  <c r="L663" i="1"/>
  <c r="F663" i="1" s="1"/>
  <c r="C664" i="1" l="1"/>
  <c r="E664" i="1"/>
  <c r="B664" i="1"/>
  <c r="N664" i="1" s="1"/>
  <c r="Q664" i="1" s="1"/>
  <c r="D664" i="1"/>
  <c r="P664" i="1" l="1"/>
  <c r="S664" i="1" s="1"/>
  <c r="M664" i="1" s="1"/>
  <c r="O664" i="1"/>
  <c r="R664" i="1" s="1"/>
  <c r="K664" i="1" s="1"/>
  <c r="J664" i="1" l="1"/>
  <c r="L664" i="1"/>
  <c r="H664" i="1"/>
  <c r="F664" i="1" s="1"/>
  <c r="I664" i="1"/>
  <c r="G664" i="1" s="1"/>
  <c r="D665" i="1" l="1"/>
  <c r="B665" i="1"/>
  <c r="C665" i="1"/>
  <c r="E665" i="1"/>
  <c r="N665" i="1" l="1"/>
  <c r="Q665" i="1" s="1"/>
  <c r="O665" i="1"/>
  <c r="R665" i="1" s="1"/>
  <c r="J665" i="1" s="1"/>
  <c r="P665" i="1"/>
  <c r="S665" i="1" s="1"/>
  <c r="M665" i="1" s="1"/>
  <c r="I665" i="1"/>
  <c r="H665" i="1" l="1"/>
  <c r="L665" i="1"/>
  <c r="K665" i="1"/>
  <c r="G665" i="1" s="1"/>
  <c r="E666" i="1" l="1"/>
  <c r="C666" i="1"/>
  <c r="F665" i="1"/>
  <c r="B666" i="1" l="1"/>
  <c r="N666" i="1" s="1"/>
  <c r="Q666" i="1" s="1"/>
  <c r="D666" i="1"/>
  <c r="O666" i="1" l="1"/>
  <c r="R666" i="1" s="1"/>
  <c r="P666" i="1"/>
  <c r="S666" i="1" s="1"/>
  <c r="M666" i="1" s="1"/>
  <c r="H666" i="1" l="1"/>
  <c r="I666" i="1"/>
  <c r="L666" i="1"/>
  <c r="J666" i="1"/>
  <c r="K666" i="1"/>
  <c r="G666" i="1" l="1"/>
  <c r="F666" i="1"/>
  <c r="D667" i="1" l="1"/>
  <c r="B667" i="1"/>
  <c r="C667" i="1"/>
  <c r="E667" i="1"/>
  <c r="N667" i="1" l="1"/>
  <c r="Q667" i="1" s="1"/>
  <c r="O667" i="1"/>
  <c r="R667" i="1" s="1"/>
  <c r="K667" i="1" s="1"/>
  <c r="P667" i="1"/>
  <c r="S667" i="1" s="1"/>
  <c r="M667" i="1" s="1"/>
  <c r="H667" i="1"/>
  <c r="J667" i="1" l="1"/>
  <c r="L667" i="1"/>
  <c r="I667" i="1"/>
  <c r="G667" i="1" s="1"/>
  <c r="E668" i="1" l="1"/>
  <c r="C668" i="1"/>
  <c r="F667" i="1"/>
  <c r="B668" i="1" l="1"/>
  <c r="N668" i="1" s="1"/>
  <c r="Q668" i="1" s="1"/>
  <c r="D668" i="1"/>
  <c r="P668" i="1" l="1"/>
  <c r="S668" i="1" s="1"/>
  <c r="M668" i="1" s="1"/>
  <c r="O668" i="1"/>
  <c r="R668" i="1" s="1"/>
  <c r="J668" i="1" l="1"/>
  <c r="K668" i="1"/>
  <c r="L668" i="1"/>
  <c r="H668" i="1"/>
  <c r="F668" i="1" s="1"/>
  <c r="I668" i="1"/>
  <c r="G668" i="1" s="1"/>
  <c r="C669" i="1" l="1"/>
  <c r="E669" i="1"/>
  <c r="D669" i="1"/>
  <c r="B669" i="1"/>
  <c r="N669" i="1" s="1"/>
  <c r="Q669" i="1" s="1"/>
  <c r="I669" i="1" l="1"/>
  <c r="P669" i="1"/>
  <c r="S669" i="1" s="1"/>
  <c r="M669" i="1" s="1"/>
  <c r="O669" i="1"/>
  <c r="R669" i="1" s="1"/>
  <c r="K669" i="1" s="1"/>
  <c r="H669" i="1"/>
  <c r="J669" i="1" l="1"/>
  <c r="G669" i="1"/>
  <c r="E670" i="1" s="1"/>
  <c r="L669" i="1"/>
  <c r="F669" i="1" s="1"/>
  <c r="C670" i="1" l="1"/>
  <c r="D670" i="1"/>
  <c r="B670" i="1"/>
  <c r="N670" i="1" s="1"/>
  <c r="Q670" i="1" s="1"/>
  <c r="O670" i="1" l="1"/>
  <c r="R670" i="1" s="1"/>
  <c r="K670" i="1" s="1"/>
  <c r="P670" i="1"/>
  <c r="S670" i="1" s="1"/>
  <c r="M670" i="1" s="1"/>
  <c r="I670" i="1"/>
  <c r="J670" i="1"/>
  <c r="G670" i="1" l="1"/>
  <c r="C671" i="1"/>
  <c r="E671" i="1"/>
  <c r="H670" i="1"/>
  <c r="L670" i="1"/>
  <c r="F670" i="1" l="1"/>
  <c r="B671" i="1" s="1"/>
  <c r="N671" i="1" s="1"/>
  <c r="Q671" i="1" s="1"/>
  <c r="D671" i="1"/>
  <c r="I671" i="1" l="1"/>
  <c r="P671" i="1"/>
  <c r="S671" i="1" s="1"/>
  <c r="M671" i="1" s="1"/>
  <c r="O671" i="1"/>
  <c r="R671" i="1" s="1"/>
  <c r="K671" i="1" s="1"/>
  <c r="H671" i="1"/>
  <c r="J671" i="1" l="1"/>
  <c r="G671" i="1"/>
  <c r="L671" i="1"/>
  <c r="F671" i="1" s="1"/>
  <c r="E672" i="1"/>
  <c r="C672" i="1"/>
  <c r="D672" i="1" l="1"/>
  <c r="B672" i="1"/>
  <c r="N672" i="1" s="1"/>
  <c r="Q672" i="1" s="1"/>
  <c r="P672" i="1" l="1"/>
  <c r="S672" i="1" s="1"/>
  <c r="M672" i="1" s="1"/>
  <c r="I672" i="1"/>
  <c r="O672" i="1"/>
  <c r="R672" i="1" s="1"/>
  <c r="J672" i="1" l="1"/>
  <c r="K672" i="1"/>
  <c r="H672" i="1"/>
  <c r="G672" i="1"/>
  <c r="L672" i="1"/>
  <c r="C673" i="1" l="1"/>
  <c r="E673" i="1"/>
  <c r="F672" i="1"/>
  <c r="B673" i="1" l="1"/>
  <c r="N673" i="1" s="1"/>
  <c r="Q673" i="1" s="1"/>
  <c r="D673" i="1"/>
  <c r="P673" i="1" l="1"/>
  <c r="S673" i="1" s="1"/>
  <c r="M673" i="1" s="1"/>
  <c r="O673" i="1"/>
  <c r="R673" i="1" s="1"/>
  <c r="H673" i="1" l="1"/>
  <c r="I673" i="1"/>
  <c r="J673" i="1"/>
  <c r="K673" i="1"/>
  <c r="G673" i="1" s="1"/>
  <c r="L673" i="1"/>
  <c r="E674" i="1" l="1"/>
  <c r="C674" i="1"/>
  <c r="F673" i="1"/>
  <c r="B674" i="1" l="1"/>
  <c r="N674" i="1" s="1"/>
  <c r="Q674" i="1" s="1"/>
  <c r="D674" i="1"/>
  <c r="O674" i="1" l="1"/>
  <c r="R674" i="1" s="1"/>
  <c r="P674" i="1"/>
  <c r="S674" i="1" s="1"/>
  <c r="M674" i="1" s="1"/>
  <c r="H674" i="1" l="1"/>
  <c r="I674" i="1"/>
  <c r="J674" i="1"/>
  <c r="K674" i="1"/>
  <c r="G674" i="1" s="1"/>
  <c r="L674" i="1"/>
  <c r="E675" i="1" l="1"/>
  <c r="C675" i="1"/>
  <c r="F674" i="1"/>
  <c r="D675" i="1" l="1"/>
  <c r="B675" i="1"/>
  <c r="N675" i="1" s="1"/>
  <c r="Q675" i="1" s="1"/>
  <c r="O675" i="1" l="1"/>
  <c r="R675" i="1" s="1"/>
  <c r="P675" i="1"/>
  <c r="S675" i="1" s="1"/>
  <c r="M675" i="1" s="1"/>
  <c r="H675" i="1" l="1"/>
  <c r="I675" i="1"/>
  <c r="J675" i="1"/>
  <c r="K675" i="1"/>
  <c r="L675" i="1"/>
  <c r="G675" i="1" l="1"/>
  <c r="E676" i="1"/>
  <c r="C676" i="1"/>
  <c r="F675" i="1"/>
  <c r="D676" i="1" l="1"/>
  <c r="B676" i="1"/>
  <c r="N676" i="1" s="1"/>
  <c r="Q676" i="1" s="1"/>
  <c r="O676" i="1" l="1"/>
  <c r="R676" i="1" s="1"/>
  <c r="K676" i="1" s="1"/>
  <c r="I676" i="1"/>
  <c r="P676" i="1"/>
  <c r="S676" i="1" s="1"/>
  <c r="M676" i="1" s="1"/>
  <c r="J676" i="1"/>
  <c r="G676" i="1" l="1"/>
  <c r="H676" i="1"/>
  <c r="L676" i="1"/>
  <c r="F676" i="1" l="1"/>
  <c r="E677" i="1"/>
  <c r="C677" i="1"/>
  <c r="B677" i="1" l="1"/>
  <c r="N677" i="1" s="1"/>
  <c r="Q677" i="1" s="1"/>
  <c r="D677" i="1"/>
  <c r="P677" i="1" l="1"/>
  <c r="S677" i="1" s="1"/>
  <c r="M677" i="1" s="1"/>
  <c r="O677" i="1"/>
  <c r="R677" i="1" s="1"/>
  <c r="K677" i="1" s="1"/>
  <c r="I677" i="1"/>
  <c r="G677" i="1" s="1"/>
  <c r="J677" i="1"/>
  <c r="H677" i="1"/>
  <c r="C678" i="1" l="1"/>
  <c r="E678" i="1"/>
  <c r="L677" i="1"/>
  <c r="F677" i="1" s="1"/>
  <c r="D678" i="1" l="1"/>
  <c r="B678" i="1"/>
  <c r="N678" i="1" s="1"/>
  <c r="Q678" i="1" s="1"/>
  <c r="I678" i="1" l="1"/>
  <c r="P678" i="1"/>
  <c r="S678" i="1" s="1"/>
  <c r="M678" i="1" s="1"/>
  <c r="O678" i="1"/>
  <c r="R678" i="1" s="1"/>
  <c r="H678" i="1"/>
  <c r="J678" i="1" l="1"/>
  <c r="K678" i="1"/>
  <c r="G678" i="1"/>
  <c r="L678" i="1"/>
  <c r="F678" i="1" s="1"/>
  <c r="D679" i="1" l="1"/>
  <c r="B679" i="1"/>
  <c r="E679" i="1"/>
  <c r="C679" i="1"/>
  <c r="N679" i="1" l="1"/>
  <c r="Q679" i="1" s="1"/>
  <c r="P679" i="1"/>
  <c r="S679" i="1" s="1"/>
  <c r="M679" i="1" s="1"/>
  <c r="H679" i="1"/>
  <c r="O679" i="1"/>
  <c r="R679" i="1" s="1"/>
  <c r="K679" i="1" s="1"/>
  <c r="J679" i="1" l="1"/>
  <c r="L679" i="1"/>
  <c r="F679" i="1" s="1"/>
  <c r="I679" i="1"/>
  <c r="G679" i="1" s="1"/>
  <c r="B680" i="1" l="1"/>
  <c r="D680" i="1"/>
  <c r="E680" i="1"/>
  <c r="C680" i="1"/>
  <c r="N680" i="1" l="1"/>
  <c r="Q680" i="1" s="1"/>
  <c r="P680" i="1"/>
  <c r="S680" i="1" s="1"/>
  <c r="M680" i="1" s="1"/>
  <c r="I680" i="1"/>
  <c r="O680" i="1"/>
  <c r="R680" i="1" s="1"/>
  <c r="K680" i="1" s="1"/>
  <c r="G680" i="1" l="1"/>
  <c r="L680" i="1"/>
  <c r="H680" i="1"/>
  <c r="J680" i="1"/>
  <c r="F680" i="1" l="1"/>
  <c r="E681" i="1"/>
  <c r="C681" i="1"/>
  <c r="B681" i="1" l="1"/>
  <c r="N681" i="1" s="1"/>
  <c r="Q681" i="1" s="1"/>
  <c r="D681" i="1"/>
  <c r="O681" i="1" l="1"/>
  <c r="R681" i="1" s="1"/>
  <c r="P681" i="1"/>
  <c r="S681" i="1" s="1"/>
  <c r="M681" i="1" s="1"/>
  <c r="H681" i="1" l="1"/>
  <c r="I681" i="1"/>
  <c r="J681" i="1"/>
  <c r="K681" i="1"/>
  <c r="L681" i="1"/>
  <c r="G681" i="1" l="1"/>
  <c r="F681" i="1"/>
  <c r="D682" i="1" l="1"/>
  <c r="B682" i="1"/>
  <c r="E682" i="1"/>
  <c r="C682" i="1"/>
  <c r="N682" i="1" l="1"/>
  <c r="O682" i="1"/>
  <c r="R682" i="1" s="1"/>
  <c r="K682" i="1" s="1"/>
  <c r="P682" i="1"/>
  <c r="S682" i="1" s="1"/>
  <c r="M682" i="1" s="1"/>
  <c r="Q682" i="1" l="1"/>
  <c r="I682" i="1" s="1"/>
  <c r="G682" i="1" s="1"/>
  <c r="L682" i="1"/>
  <c r="J682" i="1"/>
  <c r="H682" i="1" l="1"/>
  <c r="F682" i="1"/>
  <c r="E683" i="1"/>
  <c r="C683" i="1"/>
  <c r="B683" i="1" l="1"/>
  <c r="N683" i="1" s="1"/>
  <c r="Q683" i="1" s="1"/>
  <c r="D683" i="1"/>
  <c r="O683" i="1" l="1"/>
  <c r="R683" i="1" s="1"/>
  <c r="K683" i="1" s="1"/>
  <c r="P683" i="1"/>
  <c r="S683" i="1" s="1"/>
  <c r="M683" i="1" s="1"/>
  <c r="I683" i="1"/>
  <c r="G683" i="1" s="1"/>
  <c r="J683" i="1"/>
  <c r="E684" i="1" l="1"/>
  <c r="C684" i="1"/>
  <c r="H683" i="1"/>
  <c r="L683" i="1"/>
  <c r="F683" i="1" l="1"/>
  <c r="D684" i="1" l="1"/>
  <c r="B684" i="1"/>
  <c r="N684" i="1" s="1"/>
  <c r="Q684" i="1" s="1"/>
  <c r="P684" i="1" l="1"/>
  <c r="S684" i="1" s="1"/>
  <c r="M684" i="1" s="1"/>
  <c r="I684" i="1"/>
  <c r="O684" i="1"/>
  <c r="R684" i="1" s="1"/>
  <c r="H684" i="1" l="1"/>
  <c r="J684" i="1"/>
  <c r="K684" i="1"/>
  <c r="G684" i="1" s="1"/>
  <c r="L684" i="1"/>
  <c r="E685" i="1" l="1"/>
  <c r="C685" i="1"/>
  <c r="F684" i="1"/>
  <c r="B685" i="1" l="1"/>
  <c r="N685" i="1" s="1"/>
  <c r="Q685" i="1" s="1"/>
  <c r="D685" i="1"/>
  <c r="P685" i="1" l="1"/>
  <c r="S685" i="1" s="1"/>
  <c r="M685" i="1" s="1"/>
  <c r="O685" i="1"/>
  <c r="R685" i="1" s="1"/>
  <c r="I685" i="1"/>
  <c r="H685" i="1" l="1"/>
  <c r="J685" i="1"/>
  <c r="K685" i="1"/>
  <c r="L685" i="1"/>
  <c r="G685" i="1"/>
  <c r="E686" i="1" l="1"/>
  <c r="C686" i="1"/>
  <c r="F685" i="1"/>
  <c r="D686" i="1" l="1"/>
  <c r="B686" i="1"/>
  <c r="N686" i="1" s="1"/>
  <c r="Q686" i="1" s="1"/>
  <c r="I686" i="1" l="1"/>
  <c r="O686" i="1"/>
  <c r="R686" i="1" s="1"/>
  <c r="K686" i="1" s="1"/>
  <c r="P686" i="1"/>
  <c r="S686" i="1" s="1"/>
  <c r="M686" i="1" s="1"/>
  <c r="J686" i="1"/>
  <c r="H686" i="1"/>
  <c r="G686" i="1" l="1"/>
  <c r="L686" i="1"/>
  <c r="F686" i="1" s="1"/>
  <c r="D687" i="1" l="1"/>
  <c r="B687" i="1"/>
  <c r="C687" i="1"/>
  <c r="E687" i="1"/>
  <c r="N687" i="1" l="1"/>
  <c r="Q687" i="1" s="1"/>
  <c r="O687" i="1"/>
  <c r="R687" i="1" s="1"/>
  <c r="K687" i="1" s="1"/>
  <c r="P687" i="1"/>
  <c r="S687" i="1" s="1"/>
  <c r="M687" i="1" s="1"/>
  <c r="I687" i="1" l="1"/>
  <c r="H687" i="1"/>
  <c r="J687" i="1"/>
  <c r="G687" i="1"/>
  <c r="L687" i="1"/>
  <c r="F687" i="1" s="1"/>
  <c r="B688" i="1" l="1"/>
  <c r="D688" i="1"/>
  <c r="C688" i="1"/>
  <c r="E688" i="1"/>
  <c r="N688" i="1" l="1"/>
  <c r="Q688" i="1" s="1"/>
  <c r="O688" i="1"/>
  <c r="R688" i="1" s="1"/>
  <c r="K688" i="1" s="1"/>
  <c r="I688" i="1"/>
  <c r="P688" i="1"/>
  <c r="S688" i="1" s="1"/>
  <c r="M688" i="1" s="1"/>
  <c r="G688" i="1" l="1"/>
  <c r="C689" i="1"/>
  <c r="E689" i="1"/>
  <c r="L688" i="1"/>
  <c r="H688" i="1"/>
  <c r="F688" i="1" s="1"/>
  <c r="J688" i="1"/>
  <c r="B689" i="1" l="1"/>
  <c r="N689" i="1" s="1"/>
  <c r="Q689" i="1" s="1"/>
  <c r="D689" i="1"/>
  <c r="O689" i="1" l="1"/>
  <c r="R689" i="1" s="1"/>
  <c r="P689" i="1"/>
  <c r="S689" i="1" s="1"/>
  <c r="M689" i="1" s="1"/>
  <c r="I689" i="1"/>
  <c r="H689" i="1" l="1"/>
  <c r="J689" i="1"/>
  <c r="K689" i="1"/>
  <c r="G689" i="1" s="1"/>
  <c r="L689" i="1"/>
  <c r="E690" i="1" l="1"/>
  <c r="C690" i="1"/>
  <c r="F689" i="1"/>
  <c r="D690" i="1" l="1"/>
  <c r="B690" i="1"/>
  <c r="N690" i="1" s="1"/>
  <c r="Q690" i="1" s="1"/>
  <c r="P690" i="1" l="1"/>
  <c r="S690" i="1" s="1"/>
  <c r="M690" i="1" s="1"/>
  <c r="O690" i="1"/>
  <c r="R690" i="1" s="1"/>
  <c r="K690" i="1" s="1"/>
  <c r="J690" i="1" l="1"/>
  <c r="H690" i="1"/>
  <c r="I690" i="1"/>
  <c r="G690" i="1" s="1"/>
  <c r="L690" i="1"/>
  <c r="C691" i="1" l="1"/>
  <c r="E691" i="1"/>
  <c r="F690" i="1"/>
  <c r="B691" i="1" l="1"/>
  <c r="N691" i="1" s="1"/>
  <c r="Q691" i="1" s="1"/>
  <c r="D691" i="1"/>
  <c r="P691" i="1" l="1"/>
  <c r="S691" i="1" s="1"/>
  <c r="M691" i="1" s="1"/>
  <c r="I691" i="1"/>
  <c r="O691" i="1"/>
  <c r="R691" i="1" s="1"/>
  <c r="K691" i="1" s="1"/>
  <c r="H691" i="1"/>
  <c r="G691" i="1" l="1"/>
  <c r="J691" i="1"/>
  <c r="E692" i="1"/>
  <c r="C692" i="1"/>
  <c r="L691" i="1"/>
  <c r="F691" i="1"/>
  <c r="D692" i="1" l="1"/>
  <c r="B692" i="1"/>
  <c r="N692" i="1" s="1"/>
  <c r="Q692" i="1" s="1"/>
  <c r="O692" i="1" l="1"/>
  <c r="R692" i="1" s="1"/>
  <c r="K692" i="1" s="1"/>
  <c r="P692" i="1"/>
  <c r="S692" i="1" s="1"/>
  <c r="M692" i="1" s="1"/>
  <c r="I692" i="1"/>
  <c r="J692" i="1"/>
  <c r="G692" i="1" l="1"/>
  <c r="C693" i="1"/>
  <c r="E693" i="1"/>
  <c r="H692" i="1"/>
  <c r="L692" i="1"/>
  <c r="F692" i="1" l="1"/>
  <c r="B693" i="1"/>
  <c r="N693" i="1" s="1"/>
  <c r="Q693" i="1" s="1"/>
  <c r="D693" i="1"/>
  <c r="P693" i="1" l="1"/>
  <c r="S693" i="1" s="1"/>
  <c r="M693" i="1" s="1"/>
  <c r="O693" i="1"/>
  <c r="R693" i="1" s="1"/>
  <c r="K693" i="1" s="1"/>
  <c r="I693" i="1"/>
  <c r="H693" i="1"/>
  <c r="J693" i="1" l="1"/>
  <c r="G693" i="1"/>
  <c r="E694" i="1" s="1"/>
  <c r="L693" i="1"/>
  <c r="F693" i="1"/>
  <c r="C694" i="1" l="1"/>
  <c r="D694" i="1"/>
  <c r="B694" i="1"/>
  <c r="N694" i="1" s="1"/>
  <c r="Q694" i="1" s="1"/>
  <c r="P694" i="1" l="1"/>
  <c r="S694" i="1" s="1"/>
  <c r="M694" i="1" s="1"/>
  <c r="O694" i="1"/>
  <c r="R694" i="1" s="1"/>
  <c r="K694" i="1" s="1"/>
  <c r="I694" i="1"/>
  <c r="G694" i="1" l="1"/>
  <c r="C695" i="1"/>
  <c r="E695" i="1"/>
  <c r="H694" i="1"/>
  <c r="J694" i="1"/>
  <c r="L694" i="1"/>
  <c r="F694" i="1" l="1"/>
  <c r="D695" i="1" l="1"/>
  <c r="B695" i="1"/>
  <c r="N695" i="1" s="1"/>
  <c r="Q695" i="1" s="1"/>
  <c r="I695" i="1" l="1"/>
  <c r="O695" i="1"/>
  <c r="R695" i="1" s="1"/>
  <c r="K695" i="1" s="1"/>
  <c r="P695" i="1"/>
  <c r="S695" i="1" s="1"/>
  <c r="M695" i="1" s="1"/>
  <c r="H695" i="1"/>
  <c r="J695" i="1" l="1"/>
  <c r="G695" i="1"/>
  <c r="L695" i="1"/>
  <c r="F695" i="1" l="1"/>
  <c r="D696" i="1"/>
  <c r="B696" i="1"/>
  <c r="E696" i="1"/>
  <c r="C696" i="1"/>
  <c r="N696" i="1" l="1"/>
  <c r="Q696" i="1" s="1"/>
  <c r="O696" i="1"/>
  <c r="R696" i="1" s="1"/>
  <c r="K696" i="1" s="1"/>
  <c r="P696" i="1"/>
  <c r="S696" i="1" s="1"/>
  <c r="M696" i="1" s="1"/>
  <c r="H696" i="1"/>
  <c r="J696" i="1"/>
  <c r="I696" i="1" l="1"/>
  <c r="G696" i="1" s="1"/>
  <c r="L696" i="1"/>
  <c r="F696" i="1" s="1"/>
  <c r="B697" i="1" l="1"/>
  <c r="D697" i="1"/>
  <c r="E697" i="1"/>
  <c r="C697" i="1"/>
  <c r="N697" i="1" l="1"/>
  <c r="Q697" i="1" s="1"/>
  <c r="P697" i="1"/>
  <c r="S697" i="1" s="1"/>
  <c r="M697" i="1" s="1"/>
  <c r="O697" i="1"/>
  <c r="R697" i="1" s="1"/>
  <c r="K697" i="1" s="1"/>
  <c r="H697" i="1"/>
  <c r="L697" i="1" l="1"/>
  <c r="I697" i="1"/>
  <c r="G697" i="1" s="1"/>
  <c r="J697" i="1"/>
  <c r="F697" i="1" s="1"/>
  <c r="B698" i="1" l="1"/>
  <c r="D698" i="1"/>
  <c r="E698" i="1"/>
  <c r="C698" i="1"/>
  <c r="N698" i="1" l="1"/>
  <c r="O698" i="1"/>
  <c r="R698" i="1" s="1"/>
  <c r="K698" i="1" s="1"/>
  <c r="P698" i="1"/>
  <c r="S698" i="1" s="1"/>
  <c r="M698" i="1" s="1"/>
  <c r="J698" i="1"/>
  <c r="Q698" i="1" l="1"/>
  <c r="I698" i="1" s="1"/>
  <c r="G698" i="1" s="1"/>
  <c r="L698" i="1"/>
  <c r="H698" i="1"/>
  <c r="F698" i="1" s="1"/>
  <c r="E699" i="1" l="1"/>
  <c r="C699" i="1"/>
  <c r="D699" i="1"/>
  <c r="B699" i="1"/>
  <c r="N699" i="1" s="1"/>
  <c r="Q699" i="1" s="1"/>
  <c r="P699" i="1" l="1"/>
  <c r="S699" i="1" s="1"/>
  <c r="M699" i="1" s="1"/>
  <c r="O699" i="1"/>
  <c r="R699" i="1" s="1"/>
  <c r="K699" i="1" s="1"/>
  <c r="I699" i="1"/>
  <c r="J699" i="1" l="1"/>
  <c r="H699" i="1"/>
  <c r="G699" i="1"/>
  <c r="L699" i="1"/>
  <c r="F699" i="1" s="1"/>
  <c r="D700" i="1" l="1"/>
  <c r="B700" i="1"/>
  <c r="C700" i="1"/>
  <c r="E700" i="1"/>
  <c r="N700" i="1" l="1"/>
  <c r="Q700" i="1" s="1"/>
  <c r="P700" i="1"/>
  <c r="S700" i="1" s="1"/>
  <c r="M700" i="1" s="1"/>
  <c r="I700" i="1"/>
  <c r="O700" i="1"/>
  <c r="R700" i="1" s="1"/>
  <c r="J700" i="1" s="1"/>
  <c r="L700" i="1" l="1"/>
  <c r="H700" i="1"/>
  <c r="F700" i="1" s="1"/>
  <c r="K700" i="1"/>
  <c r="G700" i="1" s="1"/>
  <c r="C701" i="1" l="1"/>
  <c r="E701" i="1"/>
  <c r="B701" i="1"/>
  <c r="N701" i="1" s="1"/>
  <c r="Q701" i="1" s="1"/>
  <c r="D701" i="1"/>
  <c r="I701" i="1" l="1"/>
  <c r="P701" i="1"/>
  <c r="S701" i="1" s="1"/>
  <c r="L701" i="1" s="1"/>
  <c r="O701" i="1"/>
  <c r="R701" i="1" s="1"/>
  <c r="J701" i="1" s="1"/>
  <c r="H701" i="1"/>
  <c r="M701" i="1" l="1"/>
  <c r="F701" i="1"/>
  <c r="K701" i="1"/>
  <c r="G701" i="1" s="1"/>
  <c r="E702" i="1" l="1"/>
  <c r="C702" i="1"/>
  <c r="B702" i="1"/>
  <c r="N702" i="1" s="1"/>
  <c r="Q702" i="1" s="1"/>
  <c r="D702" i="1"/>
  <c r="O702" i="1" l="1"/>
  <c r="R702" i="1" s="1"/>
  <c r="K702" i="1" s="1"/>
  <c r="I702" i="1"/>
  <c r="P702" i="1"/>
  <c r="S702" i="1" s="1"/>
  <c r="M702" i="1" s="1"/>
  <c r="G702" i="1" l="1"/>
  <c r="E703" i="1"/>
  <c r="C703" i="1"/>
  <c r="J702" i="1"/>
  <c r="L702" i="1"/>
  <c r="H702" i="1"/>
  <c r="F702" i="1" s="1"/>
  <c r="B703" i="1" l="1"/>
  <c r="N703" i="1" s="1"/>
  <c r="Q703" i="1" s="1"/>
  <c r="D703" i="1"/>
  <c r="P703" i="1" l="1"/>
  <c r="S703" i="1" s="1"/>
  <c r="M703" i="1" s="1"/>
  <c r="I703" i="1"/>
  <c r="O703" i="1"/>
  <c r="R703" i="1" s="1"/>
  <c r="K703" i="1" s="1"/>
  <c r="H703" i="1"/>
  <c r="J703" i="1" l="1"/>
  <c r="G703" i="1"/>
  <c r="L703" i="1"/>
  <c r="F703" i="1" s="1"/>
  <c r="D704" i="1" l="1"/>
  <c r="B704" i="1"/>
  <c r="E704" i="1"/>
  <c r="C704" i="1"/>
  <c r="N704" i="1" l="1"/>
  <c r="Q704" i="1" s="1"/>
  <c r="O704" i="1"/>
  <c r="R704" i="1" s="1"/>
  <c r="K704" i="1" s="1"/>
  <c r="P704" i="1"/>
  <c r="S704" i="1" s="1"/>
  <c r="L704" i="1" s="1"/>
  <c r="I704" i="1" l="1"/>
  <c r="H704" i="1"/>
  <c r="M704" i="1"/>
  <c r="G704" i="1" s="1"/>
  <c r="C705" i="1" s="1"/>
  <c r="J704" i="1"/>
  <c r="F704" i="1" s="1"/>
  <c r="E705" i="1"/>
  <c r="D705" i="1" l="1"/>
  <c r="B705" i="1"/>
  <c r="N705" i="1" s="1"/>
  <c r="Q705" i="1" s="1"/>
  <c r="I705" i="1" l="1"/>
  <c r="P705" i="1"/>
  <c r="S705" i="1" s="1"/>
  <c r="M705" i="1" s="1"/>
  <c r="O705" i="1"/>
  <c r="R705" i="1" s="1"/>
  <c r="H705" i="1"/>
  <c r="J705" i="1" l="1"/>
  <c r="K705" i="1"/>
  <c r="G705" i="1"/>
  <c r="L705" i="1"/>
  <c r="F705" i="1" s="1"/>
  <c r="D706" i="1" l="1"/>
  <c r="B706" i="1"/>
  <c r="E706" i="1"/>
  <c r="C706" i="1"/>
  <c r="N706" i="1" l="1"/>
  <c r="Q706" i="1" s="1"/>
  <c r="P706" i="1"/>
  <c r="S706" i="1" s="1"/>
  <c r="M706" i="1" s="1"/>
  <c r="H706" i="1"/>
  <c r="O706" i="1"/>
  <c r="R706" i="1" s="1"/>
  <c r="J706" i="1" s="1"/>
  <c r="K706" i="1" l="1"/>
  <c r="L706" i="1"/>
  <c r="F706" i="1" s="1"/>
  <c r="I706" i="1"/>
  <c r="G706" i="1" s="1"/>
  <c r="D707" i="1" l="1"/>
  <c r="B707" i="1"/>
  <c r="E707" i="1"/>
  <c r="C707" i="1"/>
  <c r="N707" i="1" l="1"/>
  <c r="Q707" i="1" s="1"/>
  <c r="P707" i="1"/>
  <c r="S707" i="1" s="1"/>
  <c r="M707" i="1" s="1"/>
  <c r="O707" i="1"/>
  <c r="R707" i="1" s="1"/>
  <c r="K707" i="1" s="1"/>
  <c r="I707" i="1" l="1"/>
  <c r="H707" i="1"/>
  <c r="J707" i="1"/>
  <c r="G707" i="1"/>
  <c r="L707" i="1"/>
  <c r="F707" i="1" s="1"/>
  <c r="D708" i="1" l="1"/>
  <c r="B708" i="1"/>
  <c r="E708" i="1"/>
  <c r="C708" i="1"/>
  <c r="N708" i="1" l="1"/>
  <c r="O708" i="1"/>
  <c r="R708" i="1" s="1"/>
  <c r="K708" i="1" s="1"/>
  <c r="P708" i="1"/>
  <c r="S708" i="1" s="1"/>
  <c r="L708" i="1" s="1"/>
  <c r="Q708" i="1" l="1"/>
  <c r="I708" i="1" s="1"/>
  <c r="M708" i="1"/>
  <c r="J708" i="1"/>
  <c r="H708" i="1"/>
  <c r="F708" i="1" s="1"/>
  <c r="G708" i="1" l="1"/>
  <c r="B709" i="1"/>
  <c r="D709" i="1"/>
  <c r="E709" i="1"/>
  <c r="C709" i="1"/>
  <c r="N709" i="1" l="1"/>
  <c r="Q709" i="1" s="1"/>
  <c r="P709" i="1"/>
  <c r="S709" i="1" s="1"/>
  <c r="M709" i="1" s="1"/>
  <c r="I709" i="1"/>
  <c r="O709" i="1"/>
  <c r="R709" i="1" s="1"/>
  <c r="K709" i="1" s="1"/>
  <c r="J709" i="1" l="1"/>
  <c r="G709" i="1"/>
  <c r="L709" i="1"/>
  <c r="H709" i="1"/>
  <c r="F709" i="1" s="1"/>
  <c r="B710" i="1" l="1"/>
  <c r="D710" i="1"/>
  <c r="E710" i="1"/>
  <c r="C710" i="1"/>
  <c r="N710" i="1" l="1"/>
  <c r="Q710" i="1" s="1"/>
  <c r="O710" i="1"/>
  <c r="R710" i="1" s="1"/>
  <c r="K710" i="1" s="1"/>
  <c r="P710" i="1"/>
  <c r="S710" i="1" s="1"/>
  <c r="M710" i="1" s="1"/>
  <c r="I710" i="1"/>
  <c r="G710" i="1" l="1"/>
  <c r="E711" i="1" s="1"/>
  <c r="H710" i="1"/>
  <c r="L710" i="1"/>
  <c r="C711" i="1"/>
  <c r="J710" i="1"/>
  <c r="F710" i="1" l="1"/>
  <c r="B711" i="1" l="1"/>
  <c r="N711" i="1" s="1"/>
  <c r="Q711" i="1" s="1"/>
  <c r="D711" i="1"/>
  <c r="P711" i="1" l="1"/>
  <c r="S711" i="1" s="1"/>
  <c r="M711" i="1" s="1"/>
  <c r="O711" i="1"/>
  <c r="R711" i="1" s="1"/>
  <c r="K711" i="1" s="1"/>
  <c r="I711" i="1"/>
  <c r="G711" i="1" s="1"/>
  <c r="H711" i="1" l="1"/>
  <c r="J711" i="1"/>
  <c r="E712" i="1"/>
  <c r="C712" i="1"/>
  <c r="L711" i="1"/>
  <c r="F711" i="1"/>
  <c r="D712" i="1" l="1"/>
  <c r="B712" i="1"/>
  <c r="N712" i="1" s="1"/>
  <c r="Q712" i="1" s="1"/>
  <c r="P712" i="1" l="1"/>
  <c r="S712" i="1" s="1"/>
  <c r="M712" i="1" s="1"/>
  <c r="O712" i="1"/>
  <c r="R712" i="1" s="1"/>
  <c r="K712" i="1" s="1"/>
  <c r="I712" i="1"/>
  <c r="G712" i="1" l="1"/>
  <c r="H712" i="1"/>
  <c r="E713" i="1"/>
  <c r="C713" i="1"/>
  <c r="J712" i="1"/>
  <c r="L712" i="1"/>
  <c r="F712" i="1" l="1"/>
  <c r="B713" i="1"/>
  <c r="N713" i="1" s="1"/>
  <c r="Q713" i="1" s="1"/>
  <c r="D713" i="1"/>
  <c r="P713" i="1" l="1"/>
  <c r="S713" i="1" s="1"/>
  <c r="I713" i="1"/>
  <c r="O713" i="1"/>
  <c r="R713" i="1" s="1"/>
  <c r="K713" i="1" s="1"/>
  <c r="H713" i="1"/>
  <c r="J713" i="1" l="1"/>
  <c r="M713" i="1"/>
  <c r="G713" i="1" s="1"/>
  <c r="L713" i="1"/>
  <c r="F713" i="1" s="1"/>
  <c r="C714" i="1" l="1"/>
  <c r="E714" i="1"/>
  <c r="D714" i="1"/>
  <c r="B714" i="1"/>
  <c r="N714" i="1" s="1"/>
  <c r="Q714" i="1" s="1"/>
  <c r="O714" i="1" l="1"/>
  <c r="R714" i="1" s="1"/>
  <c r="I714" i="1"/>
  <c r="P714" i="1"/>
  <c r="S714" i="1" s="1"/>
  <c r="M714" i="1" s="1"/>
  <c r="H714" i="1" l="1"/>
  <c r="J714" i="1"/>
  <c r="K714" i="1"/>
  <c r="G714" i="1" s="1"/>
  <c r="L714" i="1"/>
  <c r="E715" i="1" l="1"/>
  <c r="C715" i="1"/>
  <c r="F714" i="1"/>
  <c r="B715" i="1" l="1"/>
  <c r="N715" i="1" s="1"/>
  <c r="Q715" i="1" s="1"/>
  <c r="D715" i="1"/>
  <c r="O715" i="1" l="1"/>
  <c r="R715" i="1" s="1"/>
  <c r="K715" i="1" s="1"/>
  <c r="I715" i="1"/>
  <c r="P715" i="1"/>
  <c r="S715" i="1" s="1"/>
  <c r="M715" i="1" s="1"/>
  <c r="J715" i="1"/>
  <c r="H715" i="1"/>
  <c r="G715" i="1" l="1"/>
  <c r="L715" i="1"/>
  <c r="F715" i="1" s="1"/>
  <c r="D716" i="1" l="1"/>
  <c r="B716" i="1"/>
  <c r="C716" i="1"/>
  <c r="E716" i="1"/>
  <c r="N716" i="1" l="1"/>
  <c r="Q716" i="1" s="1"/>
  <c r="O716" i="1"/>
  <c r="R716" i="1" s="1"/>
  <c r="K716" i="1" s="1"/>
  <c r="P716" i="1"/>
  <c r="S716" i="1" s="1"/>
  <c r="L716" i="1" s="1"/>
  <c r="I716" i="1"/>
  <c r="J716" i="1" l="1"/>
  <c r="M716" i="1"/>
  <c r="H716" i="1"/>
  <c r="F716" i="1" s="1"/>
  <c r="G716" i="1"/>
  <c r="C717" i="1" l="1"/>
  <c r="E717" i="1"/>
  <c r="D717" i="1"/>
  <c r="B717" i="1"/>
  <c r="N717" i="1" s="1"/>
  <c r="Q717" i="1" s="1"/>
  <c r="P717" i="1" l="1"/>
  <c r="S717" i="1" s="1"/>
  <c r="M717" i="1" s="1"/>
  <c r="O717" i="1"/>
  <c r="R717" i="1" s="1"/>
  <c r="J717" i="1" s="1"/>
  <c r="I717" i="1"/>
  <c r="H717" i="1" l="1"/>
  <c r="L717" i="1"/>
  <c r="F717" i="1" s="1"/>
  <c r="K717" i="1"/>
  <c r="G717" i="1" s="1"/>
  <c r="C718" i="1" l="1"/>
  <c r="E718" i="1"/>
  <c r="D718" i="1"/>
  <c r="B718" i="1"/>
  <c r="N718" i="1" s="1"/>
  <c r="Q718" i="1" s="1"/>
  <c r="P718" i="1" l="1"/>
  <c r="S718" i="1" s="1"/>
  <c r="M718" i="1" s="1"/>
  <c r="O718" i="1"/>
  <c r="R718" i="1" s="1"/>
  <c r="J718" i="1" s="1"/>
  <c r="I718" i="1"/>
  <c r="H718" i="1"/>
  <c r="L718" i="1" l="1"/>
  <c r="F718" i="1" s="1"/>
  <c r="K718" i="1"/>
  <c r="G718" i="1" s="1"/>
  <c r="E719" i="1" l="1"/>
  <c r="C719" i="1"/>
  <c r="D719" i="1"/>
  <c r="B719" i="1"/>
  <c r="N719" i="1" s="1"/>
  <c r="Q719" i="1" s="1"/>
  <c r="I719" i="1" l="1"/>
  <c r="P719" i="1"/>
  <c r="S719" i="1" s="1"/>
  <c r="L719" i="1" s="1"/>
  <c r="O719" i="1"/>
  <c r="R719" i="1" s="1"/>
  <c r="J719" i="1" s="1"/>
  <c r="H719" i="1"/>
  <c r="M719" i="1" l="1"/>
  <c r="F719" i="1"/>
  <c r="K719" i="1"/>
  <c r="G719" i="1" s="1"/>
  <c r="C720" i="1" l="1"/>
  <c r="E720" i="1"/>
  <c r="D720" i="1"/>
  <c r="B720" i="1"/>
  <c r="N720" i="1" s="1"/>
  <c r="Q720" i="1" s="1"/>
  <c r="I720" i="1" l="1"/>
  <c r="O720" i="1"/>
  <c r="R720" i="1" s="1"/>
  <c r="J720" i="1" s="1"/>
  <c r="P720" i="1"/>
  <c r="S720" i="1" s="1"/>
  <c r="M720" i="1" s="1"/>
  <c r="H720" i="1"/>
  <c r="L720" i="1" l="1"/>
  <c r="F720" i="1" s="1"/>
  <c r="K720" i="1"/>
  <c r="G720" i="1" s="1"/>
  <c r="E721" i="1" l="1"/>
  <c r="C721" i="1"/>
  <c r="D721" i="1"/>
  <c r="B721" i="1"/>
  <c r="N721" i="1" s="1"/>
  <c r="Q721" i="1" s="1"/>
  <c r="O721" i="1" l="1"/>
  <c r="R721" i="1" s="1"/>
  <c r="J721" i="1" s="1"/>
  <c r="P721" i="1"/>
  <c r="S721" i="1" s="1"/>
  <c r="L721" i="1" s="1"/>
  <c r="I721" i="1"/>
  <c r="H721" i="1"/>
  <c r="M721" i="1" l="1"/>
  <c r="F721" i="1"/>
  <c r="K721" i="1"/>
  <c r="G721" i="1" s="1"/>
  <c r="E722" i="1" l="1"/>
  <c r="C722" i="1"/>
  <c r="D722" i="1"/>
  <c r="B722" i="1"/>
  <c r="N722" i="1" s="1"/>
  <c r="Q722" i="1" s="1"/>
  <c r="P722" i="1" l="1"/>
  <c r="S722" i="1" s="1"/>
  <c r="M722" i="1" s="1"/>
  <c r="I722" i="1"/>
  <c r="O722" i="1"/>
  <c r="R722" i="1" s="1"/>
  <c r="K722" i="1" s="1"/>
  <c r="H722" i="1"/>
  <c r="J722" i="1" l="1"/>
  <c r="G722" i="1"/>
  <c r="L722" i="1"/>
  <c r="F722" i="1" s="1"/>
  <c r="D723" i="1" l="1"/>
  <c r="B723" i="1"/>
  <c r="C723" i="1"/>
  <c r="E723" i="1"/>
  <c r="N723" i="1" l="1"/>
  <c r="P723" i="1"/>
  <c r="S723" i="1" s="1"/>
  <c r="O723" i="1"/>
  <c r="R723" i="1" s="1"/>
  <c r="K723" i="1" s="1"/>
  <c r="Q723" i="1" l="1"/>
  <c r="I723" i="1" s="1"/>
  <c r="M723" i="1"/>
  <c r="J723" i="1"/>
  <c r="L723" i="1"/>
  <c r="H723" i="1"/>
  <c r="F723" i="1" s="1"/>
  <c r="G723" i="1" l="1"/>
  <c r="C724" i="1"/>
  <c r="E724" i="1"/>
  <c r="B724" i="1"/>
  <c r="N724" i="1" s="1"/>
  <c r="Q724" i="1" s="1"/>
  <c r="D724" i="1"/>
  <c r="O724" i="1" l="1"/>
  <c r="R724" i="1" s="1"/>
  <c r="P724" i="1"/>
  <c r="S724" i="1" s="1"/>
  <c r="M724" i="1" s="1"/>
  <c r="J724" i="1" l="1"/>
  <c r="K724" i="1"/>
  <c r="H724" i="1"/>
  <c r="I724" i="1"/>
  <c r="G724" i="1" s="1"/>
  <c r="L724" i="1"/>
  <c r="E725" i="1" l="1"/>
  <c r="C725" i="1"/>
  <c r="F724" i="1"/>
  <c r="B725" i="1" l="1"/>
  <c r="N725" i="1" s="1"/>
  <c r="Q725" i="1" s="1"/>
  <c r="D725" i="1"/>
  <c r="O725" i="1" l="1"/>
  <c r="R725" i="1" s="1"/>
  <c r="P725" i="1"/>
  <c r="S725" i="1" s="1"/>
  <c r="M725" i="1" s="1"/>
  <c r="J725" i="1" l="1"/>
  <c r="K725" i="1"/>
  <c r="L725" i="1"/>
  <c r="H725" i="1"/>
  <c r="F725" i="1" s="1"/>
  <c r="I725" i="1"/>
  <c r="G725" i="1" s="1"/>
  <c r="E726" i="1" l="1"/>
  <c r="C726" i="1"/>
  <c r="D726" i="1"/>
  <c r="B726" i="1"/>
  <c r="N726" i="1" s="1"/>
  <c r="Q726" i="1" s="1"/>
  <c r="O726" i="1" l="1"/>
  <c r="R726" i="1" s="1"/>
  <c r="K726" i="1" s="1"/>
  <c r="I726" i="1"/>
  <c r="P726" i="1"/>
  <c r="S726" i="1" s="1"/>
  <c r="M726" i="1" s="1"/>
  <c r="J726" i="1"/>
  <c r="H726" i="1"/>
  <c r="G726" i="1" l="1"/>
  <c r="C727" i="1"/>
  <c r="E727" i="1"/>
  <c r="L726" i="1"/>
  <c r="F726" i="1"/>
  <c r="D727" i="1" l="1"/>
  <c r="B727" i="1"/>
  <c r="N727" i="1" s="1"/>
  <c r="Q727" i="1" s="1"/>
  <c r="I727" i="1" l="1"/>
  <c r="P727" i="1"/>
  <c r="S727" i="1" s="1"/>
  <c r="M727" i="1" s="1"/>
  <c r="O727" i="1"/>
  <c r="R727" i="1" s="1"/>
  <c r="K727" i="1" s="1"/>
  <c r="H727" i="1"/>
  <c r="J727" i="1" l="1"/>
  <c r="G727" i="1"/>
  <c r="L727" i="1"/>
  <c r="F727" i="1" l="1"/>
  <c r="B728" i="1"/>
  <c r="N728" i="1" s="1"/>
  <c r="Q728" i="1" s="1"/>
  <c r="D728" i="1"/>
  <c r="C728" i="1"/>
  <c r="E728" i="1"/>
  <c r="I728" i="1" l="1"/>
  <c r="P728" i="1"/>
  <c r="S728" i="1" s="1"/>
  <c r="M728" i="1" s="1"/>
  <c r="O728" i="1"/>
  <c r="R728" i="1" s="1"/>
  <c r="J728" i="1" s="1"/>
  <c r="L728" i="1" l="1"/>
  <c r="H728" i="1"/>
  <c r="F728" i="1" s="1"/>
  <c r="K728" i="1"/>
  <c r="G728" i="1" s="1"/>
  <c r="E729" i="1" l="1"/>
  <c r="C729" i="1"/>
  <c r="B729" i="1"/>
  <c r="N729" i="1" s="1"/>
  <c r="Q729" i="1" s="1"/>
  <c r="D729" i="1"/>
  <c r="I729" i="1" l="1"/>
  <c r="O729" i="1"/>
  <c r="R729" i="1" s="1"/>
  <c r="J729" i="1" s="1"/>
  <c r="P729" i="1"/>
  <c r="S729" i="1" s="1"/>
  <c r="L729" i="1" s="1"/>
  <c r="H729" i="1"/>
  <c r="K729" i="1"/>
  <c r="M729" i="1" l="1"/>
  <c r="F729" i="1"/>
  <c r="G729" i="1"/>
  <c r="C730" i="1" l="1"/>
  <c r="E730" i="1"/>
  <c r="D730" i="1"/>
  <c r="B730" i="1"/>
  <c r="N730" i="1" s="1"/>
  <c r="Q730" i="1" s="1"/>
  <c r="O730" i="1" l="1"/>
  <c r="R730" i="1" s="1"/>
  <c r="J730" i="1" s="1"/>
  <c r="I730" i="1"/>
  <c r="P730" i="1"/>
  <c r="S730" i="1" s="1"/>
  <c r="M730" i="1" s="1"/>
  <c r="H730" i="1"/>
  <c r="L730" i="1" l="1"/>
  <c r="F730" i="1" s="1"/>
  <c r="K730" i="1"/>
  <c r="G730" i="1" s="1"/>
  <c r="E731" i="1" l="1"/>
  <c r="C731" i="1"/>
  <c r="D731" i="1"/>
  <c r="B731" i="1"/>
  <c r="N731" i="1" s="1"/>
  <c r="Q731" i="1" s="1"/>
  <c r="H731" i="1" l="1"/>
  <c r="O731" i="1"/>
  <c r="R731" i="1" s="1"/>
  <c r="J731" i="1" s="1"/>
  <c r="P731" i="1"/>
  <c r="S731" i="1" s="1"/>
  <c r="L731" i="1" s="1"/>
  <c r="I731" i="1"/>
  <c r="M731" i="1" l="1"/>
  <c r="F731" i="1"/>
  <c r="K731" i="1"/>
  <c r="G731" i="1" s="1"/>
  <c r="C732" i="1" l="1"/>
  <c r="E732" i="1"/>
  <c r="D732" i="1"/>
  <c r="B732" i="1"/>
  <c r="N732" i="1" s="1"/>
  <c r="Q732" i="1" s="1"/>
  <c r="O732" i="1" l="1"/>
  <c r="R732" i="1" s="1"/>
  <c r="K732" i="1" s="1"/>
  <c r="P732" i="1"/>
  <c r="S732" i="1" s="1"/>
  <c r="M732" i="1" s="1"/>
  <c r="I732" i="1"/>
  <c r="J732" i="1"/>
  <c r="H732" i="1" l="1"/>
  <c r="G732" i="1"/>
  <c r="L732" i="1"/>
  <c r="E733" i="1" l="1"/>
  <c r="C733" i="1"/>
  <c r="F732" i="1"/>
  <c r="D733" i="1" l="1"/>
  <c r="B733" i="1"/>
  <c r="N733" i="1" s="1"/>
  <c r="Q733" i="1" s="1"/>
  <c r="P733" i="1" l="1"/>
  <c r="S733" i="1" s="1"/>
  <c r="M733" i="1" s="1"/>
  <c r="O733" i="1"/>
  <c r="R733" i="1" s="1"/>
  <c r="J733" i="1" l="1"/>
  <c r="K733" i="1"/>
  <c r="H733" i="1"/>
  <c r="I733" i="1"/>
  <c r="G733" i="1" s="1"/>
  <c r="L733" i="1"/>
  <c r="E734" i="1" l="1"/>
  <c r="C734" i="1"/>
  <c r="F733" i="1"/>
  <c r="B734" i="1" l="1"/>
  <c r="N734" i="1" s="1"/>
  <c r="Q734" i="1" s="1"/>
  <c r="D734" i="1"/>
  <c r="P734" i="1" l="1"/>
  <c r="S734" i="1" s="1"/>
  <c r="M734" i="1" s="1"/>
  <c r="O734" i="1"/>
  <c r="R734" i="1" s="1"/>
  <c r="K734" i="1" s="1"/>
  <c r="J734" i="1" l="1"/>
  <c r="L734" i="1"/>
  <c r="H734" i="1"/>
  <c r="I734" i="1"/>
  <c r="G734" i="1" s="1"/>
  <c r="C735" i="1" l="1"/>
  <c r="E735" i="1"/>
  <c r="F734" i="1"/>
  <c r="D735" i="1" l="1"/>
  <c r="B735" i="1"/>
  <c r="N735" i="1" s="1"/>
  <c r="Q735" i="1" s="1"/>
  <c r="O735" i="1" l="1"/>
  <c r="R735" i="1" s="1"/>
  <c r="P735" i="1"/>
  <c r="S735" i="1" s="1"/>
  <c r="M735" i="1" s="1"/>
  <c r="H735" i="1" l="1"/>
  <c r="I735" i="1"/>
  <c r="J735" i="1"/>
  <c r="K735" i="1"/>
  <c r="L735" i="1"/>
  <c r="G735" i="1" l="1"/>
  <c r="F735" i="1"/>
  <c r="B736" i="1" l="1"/>
  <c r="D736" i="1"/>
  <c r="E736" i="1"/>
  <c r="C736" i="1"/>
  <c r="N736" i="1" l="1"/>
  <c r="Q736" i="1" s="1"/>
  <c r="O736" i="1"/>
  <c r="R736" i="1" s="1"/>
  <c r="J736" i="1" s="1"/>
  <c r="P736" i="1"/>
  <c r="S736" i="1" s="1"/>
  <c r="L736" i="1" s="1"/>
  <c r="I736" i="1"/>
  <c r="M736" i="1" l="1"/>
  <c r="H736" i="1"/>
  <c r="F736" i="1" s="1"/>
  <c r="K736" i="1"/>
  <c r="G736" i="1" s="1"/>
  <c r="B737" i="1" l="1"/>
  <c r="D737" i="1"/>
  <c r="E737" i="1"/>
  <c r="C737" i="1"/>
  <c r="N737" i="1" l="1"/>
  <c r="Q737" i="1" s="1"/>
  <c r="P737" i="1"/>
  <c r="S737" i="1" s="1"/>
  <c r="M737" i="1" s="1"/>
  <c r="O737" i="1"/>
  <c r="R737" i="1" s="1"/>
  <c r="J737" i="1" s="1"/>
  <c r="H737" i="1"/>
  <c r="I737" i="1" l="1"/>
  <c r="K737" i="1"/>
  <c r="L737" i="1"/>
  <c r="G737" i="1"/>
  <c r="F737" i="1"/>
  <c r="E738" i="1" l="1"/>
  <c r="C738" i="1"/>
  <c r="B738" i="1"/>
  <c r="N738" i="1" s="1"/>
  <c r="Q738" i="1" s="1"/>
  <c r="D738" i="1"/>
  <c r="P738" i="1" l="1"/>
  <c r="S738" i="1" s="1"/>
  <c r="L738" i="1" s="1"/>
  <c r="I738" i="1"/>
  <c r="O738" i="1"/>
  <c r="R738" i="1" s="1"/>
  <c r="J738" i="1" s="1"/>
  <c r="K738" i="1" l="1"/>
  <c r="M738" i="1"/>
  <c r="H738" i="1"/>
  <c r="F738" i="1" s="1"/>
  <c r="G738" i="1"/>
  <c r="C739" i="1" l="1"/>
  <c r="E739" i="1"/>
  <c r="D739" i="1"/>
  <c r="B739" i="1"/>
  <c r="N739" i="1" s="1"/>
  <c r="Q739" i="1" s="1"/>
  <c r="I739" i="1" l="1"/>
  <c r="O739" i="1"/>
  <c r="R739" i="1" s="1"/>
  <c r="K739" i="1" s="1"/>
  <c r="P739" i="1"/>
  <c r="S739" i="1" s="1"/>
  <c r="M739" i="1" s="1"/>
  <c r="J739" i="1"/>
  <c r="H739" i="1"/>
  <c r="L739" i="1" l="1"/>
  <c r="F739" i="1" s="1"/>
  <c r="G739" i="1"/>
  <c r="D740" i="1" l="1"/>
  <c r="B740" i="1"/>
  <c r="E740" i="1"/>
  <c r="C740" i="1"/>
  <c r="N740" i="1" l="1"/>
  <c r="O740" i="1"/>
  <c r="R740" i="1" s="1"/>
  <c r="J740" i="1" s="1"/>
  <c r="P740" i="1"/>
  <c r="S740" i="1" s="1"/>
  <c r="M740" i="1" s="1"/>
  <c r="Q740" i="1" l="1"/>
  <c r="I740" i="1" s="1"/>
  <c r="K740" i="1"/>
  <c r="L740" i="1"/>
  <c r="H740" i="1"/>
  <c r="F740" i="1" s="1"/>
  <c r="G740" i="1" l="1"/>
  <c r="E741" i="1"/>
  <c r="C741" i="1"/>
  <c r="B741" i="1"/>
  <c r="N741" i="1" s="1"/>
  <c r="Q741" i="1" s="1"/>
  <c r="D741" i="1"/>
  <c r="P741" i="1" l="1"/>
  <c r="S741" i="1" s="1"/>
  <c r="M741" i="1" s="1"/>
  <c r="I741" i="1"/>
  <c r="O741" i="1"/>
  <c r="R741" i="1" s="1"/>
  <c r="K741" i="1" s="1"/>
  <c r="G741" i="1" l="1"/>
  <c r="C742" i="1"/>
  <c r="E742" i="1"/>
  <c r="J741" i="1"/>
  <c r="L741" i="1"/>
  <c r="H741" i="1"/>
  <c r="F741" i="1" s="1"/>
  <c r="B742" i="1" l="1"/>
  <c r="N742" i="1" s="1"/>
  <c r="Q742" i="1" s="1"/>
  <c r="D742" i="1"/>
  <c r="O742" i="1" l="1"/>
  <c r="R742" i="1" s="1"/>
  <c r="K742" i="1" s="1"/>
  <c r="P742" i="1"/>
  <c r="S742" i="1" s="1"/>
  <c r="I742" i="1"/>
  <c r="J742" i="1"/>
  <c r="H742" i="1" l="1"/>
  <c r="M742" i="1"/>
  <c r="G742" i="1" s="1"/>
  <c r="L742" i="1"/>
  <c r="F742" i="1" s="1"/>
  <c r="E743" i="1" l="1"/>
  <c r="C743" i="1"/>
  <c r="D743" i="1"/>
  <c r="B743" i="1"/>
  <c r="N743" i="1" s="1"/>
  <c r="Q743" i="1" s="1"/>
  <c r="P743" i="1" l="1"/>
  <c r="S743" i="1" s="1"/>
  <c r="M743" i="1" s="1"/>
  <c r="O743" i="1"/>
  <c r="R743" i="1" s="1"/>
  <c r="K743" i="1" s="1"/>
  <c r="I743" i="1"/>
  <c r="G743" i="1" l="1"/>
  <c r="C744" i="1"/>
  <c r="E744" i="1"/>
  <c r="H743" i="1"/>
  <c r="J743" i="1"/>
  <c r="L743" i="1"/>
  <c r="F743" i="1" l="1"/>
  <c r="B744" i="1" l="1"/>
  <c r="N744" i="1" s="1"/>
  <c r="Q744" i="1" s="1"/>
  <c r="D744" i="1"/>
  <c r="O744" i="1" l="1"/>
  <c r="R744" i="1" s="1"/>
  <c r="K744" i="1" s="1"/>
  <c r="P744" i="1"/>
  <c r="S744" i="1" s="1"/>
  <c r="I744" i="1"/>
  <c r="J744" i="1"/>
  <c r="H744" i="1" l="1"/>
  <c r="M744" i="1"/>
  <c r="G744" i="1" s="1"/>
  <c r="L744" i="1"/>
  <c r="F744" i="1" s="1"/>
  <c r="E745" i="1" l="1"/>
  <c r="C745" i="1"/>
  <c r="D745" i="1"/>
  <c r="B745" i="1"/>
  <c r="N745" i="1" s="1"/>
  <c r="Q745" i="1" s="1"/>
  <c r="O745" i="1" l="1"/>
  <c r="R745" i="1" s="1"/>
  <c r="K745" i="1" s="1"/>
  <c r="P745" i="1"/>
  <c r="S745" i="1" s="1"/>
  <c r="M745" i="1" s="1"/>
  <c r="I745" i="1"/>
  <c r="J745" i="1"/>
  <c r="G745" i="1" l="1"/>
  <c r="C746" i="1"/>
  <c r="E746" i="1"/>
  <c r="H745" i="1"/>
  <c r="L745" i="1"/>
  <c r="F745" i="1" l="1"/>
  <c r="B746" i="1" l="1"/>
  <c r="N746" i="1" s="1"/>
  <c r="Q746" i="1" s="1"/>
  <c r="D746" i="1"/>
  <c r="I746" i="1" l="1"/>
  <c r="P746" i="1"/>
  <c r="S746" i="1" s="1"/>
  <c r="M746" i="1" s="1"/>
  <c r="O746" i="1"/>
  <c r="R746" i="1" s="1"/>
  <c r="K746" i="1" s="1"/>
  <c r="H746" i="1"/>
  <c r="J746" i="1" l="1"/>
  <c r="G746" i="1"/>
  <c r="L746" i="1"/>
  <c r="F746" i="1" l="1"/>
  <c r="D747" i="1"/>
  <c r="B747" i="1"/>
  <c r="E747" i="1"/>
  <c r="C747" i="1"/>
  <c r="N747" i="1" l="1"/>
  <c r="P747" i="1"/>
  <c r="S747" i="1" s="1"/>
  <c r="M747" i="1" s="1"/>
  <c r="O747" i="1"/>
  <c r="R747" i="1" s="1"/>
  <c r="K747" i="1" s="1"/>
  <c r="Q747" i="1" l="1"/>
  <c r="H747" i="1" s="1"/>
  <c r="J747" i="1"/>
  <c r="L747" i="1"/>
  <c r="I747" i="1"/>
  <c r="G747" i="1" s="1"/>
  <c r="F747" i="1" l="1"/>
  <c r="B748" i="1"/>
  <c r="D748" i="1"/>
  <c r="E748" i="1"/>
  <c r="C748" i="1"/>
  <c r="N748" i="1" l="1"/>
  <c r="P748" i="1"/>
  <c r="S748" i="1" s="1"/>
  <c r="L748" i="1" s="1"/>
  <c r="O748" i="1"/>
  <c r="R748" i="1" s="1"/>
  <c r="J748" i="1" s="1"/>
  <c r="Q748" i="1" l="1"/>
  <c r="I748" i="1" s="1"/>
  <c r="M748" i="1"/>
  <c r="H748" i="1"/>
  <c r="F748" i="1" s="1"/>
  <c r="K748" i="1"/>
  <c r="G748" i="1" l="1"/>
  <c r="E749" i="1"/>
  <c r="C749" i="1"/>
  <c r="B749" i="1"/>
  <c r="N749" i="1" s="1"/>
  <c r="Q749" i="1" s="1"/>
  <c r="D749" i="1"/>
  <c r="O749" i="1" l="1"/>
  <c r="R749" i="1" s="1"/>
  <c r="K749" i="1" s="1"/>
  <c r="I749" i="1"/>
  <c r="P749" i="1"/>
  <c r="S749" i="1" s="1"/>
  <c r="L749" i="1" s="1"/>
  <c r="J749" i="1"/>
  <c r="M749" i="1" l="1"/>
  <c r="H749" i="1"/>
  <c r="F749" i="1" s="1"/>
  <c r="G749" i="1"/>
  <c r="E750" i="1" l="1"/>
  <c r="C750" i="1"/>
  <c r="B750" i="1"/>
  <c r="N750" i="1" s="1"/>
  <c r="Q750" i="1" s="1"/>
  <c r="D750" i="1"/>
  <c r="I750" i="1" l="1"/>
  <c r="O750" i="1"/>
  <c r="R750" i="1" s="1"/>
  <c r="K750" i="1" s="1"/>
  <c r="P750" i="1"/>
  <c r="S750" i="1" s="1"/>
  <c r="M750" i="1" s="1"/>
  <c r="J750" i="1"/>
  <c r="G750" i="1" l="1"/>
  <c r="E751" i="1"/>
  <c r="C751" i="1"/>
  <c r="L750" i="1"/>
  <c r="H750" i="1"/>
  <c r="F750" i="1" s="1"/>
  <c r="B751" i="1" l="1"/>
  <c r="N751" i="1" s="1"/>
  <c r="Q751" i="1" s="1"/>
  <c r="D751" i="1"/>
  <c r="O751" i="1" l="1"/>
  <c r="R751" i="1" s="1"/>
  <c r="P751" i="1"/>
  <c r="S751" i="1" s="1"/>
  <c r="M751" i="1" s="1"/>
  <c r="I751" i="1"/>
  <c r="H751" i="1" l="1"/>
  <c r="J751" i="1"/>
  <c r="K751" i="1"/>
  <c r="G751" i="1" s="1"/>
  <c r="L751" i="1"/>
  <c r="C752" i="1" l="1"/>
  <c r="E752" i="1"/>
  <c r="F751" i="1"/>
  <c r="D752" i="1" l="1"/>
  <c r="B752" i="1"/>
  <c r="N752" i="1" s="1"/>
  <c r="Q752" i="1" s="1"/>
  <c r="I752" i="1" l="1"/>
  <c r="P752" i="1"/>
  <c r="S752" i="1" s="1"/>
  <c r="M752" i="1" s="1"/>
  <c r="O752" i="1"/>
  <c r="R752" i="1" s="1"/>
  <c r="K752" i="1" s="1"/>
  <c r="H752" i="1"/>
  <c r="J752" i="1" l="1"/>
  <c r="G752" i="1"/>
  <c r="L752" i="1"/>
  <c r="F752" i="1" s="1"/>
  <c r="D753" i="1" l="1"/>
  <c r="B753" i="1"/>
  <c r="E753" i="1"/>
  <c r="C753" i="1"/>
  <c r="N753" i="1" l="1"/>
  <c r="P753" i="1"/>
  <c r="S753" i="1" s="1"/>
  <c r="M753" i="1" s="1"/>
  <c r="O753" i="1"/>
  <c r="R753" i="1" s="1"/>
  <c r="K753" i="1" s="1"/>
  <c r="Q753" i="1" l="1"/>
  <c r="H753" i="1" s="1"/>
  <c r="J753" i="1"/>
  <c r="I753" i="1"/>
  <c r="G753" i="1" s="1"/>
  <c r="L753" i="1"/>
  <c r="F753" i="1" l="1"/>
  <c r="B754" i="1" s="1"/>
  <c r="D754" i="1"/>
  <c r="E754" i="1"/>
  <c r="C754" i="1"/>
  <c r="N754" i="1" l="1"/>
  <c r="O754" i="1"/>
  <c r="R754" i="1" s="1"/>
  <c r="K754" i="1" s="1"/>
  <c r="P754" i="1"/>
  <c r="S754" i="1" s="1"/>
  <c r="M754" i="1" s="1"/>
  <c r="Q754" i="1" l="1"/>
  <c r="H754" i="1" s="1"/>
  <c r="L754" i="1"/>
  <c r="J754" i="1"/>
  <c r="I754" i="1" l="1"/>
  <c r="G754" i="1" s="1"/>
  <c r="F754" i="1"/>
  <c r="B755" i="1"/>
  <c r="D755" i="1"/>
  <c r="E755" i="1"/>
  <c r="C755" i="1"/>
  <c r="N755" i="1" l="1"/>
  <c r="Q755" i="1" s="1"/>
  <c r="P755" i="1"/>
  <c r="S755" i="1" s="1"/>
  <c r="M755" i="1" s="1"/>
  <c r="O755" i="1"/>
  <c r="R755" i="1" s="1"/>
  <c r="K755" i="1" s="1"/>
  <c r="I755" i="1"/>
  <c r="J755" i="1" l="1"/>
  <c r="G755" i="1"/>
  <c r="E756" i="1" s="1"/>
  <c r="L755" i="1"/>
  <c r="C756" i="1"/>
  <c r="H755" i="1"/>
  <c r="F755" i="1" s="1"/>
  <c r="B756" i="1" l="1"/>
  <c r="N756" i="1" s="1"/>
  <c r="Q756" i="1" s="1"/>
  <c r="D756" i="1"/>
  <c r="O756" i="1" l="1"/>
  <c r="R756" i="1" s="1"/>
  <c r="P756" i="1"/>
  <c r="S756" i="1" s="1"/>
  <c r="M756" i="1" s="1"/>
  <c r="L756" i="1" l="1"/>
  <c r="H756" i="1"/>
  <c r="I756" i="1"/>
  <c r="J756" i="1"/>
  <c r="K756" i="1"/>
  <c r="F756" i="1" l="1"/>
  <c r="G756" i="1"/>
  <c r="E757" i="1" l="1"/>
  <c r="C757" i="1"/>
  <c r="D757" i="1"/>
  <c r="B757" i="1"/>
  <c r="N757" i="1" s="1"/>
  <c r="Q757" i="1" s="1"/>
  <c r="P757" i="1" l="1"/>
  <c r="S757" i="1" s="1"/>
  <c r="M757" i="1" s="1"/>
  <c r="O757" i="1"/>
  <c r="R757" i="1" s="1"/>
  <c r="J757" i="1" s="1"/>
  <c r="I757" i="1"/>
  <c r="H757" i="1"/>
  <c r="K757" i="1" l="1"/>
  <c r="G757" i="1"/>
  <c r="L757" i="1"/>
  <c r="F757" i="1" s="1"/>
  <c r="D758" i="1" l="1"/>
  <c r="B758" i="1"/>
  <c r="C758" i="1"/>
  <c r="E758" i="1"/>
  <c r="N758" i="1" l="1"/>
  <c r="Q758" i="1" s="1"/>
  <c r="P758" i="1"/>
  <c r="S758" i="1" s="1"/>
  <c r="L758" i="1" s="1"/>
  <c r="O758" i="1"/>
  <c r="R758" i="1" s="1"/>
  <c r="J758" i="1" s="1"/>
  <c r="I758" i="1" l="1"/>
  <c r="H758" i="1"/>
  <c r="K758" i="1"/>
  <c r="M758" i="1"/>
  <c r="F758" i="1"/>
  <c r="G758" i="1"/>
  <c r="C759" i="1" l="1"/>
  <c r="E759" i="1"/>
  <c r="D759" i="1"/>
  <c r="B759" i="1"/>
  <c r="N759" i="1" s="1"/>
  <c r="Q759" i="1" s="1"/>
  <c r="O759" i="1" l="1"/>
  <c r="R759" i="1" s="1"/>
  <c r="J759" i="1" s="1"/>
  <c r="P759" i="1"/>
  <c r="S759" i="1" s="1"/>
  <c r="M759" i="1" s="1"/>
  <c r="I759" i="1"/>
  <c r="H759" i="1" l="1"/>
  <c r="L759" i="1"/>
  <c r="F759" i="1" s="1"/>
  <c r="K759" i="1"/>
  <c r="G759" i="1" s="1"/>
  <c r="E760" i="1" l="1"/>
  <c r="C760" i="1"/>
  <c r="D760" i="1"/>
  <c r="B760" i="1"/>
  <c r="N760" i="1" s="1"/>
  <c r="Q760" i="1" s="1"/>
  <c r="H760" i="1" l="1"/>
  <c r="O760" i="1"/>
  <c r="R760" i="1" s="1"/>
  <c r="J760" i="1" s="1"/>
  <c r="P760" i="1"/>
  <c r="S760" i="1" s="1"/>
  <c r="L760" i="1" s="1"/>
  <c r="I760" i="1"/>
  <c r="M760" i="1" l="1"/>
  <c r="F760" i="1"/>
  <c r="K760" i="1"/>
  <c r="G760" i="1" s="1"/>
  <c r="C761" i="1" l="1"/>
  <c r="E761" i="1"/>
  <c r="D761" i="1"/>
  <c r="B761" i="1"/>
  <c r="N761" i="1" s="1"/>
  <c r="Q761" i="1" s="1"/>
  <c r="P761" i="1" l="1"/>
  <c r="S761" i="1" s="1"/>
  <c r="M761" i="1" s="1"/>
  <c r="H761" i="1"/>
  <c r="O761" i="1"/>
  <c r="R761" i="1" s="1"/>
  <c r="J761" i="1" s="1"/>
  <c r="K761" i="1" l="1"/>
  <c r="L761" i="1"/>
  <c r="F761" i="1" s="1"/>
  <c r="I761" i="1"/>
  <c r="G761" i="1" s="1"/>
  <c r="D762" i="1" l="1"/>
  <c r="B762" i="1"/>
  <c r="C762" i="1"/>
  <c r="E762" i="1"/>
  <c r="N762" i="1" l="1"/>
  <c r="Q762" i="1" s="1"/>
  <c r="P762" i="1"/>
  <c r="S762" i="1" s="1"/>
  <c r="M762" i="1" s="1"/>
  <c r="I762" i="1"/>
  <c r="O762" i="1"/>
  <c r="R762" i="1" s="1"/>
  <c r="K762" i="1" s="1"/>
  <c r="J762" i="1" l="1"/>
  <c r="G762" i="1"/>
  <c r="L762" i="1"/>
  <c r="H762" i="1"/>
  <c r="F762" i="1" l="1"/>
  <c r="B763" i="1"/>
  <c r="D763" i="1"/>
  <c r="E763" i="1"/>
  <c r="C763" i="1"/>
  <c r="N763" i="1" l="1"/>
  <c r="O763" i="1"/>
  <c r="R763" i="1" s="1"/>
  <c r="J763" i="1" s="1"/>
  <c r="P763" i="1"/>
  <c r="S763" i="1" s="1"/>
  <c r="M763" i="1" s="1"/>
  <c r="Q763" i="1" l="1"/>
  <c r="H763" i="1" s="1"/>
  <c r="L763" i="1"/>
  <c r="K763" i="1"/>
  <c r="F763" i="1" l="1"/>
  <c r="I763" i="1"/>
  <c r="G763" i="1" s="1"/>
  <c r="C764" i="1" s="1"/>
  <c r="B764" i="1"/>
  <c r="D764" i="1"/>
  <c r="N764" i="1" l="1"/>
  <c r="Q764" i="1" s="1"/>
  <c r="E764" i="1"/>
  <c r="O764" i="1"/>
  <c r="R764" i="1" s="1"/>
  <c r="K764" i="1" s="1"/>
  <c r="I764" i="1"/>
  <c r="P764" i="1"/>
  <c r="S764" i="1" s="1"/>
  <c r="M764" i="1" s="1"/>
  <c r="H764" i="1"/>
  <c r="J764" i="1" l="1"/>
  <c r="G764" i="1"/>
  <c r="E765" i="1" s="1"/>
  <c r="L764" i="1"/>
  <c r="F764" i="1" s="1"/>
  <c r="C765" i="1" l="1"/>
  <c r="B765" i="1"/>
  <c r="N765" i="1" s="1"/>
  <c r="Q765" i="1" s="1"/>
  <c r="D765" i="1"/>
  <c r="P765" i="1" l="1"/>
  <c r="S765" i="1" s="1"/>
  <c r="M765" i="1" s="1"/>
  <c r="O765" i="1"/>
  <c r="R765" i="1" s="1"/>
  <c r="K765" i="1" s="1"/>
  <c r="I765" i="1"/>
  <c r="G765" i="1" l="1"/>
  <c r="H765" i="1"/>
  <c r="C766" i="1"/>
  <c r="E766" i="1"/>
  <c r="J765" i="1"/>
  <c r="L765" i="1"/>
  <c r="F765" i="1" l="1"/>
  <c r="D766" i="1"/>
  <c r="B766" i="1"/>
  <c r="N766" i="1" s="1"/>
  <c r="Q766" i="1" s="1"/>
  <c r="P766" i="1" l="1"/>
  <c r="S766" i="1" s="1"/>
  <c r="M766" i="1" s="1"/>
  <c r="I766" i="1"/>
  <c r="O766" i="1"/>
  <c r="R766" i="1" s="1"/>
  <c r="J766" i="1" l="1"/>
  <c r="K766" i="1"/>
  <c r="H766" i="1"/>
  <c r="G766" i="1"/>
  <c r="L766" i="1"/>
  <c r="C767" i="1" l="1"/>
  <c r="E767" i="1"/>
  <c r="F766" i="1"/>
  <c r="B767" i="1" l="1"/>
  <c r="N767" i="1" s="1"/>
  <c r="Q767" i="1" s="1"/>
  <c r="D767" i="1"/>
  <c r="P767" i="1" l="1"/>
  <c r="S767" i="1" s="1"/>
  <c r="M767" i="1" s="1"/>
  <c r="O767" i="1"/>
  <c r="R767" i="1" s="1"/>
  <c r="I767" i="1"/>
  <c r="H767" i="1" l="1"/>
  <c r="J767" i="1"/>
  <c r="K767" i="1"/>
  <c r="G767" i="1" s="1"/>
  <c r="L767" i="1"/>
  <c r="E768" i="1" l="1"/>
  <c r="C768" i="1"/>
  <c r="F767" i="1"/>
  <c r="D768" i="1" l="1"/>
  <c r="B768" i="1"/>
  <c r="N768" i="1" s="1"/>
  <c r="Q768" i="1" s="1"/>
  <c r="P768" i="1" l="1"/>
  <c r="S768" i="1" s="1"/>
  <c r="M768" i="1" s="1"/>
  <c r="I768" i="1"/>
  <c r="O768" i="1"/>
  <c r="R768" i="1" s="1"/>
  <c r="J768" i="1" l="1"/>
  <c r="K768" i="1"/>
  <c r="H768" i="1"/>
  <c r="G768" i="1"/>
  <c r="L768" i="1"/>
  <c r="C769" i="1" l="1"/>
  <c r="E769" i="1"/>
  <c r="F768" i="1"/>
  <c r="B769" i="1" l="1"/>
  <c r="N769" i="1" s="1"/>
  <c r="Q769" i="1" s="1"/>
  <c r="D769" i="1"/>
  <c r="P769" i="1" l="1"/>
  <c r="S769" i="1" s="1"/>
  <c r="M769" i="1" s="1"/>
  <c r="I769" i="1"/>
  <c r="O769" i="1"/>
  <c r="R769" i="1" s="1"/>
  <c r="K769" i="1" s="1"/>
  <c r="G769" i="1" l="1"/>
  <c r="H769" i="1"/>
  <c r="J769" i="1"/>
  <c r="L769" i="1"/>
  <c r="F769" i="1" l="1"/>
  <c r="E770" i="1"/>
  <c r="C770" i="1"/>
  <c r="D770" i="1" l="1"/>
  <c r="B770" i="1"/>
  <c r="N770" i="1" s="1"/>
  <c r="Q770" i="1" s="1"/>
  <c r="O770" i="1" l="1"/>
  <c r="R770" i="1" s="1"/>
  <c r="K770" i="1" s="1"/>
  <c r="I770" i="1"/>
  <c r="P770" i="1"/>
  <c r="S770" i="1" s="1"/>
  <c r="M770" i="1" s="1"/>
  <c r="J770" i="1"/>
  <c r="H770" i="1"/>
  <c r="G770" i="1" l="1"/>
  <c r="E771" i="1"/>
  <c r="C771" i="1"/>
  <c r="L770" i="1"/>
  <c r="F770" i="1" s="1"/>
  <c r="B771" i="1" l="1"/>
  <c r="N771" i="1" s="1"/>
  <c r="Q771" i="1" s="1"/>
  <c r="D771" i="1"/>
  <c r="P771" i="1" l="1"/>
  <c r="S771" i="1" s="1"/>
  <c r="M771" i="1" s="1"/>
  <c r="I771" i="1"/>
  <c r="O771" i="1"/>
  <c r="R771" i="1" s="1"/>
  <c r="K771" i="1" s="1"/>
  <c r="H771" i="1"/>
  <c r="J771" i="1" l="1"/>
  <c r="G771" i="1"/>
  <c r="L771" i="1"/>
  <c r="F771" i="1" l="1"/>
  <c r="D772" i="1"/>
  <c r="B772" i="1"/>
  <c r="N772" i="1" s="1"/>
  <c r="Q772" i="1" s="1"/>
  <c r="C772" i="1"/>
  <c r="E772" i="1"/>
  <c r="O772" i="1" l="1"/>
  <c r="R772" i="1" s="1"/>
  <c r="K772" i="1" s="1"/>
  <c r="P772" i="1"/>
  <c r="S772" i="1" s="1"/>
  <c r="M772" i="1" s="1"/>
  <c r="I772" i="1"/>
  <c r="J772" i="1"/>
  <c r="G772" i="1" l="1"/>
  <c r="H772" i="1"/>
  <c r="C773" i="1"/>
  <c r="E773" i="1"/>
  <c r="L772" i="1"/>
  <c r="F772" i="1" s="1"/>
  <c r="D773" i="1" l="1"/>
  <c r="B773" i="1"/>
  <c r="N773" i="1" s="1"/>
  <c r="Q773" i="1" s="1"/>
  <c r="I773" i="1" l="1"/>
  <c r="O773" i="1"/>
  <c r="R773" i="1" s="1"/>
  <c r="H773" i="1"/>
  <c r="P773" i="1"/>
  <c r="S773" i="1" s="1"/>
  <c r="M773" i="1" s="1"/>
  <c r="J773" i="1" l="1"/>
  <c r="K773" i="1"/>
  <c r="G773" i="1" s="1"/>
  <c r="L773" i="1"/>
  <c r="F773" i="1" l="1"/>
  <c r="E774" i="1"/>
  <c r="C774" i="1"/>
  <c r="B774" i="1"/>
  <c r="N774" i="1" s="1"/>
  <c r="Q774" i="1" s="1"/>
  <c r="D774" i="1"/>
  <c r="P774" i="1" l="1"/>
  <c r="S774" i="1" s="1"/>
  <c r="M774" i="1" s="1"/>
  <c r="O774" i="1"/>
  <c r="R774" i="1" s="1"/>
  <c r="J774" i="1" s="1"/>
  <c r="I774" i="1"/>
  <c r="L774" i="1" l="1"/>
  <c r="K774" i="1"/>
  <c r="G774" i="1" s="1"/>
  <c r="H774" i="1"/>
  <c r="F774" i="1" s="1"/>
  <c r="C775" i="1" l="1"/>
  <c r="E775" i="1"/>
  <c r="B775" i="1"/>
  <c r="N775" i="1" s="1"/>
  <c r="Q775" i="1" s="1"/>
  <c r="D775" i="1"/>
  <c r="P775" i="1" l="1"/>
  <c r="S775" i="1" s="1"/>
  <c r="L775" i="1" s="1"/>
  <c r="I775" i="1"/>
  <c r="O775" i="1"/>
  <c r="R775" i="1" s="1"/>
  <c r="K775" i="1" s="1"/>
  <c r="H775" i="1"/>
  <c r="M775" i="1" l="1"/>
  <c r="J775" i="1"/>
  <c r="F775" i="1" s="1"/>
  <c r="G775" i="1"/>
  <c r="B776" i="1" l="1"/>
  <c r="D776" i="1"/>
  <c r="E776" i="1"/>
  <c r="C776" i="1"/>
  <c r="N776" i="1" l="1"/>
  <c r="Q776" i="1" s="1"/>
  <c r="P776" i="1"/>
  <c r="S776" i="1" s="1"/>
  <c r="M776" i="1" s="1"/>
  <c r="O776" i="1"/>
  <c r="R776" i="1" s="1"/>
  <c r="J776" i="1" s="1"/>
  <c r="I776" i="1"/>
  <c r="L776" i="1" l="1"/>
  <c r="H776" i="1"/>
  <c r="F776" i="1" s="1"/>
  <c r="K776" i="1"/>
  <c r="G776" i="1"/>
  <c r="D777" i="1" l="1"/>
  <c r="B777" i="1"/>
  <c r="C777" i="1"/>
  <c r="E777" i="1"/>
  <c r="N777" i="1" l="1"/>
  <c r="Q777" i="1" s="1"/>
  <c r="O777" i="1"/>
  <c r="R777" i="1" s="1"/>
  <c r="J777" i="1" s="1"/>
  <c r="I777" i="1"/>
  <c r="P777" i="1"/>
  <c r="S777" i="1" s="1"/>
  <c r="M777" i="1" s="1"/>
  <c r="H777" i="1"/>
  <c r="K777" i="1"/>
  <c r="G777" i="1" l="1"/>
  <c r="L777" i="1"/>
  <c r="F777" i="1" s="1"/>
  <c r="D778" i="1" l="1"/>
  <c r="B778" i="1"/>
  <c r="E778" i="1"/>
  <c r="C778" i="1"/>
  <c r="N778" i="1" l="1"/>
  <c r="Q778" i="1" s="1"/>
  <c r="O778" i="1"/>
  <c r="R778" i="1" s="1"/>
  <c r="K778" i="1" s="1"/>
  <c r="P778" i="1"/>
  <c r="S778" i="1" s="1"/>
  <c r="M778" i="1" s="1"/>
  <c r="H778" i="1"/>
  <c r="J778" i="1"/>
  <c r="I778" i="1" l="1"/>
  <c r="G778" i="1" s="1"/>
  <c r="E779" i="1" s="1"/>
  <c r="L778" i="1"/>
  <c r="F778" i="1" s="1"/>
  <c r="C779" i="1" l="1"/>
  <c r="D779" i="1"/>
  <c r="B779" i="1"/>
  <c r="N779" i="1" s="1"/>
  <c r="Q779" i="1" s="1"/>
  <c r="P779" i="1" l="1"/>
  <c r="S779" i="1" s="1"/>
  <c r="M779" i="1" s="1"/>
  <c r="I779" i="1"/>
  <c r="O779" i="1"/>
  <c r="R779" i="1" s="1"/>
  <c r="K779" i="1" s="1"/>
  <c r="H779" i="1"/>
  <c r="J779" i="1" l="1"/>
  <c r="G779" i="1"/>
  <c r="E780" i="1" s="1"/>
  <c r="L779" i="1"/>
  <c r="F779" i="1" s="1"/>
  <c r="C780" i="1" l="1"/>
  <c r="B780" i="1"/>
  <c r="N780" i="1" s="1"/>
  <c r="Q780" i="1" s="1"/>
  <c r="D780" i="1"/>
  <c r="P780" i="1" l="1"/>
  <c r="S780" i="1" s="1"/>
  <c r="M780" i="1" s="1"/>
  <c r="I780" i="1"/>
  <c r="O780" i="1"/>
  <c r="R780" i="1" s="1"/>
  <c r="H780" i="1" l="1"/>
  <c r="J780" i="1"/>
  <c r="K780" i="1"/>
  <c r="G780" i="1" s="1"/>
  <c r="L780" i="1"/>
  <c r="F780" i="1" s="1"/>
  <c r="D781" i="1" l="1"/>
  <c r="B781" i="1"/>
  <c r="E781" i="1"/>
  <c r="C781" i="1"/>
  <c r="N781" i="1" l="1"/>
  <c r="Q781" i="1" s="1"/>
  <c r="O781" i="1"/>
  <c r="R781" i="1" s="1"/>
  <c r="J781" i="1" s="1"/>
  <c r="H781" i="1"/>
  <c r="P781" i="1"/>
  <c r="S781" i="1" s="1"/>
  <c r="L781" i="1" s="1"/>
  <c r="I781" i="1"/>
  <c r="K781" i="1"/>
  <c r="M781" i="1" l="1"/>
  <c r="F781" i="1"/>
  <c r="G781" i="1"/>
  <c r="C782" i="1" l="1"/>
  <c r="E782" i="1"/>
  <c r="D782" i="1"/>
  <c r="B782" i="1"/>
  <c r="N782" i="1" s="1"/>
  <c r="Q782" i="1" s="1"/>
  <c r="H782" i="1" l="1"/>
  <c r="P782" i="1"/>
  <c r="S782" i="1" s="1"/>
  <c r="L782" i="1" s="1"/>
  <c r="O782" i="1"/>
  <c r="R782" i="1" s="1"/>
  <c r="J782" i="1" s="1"/>
  <c r="I782" i="1"/>
  <c r="K782" i="1" l="1"/>
  <c r="M782" i="1"/>
  <c r="F782" i="1"/>
  <c r="G782" i="1" l="1"/>
  <c r="E783" i="1"/>
  <c r="C783" i="1"/>
  <c r="B783" i="1"/>
  <c r="N783" i="1" s="1"/>
  <c r="Q783" i="1" s="1"/>
  <c r="D783" i="1"/>
  <c r="P783" i="1" l="1"/>
  <c r="S783" i="1" s="1"/>
  <c r="M783" i="1" s="1"/>
  <c r="O783" i="1"/>
  <c r="R783" i="1" s="1"/>
  <c r="K783" i="1" s="1"/>
  <c r="I783" i="1"/>
  <c r="H783" i="1"/>
  <c r="J783" i="1"/>
  <c r="G783" i="1" l="1"/>
  <c r="E784" i="1"/>
  <c r="C784" i="1"/>
  <c r="L783" i="1"/>
  <c r="F783" i="1" s="1"/>
  <c r="B784" i="1" l="1"/>
  <c r="N784" i="1" s="1"/>
  <c r="Q784" i="1" s="1"/>
  <c r="D784" i="1"/>
  <c r="I784" i="1" l="1"/>
  <c r="O784" i="1"/>
  <c r="R784" i="1" s="1"/>
  <c r="P784" i="1"/>
  <c r="S784" i="1" s="1"/>
  <c r="M784" i="1" s="1"/>
  <c r="H784" i="1" l="1"/>
  <c r="J784" i="1"/>
  <c r="K784" i="1"/>
  <c r="L784" i="1"/>
  <c r="G784" i="1"/>
  <c r="E785" i="1" l="1"/>
  <c r="C785" i="1"/>
  <c r="F784" i="1"/>
  <c r="D785" i="1" l="1"/>
  <c r="B785" i="1"/>
  <c r="N785" i="1" s="1"/>
  <c r="Q785" i="1" s="1"/>
  <c r="P785" i="1" l="1"/>
  <c r="S785" i="1" s="1"/>
  <c r="M785" i="1" s="1"/>
  <c r="O785" i="1"/>
  <c r="R785" i="1" s="1"/>
  <c r="K785" i="1" s="1"/>
  <c r="J785" i="1" l="1"/>
  <c r="H785" i="1"/>
  <c r="I785" i="1"/>
  <c r="G785" i="1" s="1"/>
  <c r="L785" i="1"/>
  <c r="F785" i="1" l="1"/>
  <c r="C786" i="1"/>
  <c r="E786" i="1"/>
  <c r="B786" i="1" l="1"/>
  <c r="N786" i="1" s="1"/>
  <c r="Q786" i="1" s="1"/>
  <c r="D786" i="1"/>
  <c r="P786" i="1" l="1"/>
  <c r="S786" i="1" s="1"/>
  <c r="M786" i="1" s="1"/>
  <c r="O786" i="1"/>
  <c r="R786" i="1" s="1"/>
  <c r="J786" i="1" l="1"/>
  <c r="K786" i="1"/>
  <c r="H786" i="1"/>
  <c r="I786" i="1"/>
  <c r="G786" i="1" s="1"/>
  <c r="L786" i="1"/>
  <c r="E787" i="1" l="1"/>
  <c r="C787" i="1"/>
  <c r="F786" i="1"/>
  <c r="B787" i="1" l="1"/>
  <c r="N787" i="1" s="1"/>
  <c r="Q787" i="1" s="1"/>
  <c r="D787" i="1"/>
  <c r="P787" i="1" l="1"/>
  <c r="S787" i="1" s="1"/>
  <c r="M787" i="1" s="1"/>
  <c r="O787" i="1"/>
  <c r="R787" i="1" s="1"/>
  <c r="K787" i="1" s="1"/>
  <c r="J787" i="1" l="1"/>
  <c r="H787" i="1"/>
  <c r="I787" i="1"/>
  <c r="G787" i="1" s="1"/>
  <c r="L787" i="1"/>
  <c r="C788" i="1" l="1"/>
  <c r="E788" i="1"/>
  <c r="F787" i="1"/>
  <c r="D788" i="1" l="1"/>
  <c r="B788" i="1"/>
  <c r="N788" i="1" s="1"/>
  <c r="Q788" i="1" s="1"/>
  <c r="P788" i="1" l="1"/>
  <c r="S788" i="1" s="1"/>
  <c r="M788" i="1" s="1"/>
  <c r="O788" i="1"/>
  <c r="R788" i="1" s="1"/>
  <c r="K788" i="1" s="1"/>
  <c r="I788" i="1"/>
  <c r="G788" i="1" s="1"/>
  <c r="H788" i="1" l="1"/>
  <c r="J788" i="1"/>
  <c r="E789" i="1"/>
  <c r="C789" i="1"/>
  <c r="L788" i="1"/>
  <c r="F788" i="1" l="1"/>
  <c r="B789" i="1" l="1"/>
  <c r="N789" i="1" s="1"/>
  <c r="Q789" i="1" s="1"/>
  <c r="D789" i="1"/>
  <c r="P789" i="1" l="1"/>
  <c r="S789" i="1" s="1"/>
  <c r="M789" i="1" s="1"/>
  <c r="I789" i="1"/>
  <c r="O789" i="1"/>
  <c r="R789" i="1" s="1"/>
  <c r="K789" i="1" s="1"/>
  <c r="H789" i="1"/>
  <c r="G789" i="1" l="1"/>
  <c r="J789" i="1"/>
  <c r="C790" i="1"/>
  <c r="E790" i="1"/>
  <c r="L789" i="1"/>
  <c r="F789" i="1" s="1"/>
  <c r="D790" i="1" l="1"/>
  <c r="B790" i="1"/>
  <c r="N790" i="1" s="1"/>
  <c r="Q790" i="1" s="1"/>
  <c r="P790" i="1" l="1"/>
  <c r="S790" i="1" s="1"/>
  <c r="M790" i="1" s="1"/>
  <c r="I790" i="1"/>
  <c r="O790" i="1"/>
  <c r="R790" i="1" s="1"/>
  <c r="K790" i="1" s="1"/>
  <c r="H790" i="1"/>
  <c r="G790" i="1" l="1"/>
  <c r="J790" i="1"/>
  <c r="C791" i="1"/>
  <c r="E791" i="1"/>
  <c r="L790" i="1"/>
  <c r="F790" i="1" s="1"/>
  <c r="D791" i="1" l="1"/>
  <c r="B791" i="1"/>
  <c r="N791" i="1" s="1"/>
  <c r="Q791" i="1" s="1"/>
  <c r="I791" i="1" l="1"/>
  <c r="O791" i="1"/>
  <c r="R791" i="1" s="1"/>
  <c r="K791" i="1" s="1"/>
  <c r="P791" i="1"/>
  <c r="S791" i="1" s="1"/>
  <c r="M791" i="1" s="1"/>
  <c r="H791" i="1"/>
  <c r="J791" i="1" l="1"/>
  <c r="G791" i="1"/>
  <c r="L791" i="1"/>
  <c r="F791" i="1" l="1"/>
  <c r="D792" i="1"/>
  <c r="B792" i="1"/>
  <c r="E792" i="1"/>
  <c r="C792" i="1"/>
  <c r="N792" i="1" l="1"/>
  <c r="Q792" i="1" s="1"/>
  <c r="O792" i="1"/>
  <c r="R792" i="1" s="1"/>
  <c r="K792" i="1" s="1"/>
  <c r="P792" i="1"/>
  <c r="S792" i="1" s="1"/>
  <c r="M792" i="1" s="1"/>
  <c r="H792" i="1"/>
  <c r="I792" i="1"/>
  <c r="G792" i="1" l="1"/>
  <c r="C793" i="1" s="1"/>
  <c r="J792" i="1"/>
  <c r="E793" i="1"/>
  <c r="L792" i="1"/>
  <c r="F792" i="1" l="1"/>
  <c r="D793" i="1"/>
  <c r="B793" i="1"/>
  <c r="N793" i="1" s="1"/>
  <c r="Q793" i="1" s="1"/>
  <c r="O793" i="1" l="1"/>
  <c r="R793" i="1" s="1"/>
  <c r="K793" i="1" s="1"/>
  <c r="I793" i="1"/>
  <c r="P793" i="1"/>
  <c r="S793" i="1" s="1"/>
  <c r="M793" i="1" s="1"/>
  <c r="J793" i="1"/>
  <c r="H793" i="1"/>
  <c r="G793" i="1" l="1"/>
  <c r="C794" i="1"/>
  <c r="E794" i="1"/>
  <c r="L793" i="1"/>
  <c r="F793" i="1" s="1"/>
  <c r="D794" i="1" l="1"/>
  <c r="B794" i="1"/>
  <c r="N794" i="1" s="1"/>
  <c r="Q794" i="1" s="1"/>
  <c r="O794" i="1" l="1"/>
  <c r="R794" i="1" s="1"/>
  <c r="K794" i="1" s="1"/>
  <c r="P794" i="1"/>
  <c r="S794" i="1" s="1"/>
  <c r="M794" i="1" s="1"/>
  <c r="I794" i="1"/>
  <c r="J794" i="1"/>
  <c r="G794" i="1" l="1"/>
  <c r="C795" i="1"/>
  <c r="E795" i="1"/>
  <c r="H794" i="1"/>
  <c r="L794" i="1"/>
  <c r="F794" i="1" l="1"/>
  <c r="D795" i="1"/>
  <c r="B795" i="1"/>
  <c r="N795" i="1" s="1"/>
  <c r="Q795" i="1" s="1"/>
  <c r="I795" i="1" l="1"/>
  <c r="O795" i="1"/>
  <c r="R795" i="1" s="1"/>
  <c r="P795" i="1"/>
  <c r="S795" i="1" s="1"/>
  <c r="M795" i="1" s="1"/>
  <c r="H795" i="1"/>
  <c r="J795" i="1" l="1"/>
  <c r="K795" i="1"/>
  <c r="G795" i="1" s="1"/>
  <c r="L795" i="1"/>
  <c r="F795" i="1" l="1"/>
  <c r="E796" i="1"/>
  <c r="C796" i="1"/>
  <c r="D796" i="1"/>
  <c r="B796" i="1"/>
  <c r="N796" i="1" s="1"/>
  <c r="Q796" i="1" s="1"/>
  <c r="P796" i="1" l="1"/>
  <c r="S796" i="1" s="1"/>
  <c r="M796" i="1" s="1"/>
  <c r="I796" i="1"/>
  <c r="O796" i="1"/>
  <c r="R796" i="1" s="1"/>
  <c r="K796" i="1" s="1"/>
  <c r="H796" i="1"/>
  <c r="J796" i="1" l="1"/>
  <c r="G796" i="1"/>
  <c r="C797" i="1" s="1"/>
  <c r="L796" i="1"/>
  <c r="F796" i="1" s="1"/>
  <c r="E797" i="1" l="1"/>
  <c r="D797" i="1"/>
  <c r="B797" i="1"/>
  <c r="N797" i="1" s="1"/>
  <c r="Q797" i="1" s="1"/>
  <c r="P797" i="1" l="1"/>
  <c r="S797" i="1" s="1"/>
  <c r="M797" i="1" s="1"/>
  <c r="I797" i="1"/>
  <c r="O797" i="1"/>
  <c r="R797" i="1" s="1"/>
  <c r="K797" i="1" s="1"/>
  <c r="G797" i="1" l="1"/>
  <c r="H797" i="1"/>
  <c r="J797" i="1"/>
  <c r="E798" i="1"/>
  <c r="C798" i="1"/>
  <c r="L797" i="1"/>
  <c r="F797" i="1" l="1"/>
  <c r="B798" i="1" l="1"/>
  <c r="N798" i="1" s="1"/>
  <c r="Q798" i="1" s="1"/>
  <c r="D798" i="1"/>
  <c r="P798" i="1" l="1"/>
  <c r="S798" i="1" s="1"/>
  <c r="M798" i="1" s="1"/>
  <c r="I798" i="1"/>
  <c r="O798" i="1"/>
  <c r="R798" i="1" s="1"/>
  <c r="K798" i="1" s="1"/>
  <c r="H798" i="1"/>
  <c r="G798" i="1" l="1"/>
  <c r="J798" i="1"/>
  <c r="E799" i="1"/>
  <c r="C799" i="1"/>
  <c r="L798" i="1"/>
  <c r="F798" i="1"/>
  <c r="D799" i="1" l="1"/>
  <c r="B799" i="1"/>
  <c r="N799" i="1" s="1"/>
  <c r="Q799" i="1" s="1"/>
  <c r="O799" i="1" l="1"/>
  <c r="R799" i="1" s="1"/>
  <c r="K799" i="1" s="1"/>
  <c r="I799" i="1"/>
  <c r="P799" i="1"/>
  <c r="S799" i="1" s="1"/>
  <c r="M799" i="1" s="1"/>
  <c r="J799" i="1"/>
  <c r="G799" i="1" l="1"/>
  <c r="H799" i="1"/>
  <c r="C800" i="1"/>
  <c r="E800" i="1"/>
  <c r="L799" i="1"/>
  <c r="F799" i="1" l="1"/>
  <c r="D800" i="1" l="1"/>
  <c r="B800" i="1"/>
  <c r="N800" i="1" s="1"/>
  <c r="Q800" i="1" s="1"/>
  <c r="O800" i="1" l="1"/>
  <c r="R800" i="1" s="1"/>
  <c r="K800" i="1" s="1"/>
  <c r="P800" i="1"/>
  <c r="S800" i="1" s="1"/>
  <c r="M800" i="1" s="1"/>
  <c r="I800" i="1"/>
  <c r="G800" i="1" s="1"/>
  <c r="J800" i="1"/>
  <c r="E801" i="1" l="1"/>
  <c r="C801" i="1"/>
  <c r="H800" i="1"/>
  <c r="L800" i="1"/>
  <c r="F800" i="1" l="1"/>
  <c r="B801" i="1"/>
  <c r="N801" i="1" s="1"/>
  <c r="Q801" i="1" s="1"/>
  <c r="D801" i="1"/>
  <c r="P801" i="1" l="1"/>
  <c r="S801" i="1" s="1"/>
  <c r="M801" i="1" s="1"/>
  <c r="O801" i="1"/>
  <c r="R801" i="1" s="1"/>
  <c r="I801" i="1"/>
  <c r="H801" i="1" l="1"/>
  <c r="J801" i="1"/>
  <c r="K801" i="1"/>
  <c r="G801" i="1" s="1"/>
  <c r="L801" i="1"/>
  <c r="F801" i="1" l="1"/>
  <c r="C802" i="1"/>
  <c r="E802" i="1"/>
  <c r="D802" i="1"/>
  <c r="B802" i="1"/>
  <c r="N802" i="1" s="1"/>
  <c r="Q802" i="1" s="1"/>
  <c r="I802" i="1" l="1"/>
  <c r="P802" i="1"/>
  <c r="S802" i="1" s="1"/>
  <c r="M802" i="1" s="1"/>
  <c r="O802" i="1"/>
  <c r="R802" i="1" s="1"/>
  <c r="K802" i="1" s="1"/>
  <c r="H802" i="1"/>
  <c r="J802" i="1" l="1"/>
  <c r="G802" i="1"/>
  <c r="E803" i="1" s="1"/>
  <c r="L802" i="1"/>
  <c r="F802" i="1" s="1"/>
  <c r="C803" i="1" l="1"/>
  <c r="D803" i="1"/>
  <c r="B803" i="1"/>
  <c r="N803" i="1" s="1"/>
  <c r="Q803" i="1" s="1"/>
  <c r="P803" i="1" l="1"/>
  <c r="S803" i="1" s="1"/>
  <c r="M803" i="1" s="1"/>
  <c r="I803" i="1"/>
  <c r="O803" i="1"/>
  <c r="R803" i="1" s="1"/>
  <c r="H803" i="1" l="1"/>
  <c r="J803" i="1"/>
  <c r="K803" i="1"/>
  <c r="G803" i="1"/>
  <c r="L803" i="1"/>
  <c r="F803" i="1" s="1"/>
  <c r="D804" i="1" l="1"/>
  <c r="B804" i="1"/>
  <c r="E804" i="1"/>
  <c r="C804" i="1"/>
  <c r="N804" i="1" l="1"/>
  <c r="Q804" i="1" s="1"/>
  <c r="O804" i="1"/>
  <c r="R804" i="1" s="1"/>
  <c r="J804" i="1" s="1"/>
  <c r="P804" i="1"/>
  <c r="S804" i="1" s="1"/>
  <c r="M804" i="1" s="1"/>
  <c r="I804" i="1" l="1"/>
  <c r="H804" i="1"/>
  <c r="K804" i="1"/>
  <c r="G804" i="1" s="1"/>
  <c r="L804" i="1"/>
  <c r="F804" i="1" s="1"/>
  <c r="B805" i="1" l="1"/>
  <c r="D805" i="1"/>
  <c r="E805" i="1"/>
  <c r="C805" i="1"/>
  <c r="N805" i="1" l="1"/>
  <c r="O805" i="1"/>
  <c r="R805" i="1" s="1"/>
  <c r="K805" i="1" s="1"/>
  <c r="P805" i="1"/>
  <c r="S805" i="1" s="1"/>
  <c r="M805" i="1" s="1"/>
  <c r="Q805" i="1" l="1"/>
  <c r="I805" i="1" s="1"/>
  <c r="G805" i="1" s="1"/>
  <c r="E806" i="1" s="1"/>
  <c r="J805" i="1"/>
  <c r="L805" i="1"/>
  <c r="H805" i="1"/>
  <c r="F805" i="1" s="1"/>
  <c r="C806" i="1" l="1"/>
  <c r="B806" i="1"/>
  <c r="N806" i="1" s="1"/>
  <c r="Q806" i="1" s="1"/>
  <c r="D806" i="1"/>
  <c r="O806" i="1" l="1"/>
  <c r="R806" i="1" s="1"/>
  <c r="K806" i="1" s="1"/>
  <c r="I806" i="1"/>
  <c r="P806" i="1"/>
  <c r="S806" i="1" s="1"/>
  <c r="H806" i="1"/>
  <c r="M806" i="1" l="1"/>
  <c r="G806" i="1" s="1"/>
  <c r="J806" i="1"/>
  <c r="F806" i="1" s="1"/>
  <c r="L806" i="1"/>
  <c r="E807" i="1" l="1"/>
  <c r="C807" i="1"/>
  <c r="D807" i="1"/>
  <c r="B807" i="1"/>
  <c r="N807" i="1" s="1"/>
  <c r="Q807" i="1" s="1"/>
  <c r="O807" i="1" l="1"/>
  <c r="R807" i="1" s="1"/>
  <c r="K807" i="1" s="1"/>
  <c r="P807" i="1"/>
  <c r="S807" i="1" s="1"/>
  <c r="M807" i="1" s="1"/>
  <c r="J807" i="1"/>
  <c r="H807" i="1" l="1"/>
  <c r="I807" i="1"/>
  <c r="G807" i="1" s="1"/>
  <c r="L807" i="1"/>
  <c r="C808" i="1" l="1"/>
  <c r="E808" i="1"/>
  <c r="F807" i="1"/>
  <c r="B808" i="1" l="1"/>
  <c r="N808" i="1" s="1"/>
  <c r="Q808" i="1" s="1"/>
  <c r="D808" i="1"/>
  <c r="P808" i="1" l="1"/>
  <c r="S808" i="1" s="1"/>
  <c r="M808" i="1" s="1"/>
  <c r="O808" i="1"/>
  <c r="R808" i="1" s="1"/>
  <c r="I808" i="1"/>
  <c r="H808" i="1" l="1"/>
  <c r="J808" i="1"/>
  <c r="K808" i="1"/>
  <c r="G808" i="1" s="1"/>
  <c r="L808" i="1"/>
  <c r="F808" i="1" s="1"/>
  <c r="D809" i="1" l="1"/>
  <c r="B809" i="1"/>
  <c r="E809" i="1"/>
  <c r="C809" i="1"/>
  <c r="N809" i="1" l="1"/>
  <c r="Q809" i="1" s="1"/>
  <c r="P809" i="1"/>
  <c r="S809" i="1" s="1"/>
  <c r="L809" i="1" s="1"/>
  <c r="O809" i="1"/>
  <c r="R809" i="1" s="1"/>
  <c r="J809" i="1" s="1"/>
  <c r="I809" i="1"/>
  <c r="K809" i="1" l="1"/>
  <c r="M809" i="1"/>
  <c r="G809" i="1" s="1"/>
  <c r="H809" i="1"/>
  <c r="F809" i="1" s="1"/>
  <c r="C810" i="1" l="1"/>
  <c r="E810" i="1"/>
  <c r="D810" i="1"/>
  <c r="B810" i="1"/>
  <c r="N810" i="1" s="1"/>
  <c r="Q810" i="1" s="1"/>
  <c r="P810" i="1" l="1"/>
  <c r="S810" i="1" s="1"/>
  <c r="M810" i="1" s="1"/>
  <c r="O810" i="1"/>
  <c r="R810" i="1" s="1"/>
  <c r="K810" i="1" s="1"/>
  <c r="I810" i="1"/>
  <c r="J810" i="1" l="1"/>
  <c r="G810" i="1"/>
  <c r="H810" i="1"/>
  <c r="F810" i="1" s="1"/>
  <c r="L810" i="1"/>
  <c r="D811" i="1" l="1"/>
  <c r="B811" i="1"/>
  <c r="E811" i="1"/>
  <c r="C811" i="1"/>
  <c r="N811" i="1" l="1"/>
  <c r="Q811" i="1" s="1"/>
  <c r="P811" i="1"/>
  <c r="S811" i="1" s="1"/>
  <c r="M811" i="1" s="1"/>
  <c r="O811" i="1"/>
  <c r="R811" i="1" s="1"/>
  <c r="K811" i="1" s="1"/>
  <c r="J811" i="1" l="1"/>
  <c r="I811" i="1"/>
  <c r="H811" i="1"/>
  <c r="L811" i="1"/>
  <c r="F811" i="1" s="1"/>
  <c r="G811" i="1"/>
  <c r="B812" i="1" l="1"/>
  <c r="D812" i="1"/>
  <c r="E812" i="1"/>
  <c r="C812" i="1"/>
  <c r="N812" i="1" l="1"/>
  <c r="Q812" i="1" s="1"/>
  <c r="P812" i="1"/>
  <c r="S812" i="1" s="1"/>
  <c r="M812" i="1" s="1"/>
  <c r="O812" i="1"/>
  <c r="R812" i="1" s="1"/>
  <c r="K812" i="1" s="1"/>
  <c r="I812" i="1"/>
  <c r="G812" i="1" l="1"/>
  <c r="C813" i="1"/>
  <c r="E813" i="1"/>
  <c r="H812" i="1"/>
  <c r="L812" i="1"/>
  <c r="J812" i="1"/>
  <c r="F812" i="1" l="1"/>
  <c r="D813" i="1" l="1"/>
  <c r="B813" i="1"/>
  <c r="N813" i="1" s="1"/>
  <c r="Q813" i="1" s="1"/>
  <c r="O813" i="1" l="1"/>
  <c r="R813" i="1" s="1"/>
  <c r="K813" i="1" s="1"/>
  <c r="I813" i="1"/>
  <c r="P813" i="1"/>
  <c r="S813" i="1" s="1"/>
  <c r="J813" i="1"/>
  <c r="M813" i="1" l="1"/>
  <c r="G813" i="1" s="1"/>
  <c r="H813" i="1"/>
  <c r="L813" i="1"/>
  <c r="E814" i="1" l="1"/>
  <c r="C814" i="1"/>
  <c r="F813" i="1"/>
  <c r="B814" i="1" l="1"/>
  <c r="N814" i="1" s="1"/>
  <c r="Q814" i="1" s="1"/>
  <c r="D814" i="1"/>
  <c r="I814" i="1" l="1"/>
  <c r="O814" i="1"/>
  <c r="R814" i="1" s="1"/>
  <c r="P814" i="1"/>
  <c r="S814" i="1" s="1"/>
  <c r="M814" i="1" s="1"/>
  <c r="H814" i="1"/>
  <c r="J814" i="1" l="1"/>
  <c r="K814" i="1"/>
  <c r="L814" i="1"/>
  <c r="G814" i="1"/>
  <c r="F814" i="1" l="1"/>
  <c r="D815" i="1"/>
  <c r="B815" i="1"/>
  <c r="C815" i="1"/>
  <c r="E815" i="1"/>
  <c r="N815" i="1" l="1"/>
  <c r="Q815" i="1" s="1"/>
  <c r="P815" i="1"/>
  <c r="S815" i="1" s="1"/>
  <c r="O815" i="1"/>
  <c r="R815" i="1" s="1"/>
  <c r="K815" i="1" s="1"/>
  <c r="H815" i="1"/>
  <c r="J815" i="1" l="1"/>
  <c r="I815" i="1"/>
  <c r="M815" i="1"/>
  <c r="G815" i="1" s="1"/>
  <c r="L815" i="1"/>
  <c r="F815" i="1" s="1"/>
  <c r="E816" i="1" l="1"/>
  <c r="C816" i="1"/>
  <c r="D816" i="1"/>
  <c r="B816" i="1"/>
  <c r="N816" i="1" s="1"/>
  <c r="Q816" i="1" s="1"/>
  <c r="P816" i="1" l="1"/>
  <c r="S816" i="1" s="1"/>
  <c r="M816" i="1" s="1"/>
  <c r="O816" i="1"/>
  <c r="R816" i="1" s="1"/>
  <c r="K816" i="1" s="1"/>
  <c r="I816" i="1"/>
  <c r="J816" i="1" l="1"/>
  <c r="G816" i="1"/>
  <c r="H816" i="1"/>
  <c r="E817" i="1"/>
  <c r="C817" i="1"/>
  <c r="L816" i="1"/>
  <c r="F816" i="1" l="1"/>
  <c r="B817" i="1" l="1"/>
  <c r="N817" i="1" s="1"/>
  <c r="Q817" i="1" s="1"/>
  <c r="D817" i="1"/>
  <c r="I817" i="1" l="1"/>
  <c r="P817" i="1"/>
  <c r="S817" i="1" s="1"/>
  <c r="M817" i="1" s="1"/>
  <c r="O817" i="1"/>
  <c r="R817" i="1" s="1"/>
  <c r="H817" i="1"/>
  <c r="J817" i="1" l="1"/>
  <c r="K817" i="1"/>
  <c r="G817" i="1" s="1"/>
  <c r="L817" i="1"/>
  <c r="F817" i="1" l="1"/>
  <c r="E818" i="1"/>
  <c r="C818" i="1"/>
  <c r="D818" i="1"/>
  <c r="B818" i="1"/>
  <c r="N818" i="1" s="1"/>
  <c r="Q818" i="1" s="1"/>
  <c r="P818" i="1" l="1"/>
  <c r="S818" i="1" s="1"/>
  <c r="M818" i="1" s="1"/>
  <c r="H818" i="1"/>
  <c r="O818" i="1"/>
  <c r="R818" i="1" s="1"/>
  <c r="J818" i="1" s="1"/>
  <c r="L818" i="1" l="1"/>
  <c r="F818" i="1" s="1"/>
  <c r="I818" i="1"/>
  <c r="K818" i="1"/>
  <c r="D819" i="1" l="1"/>
  <c r="B819" i="1"/>
  <c r="G818" i="1"/>
  <c r="E819" i="1" l="1"/>
  <c r="C819" i="1"/>
  <c r="N819" i="1" s="1"/>
  <c r="O819" i="1"/>
  <c r="R819" i="1" s="1"/>
  <c r="J819" i="1" s="1"/>
  <c r="P819" i="1"/>
  <c r="S819" i="1" s="1"/>
  <c r="L819" i="1" s="1"/>
  <c r="Q819" i="1" l="1"/>
  <c r="H819" i="1" s="1"/>
  <c r="F819" i="1" s="1"/>
  <c r="M819" i="1"/>
  <c r="K819" i="1"/>
  <c r="I819" i="1"/>
  <c r="G819" i="1" l="1"/>
  <c r="B820" i="1"/>
  <c r="D820" i="1"/>
  <c r="E820" i="1" l="1"/>
  <c r="C820" i="1"/>
  <c r="N820" i="1" s="1"/>
  <c r="Q820" i="1" s="1"/>
  <c r="O820" i="1" l="1"/>
  <c r="R820" i="1" s="1"/>
  <c r="J820" i="1" s="1"/>
  <c r="P820" i="1"/>
  <c r="S820" i="1" s="1"/>
  <c r="M820" i="1" s="1"/>
  <c r="H820" i="1"/>
  <c r="K820" i="1"/>
  <c r="L820" i="1" l="1"/>
  <c r="F820" i="1" s="1"/>
  <c r="I820" i="1"/>
  <c r="G820" i="1" s="1"/>
  <c r="E821" i="1" s="1"/>
  <c r="B821" i="1"/>
  <c r="D821" i="1"/>
  <c r="C821" i="1" l="1"/>
  <c r="N821" i="1"/>
  <c r="P821" i="1"/>
  <c r="S821" i="1" s="1"/>
  <c r="L821" i="1" s="1"/>
  <c r="O821" i="1"/>
  <c r="R821" i="1" s="1"/>
  <c r="K821" i="1" s="1"/>
  <c r="Q821" i="1" l="1"/>
  <c r="I821" i="1" s="1"/>
  <c r="J821" i="1"/>
  <c r="M821" i="1"/>
  <c r="H821" i="1"/>
  <c r="F821" i="1" s="1"/>
  <c r="G821" i="1" l="1"/>
  <c r="E822" i="1"/>
  <c r="C822" i="1"/>
  <c r="D822" i="1"/>
  <c r="B822" i="1"/>
  <c r="N822" i="1" s="1"/>
  <c r="Q822" i="1" s="1"/>
  <c r="O822" i="1" l="1"/>
  <c r="R822" i="1" s="1"/>
  <c r="K822" i="1" s="1"/>
  <c r="I822" i="1"/>
  <c r="P822" i="1"/>
  <c r="S822" i="1" s="1"/>
  <c r="J822" i="1"/>
  <c r="M822" i="1" l="1"/>
  <c r="G822" i="1" s="1"/>
  <c r="H822" i="1"/>
  <c r="L822" i="1"/>
  <c r="C823" i="1" l="1"/>
  <c r="E823" i="1"/>
  <c r="F822" i="1"/>
  <c r="D823" i="1" l="1"/>
  <c r="B823" i="1"/>
  <c r="N823" i="1" s="1"/>
  <c r="Q823" i="1" s="1"/>
  <c r="I823" i="1" l="1"/>
  <c r="O823" i="1"/>
  <c r="R823" i="1" s="1"/>
  <c r="K823" i="1" s="1"/>
  <c r="P823" i="1"/>
  <c r="S823" i="1" s="1"/>
  <c r="M823" i="1" s="1"/>
  <c r="J823" i="1"/>
  <c r="H823" i="1"/>
  <c r="G823" i="1" l="1"/>
  <c r="L823" i="1"/>
  <c r="F823" i="1" s="1"/>
  <c r="B824" i="1" l="1"/>
  <c r="D824" i="1"/>
  <c r="E824" i="1"/>
  <c r="C824" i="1"/>
  <c r="N824" i="1" l="1"/>
  <c r="Q824" i="1" s="1"/>
  <c r="O824" i="1"/>
  <c r="R824" i="1" s="1"/>
  <c r="K824" i="1" s="1"/>
  <c r="H824" i="1"/>
  <c r="P824" i="1"/>
  <c r="S824" i="1" s="1"/>
  <c r="M824" i="1" s="1"/>
  <c r="L824" i="1" l="1"/>
  <c r="I824" i="1"/>
  <c r="G824" i="1" s="1"/>
  <c r="J824" i="1"/>
  <c r="F824" i="1" s="1"/>
  <c r="B825" i="1" l="1"/>
  <c r="D825" i="1"/>
  <c r="E825" i="1"/>
  <c r="C825" i="1"/>
  <c r="N825" i="1" l="1"/>
  <c r="Q825" i="1" s="1"/>
  <c r="O825" i="1"/>
  <c r="R825" i="1" s="1"/>
  <c r="K825" i="1" s="1"/>
  <c r="H825" i="1"/>
  <c r="P825" i="1"/>
  <c r="S825" i="1" s="1"/>
  <c r="M825" i="1" s="1"/>
  <c r="L825" i="1" l="1"/>
  <c r="I825" i="1"/>
  <c r="G825" i="1" s="1"/>
  <c r="J825" i="1"/>
  <c r="F825" i="1" s="1"/>
  <c r="D826" i="1" l="1"/>
  <c r="B826" i="1"/>
  <c r="C826" i="1"/>
  <c r="E826" i="1"/>
  <c r="N826" i="1" l="1"/>
  <c r="Q826" i="1" s="1"/>
  <c r="P826" i="1"/>
  <c r="S826" i="1" s="1"/>
  <c r="M826" i="1" s="1"/>
  <c r="I826" i="1"/>
  <c r="O826" i="1"/>
  <c r="R826" i="1" s="1"/>
  <c r="K826" i="1" s="1"/>
  <c r="J826" i="1" l="1"/>
  <c r="G826" i="1"/>
  <c r="C827" i="1" s="1"/>
  <c r="E827" i="1"/>
  <c r="L826" i="1"/>
  <c r="H826" i="1"/>
  <c r="F826" i="1" s="1"/>
  <c r="B827" i="1" l="1"/>
  <c r="N827" i="1" s="1"/>
  <c r="Q827" i="1" s="1"/>
  <c r="D827" i="1"/>
  <c r="O827" i="1" l="1"/>
  <c r="R827" i="1" s="1"/>
  <c r="K827" i="1" s="1"/>
  <c r="I827" i="1"/>
  <c r="P827" i="1"/>
  <c r="S827" i="1" s="1"/>
  <c r="M827" i="1" s="1"/>
  <c r="H827" i="1"/>
  <c r="J827" i="1"/>
  <c r="G827" i="1" l="1"/>
  <c r="E828" i="1"/>
  <c r="C828" i="1"/>
  <c r="L827" i="1"/>
  <c r="F827" i="1" s="1"/>
  <c r="D828" i="1" l="1"/>
  <c r="B828" i="1"/>
  <c r="N828" i="1" s="1"/>
  <c r="Q828" i="1" s="1"/>
  <c r="P828" i="1" l="1"/>
  <c r="S828" i="1" s="1"/>
  <c r="M828" i="1" s="1"/>
  <c r="I828" i="1"/>
  <c r="O828" i="1"/>
  <c r="R828" i="1" s="1"/>
  <c r="K828" i="1" s="1"/>
  <c r="G828" i="1" l="1"/>
  <c r="H828" i="1"/>
  <c r="J828" i="1"/>
  <c r="E829" i="1"/>
  <c r="C829" i="1"/>
  <c r="L828" i="1"/>
  <c r="F828" i="1" l="1"/>
  <c r="B829" i="1" l="1"/>
  <c r="N829" i="1" s="1"/>
  <c r="Q829" i="1" s="1"/>
  <c r="D829" i="1"/>
  <c r="P829" i="1" l="1"/>
  <c r="S829" i="1" s="1"/>
  <c r="M829" i="1" s="1"/>
  <c r="O829" i="1"/>
  <c r="R829" i="1" s="1"/>
  <c r="K829" i="1" s="1"/>
  <c r="I829" i="1"/>
  <c r="J829" i="1" l="1"/>
  <c r="H829" i="1"/>
  <c r="G829" i="1"/>
  <c r="L829" i="1"/>
  <c r="E830" i="1" l="1"/>
  <c r="C830" i="1"/>
  <c r="F829" i="1"/>
  <c r="D830" i="1" l="1"/>
  <c r="B830" i="1"/>
  <c r="N830" i="1" s="1"/>
  <c r="Q830" i="1" s="1"/>
  <c r="P830" i="1" l="1"/>
  <c r="S830" i="1" s="1"/>
  <c r="M830" i="1" s="1"/>
  <c r="I830" i="1"/>
  <c r="O830" i="1"/>
  <c r="R830" i="1" s="1"/>
  <c r="H830" i="1" l="1"/>
  <c r="J830" i="1"/>
  <c r="K830" i="1"/>
  <c r="G830" i="1" s="1"/>
  <c r="L830" i="1"/>
  <c r="F830" i="1" l="1"/>
  <c r="C831" i="1"/>
  <c r="E831" i="1"/>
  <c r="B831" i="1"/>
  <c r="N831" i="1" s="1"/>
  <c r="Q831" i="1" s="1"/>
  <c r="D831" i="1"/>
  <c r="O831" i="1" l="1"/>
  <c r="R831" i="1" s="1"/>
  <c r="K831" i="1" s="1"/>
  <c r="I831" i="1"/>
  <c r="P831" i="1"/>
  <c r="S831" i="1" s="1"/>
  <c r="L831" i="1" s="1"/>
  <c r="J831" i="1"/>
  <c r="H831" i="1"/>
  <c r="M831" i="1" l="1"/>
  <c r="F831" i="1"/>
  <c r="G831" i="1"/>
  <c r="E832" i="1" l="1"/>
  <c r="C832" i="1"/>
  <c r="B832" i="1"/>
  <c r="N832" i="1" s="1"/>
  <c r="Q832" i="1" s="1"/>
  <c r="D832" i="1"/>
  <c r="O832" i="1" l="1"/>
  <c r="R832" i="1" s="1"/>
  <c r="K832" i="1" s="1"/>
  <c r="P832" i="1"/>
  <c r="S832" i="1" s="1"/>
  <c r="M832" i="1" s="1"/>
  <c r="I832" i="1"/>
  <c r="J832" i="1"/>
  <c r="H832" i="1" l="1"/>
  <c r="G832" i="1"/>
  <c r="L832" i="1"/>
  <c r="F832" i="1" s="1"/>
  <c r="D833" i="1" l="1"/>
  <c r="B833" i="1"/>
  <c r="C833" i="1"/>
  <c r="E833" i="1"/>
  <c r="N833" i="1" l="1"/>
  <c r="Q833" i="1" s="1"/>
  <c r="P833" i="1"/>
  <c r="S833" i="1" s="1"/>
  <c r="M833" i="1" s="1"/>
  <c r="I833" i="1"/>
  <c r="O833" i="1"/>
  <c r="R833" i="1" s="1"/>
  <c r="K833" i="1" s="1"/>
  <c r="G833" i="1" l="1"/>
  <c r="E834" i="1"/>
  <c r="C834" i="1"/>
  <c r="J833" i="1"/>
  <c r="L833" i="1"/>
  <c r="H833" i="1"/>
  <c r="F833" i="1" s="1"/>
  <c r="B834" i="1" l="1"/>
  <c r="N834" i="1" s="1"/>
  <c r="Q834" i="1" s="1"/>
  <c r="D834" i="1"/>
  <c r="P834" i="1" l="1"/>
  <c r="S834" i="1" s="1"/>
  <c r="M834" i="1" s="1"/>
  <c r="I834" i="1"/>
  <c r="O834" i="1"/>
  <c r="R834" i="1" s="1"/>
  <c r="K834" i="1" s="1"/>
  <c r="H834" i="1"/>
  <c r="G834" i="1" l="1"/>
  <c r="J834" i="1"/>
  <c r="C835" i="1"/>
  <c r="E835" i="1"/>
  <c r="L834" i="1"/>
  <c r="F834" i="1"/>
  <c r="D835" i="1" l="1"/>
  <c r="B835" i="1"/>
  <c r="N835" i="1" s="1"/>
  <c r="Q835" i="1" s="1"/>
  <c r="I835" i="1" l="1"/>
  <c r="P835" i="1"/>
  <c r="S835" i="1" s="1"/>
  <c r="M835" i="1" s="1"/>
  <c r="O835" i="1"/>
  <c r="R835" i="1" s="1"/>
  <c r="K835" i="1" s="1"/>
  <c r="H835" i="1"/>
  <c r="J835" i="1" l="1"/>
  <c r="G835" i="1"/>
  <c r="L835" i="1"/>
  <c r="F835" i="1" s="1"/>
  <c r="B836" i="1" l="1"/>
  <c r="D836" i="1"/>
  <c r="C836" i="1"/>
  <c r="E836" i="1"/>
  <c r="N836" i="1" l="1"/>
  <c r="Q836" i="1" s="1"/>
  <c r="P836" i="1"/>
  <c r="S836" i="1" s="1"/>
  <c r="M836" i="1" s="1"/>
  <c r="I836" i="1"/>
  <c r="O836" i="1"/>
  <c r="R836" i="1" s="1"/>
  <c r="J836" i="1" s="1"/>
  <c r="L836" i="1" l="1"/>
  <c r="H836" i="1"/>
  <c r="F836" i="1" s="1"/>
  <c r="K836" i="1"/>
  <c r="G836" i="1" s="1"/>
  <c r="C837" i="1" l="1"/>
  <c r="E837" i="1"/>
  <c r="B837" i="1"/>
  <c r="N837" i="1" s="1"/>
  <c r="Q837" i="1" s="1"/>
  <c r="D837" i="1"/>
  <c r="P837" i="1" l="1"/>
  <c r="S837" i="1" s="1"/>
  <c r="M837" i="1" s="1"/>
  <c r="O837" i="1"/>
  <c r="R837" i="1" s="1"/>
  <c r="K837" i="1" s="1"/>
  <c r="H837" i="1"/>
  <c r="J837" i="1" l="1"/>
  <c r="I837" i="1"/>
  <c r="G837" i="1" s="1"/>
  <c r="L837" i="1"/>
  <c r="F837" i="1" l="1"/>
  <c r="D838" i="1"/>
  <c r="B838" i="1"/>
  <c r="C838" i="1"/>
  <c r="E838" i="1"/>
  <c r="N838" i="1" l="1"/>
  <c r="Q838" i="1" s="1"/>
  <c r="I838" i="1" s="1"/>
  <c r="O838" i="1"/>
  <c r="R838" i="1" s="1"/>
  <c r="J838" i="1" s="1"/>
  <c r="P838" i="1"/>
  <c r="S838" i="1" s="1"/>
  <c r="M838" i="1" s="1"/>
  <c r="H838" i="1" l="1"/>
  <c r="L838" i="1"/>
  <c r="K838" i="1"/>
  <c r="G838" i="1" s="1"/>
  <c r="E839" i="1" l="1"/>
  <c r="C839" i="1"/>
  <c r="F838" i="1"/>
  <c r="B839" i="1" l="1"/>
  <c r="N839" i="1" s="1"/>
  <c r="Q839" i="1" s="1"/>
  <c r="D839" i="1"/>
  <c r="I839" i="1" l="1"/>
  <c r="P839" i="1"/>
  <c r="S839" i="1" s="1"/>
  <c r="M839" i="1" s="1"/>
  <c r="O839" i="1"/>
  <c r="R839" i="1" s="1"/>
  <c r="K839" i="1" s="1"/>
  <c r="H839" i="1"/>
  <c r="J839" i="1" l="1"/>
  <c r="G839" i="1"/>
  <c r="L839" i="1"/>
  <c r="F839" i="1" s="1"/>
  <c r="D840" i="1" l="1"/>
  <c r="B840" i="1"/>
  <c r="C840" i="1"/>
  <c r="E840" i="1"/>
  <c r="N840" i="1" l="1"/>
  <c r="Q840" i="1" s="1"/>
  <c r="O840" i="1"/>
  <c r="R840" i="1" s="1"/>
  <c r="J840" i="1" s="1"/>
  <c r="P840" i="1"/>
  <c r="S840" i="1" s="1"/>
  <c r="M840" i="1" s="1"/>
  <c r="H840" i="1"/>
  <c r="I840" i="1" l="1"/>
  <c r="L840" i="1"/>
  <c r="F840" i="1" s="1"/>
  <c r="K840" i="1"/>
  <c r="G840" i="1" s="1"/>
  <c r="E841" i="1" l="1"/>
  <c r="C841" i="1"/>
  <c r="B841" i="1"/>
  <c r="N841" i="1" s="1"/>
  <c r="Q841" i="1" s="1"/>
  <c r="D841" i="1"/>
  <c r="I841" i="1" l="1"/>
  <c r="P841" i="1"/>
  <c r="S841" i="1" s="1"/>
  <c r="M841" i="1" s="1"/>
  <c r="O841" i="1"/>
  <c r="R841" i="1" s="1"/>
  <c r="J841" i="1" s="1"/>
  <c r="H841" i="1" l="1"/>
  <c r="L841" i="1"/>
  <c r="K841" i="1"/>
  <c r="G841" i="1" s="1"/>
  <c r="E842" i="1" l="1"/>
  <c r="C842" i="1"/>
  <c r="F841" i="1"/>
  <c r="B842" i="1" l="1"/>
  <c r="N842" i="1" s="1"/>
  <c r="Q842" i="1" s="1"/>
  <c r="D842" i="1"/>
  <c r="P842" i="1" l="1"/>
  <c r="S842" i="1" s="1"/>
  <c r="M842" i="1" s="1"/>
  <c r="O842" i="1"/>
  <c r="R842" i="1" s="1"/>
  <c r="I842" i="1"/>
  <c r="H842" i="1" l="1"/>
  <c r="J842" i="1"/>
  <c r="K842" i="1"/>
  <c r="G842" i="1" s="1"/>
  <c r="L842" i="1"/>
  <c r="C843" i="1" l="1"/>
  <c r="E843" i="1"/>
  <c r="F842" i="1"/>
  <c r="D843" i="1" l="1"/>
  <c r="B843" i="1"/>
  <c r="N843" i="1" s="1"/>
  <c r="Q843" i="1" s="1"/>
  <c r="O843" i="1" l="1"/>
  <c r="R843" i="1" s="1"/>
  <c r="K843" i="1" s="1"/>
  <c r="I843" i="1"/>
  <c r="P843" i="1"/>
  <c r="S843" i="1" s="1"/>
  <c r="M843" i="1" s="1"/>
  <c r="J843" i="1"/>
  <c r="H843" i="1"/>
  <c r="G843" i="1" l="1"/>
  <c r="E844" i="1"/>
  <c r="C844" i="1"/>
  <c r="L843" i="1"/>
  <c r="F843" i="1" s="1"/>
  <c r="B844" i="1" l="1"/>
  <c r="N844" i="1" s="1"/>
  <c r="Q844" i="1" s="1"/>
  <c r="D844" i="1"/>
  <c r="O844" i="1" l="1"/>
  <c r="R844" i="1" s="1"/>
  <c r="K844" i="1" s="1"/>
  <c r="I844" i="1"/>
  <c r="P844" i="1"/>
  <c r="S844" i="1" s="1"/>
  <c r="M844" i="1" s="1"/>
  <c r="H844" i="1"/>
  <c r="J844" i="1"/>
  <c r="G844" i="1" l="1"/>
  <c r="E845" i="1"/>
  <c r="C845" i="1"/>
  <c r="L844" i="1"/>
  <c r="F844" i="1" s="1"/>
  <c r="D845" i="1" l="1"/>
  <c r="B845" i="1"/>
  <c r="N845" i="1" s="1"/>
  <c r="Q845" i="1" s="1"/>
  <c r="I845" i="1" l="1"/>
  <c r="P845" i="1"/>
  <c r="S845" i="1" s="1"/>
  <c r="M845" i="1" s="1"/>
  <c r="O845" i="1"/>
  <c r="R845" i="1" s="1"/>
  <c r="H845" i="1"/>
  <c r="J845" i="1" l="1"/>
  <c r="K845" i="1"/>
  <c r="G845" i="1"/>
  <c r="L845" i="1"/>
  <c r="F845" i="1" l="1"/>
  <c r="B846" i="1"/>
  <c r="D846" i="1"/>
  <c r="E846" i="1"/>
  <c r="C846" i="1"/>
  <c r="N846" i="1" l="1"/>
  <c r="P846" i="1"/>
  <c r="S846" i="1" s="1"/>
  <c r="L846" i="1" s="1"/>
  <c r="O846" i="1"/>
  <c r="R846" i="1" s="1"/>
  <c r="J846" i="1" s="1"/>
  <c r="Q846" i="1" l="1"/>
  <c r="I846" i="1" s="1"/>
  <c r="M846" i="1"/>
  <c r="H846" i="1"/>
  <c r="F846" i="1" s="1"/>
  <c r="K846" i="1"/>
  <c r="G846" i="1" l="1"/>
  <c r="E847" i="1"/>
  <c r="C847" i="1"/>
  <c r="B847" i="1"/>
  <c r="N847" i="1" s="1"/>
  <c r="Q847" i="1" s="1"/>
  <c r="D847" i="1"/>
  <c r="P847" i="1" l="1"/>
  <c r="S847" i="1" s="1"/>
  <c r="O847" i="1"/>
  <c r="R847" i="1" s="1"/>
  <c r="K847" i="1" s="1"/>
  <c r="I847" i="1"/>
  <c r="J847" i="1" l="1"/>
  <c r="M847" i="1"/>
  <c r="G847" i="1" s="1"/>
  <c r="L847" i="1"/>
  <c r="H847" i="1"/>
  <c r="F847" i="1" s="1"/>
  <c r="E848" i="1" l="1"/>
  <c r="C848" i="1"/>
  <c r="B848" i="1"/>
  <c r="N848" i="1" s="1"/>
  <c r="Q848" i="1" s="1"/>
  <c r="D848" i="1"/>
  <c r="I848" i="1" l="1"/>
  <c r="O848" i="1"/>
  <c r="R848" i="1" s="1"/>
  <c r="P848" i="1"/>
  <c r="S848" i="1" s="1"/>
  <c r="M848" i="1" s="1"/>
  <c r="H848" i="1"/>
  <c r="J848" i="1" l="1"/>
  <c r="K848" i="1"/>
  <c r="G848" i="1" s="1"/>
  <c r="L848" i="1"/>
  <c r="F848" i="1" s="1"/>
  <c r="B849" i="1" l="1"/>
  <c r="D849" i="1"/>
  <c r="C849" i="1"/>
  <c r="E849" i="1"/>
  <c r="N849" i="1" l="1"/>
  <c r="Q849" i="1" s="1"/>
  <c r="O849" i="1"/>
  <c r="R849" i="1" s="1"/>
  <c r="J849" i="1" s="1"/>
  <c r="P849" i="1"/>
  <c r="S849" i="1" s="1"/>
  <c r="M849" i="1" s="1"/>
  <c r="I849" i="1"/>
  <c r="K849" i="1" l="1"/>
  <c r="L849" i="1"/>
  <c r="G849" i="1"/>
  <c r="H849" i="1"/>
  <c r="F849" i="1" s="1"/>
  <c r="B850" i="1" l="1"/>
  <c r="D850" i="1"/>
  <c r="E850" i="1"/>
  <c r="C850" i="1"/>
  <c r="N850" i="1" l="1"/>
  <c r="Q850" i="1" s="1"/>
  <c r="O850" i="1"/>
  <c r="R850" i="1" s="1"/>
  <c r="K850" i="1" s="1"/>
  <c r="I850" i="1"/>
  <c r="P850" i="1"/>
  <c r="S850" i="1" s="1"/>
  <c r="L850" i="1" s="1"/>
  <c r="M850" i="1" l="1"/>
  <c r="G850" i="1"/>
  <c r="H850" i="1"/>
  <c r="J850" i="1"/>
  <c r="F850" i="1" l="1"/>
  <c r="E851" i="1"/>
  <c r="C851" i="1"/>
  <c r="D851" i="1" l="1"/>
  <c r="B851" i="1"/>
  <c r="N851" i="1" s="1"/>
  <c r="Q851" i="1" s="1"/>
  <c r="O851" i="1" l="1"/>
  <c r="R851" i="1" s="1"/>
  <c r="P851" i="1"/>
  <c r="S851" i="1" s="1"/>
  <c r="M851" i="1" s="1"/>
  <c r="H851" i="1" l="1"/>
  <c r="I851" i="1"/>
  <c r="J851" i="1"/>
  <c r="K851" i="1"/>
  <c r="L851" i="1"/>
  <c r="G851" i="1" l="1"/>
  <c r="F851" i="1"/>
  <c r="B852" i="1" l="1"/>
  <c r="D852" i="1"/>
  <c r="E852" i="1"/>
  <c r="C852" i="1"/>
  <c r="N852" i="1" l="1"/>
  <c r="Q852" i="1" s="1"/>
  <c r="O852" i="1"/>
  <c r="R852" i="1" s="1"/>
  <c r="J852" i="1" s="1"/>
  <c r="I852" i="1"/>
  <c r="P852" i="1"/>
  <c r="S852" i="1" s="1"/>
  <c r="M852" i="1" s="1"/>
  <c r="H852" i="1" l="1"/>
  <c r="L852" i="1"/>
  <c r="F852" i="1"/>
  <c r="K852" i="1"/>
  <c r="G852" i="1" s="1"/>
  <c r="E853" i="1" l="1"/>
  <c r="C853" i="1"/>
  <c r="B853" i="1"/>
  <c r="N853" i="1" s="1"/>
  <c r="Q853" i="1" s="1"/>
  <c r="D853" i="1"/>
  <c r="I853" i="1" l="1"/>
  <c r="P853" i="1"/>
  <c r="S853" i="1" s="1"/>
  <c r="O853" i="1"/>
  <c r="R853" i="1" s="1"/>
  <c r="K853" i="1" s="1"/>
  <c r="H853" i="1"/>
  <c r="M853" i="1" l="1"/>
  <c r="G853" i="1" s="1"/>
  <c r="L853" i="1"/>
  <c r="J853" i="1"/>
  <c r="F853" i="1" s="1"/>
  <c r="E854" i="1" l="1"/>
  <c r="C854" i="1"/>
  <c r="D854" i="1"/>
  <c r="B854" i="1"/>
  <c r="N854" i="1" s="1"/>
  <c r="Q854" i="1" s="1"/>
  <c r="I854" i="1" l="1"/>
  <c r="O854" i="1"/>
  <c r="R854" i="1" s="1"/>
  <c r="P854" i="1"/>
  <c r="S854" i="1" s="1"/>
  <c r="M854" i="1" s="1"/>
  <c r="H854" i="1"/>
  <c r="J854" i="1" l="1"/>
  <c r="K854" i="1"/>
  <c r="G854" i="1" s="1"/>
  <c r="L854" i="1"/>
  <c r="F854" i="1" l="1"/>
  <c r="E855" i="1"/>
  <c r="C855" i="1"/>
  <c r="D855" i="1"/>
  <c r="B855" i="1"/>
  <c r="N855" i="1" s="1"/>
  <c r="Q855" i="1" s="1"/>
  <c r="O855" i="1" l="1"/>
  <c r="R855" i="1" s="1"/>
  <c r="K855" i="1" s="1"/>
  <c r="P855" i="1"/>
  <c r="S855" i="1" s="1"/>
  <c r="M855" i="1" s="1"/>
  <c r="I855" i="1"/>
  <c r="J855" i="1"/>
  <c r="G855" i="1" l="1"/>
  <c r="C856" i="1" s="1"/>
  <c r="H855" i="1"/>
  <c r="F855" i="1" s="1"/>
  <c r="L855" i="1"/>
  <c r="E856" i="1"/>
  <c r="D856" i="1" l="1"/>
  <c r="B856" i="1"/>
  <c r="N856" i="1" s="1"/>
  <c r="Q856" i="1" s="1"/>
  <c r="I856" i="1" l="1"/>
  <c r="O856" i="1"/>
  <c r="R856" i="1" s="1"/>
  <c r="K856" i="1" s="1"/>
  <c r="P856" i="1"/>
  <c r="S856" i="1" s="1"/>
  <c r="M856" i="1" s="1"/>
  <c r="H856" i="1"/>
  <c r="J856" i="1" l="1"/>
  <c r="G856" i="1"/>
  <c r="L856" i="1"/>
  <c r="F856" i="1" l="1"/>
  <c r="D857" i="1"/>
  <c r="B857" i="1"/>
  <c r="E857" i="1"/>
  <c r="C857" i="1"/>
  <c r="N857" i="1" l="1"/>
  <c r="Q857" i="1" s="1"/>
  <c r="P857" i="1"/>
  <c r="S857" i="1" s="1"/>
  <c r="I857" i="1"/>
  <c r="O857" i="1"/>
  <c r="R857" i="1" s="1"/>
  <c r="K857" i="1" s="1"/>
  <c r="H857" i="1" l="1"/>
  <c r="L857" i="1"/>
  <c r="M857" i="1"/>
  <c r="G857" i="1" s="1"/>
  <c r="J857" i="1"/>
  <c r="F857" i="1"/>
  <c r="E858" i="1" l="1"/>
  <c r="C858" i="1"/>
  <c r="B858" i="1"/>
  <c r="N858" i="1" s="1"/>
  <c r="Q858" i="1" s="1"/>
  <c r="D858" i="1"/>
  <c r="P858" i="1" l="1"/>
  <c r="S858" i="1" s="1"/>
  <c r="M858" i="1" s="1"/>
  <c r="O858" i="1"/>
  <c r="R858" i="1" s="1"/>
  <c r="K858" i="1" s="1"/>
  <c r="I858" i="1"/>
  <c r="H858" i="1" l="1"/>
  <c r="J858" i="1"/>
  <c r="G858" i="1"/>
  <c r="L858" i="1"/>
  <c r="F858" i="1" l="1"/>
  <c r="D859" i="1"/>
  <c r="B859" i="1"/>
  <c r="E859" i="1"/>
  <c r="C859" i="1"/>
  <c r="N859" i="1" l="1"/>
  <c r="Q859" i="1" s="1"/>
  <c r="I859" i="1" s="1"/>
  <c r="P859" i="1"/>
  <c r="S859" i="1" s="1"/>
  <c r="M859" i="1" s="1"/>
  <c r="O859" i="1"/>
  <c r="R859" i="1" s="1"/>
  <c r="K859" i="1" s="1"/>
  <c r="H859" i="1"/>
  <c r="J859" i="1" l="1"/>
  <c r="G859" i="1"/>
  <c r="L859" i="1"/>
  <c r="F859" i="1" l="1"/>
  <c r="D860" i="1"/>
  <c r="B860" i="1"/>
  <c r="E860" i="1"/>
  <c r="C860" i="1"/>
  <c r="N860" i="1" l="1"/>
  <c r="Q860" i="1" s="1"/>
  <c r="O860" i="1"/>
  <c r="R860" i="1" s="1"/>
  <c r="J860" i="1" s="1"/>
  <c r="I860" i="1"/>
  <c r="P860" i="1"/>
  <c r="S860" i="1" s="1"/>
  <c r="M860" i="1" s="1"/>
  <c r="K860" i="1"/>
  <c r="G860" i="1" l="1"/>
  <c r="E861" i="1" s="1"/>
  <c r="C861" i="1"/>
  <c r="H860" i="1"/>
  <c r="L860" i="1"/>
  <c r="F860" i="1" l="1"/>
  <c r="D861" i="1" l="1"/>
  <c r="B861" i="1"/>
  <c r="N861" i="1" s="1"/>
  <c r="Q861" i="1" s="1"/>
  <c r="I861" i="1" l="1"/>
  <c r="O861" i="1"/>
  <c r="R861" i="1" s="1"/>
  <c r="K861" i="1" s="1"/>
  <c r="P861" i="1"/>
  <c r="S861" i="1" s="1"/>
  <c r="M861" i="1" s="1"/>
  <c r="H861" i="1"/>
  <c r="J861" i="1"/>
  <c r="G861" i="1" l="1"/>
  <c r="L861" i="1"/>
  <c r="F861" i="1" s="1"/>
  <c r="D862" i="1" l="1"/>
  <c r="B862" i="1"/>
  <c r="E862" i="1"/>
  <c r="C862" i="1"/>
  <c r="N862" i="1" l="1"/>
  <c r="Q862" i="1" s="1"/>
  <c r="P862" i="1"/>
  <c r="S862" i="1" s="1"/>
  <c r="M862" i="1" s="1"/>
  <c r="O862" i="1"/>
  <c r="R862" i="1" s="1"/>
  <c r="K862" i="1" s="1"/>
  <c r="H862" i="1" l="1"/>
  <c r="I862" i="1"/>
  <c r="G862" i="1"/>
  <c r="C863" i="1" s="1"/>
  <c r="J862" i="1"/>
  <c r="L862" i="1"/>
  <c r="F862" i="1" s="1"/>
  <c r="E863" i="1" l="1"/>
  <c r="B863" i="1"/>
  <c r="N863" i="1" s="1"/>
  <c r="Q863" i="1" s="1"/>
  <c r="D863" i="1"/>
  <c r="I863" i="1" l="1"/>
  <c r="P863" i="1"/>
  <c r="S863" i="1" s="1"/>
  <c r="M863" i="1" s="1"/>
  <c r="O863" i="1"/>
  <c r="R863" i="1" s="1"/>
  <c r="K863" i="1" s="1"/>
  <c r="H863" i="1"/>
  <c r="J863" i="1" l="1"/>
  <c r="L863" i="1"/>
  <c r="G863" i="1"/>
  <c r="F863" i="1" l="1"/>
  <c r="D864" i="1"/>
  <c r="B864" i="1"/>
  <c r="C864" i="1"/>
  <c r="E864" i="1"/>
  <c r="N864" i="1" l="1"/>
  <c r="Q864" i="1" s="1"/>
  <c r="P864" i="1"/>
  <c r="S864" i="1" s="1"/>
  <c r="O864" i="1"/>
  <c r="R864" i="1" s="1"/>
  <c r="K864" i="1" s="1"/>
  <c r="I864" i="1"/>
  <c r="J864" i="1" l="1"/>
  <c r="M864" i="1"/>
  <c r="G864" i="1" s="1"/>
  <c r="H864" i="1"/>
  <c r="L864" i="1"/>
  <c r="E865" i="1" l="1"/>
  <c r="C865" i="1"/>
  <c r="F864" i="1"/>
  <c r="B865" i="1" s="1"/>
  <c r="N865" i="1" s="1"/>
  <c r="Q865" i="1" s="1"/>
  <c r="D865" i="1" l="1"/>
  <c r="I865" i="1"/>
  <c r="P865" i="1"/>
  <c r="S865" i="1" s="1"/>
  <c r="M865" i="1" s="1"/>
  <c r="O865" i="1"/>
  <c r="R865" i="1" s="1"/>
  <c r="K865" i="1" s="1"/>
  <c r="H865" i="1"/>
  <c r="J865" i="1" l="1"/>
  <c r="L865" i="1"/>
  <c r="G865" i="1"/>
  <c r="F865" i="1" l="1"/>
  <c r="D866" i="1"/>
  <c r="B866" i="1"/>
  <c r="E866" i="1"/>
  <c r="C866" i="1"/>
  <c r="N866" i="1" l="1"/>
  <c r="Q866" i="1" s="1"/>
  <c r="P866" i="1"/>
  <c r="S866" i="1" s="1"/>
  <c r="M866" i="1" s="1"/>
  <c r="I866" i="1"/>
  <c r="O866" i="1"/>
  <c r="R866" i="1" s="1"/>
  <c r="K866" i="1" s="1"/>
  <c r="G866" i="1" l="1"/>
  <c r="C867" i="1"/>
  <c r="E867" i="1"/>
  <c r="H866" i="1"/>
  <c r="L866" i="1"/>
  <c r="J866" i="1"/>
  <c r="F866" i="1" l="1"/>
  <c r="B867" i="1" l="1"/>
  <c r="N867" i="1" s="1"/>
  <c r="Q867" i="1" s="1"/>
  <c r="D867" i="1"/>
  <c r="O867" i="1" l="1"/>
  <c r="R867" i="1" s="1"/>
  <c r="K867" i="1" s="1"/>
  <c r="I867" i="1"/>
  <c r="P867" i="1"/>
  <c r="S867" i="1" s="1"/>
  <c r="M867" i="1" s="1"/>
  <c r="J867" i="1"/>
  <c r="G867" i="1" l="1"/>
  <c r="H867" i="1"/>
  <c r="E868" i="1"/>
  <c r="C868" i="1"/>
  <c r="L867" i="1"/>
  <c r="F867" i="1" s="1"/>
  <c r="D868" i="1" l="1"/>
  <c r="B868" i="1"/>
  <c r="N868" i="1" s="1"/>
  <c r="Q868" i="1" s="1"/>
  <c r="P868" i="1" l="1"/>
  <c r="S868" i="1" s="1"/>
  <c r="M868" i="1" s="1"/>
  <c r="I868" i="1"/>
  <c r="O868" i="1"/>
  <c r="R868" i="1" s="1"/>
  <c r="K868" i="1" s="1"/>
  <c r="G868" i="1" l="1"/>
  <c r="H868" i="1"/>
  <c r="J868" i="1"/>
  <c r="C869" i="1"/>
  <c r="E869" i="1"/>
  <c r="L868" i="1"/>
  <c r="F868" i="1" l="1"/>
  <c r="D869" i="1" l="1"/>
  <c r="B869" i="1"/>
  <c r="N869" i="1" s="1"/>
  <c r="Q869" i="1" s="1"/>
  <c r="I869" i="1" l="1"/>
  <c r="O869" i="1"/>
  <c r="R869" i="1" s="1"/>
  <c r="K869" i="1" s="1"/>
  <c r="P869" i="1"/>
  <c r="S869" i="1" s="1"/>
  <c r="M869" i="1" s="1"/>
  <c r="H869" i="1"/>
  <c r="J869" i="1" l="1"/>
  <c r="G869" i="1"/>
  <c r="L869" i="1"/>
  <c r="F869" i="1" s="1"/>
  <c r="D870" i="1" l="1"/>
  <c r="B870" i="1"/>
  <c r="C870" i="1"/>
  <c r="E870" i="1"/>
  <c r="N870" i="1" l="1"/>
  <c r="Q870" i="1" s="1"/>
  <c r="O870" i="1"/>
  <c r="R870" i="1" s="1"/>
  <c r="K870" i="1" s="1"/>
  <c r="P870" i="1"/>
  <c r="S870" i="1" s="1"/>
  <c r="M870" i="1" s="1"/>
  <c r="I870" i="1"/>
  <c r="J870" i="1"/>
  <c r="G870" i="1" l="1"/>
  <c r="C871" i="1" s="1"/>
  <c r="H870" i="1"/>
  <c r="E871" i="1"/>
  <c r="L870" i="1"/>
  <c r="F870" i="1" s="1"/>
  <c r="B871" i="1" l="1"/>
  <c r="N871" i="1" s="1"/>
  <c r="Q871" i="1" s="1"/>
  <c r="D871" i="1"/>
  <c r="O871" i="1" l="1"/>
  <c r="R871" i="1" s="1"/>
  <c r="P871" i="1"/>
  <c r="S871" i="1" s="1"/>
  <c r="M871" i="1" s="1"/>
  <c r="I871" i="1"/>
  <c r="H871" i="1" l="1"/>
  <c r="L871" i="1"/>
  <c r="J871" i="1"/>
  <c r="F871" i="1" s="1"/>
  <c r="K871" i="1"/>
  <c r="G871" i="1" s="1"/>
  <c r="E872" i="1" l="1"/>
  <c r="C872" i="1"/>
  <c r="D872" i="1"/>
  <c r="B872" i="1"/>
  <c r="N872" i="1" s="1"/>
  <c r="Q872" i="1" s="1"/>
  <c r="I872" i="1" l="1"/>
  <c r="P872" i="1"/>
  <c r="S872" i="1" s="1"/>
  <c r="M872" i="1" s="1"/>
  <c r="O872" i="1"/>
  <c r="R872" i="1" s="1"/>
  <c r="K872" i="1" s="1"/>
  <c r="H872" i="1"/>
  <c r="J872" i="1" l="1"/>
  <c r="L872" i="1"/>
  <c r="F872" i="1" s="1"/>
  <c r="G872" i="1"/>
  <c r="D873" i="1" l="1"/>
  <c r="B873" i="1"/>
  <c r="C873" i="1"/>
  <c r="E873" i="1"/>
  <c r="N873" i="1" l="1"/>
  <c r="Q873" i="1" s="1"/>
  <c r="P873" i="1"/>
  <c r="S873" i="1" s="1"/>
  <c r="M873" i="1" s="1"/>
  <c r="I873" i="1"/>
  <c r="O873" i="1"/>
  <c r="R873" i="1" s="1"/>
  <c r="K873" i="1" s="1"/>
  <c r="G873" i="1" l="1"/>
  <c r="C874" i="1"/>
  <c r="E874" i="1"/>
  <c r="J873" i="1"/>
  <c r="L873" i="1"/>
  <c r="H873" i="1"/>
  <c r="F873" i="1" s="1"/>
  <c r="B874" i="1" l="1"/>
  <c r="N874" i="1" s="1"/>
  <c r="Q874" i="1" s="1"/>
  <c r="D874" i="1"/>
  <c r="I874" i="1" l="1"/>
  <c r="P874" i="1"/>
  <c r="S874" i="1" s="1"/>
  <c r="M874" i="1" s="1"/>
  <c r="O874" i="1"/>
  <c r="R874" i="1" s="1"/>
  <c r="K874" i="1" s="1"/>
  <c r="H874" i="1"/>
  <c r="J874" i="1" l="1"/>
  <c r="L874" i="1"/>
  <c r="F874" i="1" s="1"/>
  <c r="G874" i="1"/>
  <c r="D875" i="1" l="1"/>
  <c r="B875" i="1"/>
  <c r="C875" i="1"/>
  <c r="E875" i="1"/>
  <c r="N875" i="1" l="1"/>
  <c r="Q875" i="1" s="1"/>
  <c r="P875" i="1"/>
  <c r="S875" i="1" s="1"/>
  <c r="M875" i="1" s="1"/>
  <c r="O875" i="1"/>
  <c r="R875" i="1" s="1"/>
  <c r="K875" i="1" s="1"/>
  <c r="I875" i="1" l="1"/>
  <c r="H875" i="1"/>
  <c r="G875" i="1"/>
  <c r="C876" i="1" s="1"/>
  <c r="J875" i="1"/>
  <c r="L875" i="1"/>
  <c r="F875" i="1" l="1"/>
  <c r="E876" i="1"/>
  <c r="D876" i="1"/>
  <c r="B876" i="1"/>
  <c r="N876" i="1" s="1"/>
  <c r="Q876" i="1" s="1"/>
  <c r="I876" i="1" l="1"/>
  <c r="P876" i="1"/>
  <c r="S876" i="1" s="1"/>
  <c r="M876" i="1" s="1"/>
  <c r="O876" i="1"/>
  <c r="R876" i="1" s="1"/>
  <c r="K876" i="1" s="1"/>
  <c r="H876" i="1"/>
  <c r="J876" i="1" l="1"/>
  <c r="G876" i="1"/>
  <c r="L876" i="1"/>
  <c r="F876" i="1" s="1"/>
  <c r="B877" i="1" l="1"/>
  <c r="D877" i="1"/>
  <c r="E877" i="1"/>
  <c r="C877" i="1"/>
  <c r="N877" i="1" l="1"/>
  <c r="Q877" i="1" s="1"/>
  <c r="P877" i="1"/>
  <c r="S877" i="1" s="1"/>
  <c r="M877" i="1" s="1"/>
  <c r="I877" i="1"/>
  <c r="O877" i="1"/>
  <c r="R877" i="1" s="1"/>
  <c r="K877" i="1" s="1"/>
  <c r="J877" i="1" l="1"/>
  <c r="L877" i="1"/>
  <c r="G877" i="1"/>
  <c r="H877" i="1"/>
  <c r="F877" i="1" s="1"/>
  <c r="E878" i="1" l="1"/>
  <c r="C878" i="1"/>
  <c r="D878" i="1"/>
  <c r="B878" i="1"/>
  <c r="N878" i="1" s="1"/>
  <c r="Q878" i="1" s="1"/>
  <c r="I878" i="1" l="1"/>
  <c r="P878" i="1"/>
  <c r="S878" i="1" s="1"/>
  <c r="M878" i="1" s="1"/>
  <c r="O878" i="1"/>
  <c r="R878" i="1" s="1"/>
  <c r="K878" i="1" s="1"/>
  <c r="H878" i="1"/>
  <c r="J878" i="1" l="1"/>
  <c r="G878" i="1"/>
  <c r="C879" i="1" s="1"/>
  <c r="L878" i="1"/>
  <c r="F878" i="1" s="1"/>
  <c r="E879" i="1" l="1"/>
  <c r="D879" i="1"/>
  <c r="B879" i="1"/>
  <c r="N879" i="1" s="1"/>
  <c r="Q879" i="1" s="1"/>
  <c r="I879" i="1" l="1"/>
  <c r="P879" i="1"/>
  <c r="S879" i="1" s="1"/>
  <c r="M879" i="1" s="1"/>
  <c r="O879" i="1"/>
  <c r="R879" i="1" s="1"/>
  <c r="K879" i="1" s="1"/>
  <c r="H879" i="1"/>
  <c r="J879" i="1" l="1"/>
  <c r="G879" i="1"/>
  <c r="L879" i="1"/>
  <c r="F879" i="1" s="1"/>
  <c r="D880" i="1" l="1"/>
  <c r="B880" i="1"/>
  <c r="C880" i="1"/>
  <c r="E880" i="1"/>
  <c r="N880" i="1" l="1"/>
  <c r="Q880" i="1" s="1"/>
  <c r="O880" i="1"/>
  <c r="R880" i="1" s="1"/>
  <c r="J880" i="1" s="1"/>
  <c r="P880" i="1"/>
  <c r="S880" i="1" s="1"/>
  <c r="M880" i="1" s="1"/>
  <c r="I880" i="1"/>
  <c r="K880" i="1"/>
  <c r="G880" i="1" l="1"/>
  <c r="H880" i="1"/>
  <c r="L880" i="1"/>
  <c r="F880" i="1" l="1"/>
  <c r="D881" i="1"/>
  <c r="B881" i="1"/>
  <c r="C881" i="1"/>
  <c r="E881" i="1"/>
  <c r="N881" i="1" l="1"/>
  <c r="Q881" i="1" s="1"/>
  <c r="P881" i="1"/>
  <c r="S881" i="1" s="1"/>
  <c r="M881" i="1" s="1"/>
  <c r="O881" i="1"/>
  <c r="R881" i="1" s="1"/>
  <c r="J881" i="1" s="1"/>
  <c r="I881" i="1"/>
  <c r="L881" i="1" l="1"/>
  <c r="H881" i="1"/>
  <c r="F881" i="1" s="1"/>
  <c r="K881" i="1"/>
  <c r="G881" i="1" s="1"/>
  <c r="C882" i="1" l="1"/>
  <c r="E882" i="1"/>
  <c r="B882" i="1"/>
  <c r="N882" i="1" s="1"/>
  <c r="Q882" i="1" s="1"/>
  <c r="D882" i="1"/>
  <c r="I882" i="1" l="1"/>
  <c r="O882" i="1"/>
  <c r="R882" i="1" s="1"/>
  <c r="K882" i="1" s="1"/>
  <c r="P882" i="1"/>
  <c r="S882" i="1" s="1"/>
  <c r="M882" i="1" s="1"/>
  <c r="H882" i="1"/>
  <c r="J882" i="1"/>
  <c r="G882" i="1" l="1"/>
  <c r="E883" i="1"/>
  <c r="C883" i="1"/>
  <c r="L882" i="1"/>
  <c r="F882" i="1" s="1"/>
  <c r="D883" i="1" l="1"/>
  <c r="B883" i="1"/>
  <c r="N883" i="1" s="1"/>
  <c r="Q883" i="1" s="1"/>
  <c r="I883" i="1" l="1"/>
  <c r="P883" i="1"/>
  <c r="S883" i="1" s="1"/>
  <c r="M883" i="1" s="1"/>
  <c r="O883" i="1"/>
  <c r="R883" i="1" s="1"/>
  <c r="K883" i="1" s="1"/>
  <c r="H883" i="1"/>
  <c r="J883" i="1" l="1"/>
  <c r="G883" i="1"/>
  <c r="L883" i="1"/>
  <c r="F883" i="1" s="1"/>
  <c r="B884" i="1" l="1"/>
  <c r="D884" i="1"/>
  <c r="C884" i="1"/>
  <c r="E884" i="1"/>
  <c r="N884" i="1" l="1"/>
  <c r="Q884" i="1" s="1"/>
  <c r="O884" i="1"/>
  <c r="R884" i="1" s="1"/>
  <c r="K884" i="1" s="1"/>
  <c r="P884" i="1"/>
  <c r="S884" i="1" s="1"/>
  <c r="M884" i="1" s="1"/>
  <c r="I884" i="1" l="1"/>
  <c r="H884" i="1"/>
  <c r="G884" i="1"/>
  <c r="L884" i="1"/>
  <c r="J884" i="1"/>
  <c r="F884" i="1" s="1"/>
  <c r="B885" i="1" l="1"/>
  <c r="D885" i="1"/>
  <c r="E885" i="1"/>
  <c r="C885" i="1"/>
  <c r="N885" i="1" l="1"/>
  <c r="Q885" i="1" s="1"/>
  <c r="P885" i="1"/>
  <c r="S885" i="1" s="1"/>
  <c r="M885" i="1" s="1"/>
  <c r="I885" i="1"/>
  <c r="O885" i="1"/>
  <c r="R885" i="1" s="1"/>
  <c r="K885" i="1" s="1"/>
  <c r="G885" i="1" l="1"/>
  <c r="E886" i="1" s="1"/>
  <c r="J885" i="1"/>
  <c r="C886" i="1"/>
  <c r="L885" i="1"/>
  <c r="H885" i="1"/>
  <c r="F885" i="1" s="1"/>
  <c r="B886" i="1" l="1"/>
  <c r="N886" i="1" s="1"/>
  <c r="Q886" i="1" s="1"/>
  <c r="D886" i="1"/>
  <c r="P886" i="1" l="1"/>
  <c r="S886" i="1" s="1"/>
  <c r="M886" i="1" s="1"/>
  <c r="O886" i="1"/>
  <c r="R886" i="1" s="1"/>
  <c r="K886" i="1" s="1"/>
  <c r="I886" i="1"/>
  <c r="H886" i="1"/>
  <c r="J886" i="1" l="1"/>
  <c r="G886" i="1"/>
  <c r="E887" i="1" s="1"/>
  <c r="L886" i="1"/>
  <c r="F886" i="1" s="1"/>
  <c r="C887" i="1" l="1"/>
  <c r="D887" i="1"/>
  <c r="B887" i="1"/>
  <c r="N887" i="1" s="1"/>
  <c r="Q887" i="1" s="1"/>
  <c r="P887" i="1" l="1"/>
  <c r="S887" i="1" s="1"/>
  <c r="M887" i="1" s="1"/>
  <c r="I887" i="1"/>
  <c r="O887" i="1"/>
  <c r="R887" i="1" s="1"/>
  <c r="K887" i="1" s="1"/>
  <c r="J887" i="1" l="1"/>
  <c r="G887" i="1"/>
  <c r="H887" i="1"/>
  <c r="C888" i="1"/>
  <c r="E888" i="1"/>
  <c r="L887" i="1"/>
  <c r="F887" i="1" s="1"/>
  <c r="B888" i="1" l="1"/>
  <c r="N888" i="1" s="1"/>
  <c r="Q888" i="1" s="1"/>
  <c r="D888" i="1"/>
  <c r="I888" i="1" l="1"/>
  <c r="O888" i="1"/>
  <c r="R888" i="1" s="1"/>
  <c r="K888" i="1" s="1"/>
  <c r="P888" i="1"/>
  <c r="S888" i="1" s="1"/>
  <c r="M888" i="1" s="1"/>
  <c r="J888" i="1"/>
  <c r="H888" i="1"/>
  <c r="G888" i="1" l="1"/>
  <c r="E889" i="1"/>
  <c r="C889" i="1"/>
  <c r="L888" i="1"/>
  <c r="F888" i="1" s="1"/>
  <c r="D889" i="1" l="1"/>
  <c r="B889" i="1"/>
  <c r="N889" i="1" s="1"/>
  <c r="Q889" i="1" s="1"/>
  <c r="I889" i="1" l="1"/>
  <c r="P889" i="1"/>
  <c r="S889" i="1" s="1"/>
  <c r="M889" i="1" s="1"/>
  <c r="O889" i="1"/>
  <c r="R889" i="1" s="1"/>
  <c r="K889" i="1" s="1"/>
  <c r="H889" i="1"/>
  <c r="J889" i="1" l="1"/>
  <c r="G889" i="1"/>
  <c r="L889" i="1"/>
  <c r="F889" i="1" s="1"/>
  <c r="D890" i="1" l="1"/>
  <c r="B890" i="1"/>
  <c r="E890" i="1"/>
  <c r="C890" i="1"/>
  <c r="N890" i="1" l="1"/>
  <c r="Q890" i="1" s="1"/>
  <c r="I890" i="1" s="1"/>
  <c r="O890" i="1"/>
  <c r="R890" i="1" s="1"/>
  <c r="J890" i="1" s="1"/>
  <c r="P890" i="1"/>
  <c r="S890" i="1" s="1"/>
  <c r="L890" i="1" s="1"/>
  <c r="M890" i="1" l="1"/>
  <c r="K890" i="1"/>
  <c r="H890" i="1"/>
  <c r="F890" i="1" s="1"/>
  <c r="B891" i="1" l="1"/>
  <c r="D891" i="1"/>
  <c r="G890" i="1"/>
  <c r="E891" i="1" l="1"/>
  <c r="C891" i="1"/>
  <c r="N891" i="1" s="1"/>
  <c r="O891" i="1"/>
  <c r="R891" i="1" s="1"/>
  <c r="K891" i="1" s="1"/>
  <c r="P891" i="1"/>
  <c r="S891" i="1" s="1"/>
  <c r="J891" i="1"/>
  <c r="Q891" i="1" l="1"/>
  <c r="H891" i="1" s="1"/>
  <c r="M891" i="1"/>
  <c r="I891" i="1"/>
  <c r="G891" i="1" s="1"/>
  <c r="C892" i="1" s="1"/>
  <c r="L891" i="1"/>
  <c r="F891" i="1" l="1"/>
  <c r="E892" i="1"/>
  <c r="B892" i="1"/>
  <c r="N892" i="1" s="1"/>
  <c r="Q892" i="1" s="1"/>
  <c r="D892" i="1"/>
  <c r="P892" i="1" l="1"/>
  <c r="S892" i="1" s="1"/>
  <c r="M892" i="1" s="1"/>
  <c r="I892" i="1"/>
  <c r="O892" i="1"/>
  <c r="R892" i="1" s="1"/>
  <c r="K892" i="1" s="1"/>
  <c r="H892" i="1"/>
  <c r="J892" i="1" l="1"/>
  <c r="G892" i="1"/>
  <c r="L892" i="1"/>
  <c r="F892" i="1" s="1"/>
  <c r="D893" i="1" l="1"/>
  <c r="B893" i="1"/>
  <c r="C893" i="1"/>
  <c r="E893" i="1"/>
  <c r="N893" i="1" l="1"/>
  <c r="Q893" i="1" s="1"/>
  <c r="P893" i="1"/>
  <c r="S893" i="1" s="1"/>
  <c r="M893" i="1" s="1"/>
  <c r="O893" i="1"/>
  <c r="R893" i="1" s="1"/>
  <c r="K893" i="1" s="1"/>
  <c r="I893" i="1"/>
  <c r="J893" i="1"/>
  <c r="G893" i="1" l="1"/>
  <c r="C894" i="1"/>
  <c r="E894" i="1"/>
  <c r="H893" i="1"/>
  <c r="L893" i="1"/>
  <c r="F893" i="1" l="1"/>
  <c r="D894" i="1" l="1"/>
  <c r="B894" i="1"/>
  <c r="N894" i="1" s="1"/>
  <c r="Q894" i="1" s="1"/>
  <c r="O894" i="1" l="1"/>
  <c r="R894" i="1" s="1"/>
  <c r="K894" i="1" s="1"/>
  <c r="P894" i="1"/>
  <c r="S894" i="1" s="1"/>
  <c r="M894" i="1" s="1"/>
  <c r="I894" i="1"/>
  <c r="G894" i="1" s="1"/>
  <c r="J894" i="1"/>
  <c r="H894" i="1" l="1"/>
  <c r="E895" i="1"/>
  <c r="C895" i="1"/>
  <c r="L894" i="1"/>
  <c r="F894" i="1" s="1"/>
  <c r="D895" i="1" l="1"/>
  <c r="B895" i="1"/>
  <c r="N895" i="1" s="1"/>
  <c r="Q895" i="1" s="1"/>
  <c r="I895" i="1" l="1"/>
  <c r="P895" i="1"/>
  <c r="S895" i="1" s="1"/>
  <c r="O895" i="1"/>
  <c r="R895" i="1" s="1"/>
  <c r="K895" i="1" s="1"/>
  <c r="H895" i="1"/>
  <c r="M895" i="1" l="1"/>
  <c r="G895" i="1" s="1"/>
  <c r="J895" i="1"/>
  <c r="L895" i="1"/>
  <c r="F895" i="1" s="1"/>
  <c r="C896" i="1" l="1"/>
  <c r="E896" i="1"/>
  <c r="B896" i="1"/>
  <c r="N896" i="1" s="1"/>
  <c r="Q896" i="1" s="1"/>
  <c r="D896" i="1"/>
  <c r="O896" i="1" l="1"/>
  <c r="R896" i="1" s="1"/>
  <c r="K896" i="1" s="1"/>
  <c r="I896" i="1"/>
  <c r="P896" i="1"/>
  <c r="S896" i="1" s="1"/>
  <c r="M896" i="1" s="1"/>
  <c r="J896" i="1"/>
  <c r="H896" i="1"/>
  <c r="G896" i="1" l="1"/>
  <c r="L896" i="1"/>
  <c r="F896" i="1" s="1"/>
  <c r="D897" i="1" l="1"/>
  <c r="B897" i="1"/>
  <c r="C897" i="1"/>
  <c r="E897" i="1"/>
  <c r="N897" i="1" l="1"/>
  <c r="Q897" i="1" s="1"/>
  <c r="P897" i="1"/>
  <c r="S897" i="1" s="1"/>
  <c r="M897" i="1" s="1"/>
  <c r="I897" i="1"/>
  <c r="O897" i="1"/>
  <c r="R897" i="1" s="1"/>
  <c r="K897" i="1" s="1"/>
  <c r="G897" i="1" l="1"/>
  <c r="J897" i="1"/>
  <c r="C898" i="1"/>
  <c r="E898" i="1"/>
  <c r="L897" i="1"/>
  <c r="H897" i="1"/>
  <c r="F897" i="1" s="1"/>
  <c r="B898" i="1" l="1"/>
  <c r="N898" i="1" s="1"/>
  <c r="Q898" i="1" s="1"/>
  <c r="D898" i="1"/>
  <c r="O898" i="1" l="1"/>
  <c r="R898" i="1" s="1"/>
  <c r="I898" i="1"/>
  <c r="P898" i="1"/>
  <c r="S898" i="1" s="1"/>
  <c r="M898" i="1" s="1"/>
  <c r="H898" i="1" l="1"/>
  <c r="J898" i="1"/>
  <c r="K898" i="1"/>
  <c r="G898" i="1" s="1"/>
  <c r="L898" i="1"/>
  <c r="F898" i="1" l="1"/>
  <c r="E899" i="1"/>
  <c r="C899" i="1"/>
  <c r="B899" i="1"/>
  <c r="N899" i="1" s="1"/>
  <c r="Q899" i="1" s="1"/>
  <c r="D899" i="1"/>
  <c r="I899" i="1" l="1"/>
  <c r="P899" i="1"/>
  <c r="S899" i="1" s="1"/>
  <c r="M899" i="1" s="1"/>
  <c r="O899" i="1"/>
  <c r="R899" i="1" s="1"/>
  <c r="J899" i="1" s="1"/>
  <c r="K899" i="1" l="1"/>
  <c r="G899" i="1" s="1"/>
  <c r="L899" i="1"/>
  <c r="H899" i="1"/>
  <c r="F899" i="1" s="1"/>
  <c r="E900" i="1" l="1"/>
  <c r="C900" i="1"/>
  <c r="D900" i="1"/>
  <c r="B900" i="1"/>
  <c r="N900" i="1" s="1"/>
  <c r="Q900" i="1" s="1"/>
  <c r="I900" i="1" l="1"/>
  <c r="O900" i="1"/>
  <c r="R900" i="1" s="1"/>
  <c r="J900" i="1" s="1"/>
  <c r="P900" i="1"/>
  <c r="S900" i="1" s="1"/>
  <c r="M900" i="1" s="1"/>
  <c r="H900" i="1"/>
  <c r="K900" i="1"/>
  <c r="L900" i="1" l="1"/>
  <c r="F900" i="1" s="1"/>
  <c r="G900" i="1"/>
  <c r="D901" i="1" l="1"/>
  <c r="B901" i="1"/>
  <c r="C901" i="1"/>
  <c r="E901" i="1"/>
  <c r="N901" i="1" l="1"/>
  <c r="Q901" i="1" s="1"/>
  <c r="P901" i="1"/>
  <c r="S901" i="1" s="1"/>
  <c r="M901" i="1" s="1"/>
  <c r="O901" i="1"/>
  <c r="R901" i="1" s="1"/>
  <c r="K901" i="1" s="1"/>
  <c r="I901" i="1" l="1"/>
  <c r="H901" i="1"/>
  <c r="G901" i="1"/>
  <c r="C902" i="1" s="1"/>
  <c r="J901" i="1"/>
  <c r="L901" i="1"/>
  <c r="F901" i="1" s="1"/>
  <c r="E902" i="1" l="1"/>
  <c r="D902" i="1"/>
  <c r="B902" i="1"/>
  <c r="N902" i="1" s="1"/>
  <c r="Q902" i="1" s="1"/>
  <c r="I902" i="1" l="1"/>
  <c r="O902" i="1"/>
  <c r="R902" i="1" s="1"/>
  <c r="K902" i="1" s="1"/>
  <c r="P902" i="1"/>
  <c r="S902" i="1" s="1"/>
  <c r="M902" i="1" s="1"/>
  <c r="H902" i="1"/>
  <c r="J902" i="1" l="1"/>
  <c r="G902" i="1"/>
  <c r="L902" i="1"/>
  <c r="F902" i="1" s="1"/>
  <c r="B903" i="1" l="1"/>
  <c r="D903" i="1"/>
  <c r="C903" i="1"/>
  <c r="E903" i="1"/>
  <c r="N903" i="1" l="1"/>
  <c r="Q903" i="1" s="1"/>
  <c r="O903" i="1"/>
  <c r="R903" i="1" s="1"/>
  <c r="K903" i="1" s="1"/>
  <c r="P903" i="1"/>
  <c r="S903" i="1" s="1"/>
  <c r="M903" i="1" s="1"/>
  <c r="I903" i="1"/>
  <c r="H903" i="1" l="1"/>
  <c r="G903" i="1"/>
  <c r="L903" i="1"/>
  <c r="J903" i="1"/>
  <c r="F903" i="1" s="1"/>
  <c r="D904" i="1" l="1"/>
  <c r="B904" i="1"/>
  <c r="C904" i="1"/>
  <c r="E904" i="1"/>
  <c r="N904" i="1" l="1"/>
  <c r="P904" i="1"/>
  <c r="S904" i="1" s="1"/>
  <c r="O904" i="1"/>
  <c r="R904" i="1" s="1"/>
  <c r="K904" i="1" s="1"/>
  <c r="Q904" i="1" l="1"/>
  <c r="I904" i="1" s="1"/>
  <c r="J904" i="1"/>
  <c r="M904" i="1"/>
  <c r="H904" i="1"/>
  <c r="L904" i="1"/>
  <c r="G904" i="1" l="1"/>
  <c r="E905" i="1"/>
  <c r="C905" i="1"/>
  <c r="F904" i="1"/>
  <c r="D905" i="1" l="1"/>
  <c r="B905" i="1"/>
  <c r="N905" i="1" s="1"/>
  <c r="Q905" i="1" s="1"/>
  <c r="O905" i="1" l="1"/>
  <c r="R905" i="1" s="1"/>
  <c r="P905" i="1"/>
  <c r="S905" i="1" s="1"/>
  <c r="M905" i="1" s="1"/>
  <c r="H905" i="1" l="1"/>
  <c r="I905" i="1"/>
  <c r="J905" i="1"/>
  <c r="K905" i="1"/>
  <c r="L905" i="1"/>
  <c r="G905" i="1" l="1"/>
  <c r="C906" i="1"/>
  <c r="E906" i="1"/>
  <c r="F905" i="1"/>
  <c r="B906" i="1" l="1"/>
  <c r="N906" i="1" s="1"/>
  <c r="Q906" i="1" s="1"/>
  <c r="D906" i="1"/>
  <c r="P906" i="1" l="1"/>
  <c r="S906" i="1" s="1"/>
  <c r="M906" i="1" s="1"/>
  <c r="I906" i="1"/>
  <c r="O906" i="1"/>
  <c r="R906" i="1" s="1"/>
  <c r="H906" i="1"/>
  <c r="J906" i="1" l="1"/>
  <c r="K906" i="1"/>
  <c r="G906" i="1"/>
  <c r="L906" i="1"/>
  <c r="F906" i="1" l="1"/>
  <c r="D907" i="1"/>
  <c r="B907" i="1"/>
  <c r="E907" i="1"/>
  <c r="C907" i="1"/>
  <c r="N907" i="1" l="1"/>
  <c r="Q907" i="1" s="1"/>
  <c r="O907" i="1"/>
  <c r="R907" i="1" s="1"/>
  <c r="J907" i="1" s="1"/>
  <c r="H907" i="1"/>
  <c r="P907" i="1"/>
  <c r="S907" i="1" s="1"/>
  <c r="L907" i="1" s="1"/>
  <c r="I907" i="1"/>
  <c r="K907" i="1" l="1"/>
  <c r="M907" i="1"/>
  <c r="G907" i="1" s="1"/>
  <c r="E908" i="1" s="1"/>
  <c r="F907" i="1"/>
  <c r="C908" i="1"/>
  <c r="D908" i="1" l="1"/>
  <c r="B908" i="1"/>
  <c r="N908" i="1" s="1"/>
  <c r="Q908" i="1" s="1"/>
  <c r="O908" i="1" l="1"/>
  <c r="R908" i="1" s="1"/>
  <c r="K908" i="1" s="1"/>
  <c r="P908" i="1"/>
  <c r="S908" i="1" s="1"/>
  <c r="M908" i="1" s="1"/>
  <c r="I908" i="1"/>
  <c r="J908" i="1"/>
  <c r="G908" i="1" l="1"/>
  <c r="E909" i="1"/>
  <c r="C909" i="1"/>
  <c r="H908" i="1"/>
  <c r="L908" i="1"/>
  <c r="F908" i="1" l="1"/>
  <c r="B909" i="1"/>
  <c r="N909" i="1" s="1"/>
  <c r="Q909" i="1" s="1"/>
  <c r="D909" i="1"/>
  <c r="O909" i="1" l="1"/>
  <c r="R909" i="1" s="1"/>
  <c r="K909" i="1" s="1"/>
  <c r="P909" i="1"/>
  <c r="S909" i="1" s="1"/>
  <c r="M909" i="1" s="1"/>
  <c r="I909" i="1"/>
  <c r="G909" i="1" s="1"/>
  <c r="J909" i="1"/>
  <c r="H909" i="1"/>
  <c r="E910" i="1" l="1"/>
  <c r="C910" i="1"/>
  <c r="L909" i="1"/>
  <c r="F909" i="1" s="1"/>
  <c r="D910" i="1" l="1"/>
  <c r="B910" i="1"/>
  <c r="N910" i="1" s="1"/>
  <c r="Q910" i="1" s="1"/>
  <c r="I910" i="1" l="1"/>
  <c r="O910" i="1"/>
  <c r="R910" i="1" s="1"/>
  <c r="K910" i="1" s="1"/>
  <c r="P910" i="1"/>
  <c r="S910" i="1" s="1"/>
  <c r="M910" i="1" s="1"/>
  <c r="H910" i="1"/>
  <c r="J910" i="1" l="1"/>
  <c r="G910" i="1"/>
  <c r="L910" i="1"/>
  <c r="F910" i="1" l="1"/>
  <c r="D911" i="1"/>
  <c r="B911" i="1"/>
  <c r="E911" i="1"/>
  <c r="C911" i="1"/>
  <c r="N911" i="1" l="1"/>
  <c r="Q911" i="1" s="1"/>
  <c r="P911" i="1"/>
  <c r="S911" i="1" s="1"/>
  <c r="M911" i="1" s="1"/>
  <c r="O911" i="1"/>
  <c r="R911" i="1" s="1"/>
  <c r="K911" i="1" s="1"/>
  <c r="H911" i="1"/>
  <c r="J911" i="1" l="1"/>
  <c r="I911" i="1"/>
  <c r="G911" i="1" s="1"/>
  <c r="C912" i="1" s="1"/>
  <c r="L911" i="1"/>
  <c r="F911" i="1" s="1"/>
  <c r="E912" i="1" l="1"/>
  <c r="D912" i="1"/>
  <c r="B912" i="1"/>
  <c r="N912" i="1" s="1"/>
  <c r="Q912" i="1" s="1"/>
  <c r="O912" i="1" l="1"/>
  <c r="R912" i="1" s="1"/>
  <c r="K912" i="1" s="1"/>
  <c r="I912" i="1"/>
  <c r="P912" i="1"/>
  <c r="S912" i="1" s="1"/>
  <c r="M912" i="1" s="1"/>
  <c r="J912" i="1"/>
  <c r="H912" i="1"/>
  <c r="G912" i="1" l="1"/>
  <c r="L912" i="1"/>
  <c r="F912" i="1" s="1"/>
  <c r="D913" i="1" l="1"/>
  <c r="B913" i="1"/>
  <c r="E913" i="1"/>
  <c r="C913" i="1"/>
  <c r="N913" i="1" l="1"/>
  <c r="Q913" i="1" s="1"/>
  <c r="P913" i="1"/>
  <c r="S913" i="1" s="1"/>
  <c r="M913" i="1" s="1"/>
  <c r="O913" i="1"/>
  <c r="R913" i="1" s="1"/>
  <c r="K913" i="1" s="1"/>
  <c r="I913" i="1" l="1"/>
  <c r="H913" i="1"/>
  <c r="J913" i="1"/>
  <c r="G913" i="1"/>
  <c r="L913" i="1"/>
  <c r="F913" i="1" l="1"/>
  <c r="D914" i="1"/>
  <c r="B914" i="1"/>
  <c r="E914" i="1"/>
  <c r="C914" i="1"/>
  <c r="N914" i="1" l="1"/>
  <c r="Q914" i="1" s="1"/>
  <c r="P914" i="1"/>
  <c r="S914" i="1" s="1"/>
  <c r="M914" i="1" s="1"/>
  <c r="H914" i="1"/>
  <c r="O914" i="1"/>
  <c r="R914" i="1" s="1"/>
  <c r="K914" i="1" s="1"/>
  <c r="J914" i="1" l="1"/>
  <c r="I914" i="1"/>
  <c r="G914" i="1" s="1"/>
  <c r="L914" i="1"/>
  <c r="F914" i="1" s="1"/>
  <c r="B915" i="1" l="1"/>
  <c r="D915" i="1"/>
  <c r="E915" i="1"/>
  <c r="C915" i="1"/>
  <c r="N915" i="1" l="1"/>
  <c r="O915" i="1"/>
  <c r="R915" i="1" s="1"/>
  <c r="K915" i="1" s="1"/>
  <c r="P915" i="1"/>
  <c r="S915" i="1" s="1"/>
  <c r="L915" i="1" s="1"/>
  <c r="Q915" i="1" l="1"/>
  <c r="I915" i="1" s="1"/>
  <c r="M915" i="1"/>
  <c r="H915" i="1"/>
  <c r="J915" i="1"/>
  <c r="G915" i="1" l="1"/>
  <c r="E916" i="1"/>
  <c r="C916" i="1"/>
  <c r="F915" i="1"/>
  <c r="D916" i="1" l="1"/>
  <c r="B916" i="1"/>
  <c r="N916" i="1" s="1"/>
  <c r="Q916" i="1" s="1"/>
  <c r="O916" i="1" l="1"/>
  <c r="R916" i="1" s="1"/>
  <c r="K916" i="1" s="1"/>
  <c r="P916" i="1"/>
  <c r="S916" i="1" s="1"/>
  <c r="M916" i="1" s="1"/>
  <c r="I916" i="1"/>
  <c r="G916" i="1" s="1"/>
  <c r="J916" i="1"/>
  <c r="H916" i="1" l="1"/>
  <c r="C917" i="1"/>
  <c r="E917" i="1"/>
  <c r="L916" i="1"/>
  <c r="F916" i="1" l="1"/>
  <c r="D917" i="1" l="1"/>
  <c r="B917" i="1"/>
  <c r="N917" i="1" s="1"/>
  <c r="Q917" i="1" s="1"/>
  <c r="O917" i="1" l="1"/>
  <c r="R917" i="1" s="1"/>
  <c r="K917" i="1" s="1"/>
  <c r="I917" i="1"/>
  <c r="P917" i="1"/>
  <c r="S917" i="1" s="1"/>
  <c r="M917" i="1" s="1"/>
  <c r="J917" i="1"/>
  <c r="H917" i="1"/>
  <c r="G917" i="1" l="1"/>
  <c r="C918" i="1"/>
  <c r="E918" i="1"/>
  <c r="L917" i="1"/>
  <c r="F917" i="1" s="1"/>
  <c r="B918" i="1" l="1"/>
  <c r="N918" i="1" s="1"/>
  <c r="Q918" i="1" s="1"/>
  <c r="D918" i="1"/>
  <c r="P918" i="1" l="1"/>
  <c r="S918" i="1" s="1"/>
  <c r="M918" i="1" s="1"/>
  <c r="O918" i="1"/>
  <c r="R918" i="1" s="1"/>
  <c r="K918" i="1" s="1"/>
  <c r="I918" i="1"/>
  <c r="H918" i="1" l="1"/>
  <c r="J918" i="1"/>
  <c r="G918" i="1"/>
  <c r="L918" i="1"/>
  <c r="F918" i="1" s="1"/>
  <c r="D919" i="1" l="1"/>
  <c r="B919" i="1"/>
  <c r="E919" i="1"/>
  <c r="C919" i="1"/>
  <c r="N919" i="1" l="1"/>
  <c r="Q919" i="1" s="1"/>
  <c r="O919" i="1"/>
  <c r="R919" i="1" s="1"/>
  <c r="J919" i="1" s="1"/>
  <c r="P919" i="1"/>
  <c r="S919" i="1" s="1"/>
  <c r="M919" i="1" s="1"/>
  <c r="I919" i="1"/>
  <c r="H919" i="1" l="1"/>
  <c r="K919" i="1"/>
  <c r="G919" i="1" s="1"/>
  <c r="L919" i="1"/>
  <c r="F919" i="1" s="1"/>
  <c r="B920" i="1" l="1"/>
  <c r="D920" i="1"/>
  <c r="E920" i="1"/>
  <c r="C920" i="1"/>
  <c r="N920" i="1" l="1"/>
  <c r="Q920" i="1" s="1"/>
  <c r="O920" i="1"/>
  <c r="R920" i="1" s="1"/>
  <c r="J920" i="1" s="1"/>
  <c r="P920" i="1"/>
  <c r="S920" i="1" s="1"/>
  <c r="M920" i="1" s="1"/>
  <c r="H920" i="1"/>
  <c r="L920" i="1" l="1"/>
  <c r="I920" i="1"/>
  <c r="K920" i="1"/>
  <c r="F920" i="1"/>
  <c r="G920" i="1" l="1"/>
  <c r="E921" i="1"/>
  <c r="C921" i="1"/>
  <c r="B921" i="1"/>
  <c r="N921" i="1" s="1"/>
  <c r="Q921" i="1" s="1"/>
  <c r="D921" i="1"/>
  <c r="I921" i="1" l="1"/>
  <c r="P921" i="1"/>
  <c r="S921" i="1" s="1"/>
  <c r="M921" i="1" s="1"/>
  <c r="O921" i="1"/>
  <c r="R921" i="1" s="1"/>
  <c r="J921" i="1" s="1"/>
  <c r="L921" i="1" l="1"/>
  <c r="H921" i="1"/>
  <c r="F921" i="1" s="1"/>
  <c r="K921" i="1"/>
  <c r="G921" i="1" s="1"/>
  <c r="E922" i="1" l="1"/>
  <c r="C922" i="1"/>
  <c r="B922" i="1"/>
  <c r="N922" i="1" s="1"/>
  <c r="Q922" i="1" s="1"/>
  <c r="D922" i="1"/>
  <c r="O922" i="1" l="1"/>
  <c r="R922" i="1" s="1"/>
  <c r="J922" i="1" s="1"/>
  <c r="P922" i="1"/>
  <c r="S922" i="1" s="1"/>
  <c r="L922" i="1" s="1"/>
  <c r="H922" i="1"/>
  <c r="M922" i="1" l="1"/>
  <c r="I922" i="1"/>
  <c r="F922" i="1"/>
  <c r="K922" i="1"/>
  <c r="B923" i="1" l="1"/>
  <c r="D923" i="1"/>
  <c r="G922" i="1"/>
  <c r="E923" i="1" l="1"/>
  <c r="C923" i="1"/>
  <c r="N923" i="1" s="1"/>
  <c r="P923" i="1"/>
  <c r="S923" i="1" s="1"/>
  <c r="O923" i="1"/>
  <c r="R923" i="1" s="1"/>
  <c r="J923" i="1" s="1"/>
  <c r="Q923" i="1" l="1"/>
  <c r="H923" i="1" s="1"/>
  <c r="M923" i="1"/>
  <c r="L923" i="1"/>
  <c r="K923" i="1"/>
  <c r="I923" i="1"/>
  <c r="G923" i="1" s="1"/>
  <c r="E924" i="1" s="1"/>
  <c r="F923" i="1" l="1"/>
  <c r="B924" i="1"/>
  <c r="D924" i="1"/>
  <c r="C924" i="1"/>
  <c r="N924" i="1" l="1"/>
  <c r="Q924" i="1" s="1"/>
  <c r="O924" i="1"/>
  <c r="R924" i="1" s="1"/>
  <c r="K924" i="1" s="1"/>
  <c r="P924" i="1"/>
  <c r="S924" i="1" s="1"/>
  <c r="M924" i="1" s="1"/>
  <c r="H924" i="1"/>
  <c r="J924" i="1"/>
  <c r="I924" i="1" l="1"/>
  <c r="G924" i="1" s="1"/>
  <c r="L924" i="1"/>
  <c r="F924" i="1" s="1"/>
  <c r="D925" i="1" l="1"/>
  <c r="B925" i="1"/>
  <c r="E925" i="1"/>
  <c r="C925" i="1"/>
  <c r="N925" i="1" l="1"/>
  <c r="Q925" i="1" s="1"/>
  <c r="O925" i="1"/>
  <c r="R925" i="1" s="1"/>
  <c r="K925" i="1" s="1"/>
  <c r="P925" i="1"/>
  <c r="S925" i="1" s="1"/>
  <c r="M925" i="1" s="1"/>
  <c r="I925" i="1" l="1"/>
  <c r="H925" i="1"/>
  <c r="J925" i="1"/>
  <c r="G925" i="1"/>
  <c r="L925" i="1"/>
  <c r="F925" i="1" l="1"/>
  <c r="B926" i="1"/>
  <c r="D926" i="1"/>
  <c r="E926" i="1"/>
  <c r="C926" i="1"/>
  <c r="N926" i="1" l="1"/>
  <c r="Q926" i="1" s="1"/>
  <c r="P926" i="1"/>
  <c r="S926" i="1" s="1"/>
  <c r="M926" i="1" s="1"/>
  <c r="O926" i="1"/>
  <c r="R926" i="1" s="1"/>
  <c r="J926" i="1" s="1"/>
  <c r="I926" i="1"/>
  <c r="L926" i="1" l="1"/>
  <c r="K926" i="1"/>
  <c r="G926" i="1" s="1"/>
  <c r="H926" i="1"/>
  <c r="F926" i="1" s="1"/>
  <c r="C927" i="1" l="1"/>
  <c r="E927" i="1"/>
  <c r="D927" i="1"/>
  <c r="B927" i="1"/>
  <c r="N927" i="1" s="1"/>
  <c r="Q927" i="1" s="1"/>
  <c r="P927" i="1" l="1"/>
  <c r="S927" i="1" s="1"/>
  <c r="M927" i="1" s="1"/>
  <c r="I927" i="1"/>
  <c r="O927" i="1"/>
  <c r="R927" i="1" s="1"/>
  <c r="K927" i="1" s="1"/>
  <c r="H927" i="1"/>
  <c r="G927" i="1" l="1"/>
  <c r="E928" i="1"/>
  <c r="C928" i="1"/>
  <c r="J927" i="1"/>
  <c r="L927" i="1"/>
  <c r="F927" i="1" l="1"/>
  <c r="D928" i="1"/>
  <c r="B928" i="1"/>
  <c r="N928" i="1" s="1"/>
  <c r="Q928" i="1" s="1"/>
  <c r="P928" i="1" l="1"/>
  <c r="S928" i="1" s="1"/>
  <c r="M928" i="1" s="1"/>
  <c r="I928" i="1"/>
  <c r="O928" i="1"/>
  <c r="R928" i="1" s="1"/>
  <c r="K928" i="1" s="1"/>
  <c r="G928" i="1" l="1"/>
  <c r="H928" i="1"/>
  <c r="J928" i="1"/>
  <c r="C929" i="1"/>
  <c r="E929" i="1"/>
  <c r="L928" i="1"/>
  <c r="F928" i="1" l="1"/>
  <c r="D929" i="1"/>
  <c r="B929" i="1"/>
  <c r="N929" i="1" s="1"/>
  <c r="Q929" i="1" s="1"/>
  <c r="P929" i="1" l="1"/>
  <c r="S929" i="1" s="1"/>
  <c r="M929" i="1" s="1"/>
  <c r="O929" i="1"/>
  <c r="R929" i="1" s="1"/>
  <c r="I929" i="1"/>
  <c r="H929" i="1" l="1"/>
  <c r="J929" i="1"/>
  <c r="K929" i="1"/>
  <c r="G929" i="1" s="1"/>
  <c r="L929" i="1"/>
  <c r="E930" i="1" l="1"/>
  <c r="C930" i="1"/>
  <c r="F929" i="1"/>
  <c r="D930" i="1" l="1"/>
  <c r="B930" i="1"/>
  <c r="N930" i="1" s="1"/>
  <c r="Q930" i="1" s="1"/>
  <c r="P930" i="1" l="1"/>
  <c r="S930" i="1" s="1"/>
  <c r="M930" i="1" s="1"/>
  <c r="O930" i="1"/>
  <c r="R930" i="1" s="1"/>
  <c r="H930" i="1" l="1"/>
  <c r="I930" i="1"/>
  <c r="J930" i="1"/>
  <c r="K930" i="1"/>
  <c r="L930" i="1"/>
  <c r="G930" i="1" l="1"/>
  <c r="F930" i="1"/>
  <c r="B931" i="1" l="1"/>
  <c r="D931" i="1"/>
  <c r="C931" i="1"/>
  <c r="E931" i="1"/>
  <c r="N931" i="1" l="1"/>
  <c r="Q931" i="1" s="1"/>
  <c r="O931" i="1"/>
  <c r="R931" i="1" s="1"/>
  <c r="J931" i="1" s="1"/>
  <c r="P931" i="1"/>
  <c r="S931" i="1" s="1"/>
  <c r="M931" i="1" s="1"/>
  <c r="H931" i="1"/>
  <c r="L931" i="1" l="1"/>
  <c r="K931" i="1"/>
  <c r="F931" i="1"/>
  <c r="I931" i="1"/>
  <c r="G931" i="1" s="1"/>
  <c r="C932" i="1" l="1"/>
  <c r="E932" i="1"/>
  <c r="B932" i="1"/>
  <c r="N932" i="1" s="1"/>
  <c r="Q932" i="1" s="1"/>
  <c r="D932" i="1"/>
  <c r="P932" i="1" l="1"/>
  <c r="S932" i="1" s="1"/>
  <c r="L932" i="1" s="1"/>
  <c r="I932" i="1"/>
  <c r="O932" i="1"/>
  <c r="R932" i="1" s="1"/>
  <c r="K932" i="1" s="1"/>
  <c r="H932" i="1"/>
  <c r="M932" i="1" l="1"/>
  <c r="J932" i="1"/>
  <c r="F932" i="1" s="1"/>
  <c r="G932" i="1"/>
  <c r="E933" i="1" l="1"/>
  <c r="C933" i="1"/>
  <c r="D933" i="1"/>
  <c r="B933" i="1"/>
  <c r="N933" i="1" s="1"/>
  <c r="Q933" i="1" s="1"/>
  <c r="I933" i="1" l="1"/>
  <c r="O933" i="1"/>
  <c r="R933" i="1" s="1"/>
  <c r="J933" i="1" s="1"/>
  <c r="P933" i="1"/>
  <c r="S933" i="1" s="1"/>
  <c r="M933" i="1" s="1"/>
  <c r="H933" i="1"/>
  <c r="K933" i="1"/>
  <c r="L933" i="1" l="1"/>
  <c r="F933" i="1" s="1"/>
  <c r="G933" i="1"/>
  <c r="D934" i="1" l="1"/>
  <c r="B934" i="1"/>
  <c r="C934" i="1"/>
  <c r="E934" i="1"/>
  <c r="N934" i="1" l="1"/>
  <c r="Q934" i="1" s="1"/>
  <c r="O934" i="1"/>
  <c r="R934" i="1" s="1"/>
  <c r="K934" i="1" s="1"/>
  <c r="P934" i="1"/>
  <c r="S934" i="1" s="1"/>
  <c r="I934" i="1"/>
  <c r="H934" i="1"/>
  <c r="M934" i="1" l="1"/>
  <c r="G934" i="1" s="1"/>
  <c r="L934" i="1"/>
  <c r="J934" i="1"/>
  <c r="F934" i="1" s="1"/>
  <c r="E935" i="1" l="1"/>
  <c r="C935" i="1"/>
  <c r="B935" i="1"/>
  <c r="N935" i="1" s="1"/>
  <c r="Q935" i="1" s="1"/>
  <c r="D935" i="1"/>
  <c r="O935" i="1" l="1"/>
  <c r="R935" i="1" s="1"/>
  <c r="K935" i="1" s="1"/>
  <c r="P935" i="1"/>
  <c r="S935" i="1" s="1"/>
  <c r="M935" i="1" s="1"/>
  <c r="J935" i="1" l="1"/>
  <c r="H935" i="1"/>
  <c r="I935" i="1"/>
  <c r="G935" i="1" s="1"/>
  <c r="L935" i="1"/>
  <c r="E936" i="1" l="1"/>
  <c r="C936" i="1"/>
  <c r="F935" i="1"/>
  <c r="D936" i="1" l="1"/>
  <c r="B936" i="1"/>
  <c r="N936" i="1" s="1"/>
  <c r="Q936" i="1" s="1"/>
  <c r="I936" i="1" l="1"/>
  <c r="O936" i="1"/>
  <c r="R936" i="1" s="1"/>
  <c r="K936" i="1" s="1"/>
  <c r="P936" i="1"/>
  <c r="S936" i="1" s="1"/>
  <c r="M936" i="1" s="1"/>
  <c r="H936" i="1"/>
  <c r="J936" i="1"/>
  <c r="G936" i="1" l="1"/>
  <c r="L936" i="1"/>
  <c r="F936" i="1" s="1"/>
  <c r="B937" i="1" l="1"/>
  <c r="D937" i="1"/>
  <c r="C937" i="1"/>
  <c r="E937" i="1"/>
  <c r="N937" i="1" l="1"/>
  <c r="Q937" i="1" s="1"/>
  <c r="O937" i="1"/>
  <c r="R937" i="1" s="1"/>
  <c r="K937" i="1" s="1"/>
  <c r="I937" i="1"/>
  <c r="P937" i="1"/>
  <c r="S937" i="1" s="1"/>
  <c r="M937" i="1" s="1"/>
  <c r="H937" i="1" l="1"/>
  <c r="G937" i="1"/>
  <c r="L937" i="1"/>
  <c r="J937" i="1"/>
  <c r="F937" i="1" s="1"/>
  <c r="B938" i="1" l="1"/>
  <c r="D938" i="1"/>
  <c r="C938" i="1"/>
  <c r="E938" i="1"/>
  <c r="N938" i="1" l="1"/>
  <c r="Q938" i="1" s="1"/>
  <c r="P938" i="1"/>
  <c r="S938" i="1" s="1"/>
  <c r="M938" i="1" s="1"/>
  <c r="I938" i="1"/>
  <c r="O938" i="1"/>
  <c r="R938" i="1" s="1"/>
  <c r="K938" i="1" s="1"/>
  <c r="H938" i="1"/>
  <c r="G938" i="1" l="1"/>
  <c r="L938" i="1"/>
  <c r="J938" i="1"/>
  <c r="F938" i="1" l="1"/>
  <c r="C939" i="1"/>
  <c r="E939" i="1"/>
  <c r="B939" i="1" l="1"/>
  <c r="N939" i="1" s="1"/>
  <c r="Q939" i="1" s="1"/>
  <c r="D939" i="1"/>
  <c r="O939" i="1" l="1"/>
  <c r="R939" i="1" s="1"/>
  <c r="K939" i="1" s="1"/>
  <c r="I939" i="1"/>
  <c r="P939" i="1"/>
  <c r="S939" i="1" s="1"/>
  <c r="M939" i="1" s="1"/>
  <c r="H939" i="1"/>
  <c r="J939" i="1"/>
  <c r="G939" i="1" l="1"/>
  <c r="L939" i="1"/>
  <c r="F939" i="1" s="1"/>
  <c r="D940" i="1" l="1"/>
  <c r="B940" i="1"/>
  <c r="E940" i="1"/>
  <c r="C940" i="1"/>
  <c r="N940" i="1" l="1"/>
  <c r="O940" i="1"/>
  <c r="R940" i="1" s="1"/>
  <c r="K940" i="1" s="1"/>
  <c r="P940" i="1"/>
  <c r="S940" i="1" s="1"/>
  <c r="M940" i="1" s="1"/>
  <c r="Q940" i="1" l="1"/>
  <c r="I940" i="1" s="1"/>
  <c r="G940" i="1" s="1"/>
  <c r="E941" i="1" s="1"/>
  <c r="J940" i="1"/>
  <c r="H940" i="1"/>
  <c r="L940" i="1"/>
  <c r="C941" i="1" l="1"/>
  <c r="F940" i="1"/>
  <c r="D941" i="1" s="1"/>
  <c r="B941" i="1" l="1"/>
  <c r="N941" i="1" s="1"/>
  <c r="Q941" i="1" s="1"/>
  <c r="I941" i="1" s="1"/>
  <c r="O941" i="1"/>
  <c r="R941" i="1" s="1"/>
  <c r="K941" i="1" s="1"/>
  <c r="P941" i="1"/>
  <c r="S941" i="1" s="1"/>
  <c r="M941" i="1" s="1"/>
  <c r="H941" i="1"/>
  <c r="J941" i="1" l="1"/>
  <c r="G941" i="1"/>
  <c r="L941" i="1"/>
  <c r="E942" i="1" l="1"/>
  <c r="C942" i="1"/>
  <c r="F941" i="1"/>
  <c r="D942" i="1" l="1"/>
  <c r="B942" i="1"/>
  <c r="N942" i="1" s="1"/>
  <c r="Q942" i="1" s="1"/>
  <c r="O942" i="1" l="1"/>
  <c r="R942" i="1" s="1"/>
  <c r="K942" i="1" s="1"/>
  <c r="P942" i="1"/>
  <c r="S942" i="1" s="1"/>
  <c r="M942" i="1" s="1"/>
  <c r="I942" i="1"/>
  <c r="J942" i="1"/>
  <c r="G942" i="1" l="1"/>
  <c r="H942" i="1"/>
  <c r="C943" i="1"/>
  <c r="E943" i="1"/>
  <c r="L942" i="1"/>
  <c r="F942" i="1" l="1"/>
  <c r="B943" i="1" l="1"/>
  <c r="N943" i="1" s="1"/>
  <c r="Q943" i="1" s="1"/>
  <c r="D943" i="1"/>
  <c r="P943" i="1" l="1"/>
  <c r="S943" i="1" s="1"/>
  <c r="M943" i="1" s="1"/>
  <c r="O943" i="1"/>
  <c r="R943" i="1" s="1"/>
  <c r="K943" i="1" s="1"/>
  <c r="I943" i="1"/>
  <c r="H943" i="1"/>
  <c r="J943" i="1" l="1"/>
  <c r="G943" i="1"/>
  <c r="L943" i="1"/>
  <c r="F943" i="1" s="1"/>
  <c r="D944" i="1" l="1"/>
  <c r="B944" i="1"/>
  <c r="C944" i="1"/>
  <c r="E944" i="1"/>
  <c r="N944" i="1" l="1"/>
  <c r="Q944" i="1" s="1"/>
  <c r="O944" i="1"/>
  <c r="R944" i="1" s="1"/>
  <c r="K944" i="1" s="1"/>
  <c r="P944" i="1"/>
  <c r="S944" i="1" s="1"/>
  <c r="M944" i="1" s="1"/>
  <c r="J944" i="1"/>
  <c r="I944" i="1" l="1"/>
  <c r="H944" i="1"/>
  <c r="G944" i="1"/>
  <c r="L944" i="1"/>
  <c r="F944" i="1" s="1"/>
  <c r="D945" i="1" l="1"/>
  <c r="B945" i="1"/>
  <c r="E945" i="1"/>
  <c r="C945" i="1"/>
  <c r="N945" i="1" l="1"/>
  <c r="Q945" i="1" s="1"/>
  <c r="O945" i="1"/>
  <c r="R945" i="1" s="1"/>
  <c r="K945" i="1" s="1"/>
  <c r="P945" i="1"/>
  <c r="S945" i="1" s="1"/>
  <c r="M945" i="1" s="1"/>
  <c r="I945" i="1"/>
  <c r="J945" i="1"/>
  <c r="G945" i="1" l="1"/>
  <c r="E946" i="1" s="1"/>
  <c r="H945" i="1"/>
  <c r="L945" i="1"/>
  <c r="F945" i="1" s="1"/>
  <c r="C946" i="1"/>
  <c r="B946" i="1" l="1"/>
  <c r="N946" i="1" s="1"/>
  <c r="Q946" i="1" s="1"/>
  <c r="D946" i="1"/>
  <c r="P946" i="1" l="1"/>
  <c r="S946" i="1" s="1"/>
  <c r="M946" i="1" s="1"/>
  <c r="O946" i="1"/>
  <c r="R946" i="1" s="1"/>
  <c r="K946" i="1" s="1"/>
  <c r="I946" i="1"/>
  <c r="G946" i="1" l="1"/>
  <c r="J946" i="1"/>
  <c r="H946" i="1"/>
  <c r="L946" i="1"/>
  <c r="E947" i="1"/>
  <c r="C947" i="1"/>
  <c r="F946" i="1" l="1"/>
  <c r="D947" i="1" l="1"/>
  <c r="B947" i="1"/>
  <c r="N947" i="1" s="1"/>
  <c r="Q947" i="1" s="1"/>
  <c r="P947" i="1" l="1"/>
  <c r="S947" i="1" s="1"/>
  <c r="M947" i="1" s="1"/>
  <c r="I947" i="1"/>
  <c r="O947" i="1"/>
  <c r="R947" i="1" s="1"/>
  <c r="K947" i="1" s="1"/>
  <c r="G947" i="1" l="1"/>
  <c r="J947" i="1"/>
  <c r="H947" i="1"/>
  <c r="E948" i="1"/>
  <c r="C948" i="1"/>
  <c r="L947" i="1"/>
  <c r="F947" i="1" l="1"/>
  <c r="B948" i="1" l="1"/>
  <c r="N948" i="1" s="1"/>
  <c r="Q948" i="1" s="1"/>
  <c r="D948" i="1"/>
  <c r="P948" i="1" l="1"/>
  <c r="S948" i="1" s="1"/>
  <c r="M948" i="1" s="1"/>
  <c r="I948" i="1"/>
  <c r="O948" i="1"/>
  <c r="R948" i="1" s="1"/>
  <c r="K948" i="1" s="1"/>
  <c r="H948" i="1"/>
  <c r="J948" i="1" l="1"/>
  <c r="G948" i="1"/>
  <c r="L948" i="1"/>
  <c r="F948" i="1" s="1"/>
  <c r="D949" i="1" l="1"/>
  <c r="B949" i="1"/>
  <c r="E949" i="1"/>
  <c r="C949" i="1"/>
  <c r="N949" i="1" l="1"/>
  <c r="O949" i="1"/>
  <c r="R949" i="1" s="1"/>
  <c r="K949" i="1" s="1"/>
  <c r="P949" i="1"/>
  <c r="S949" i="1" s="1"/>
  <c r="M949" i="1" s="1"/>
  <c r="Q949" i="1" l="1"/>
  <c r="I949" i="1" s="1"/>
  <c r="G949" i="1" s="1"/>
  <c r="J949" i="1"/>
  <c r="H949" i="1"/>
  <c r="L949" i="1"/>
  <c r="E950" i="1" l="1"/>
  <c r="C950" i="1"/>
  <c r="F949" i="1"/>
  <c r="B950" i="1" l="1"/>
  <c r="N950" i="1" s="1"/>
  <c r="Q950" i="1" s="1"/>
  <c r="D950" i="1"/>
  <c r="O950" i="1" l="1"/>
  <c r="R950" i="1" s="1"/>
  <c r="K950" i="1" s="1"/>
  <c r="P950" i="1"/>
  <c r="S950" i="1" s="1"/>
  <c r="M950" i="1" s="1"/>
  <c r="I950" i="1"/>
  <c r="J950" i="1"/>
  <c r="G950" i="1" l="1"/>
  <c r="H950" i="1"/>
  <c r="E951" i="1"/>
  <c r="C951" i="1"/>
  <c r="L950" i="1"/>
  <c r="F950" i="1" s="1"/>
  <c r="D951" i="1" l="1"/>
  <c r="B951" i="1"/>
  <c r="N951" i="1" s="1"/>
  <c r="Q951" i="1" s="1"/>
  <c r="I951" i="1" l="1"/>
  <c r="O951" i="1"/>
  <c r="R951" i="1" s="1"/>
  <c r="K951" i="1" s="1"/>
  <c r="P951" i="1"/>
  <c r="S951" i="1" s="1"/>
  <c r="M951" i="1" s="1"/>
  <c r="J951" i="1" l="1"/>
  <c r="G951" i="1"/>
  <c r="H951" i="1"/>
  <c r="E952" i="1"/>
  <c r="C952" i="1"/>
  <c r="L951" i="1"/>
  <c r="F951" i="1" l="1"/>
  <c r="D952" i="1" s="1"/>
  <c r="B952" i="1"/>
  <c r="N952" i="1" s="1"/>
  <c r="Q952" i="1" s="1"/>
  <c r="I952" i="1" l="1"/>
  <c r="P952" i="1"/>
  <c r="S952" i="1" s="1"/>
  <c r="O952" i="1"/>
  <c r="R952" i="1" s="1"/>
  <c r="K952" i="1" s="1"/>
  <c r="M952" i="1" l="1"/>
  <c r="G952" i="1" s="1"/>
  <c r="J952" i="1"/>
  <c r="H952" i="1"/>
  <c r="L952" i="1"/>
  <c r="E953" i="1" l="1"/>
  <c r="C953" i="1"/>
  <c r="F952" i="1"/>
  <c r="D953" i="1" l="1"/>
  <c r="B953" i="1"/>
  <c r="N953" i="1" s="1"/>
  <c r="Q953" i="1" s="1"/>
  <c r="P953" i="1" l="1"/>
  <c r="S953" i="1" s="1"/>
  <c r="M953" i="1" s="1"/>
  <c r="O953" i="1"/>
  <c r="R953" i="1" s="1"/>
  <c r="K953" i="1" s="1"/>
  <c r="I953" i="1"/>
  <c r="G953" i="1" l="1"/>
  <c r="J953" i="1"/>
  <c r="H953" i="1"/>
  <c r="E954" i="1"/>
  <c r="C954" i="1"/>
  <c r="L953" i="1"/>
  <c r="F953" i="1" l="1"/>
  <c r="D954" i="1" l="1"/>
  <c r="B954" i="1"/>
  <c r="N954" i="1" s="1"/>
  <c r="Q954" i="1" s="1"/>
  <c r="O954" i="1" l="1"/>
  <c r="R954" i="1" s="1"/>
  <c r="K954" i="1" s="1"/>
  <c r="I954" i="1"/>
  <c r="P954" i="1"/>
  <c r="S954" i="1" s="1"/>
  <c r="M954" i="1" s="1"/>
  <c r="J954" i="1"/>
  <c r="G954" i="1" l="1"/>
  <c r="H954" i="1"/>
  <c r="E955" i="1"/>
  <c r="C955" i="1"/>
  <c r="L954" i="1"/>
  <c r="F954" i="1" l="1"/>
  <c r="D955" i="1" s="1"/>
  <c r="B955" i="1"/>
  <c r="N955" i="1" s="1"/>
  <c r="Q955" i="1" s="1"/>
  <c r="P955" i="1" l="1"/>
  <c r="S955" i="1" s="1"/>
  <c r="M955" i="1" s="1"/>
  <c r="O955" i="1"/>
  <c r="R955" i="1" s="1"/>
  <c r="K955" i="1" s="1"/>
  <c r="I955" i="1"/>
  <c r="J955" i="1" l="1"/>
  <c r="G955" i="1"/>
  <c r="H955" i="1"/>
  <c r="C956" i="1"/>
  <c r="E956" i="1"/>
  <c r="L955" i="1"/>
  <c r="F955" i="1" l="1"/>
  <c r="B956" i="1" l="1"/>
  <c r="N956" i="1" s="1"/>
  <c r="Q956" i="1" s="1"/>
  <c r="D956" i="1"/>
  <c r="P956" i="1" l="1"/>
  <c r="S956" i="1" s="1"/>
  <c r="M956" i="1" s="1"/>
  <c r="O956" i="1"/>
  <c r="R956" i="1" s="1"/>
  <c r="K956" i="1" s="1"/>
  <c r="J956" i="1" l="1"/>
  <c r="H956" i="1"/>
  <c r="I956" i="1"/>
  <c r="G956" i="1" s="1"/>
  <c r="L956" i="1"/>
  <c r="F956" i="1" l="1"/>
  <c r="D957" i="1"/>
  <c r="B957" i="1"/>
  <c r="C957" i="1"/>
  <c r="E957" i="1"/>
  <c r="N957" i="1" l="1"/>
  <c r="Q957" i="1" s="1"/>
  <c r="P957" i="1"/>
  <c r="S957" i="1" s="1"/>
  <c r="M957" i="1" s="1"/>
  <c r="O957" i="1"/>
  <c r="R957" i="1" s="1"/>
  <c r="K957" i="1" s="1"/>
  <c r="I957" i="1"/>
  <c r="H957" i="1" l="1"/>
  <c r="G957" i="1"/>
  <c r="L957" i="1"/>
  <c r="J957" i="1"/>
  <c r="C958" i="1" l="1"/>
  <c r="E958" i="1"/>
  <c r="F957" i="1"/>
  <c r="B958" i="1" l="1"/>
  <c r="N958" i="1" s="1"/>
  <c r="Q958" i="1" s="1"/>
  <c r="D958" i="1"/>
  <c r="P958" i="1" l="1"/>
  <c r="S958" i="1" s="1"/>
  <c r="O958" i="1"/>
  <c r="R958" i="1" s="1"/>
  <c r="K958" i="1" s="1"/>
  <c r="I958" i="1"/>
  <c r="J958" i="1" l="1"/>
  <c r="H958" i="1"/>
  <c r="M958" i="1"/>
  <c r="G958" i="1" s="1"/>
  <c r="L958" i="1"/>
  <c r="F958" i="1" s="1"/>
  <c r="E959" i="1" l="1"/>
  <c r="C959" i="1"/>
  <c r="D959" i="1"/>
  <c r="B959" i="1"/>
  <c r="N959" i="1" s="1"/>
  <c r="Q959" i="1" s="1"/>
  <c r="P959" i="1" l="1"/>
  <c r="S959" i="1" s="1"/>
  <c r="M959" i="1" s="1"/>
  <c r="I959" i="1"/>
  <c r="O959" i="1"/>
  <c r="R959" i="1" s="1"/>
  <c r="H959" i="1" l="1"/>
  <c r="J959" i="1"/>
  <c r="K959" i="1"/>
  <c r="G959" i="1" s="1"/>
  <c r="L959" i="1"/>
  <c r="F959" i="1" s="1"/>
  <c r="B960" i="1" l="1"/>
  <c r="D960" i="1"/>
  <c r="C960" i="1"/>
  <c r="E960" i="1"/>
  <c r="N960" i="1" l="1"/>
  <c r="Q960" i="1" s="1"/>
  <c r="O960" i="1"/>
  <c r="R960" i="1" s="1"/>
  <c r="K960" i="1" s="1"/>
  <c r="I960" i="1"/>
  <c r="P960" i="1"/>
  <c r="S960" i="1" s="1"/>
  <c r="M960" i="1" s="1"/>
  <c r="J960" i="1"/>
  <c r="H960" i="1"/>
  <c r="G960" i="1" l="1"/>
  <c r="L960" i="1"/>
  <c r="F960" i="1" s="1"/>
  <c r="D961" i="1" l="1"/>
  <c r="B961" i="1"/>
  <c r="C961" i="1"/>
  <c r="E961" i="1"/>
  <c r="N961" i="1" l="1"/>
  <c r="Q961" i="1" s="1"/>
  <c r="P961" i="1"/>
  <c r="S961" i="1" s="1"/>
  <c r="M961" i="1" s="1"/>
  <c r="O961" i="1"/>
  <c r="R961" i="1" s="1"/>
  <c r="K961" i="1" s="1"/>
  <c r="I961" i="1"/>
  <c r="J961" i="1"/>
  <c r="G961" i="1" l="1"/>
  <c r="C962" i="1" s="1"/>
  <c r="H961" i="1"/>
  <c r="E962" i="1"/>
  <c r="L961" i="1"/>
  <c r="F961" i="1" s="1"/>
  <c r="D962" i="1" l="1"/>
  <c r="B962" i="1"/>
  <c r="N962" i="1" s="1"/>
  <c r="Q962" i="1" s="1"/>
  <c r="I962" i="1" l="1"/>
  <c r="O962" i="1"/>
  <c r="R962" i="1" s="1"/>
  <c r="K962" i="1" s="1"/>
  <c r="P962" i="1"/>
  <c r="S962" i="1" s="1"/>
  <c r="M962" i="1" s="1"/>
  <c r="H962" i="1" l="1"/>
  <c r="J962" i="1"/>
  <c r="G962" i="1"/>
  <c r="L962" i="1"/>
  <c r="C963" i="1" l="1"/>
  <c r="E963" i="1"/>
  <c r="F962" i="1"/>
  <c r="D963" i="1" l="1"/>
  <c r="B963" i="1"/>
  <c r="N963" i="1" s="1"/>
  <c r="Q963" i="1" s="1"/>
  <c r="P963" i="1" l="1"/>
  <c r="S963" i="1" s="1"/>
  <c r="M963" i="1" s="1"/>
  <c r="O963" i="1"/>
  <c r="R963" i="1" s="1"/>
  <c r="K963" i="1" s="1"/>
  <c r="J963" i="1" l="1"/>
  <c r="H963" i="1"/>
  <c r="I963" i="1"/>
  <c r="G963" i="1" s="1"/>
  <c r="L963" i="1"/>
  <c r="E964" i="1" l="1"/>
  <c r="C964" i="1"/>
  <c r="F963" i="1"/>
  <c r="B964" i="1" l="1"/>
  <c r="N964" i="1" s="1"/>
  <c r="Q964" i="1" s="1"/>
  <c r="D964" i="1"/>
  <c r="I964" i="1" l="1"/>
  <c r="O964" i="1"/>
  <c r="R964" i="1" s="1"/>
  <c r="P964" i="1"/>
  <c r="S964" i="1" s="1"/>
  <c r="M964" i="1" s="1"/>
  <c r="H964" i="1" l="1"/>
  <c r="J964" i="1"/>
  <c r="K964" i="1"/>
  <c r="L964" i="1"/>
  <c r="G964" i="1"/>
  <c r="E965" i="1" l="1"/>
  <c r="C965" i="1"/>
  <c r="F964" i="1"/>
  <c r="D965" i="1" l="1"/>
  <c r="B965" i="1"/>
  <c r="N965" i="1" s="1"/>
  <c r="Q965" i="1" s="1"/>
  <c r="P965" i="1" l="1"/>
  <c r="S965" i="1" s="1"/>
  <c r="M965" i="1" s="1"/>
  <c r="O965" i="1"/>
  <c r="R965" i="1" s="1"/>
  <c r="K965" i="1" s="1"/>
  <c r="I965" i="1"/>
  <c r="J965" i="1" l="1"/>
  <c r="H965" i="1"/>
  <c r="G965" i="1"/>
  <c r="L965" i="1"/>
  <c r="F965" i="1" s="1"/>
  <c r="B966" i="1" l="1"/>
  <c r="D966" i="1"/>
  <c r="C966" i="1"/>
  <c r="E966" i="1"/>
  <c r="N966" i="1" l="1"/>
  <c r="Q966" i="1" s="1"/>
  <c r="O966" i="1"/>
  <c r="R966" i="1" s="1"/>
  <c r="K966" i="1" s="1"/>
  <c r="P966" i="1"/>
  <c r="S966" i="1" s="1"/>
  <c r="I966" i="1"/>
  <c r="M966" i="1" l="1"/>
  <c r="G966" i="1" s="1"/>
  <c r="L966" i="1"/>
  <c r="J966" i="1"/>
  <c r="H966" i="1"/>
  <c r="C967" i="1" l="1"/>
  <c r="E967" i="1"/>
  <c r="F966" i="1"/>
  <c r="B967" i="1" s="1"/>
  <c r="N967" i="1" s="1"/>
  <c r="Q967" i="1" s="1"/>
  <c r="D967" i="1" l="1"/>
  <c r="O967" i="1"/>
  <c r="R967" i="1" s="1"/>
  <c r="K967" i="1" s="1"/>
  <c r="I967" i="1"/>
  <c r="P967" i="1"/>
  <c r="S967" i="1" s="1"/>
  <c r="M967" i="1" s="1"/>
  <c r="J967" i="1"/>
  <c r="G967" i="1" l="1"/>
  <c r="H967" i="1"/>
  <c r="L967" i="1"/>
  <c r="C968" i="1"/>
  <c r="E968" i="1"/>
  <c r="F967" i="1" l="1"/>
  <c r="D968" i="1" l="1"/>
  <c r="B968" i="1"/>
  <c r="N968" i="1" s="1"/>
  <c r="Q968" i="1" s="1"/>
  <c r="O968" i="1" l="1"/>
  <c r="R968" i="1" s="1"/>
  <c r="K968" i="1" s="1"/>
  <c r="P968" i="1"/>
  <c r="S968" i="1" s="1"/>
  <c r="M968" i="1" s="1"/>
  <c r="I968" i="1"/>
  <c r="J968" i="1"/>
  <c r="G968" i="1" l="1"/>
  <c r="E969" i="1"/>
  <c r="C969" i="1"/>
  <c r="H968" i="1"/>
  <c r="L968" i="1"/>
  <c r="F968" i="1" l="1"/>
  <c r="B969" i="1"/>
  <c r="N969" i="1" s="1"/>
  <c r="Q969" i="1" s="1"/>
  <c r="D969" i="1"/>
  <c r="O969" i="1" l="1"/>
  <c r="R969" i="1" s="1"/>
  <c r="K969" i="1" s="1"/>
  <c r="I969" i="1"/>
  <c r="P969" i="1"/>
  <c r="S969" i="1" s="1"/>
  <c r="M969" i="1" s="1"/>
  <c r="J969" i="1"/>
  <c r="H969" i="1" l="1"/>
  <c r="G969" i="1"/>
  <c r="L969" i="1"/>
  <c r="F969" i="1" s="1"/>
  <c r="D970" i="1" l="1"/>
  <c r="B970" i="1"/>
  <c r="C970" i="1"/>
  <c r="E970" i="1"/>
  <c r="N970" i="1" l="1"/>
  <c r="Q970" i="1" s="1"/>
  <c r="O970" i="1"/>
  <c r="R970" i="1" s="1"/>
  <c r="K970" i="1" s="1"/>
  <c r="I970" i="1"/>
  <c r="P970" i="1"/>
  <c r="S970" i="1" s="1"/>
  <c r="M970" i="1" s="1"/>
  <c r="J970" i="1"/>
  <c r="G970" i="1" l="1"/>
  <c r="E971" i="1" s="1"/>
  <c r="H970" i="1"/>
  <c r="C971" i="1"/>
  <c r="L970" i="1"/>
  <c r="F970" i="1" l="1"/>
  <c r="B971" i="1"/>
  <c r="N971" i="1" s="1"/>
  <c r="Q971" i="1" s="1"/>
  <c r="D971" i="1"/>
  <c r="I971" i="1" l="1"/>
  <c r="P971" i="1"/>
  <c r="S971" i="1" s="1"/>
  <c r="M971" i="1" s="1"/>
  <c r="O971" i="1"/>
  <c r="R971" i="1" s="1"/>
  <c r="K971" i="1" s="1"/>
  <c r="J971" i="1" l="1"/>
  <c r="H971" i="1"/>
  <c r="G971" i="1"/>
  <c r="L971" i="1"/>
  <c r="E972" i="1" l="1"/>
  <c r="C972" i="1"/>
  <c r="F971" i="1"/>
  <c r="D972" i="1" l="1"/>
  <c r="B972" i="1"/>
  <c r="N972" i="1" s="1"/>
  <c r="Q972" i="1" s="1"/>
  <c r="I972" i="1" l="1"/>
  <c r="O972" i="1"/>
  <c r="R972" i="1" s="1"/>
  <c r="K972" i="1" s="1"/>
  <c r="P972" i="1"/>
  <c r="S972" i="1" s="1"/>
  <c r="M972" i="1" s="1"/>
  <c r="H972" i="1"/>
  <c r="J972" i="1" l="1"/>
  <c r="G972" i="1"/>
  <c r="L972" i="1"/>
  <c r="F972" i="1" s="1"/>
  <c r="D973" i="1" l="1"/>
  <c r="B973" i="1"/>
  <c r="C973" i="1"/>
  <c r="E973" i="1"/>
  <c r="N973" i="1" l="1"/>
  <c r="Q973" i="1" s="1"/>
  <c r="O973" i="1"/>
  <c r="R973" i="1" s="1"/>
  <c r="K973" i="1" s="1"/>
  <c r="I973" i="1"/>
  <c r="P973" i="1"/>
  <c r="S973" i="1" s="1"/>
  <c r="M973" i="1" s="1"/>
  <c r="H973" i="1"/>
  <c r="J973" i="1"/>
  <c r="G973" i="1" l="1"/>
  <c r="C974" i="1" s="1"/>
  <c r="E974" i="1"/>
  <c r="L973" i="1"/>
  <c r="F973" i="1" s="1"/>
  <c r="B974" i="1" l="1"/>
  <c r="N974" i="1" s="1"/>
  <c r="Q974" i="1" s="1"/>
  <c r="D974" i="1"/>
  <c r="O974" i="1" l="1"/>
  <c r="R974" i="1" s="1"/>
  <c r="K974" i="1" s="1"/>
  <c r="P974" i="1"/>
  <c r="S974" i="1" s="1"/>
  <c r="M974" i="1" s="1"/>
  <c r="I974" i="1"/>
  <c r="J974" i="1"/>
  <c r="G974" i="1" l="1"/>
  <c r="H974" i="1"/>
  <c r="L974" i="1"/>
  <c r="C975" i="1"/>
  <c r="E975" i="1"/>
  <c r="F974" i="1" l="1"/>
  <c r="D975" i="1" l="1"/>
  <c r="B975" i="1"/>
  <c r="N975" i="1" s="1"/>
  <c r="Q975" i="1" s="1"/>
  <c r="P975" i="1" l="1"/>
  <c r="S975" i="1" s="1"/>
  <c r="M975" i="1" s="1"/>
  <c r="I975" i="1"/>
  <c r="O975" i="1"/>
  <c r="R975" i="1" s="1"/>
  <c r="K975" i="1" s="1"/>
  <c r="G975" i="1" l="1"/>
  <c r="J975" i="1"/>
  <c r="H975" i="1"/>
  <c r="L975" i="1"/>
  <c r="F975" i="1" l="1"/>
  <c r="E976" i="1"/>
  <c r="C976" i="1"/>
  <c r="B976" i="1" l="1"/>
  <c r="N976" i="1" s="1"/>
  <c r="Q976" i="1" s="1"/>
  <c r="D976" i="1"/>
  <c r="O976" i="1" l="1"/>
  <c r="R976" i="1" s="1"/>
  <c r="K976" i="1" s="1"/>
  <c r="P976" i="1"/>
  <c r="S976" i="1" s="1"/>
  <c r="M976" i="1" s="1"/>
  <c r="J976" i="1"/>
  <c r="H976" i="1" l="1"/>
  <c r="I976" i="1"/>
  <c r="G976" i="1" s="1"/>
  <c r="L976" i="1"/>
  <c r="E977" i="1" l="1"/>
  <c r="C977" i="1"/>
  <c r="F976" i="1"/>
  <c r="D977" i="1" l="1"/>
  <c r="B977" i="1"/>
  <c r="N977" i="1" s="1"/>
  <c r="Q977" i="1" s="1"/>
  <c r="P977" i="1" l="1"/>
  <c r="S977" i="1" s="1"/>
  <c r="M977" i="1" s="1"/>
  <c r="O977" i="1"/>
  <c r="R977" i="1" s="1"/>
  <c r="K977" i="1" s="1"/>
  <c r="J977" i="1" l="1"/>
  <c r="H977" i="1"/>
  <c r="I977" i="1"/>
  <c r="G977" i="1" s="1"/>
  <c r="L977" i="1"/>
  <c r="F977" i="1" l="1"/>
  <c r="C978" i="1"/>
  <c r="E978" i="1"/>
  <c r="D978" i="1" l="1"/>
  <c r="B978" i="1"/>
  <c r="N978" i="1" s="1"/>
  <c r="Q978" i="1" s="1"/>
  <c r="O978" i="1" l="1"/>
  <c r="R978" i="1" s="1"/>
  <c r="P978" i="1"/>
  <c r="S978" i="1" s="1"/>
  <c r="M978" i="1" s="1"/>
  <c r="I978" i="1"/>
  <c r="H978" i="1" l="1"/>
  <c r="J978" i="1"/>
  <c r="K978" i="1"/>
  <c r="G978" i="1" s="1"/>
  <c r="L978" i="1"/>
  <c r="E979" i="1" l="1"/>
  <c r="C979" i="1"/>
  <c r="F978" i="1"/>
  <c r="D979" i="1" l="1"/>
  <c r="B979" i="1"/>
  <c r="N979" i="1" s="1"/>
  <c r="Q979" i="1" s="1"/>
  <c r="O979" i="1" l="1"/>
  <c r="R979" i="1" s="1"/>
  <c r="K979" i="1" s="1"/>
  <c r="P979" i="1"/>
  <c r="S979" i="1" s="1"/>
  <c r="M979" i="1" s="1"/>
  <c r="I979" i="1"/>
  <c r="J979" i="1"/>
  <c r="G979" i="1" l="1"/>
  <c r="H979" i="1"/>
  <c r="C980" i="1"/>
  <c r="E980" i="1"/>
  <c r="L979" i="1"/>
  <c r="F979" i="1" l="1"/>
  <c r="D980" i="1" l="1"/>
  <c r="B980" i="1"/>
  <c r="N980" i="1" s="1"/>
  <c r="Q980" i="1" s="1"/>
  <c r="P980" i="1" l="1"/>
  <c r="S980" i="1" s="1"/>
  <c r="M980" i="1" s="1"/>
  <c r="I980" i="1"/>
  <c r="O980" i="1"/>
  <c r="R980" i="1" s="1"/>
  <c r="K980" i="1" s="1"/>
  <c r="G980" i="1" s="1"/>
  <c r="H980" i="1" l="1"/>
  <c r="J980" i="1"/>
  <c r="C981" i="1"/>
  <c r="E981" i="1"/>
  <c r="L980" i="1"/>
  <c r="F980" i="1" s="1"/>
  <c r="B981" i="1" l="1"/>
  <c r="N981" i="1" s="1"/>
  <c r="Q981" i="1" s="1"/>
  <c r="D981" i="1"/>
  <c r="I981" i="1" l="1"/>
  <c r="O981" i="1"/>
  <c r="R981" i="1" s="1"/>
  <c r="K981" i="1" s="1"/>
  <c r="P981" i="1"/>
  <c r="S981" i="1" s="1"/>
  <c r="M981" i="1" s="1"/>
  <c r="J981" i="1"/>
  <c r="G981" i="1" l="1"/>
  <c r="H981" i="1"/>
  <c r="L981" i="1"/>
  <c r="F981" i="1" s="1"/>
  <c r="E982" i="1"/>
  <c r="C982" i="1"/>
  <c r="D982" i="1" l="1"/>
  <c r="B982" i="1"/>
  <c r="N982" i="1" s="1"/>
  <c r="Q982" i="1" s="1"/>
  <c r="I982" i="1" l="1"/>
  <c r="P982" i="1"/>
  <c r="S982" i="1" s="1"/>
  <c r="M982" i="1" s="1"/>
  <c r="O982" i="1"/>
  <c r="R982" i="1" s="1"/>
  <c r="K982" i="1" s="1"/>
  <c r="H982" i="1"/>
  <c r="J982" i="1" l="1"/>
  <c r="G982" i="1"/>
  <c r="L982" i="1"/>
  <c r="F982" i="1" s="1"/>
  <c r="B983" i="1" l="1"/>
  <c r="D983" i="1"/>
  <c r="E983" i="1"/>
  <c r="C983" i="1"/>
  <c r="N983" i="1" l="1"/>
  <c r="Q983" i="1" s="1"/>
  <c r="O983" i="1"/>
  <c r="R983" i="1" s="1"/>
  <c r="K983" i="1" s="1"/>
  <c r="H983" i="1"/>
  <c r="P983" i="1"/>
  <c r="S983" i="1" s="1"/>
  <c r="M983" i="1" s="1"/>
  <c r="L983" i="1" l="1"/>
  <c r="I983" i="1"/>
  <c r="G983" i="1" s="1"/>
  <c r="J983" i="1"/>
  <c r="F983" i="1" s="1"/>
  <c r="D984" i="1" l="1"/>
  <c r="B984" i="1"/>
  <c r="E984" i="1"/>
  <c r="C984" i="1"/>
  <c r="N984" i="1" l="1"/>
  <c r="Q984" i="1" s="1"/>
  <c r="P984" i="1"/>
  <c r="S984" i="1" s="1"/>
  <c r="M984" i="1" s="1"/>
  <c r="H984" i="1"/>
  <c r="O984" i="1"/>
  <c r="R984" i="1" s="1"/>
  <c r="K984" i="1" s="1"/>
  <c r="L984" i="1" l="1"/>
  <c r="I984" i="1"/>
  <c r="G984" i="1" s="1"/>
  <c r="J984" i="1"/>
  <c r="F984" i="1" s="1"/>
  <c r="E985" i="1" l="1"/>
  <c r="C985" i="1"/>
  <c r="B985" i="1"/>
  <c r="N985" i="1" s="1"/>
  <c r="Q985" i="1" s="1"/>
  <c r="D985" i="1"/>
  <c r="O985" i="1" l="1"/>
  <c r="R985" i="1" s="1"/>
  <c r="K985" i="1" s="1"/>
  <c r="P985" i="1"/>
  <c r="S985" i="1" s="1"/>
  <c r="L985" i="1" s="1"/>
  <c r="I985" i="1"/>
  <c r="J985" i="1"/>
  <c r="M985" i="1" l="1"/>
  <c r="H985" i="1"/>
  <c r="F985" i="1" s="1"/>
  <c r="G985" i="1"/>
  <c r="B986" i="1" l="1"/>
  <c r="D986" i="1"/>
  <c r="C986" i="1"/>
  <c r="E986" i="1"/>
  <c r="N986" i="1" l="1"/>
  <c r="Q986" i="1" s="1"/>
  <c r="O986" i="1"/>
  <c r="R986" i="1" s="1"/>
  <c r="K986" i="1" s="1"/>
  <c r="H986" i="1"/>
  <c r="P986" i="1"/>
  <c r="S986" i="1" s="1"/>
  <c r="M986" i="1" s="1"/>
  <c r="J986" i="1" l="1"/>
  <c r="L986" i="1"/>
  <c r="I986" i="1"/>
  <c r="G986" i="1" s="1"/>
  <c r="E987" i="1" l="1"/>
  <c r="C987" i="1"/>
  <c r="F986" i="1"/>
  <c r="B987" i="1" l="1"/>
  <c r="N987" i="1" s="1"/>
  <c r="Q987" i="1" s="1"/>
  <c r="D987" i="1"/>
  <c r="P987" i="1" l="1"/>
  <c r="S987" i="1" s="1"/>
  <c r="M987" i="1" s="1"/>
  <c r="I987" i="1"/>
  <c r="O987" i="1"/>
  <c r="R987" i="1" s="1"/>
  <c r="K987" i="1" s="1"/>
  <c r="H987" i="1"/>
  <c r="G987" i="1" l="1"/>
  <c r="J987" i="1"/>
  <c r="E988" i="1"/>
  <c r="C988" i="1"/>
  <c r="L987" i="1"/>
  <c r="F987" i="1" s="1"/>
  <c r="D988" i="1" l="1"/>
  <c r="B988" i="1"/>
  <c r="N988" i="1" s="1"/>
  <c r="Q988" i="1" s="1"/>
  <c r="I988" i="1" l="1"/>
  <c r="P988" i="1"/>
  <c r="S988" i="1" s="1"/>
  <c r="M988" i="1" s="1"/>
  <c r="O988" i="1"/>
  <c r="R988" i="1" s="1"/>
  <c r="K988" i="1" s="1"/>
  <c r="H988" i="1"/>
  <c r="J988" i="1" l="1"/>
  <c r="G988" i="1"/>
  <c r="L988" i="1"/>
  <c r="F988" i="1" s="1"/>
  <c r="D989" i="1" l="1"/>
  <c r="B989" i="1"/>
  <c r="E989" i="1"/>
  <c r="C989" i="1"/>
  <c r="N989" i="1" l="1"/>
  <c r="O989" i="1"/>
  <c r="R989" i="1" s="1"/>
  <c r="K989" i="1" s="1"/>
  <c r="P989" i="1"/>
  <c r="S989" i="1" s="1"/>
  <c r="M989" i="1" s="1"/>
  <c r="Q989" i="1" l="1"/>
  <c r="I989" i="1" s="1"/>
  <c r="G989" i="1" s="1"/>
  <c r="J989" i="1"/>
  <c r="H989" i="1"/>
  <c r="L989" i="1"/>
  <c r="E990" i="1" l="1"/>
  <c r="C990" i="1"/>
  <c r="F989" i="1"/>
  <c r="B990" i="1" s="1"/>
  <c r="N990" i="1" s="1"/>
  <c r="Q990" i="1" s="1"/>
  <c r="D990" i="1" l="1"/>
  <c r="P990" i="1"/>
  <c r="S990" i="1" s="1"/>
  <c r="M990" i="1" s="1"/>
  <c r="O990" i="1"/>
  <c r="R990" i="1" s="1"/>
  <c r="K990" i="1" s="1"/>
  <c r="I990" i="1"/>
  <c r="G990" i="1" s="1"/>
  <c r="J990" i="1" l="1"/>
  <c r="H990" i="1"/>
  <c r="E991" i="1"/>
  <c r="C991" i="1"/>
  <c r="L990" i="1"/>
  <c r="F990" i="1" s="1"/>
  <c r="D991" i="1" l="1"/>
  <c r="B991" i="1"/>
  <c r="N991" i="1" s="1"/>
  <c r="Q991" i="1" s="1"/>
  <c r="I991" i="1" l="1"/>
  <c r="O991" i="1"/>
  <c r="R991" i="1" s="1"/>
  <c r="K991" i="1" s="1"/>
  <c r="P991" i="1"/>
  <c r="S991" i="1" s="1"/>
  <c r="M991" i="1" s="1"/>
  <c r="H991" i="1"/>
  <c r="G991" i="1" l="1"/>
  <c r="J991" i="1"/>
  <c r="E992" i="1"/>
  <c r="C992" i="1"/>
  <c r="L991" i="1"/>
  <c r="F991" i="1" l="1"/>
  <c r="B992" i="1" l="1"/>
  <c r="N992" i="1" s="1"/>
  <c r="Q992" i="1" s="1"/>
  <c r="D992" i="1"/>
  <c r="P992" i="1" l="1"/>
  <c r="S992" i="1" s="1"/>
  <c r="M992" i="1" s="1"/>
  <c r="O992" i="1"/>
  <c r="R992" i="1" s="1"/>
  <c r="K992" i="1" s="1"/>
  <c r="I992" i="1"/>
  <c r="G992" i="1" s="1"/>
  <c r="J992" i="1" l="1"/>
  <c r="H992" i="1"/>
  <c r="E993" i="1"/>
  <c r="C993" i="1"/>
  <c r="L992" i="1"/>
  <c r="F992" i="1" s="1"/>
  <c r="D993" i="1" l="1"/>
  <c r="B993" i="1"/>
  <c r="N993" i="1" s="1"/>
  <c r="Q993" i="1" s="1"/>
  <c r="O993" i="1" l="1"/>
  <c r="R993" i="1" s="1"/>
  <c r="K993" i="1" s="1"/>
  <c r="P993" i="1"/>
  <c r="S993" i="1" s="1"/>
  <c r="M993" i="1" s="1"/>
  <c r="J993" i="1"/>
  <c r="H993" i="1" l="1"/>
  <c r="I993" i="1"/>
  <c r="G993" i="1" s="1"/>
  <c r="L993" i="1"/>
  <c r="F993" i="1" l="1"/>
  <c r="E994" i="1"/>
  <c r="C994" i="1"/>
  <c r="B994" i="1"/>
  <c r="N994" i="1" s="1"/>
  <c r="Q994" i="1" s="1"/>
  <c r="D994" i="1"/>
  <c r="O994" i="1" l="1"/>
  <c r="R994" i="1" s="1"/>
  <c r="K994" i="1" s="1"/>
  <c r="I994" i="1"/>
  <c r="P994" i="1"/>
  <c r="S994" i="1" s="1"/>
  <c r="M994" i="1" s="1"/>
  <c r="H994" i="1"/>
  <c r="J994" i="1" l="1"/>
  <c r="G994" i="1"/>
  <c r="L994" i="1"/>
  <c r="C995" i="1" l="1"/>
  <c r="E995" i="1"/>
  <c r="F994" i="1"/>
  <c r="B995" i="1" l="1"/>
  <c r="N995" i="1" s="1"/>
  <c r="Q995" i="1" s="1"/>
  <c r="D995" i="1"/>
  <c r="I995" i="1" l="1"/>
  <c r="P995" i="1"/>
  <c r="S995" i="1" s="1"/>
  <c r="M995" i="1" s="1"/>
  <c r="O995" i="1"/>
  <c r="R995" i="1" s="1"/>
  <c r="K995" i="1" s="1"/>
  <c r="J995" i="1" l="1"/>
  <c r="G995" i="1"/>
  <c r="E996" i="1" s="1"/>
  <c r="H995" i="1"/>
  <c r="C996" i="1"/>
  <c r="L995" i="1"/>
  <c r="F995" i="1" l="1"/>
  <c r="D996" i="1"/>
  <c r="B996" i="1"/>
  <c r="N996" i="1" s="1"/>
  <c r="Q996" i="1" s="1"/>
  <c r="O996" i="1" l="1"/>
  <c r="R996" i="1" s="1"/>
  <c r="K996" i="1" s="1"/>
  <c r="I996" i="1"/>
  <c r="P996" i="1"/>
  <c r="S996" i="1" s="1"/>
  <c r="M996" i="1" s="1"/>
  <c r="J996" i="1"/>
  <c r="H996" i="1" l="1"/>
  <c r="G996" i="1"/>
  <c r="L996" i="1"/>
  <c r="F996" i="1" s="1"/>
  <c r="B997" i="1" l="1"/>
  <c r="D997" i="1"/>
  <c r="E997" i="1"/>
  <c r="C997" i="1"/>
  <c r="N997" i="1" l="1"/>
  <c r="Q997" i="1" s="1"/>
  <c r="P997" i="1"/>
  <c r="S997" i="1" s="1"/>
  <c r="O997" i="1"/>
  <c r="R997" i="1" s="1"/>
  <c r="K997" i="1" s="1"/>
  <c r="I997" i="1" l="1"/>
  <c r="H997" i="1"/>
  <c r="M997" i="1"/>
  <c r="G997" i="1" s="1"/>
  <c r="L997" i="1"/>
  <c r="J997" i="1"/>
  <c r="F997" i="1" s="1"/>
  <c r="C998" i="1" l="1"/>
  <c r="E998" i="1"/>
  <c r="B998" i="1"/>
  <c r="N998" i="1" s="1"/>
  <c r="Q998" i="1" s="1"/>
  <c r="D998" i="1"/>
  <c r="I998" i="1" l="1"/>
  <c r="P998" i="1"/>
  <c r="S998" i="1" s="1"/>
  <c r="M998" i="1" s="1"/>
  <c r="O998" i="1"/>
  <c r="R998" i="1" s="1"/>
  <c r="K998" i="1" s="1"/>
  <c r="H998" i="1"/>
  <c r="J998" i="1" l="1"/>
  <c r="L998" i="1"/>
  <c r="F998" i="1" s="1"/>
  <c r="G998" i="1"/>
  <c r="D999" i="1" l="1"/>
  <c r="B999" i="1"/>
  <c r="C999" i="1"/>
  <c r="E999" i="1"/>
  <c r="N999" i="1" l="1"/>
  <c r="Q999" i="1" s="1"/>
  <c r="O999" i="1"/>
  <c r="R999" i="1" s="1"/>
  <c r="K999" i="1" s="1"/>
  <c r="P999" i="1"/>
  <c r="S999" i="1" s="1"/>
  <c r="M999" i="1" s="1"/>
  <c r="J999" i="1"/>
  <c r="I999" i="1" l="1"/>
  <c r="H999" i="1"/>
  <c r="G999" i="1"/>
  <c r="L999" i="1"/>
  <c r="F999" i="1" s="1"/>
  <c r="B1000" i="1" l="1"/>
  <c r="D1000" i="1"/>
  <c r="C1000" i="1"/>
  <c r="E1000" i="1"/>
  <c r="N1000" i="1" l="1"/>
  <c r="Q1000" i="1" s="1"/>
  <c r="O1000" i="1"/>
  <c r="R1000" i="1" s="1"/>
  <c r="K1000" i="1" s="1"/>
  <c r="P1000" i="1"/>
  <c r="S1000" i="1" s="1"/>
  <c r="M1000" i="1" s="1"/>
  <c r="I1000" i="1"/>
  <c r="J1000" i="1"/>
  <c r="G1000" i="1" l="1"/>
  <c r="C1001" i="1" s="1"/>
  <c r="L1000" i="1"/>
  <c r="E1001" i="1"/>
  <c r="H1000" i="1"/>
  <c r="F1000" i="1" s="1"/>
  <c r="B1001" i="1" l="1"/>
  <c r="N1001" i="1" s="1"/>
  <c r="Q1001" i="1" s="1"/>
  <c r="D1001" i="1"/>
  <c r="O1001" i="1" l="1"/>
  <c r="R1001" i="1" s="1"/>
  <c r="K1001" i="1" s="1"/>
  <c r="P1001" i="1"/>
  <c r="S1001" i="1" s="1"/>
  <c r="M1001" i="1" s="1"/>
  <c r="I1001" i="1"/>
  <c r="J1001" i="1"/>
  <c r="H1001" i="1" l="1"/>
  <c r="G1001" i="1"/>
  <c r="L1001" i="1"/>
  <c r="F1001" i="1" s="1"/>
  <c r="E1002" i="1"/>
  <c r="C1002" i="1"/>
  <c r="D1002" i="1" l="1"/>
  <c r="B1002" i="1"/>
  <c r="N1002" i="1" s="1"/>
  <c r="Q1002" i="1" s="1"/>
  <c r="I1002" i="1" l="1"/>
  <c r="O1002" i="1"/>
  <c r="R1002" i="1" s="1"/>
  <c r="K1002" i="1" s="1"/>
  <c r="P1002" i="1"/>
  <c r="S1002" i="1" s="1"/>
  <c r="M1002" i="1" s="1"/>
  <c r="H1002" i="1"/>
  <c r="J1002" i="1"/>
  <c r="G1002" i="1" l="1"/>
  <c r="L1002" i="1"/>
  <c r="F1002" i="1" s="1"/>
  <c r="D1003" i="1" l="1"/>
  <c r="B1003" i="1"/>
  <c r="C1003" i="1"/>
  <c r="E1003" i="1"/>
  <c r="N1003" i="1" l="1"/>
  <c r="Q1003" i="1" s="1"/>
  <c r="P1003" i="1"/>
  <c r="S1003" i="1" s="1"/>
  <c r="M1003" i="1" s="1"/>
  <c r="O1003" i="1"/>
  <c r="R1003" i="1" s="1"/>
  <c r="K1003" i="1" s="1"/>
  <c r="I1003" i="1"/>
  <c r="J1003" i="1" l="1"/>
  <c r="H1003" i="1"/>
  <c r="G1003" i="1"/>
  <c r="L1003" i="1"/>
  <c r="F1003" i="1" s="1"/>
  <c r="B1004" i="1" l="1"/>
  <c r="D1004" i="1"/>
  <c r="C1004" i="1"/>
  <c r="E1004" i="1"/>
  <c r="N1004" i="1" l="1"/>
  <c r="P1004" i="1"/>
  <c r="S1004" i="1" s="1"/>
  <c r="M1004" i="1" s="1"/>
  <c r="O1004" i="1"/>
  <c r="R1004" i="1" s="1"/>
  <c r="K1004" i="1" s="1"/>
  <c r="Q1004" i="1" l="1"/>
  <c r="I1004" i="1" s="1"/>
  <c r="G1004" i="1" s="1"/>
  <c r="H1004" i="1"/>
  <c r="L1004" i="1"/>
  <c r="J1004" i="1"/>
  <c r="F1004" i="1" s="1"/>
  <c r="C1005" i="1" l="1"/>
  <c r="E1005" i="1"/>
  <c r="D1005" i="1"/>
  <c r="B1005" i="1"/>
  <c r="N1005" i="1" s="1"/>
  <c r="Q1005" i="1" s="1"/>
  <c r="I1005" i="1" l="1"/>
  <c r="P1005" i="1"/>
  <c r="S1005" i="1" s="1"/>
  <c r="M1005" i="1" s="1"/>
  <c r="O1005" i="1"/>
  <c r="R1005" i="1" s="1"/>
  <c r="K1005" i="1" s="1"/>
  <c r="J1005" i="1" l="1"/>
  <c r="G1005" i="1"/>
  <c r="H1005" i="1"/>
  <c r="L1005" i="1"/>
  <c r="E1006" i="1" l="1"/>
  <c r="C1006" i="1"/>
  <c r="F1005" i="1"/>
  <c r="B1006" i="1" l="1"/>
  <c r="N1006" i="1" s="1"/>
  <c r="Q1006" i="1" s="1"/>
  <c r="D1006" i="1"/>
  <c r="O1006" i="1" l="1"/>
  <c r="R1006" i="1" s="1"/>
  <c r="K1006" i="1" s="1"/>
  <c r="P1006" i="1"/>
  <c r="S1006" i="1" s="1"/>
  <c r="M1006" i="1" s="1"/>
  <c r="I1006" i="1"/>
  <c r="J1006" i="1"/>
  <c r="H1006" i="1"/>
  <c r="G1006" i="1" l="1"/>
  <c r="E1007" i="1"/>
  <c r="C1007" i="1"/>
  <c r="L1006" i="1"/>
  <c r="F1006" i="1" s="1"/>
  <c r="D1007" i="1" l="1"/>
  <c r="B1007" i="1"/>
  <c r="N1007" i="1" s="1"/>
  <c r="Q1007" i="1" s="1"/>
  <c r="I1007" i="1" l="1"/>
  <c r="O1007" i="1"/>
  <c r="R1007" i="1" s="1"/>
  <c r="K1007" i="1" s="1"/>
  <c r="P1007" i="1"/>
  <c r="S1007" i="1" s="1"/>
  <c r="M1007" i="1" s="1"/>
  <c r="H1007" i="1"/>
  <c r="J1007" i="1"/>
  <c r="G1007" i="1" l="1"/>
  <c r="L1007" i="1"/>
  <c r="F1007" i="1" s="1"/>
  <c r="B1008" i="1" l="1"/>
  <c r="D1008" i="1"/>
  <c r="E1008" i="1"/>
  <c r="C1008" i="1"/>
  <c r="N1008" i="1" l="1"/>
  <c r="Q1008" i="1" s="1"/>
  <c r="P1008" i="1"/>
  <c r="S1008" i="1" s="1"/>
  <c r="M1008" i="1" s="1"/>
  <c r="O1008" i="1"/>
  <c r="R1008" i="1" s="1"/>
  <c r="K1008" i="1" s="1"/>
  <c r="I1008" i="1"/>
  <c r="H1008" i="1"/>
  <c r="J1008" i="1"/>
  <c r="G1008" i="1" l="1"/>
  <c r="L1008" i="1"/>
  <c r="F1008" i="1" s="1"/>
  <c r="D1009" i="1" l="1"/>
  <c r="B1009" i="1"/>
  <c r="C1009" i="1"/>
  <c r="E1009" i="1"/>
  <c r="N1009" i="1" l="1"/>
  <c r="Q1009" i="1" s="1"/>
  <c r="O1009" i="1"/>
  <c r="R1009" i="1" s="1"/>
  <c r="K1009" i="1" s="1"/>
  <c r="I1009" i="1"/>
  <c r="P1009" i="1"/>
  <c r="S1009" i="1" s="1"/>
  <c r="M1009" i="1" s="1"/>
  <c r="J1009" i="1"/>
  <c r="G1009" i="1" l="1"/>
  <c r="C1010" i="1" s="1"/>
  <c r="E1010" i="1"/>
  <c r="H1009" i="1"/>
  <c r="L1009" i="1"/>
  <c r="F1009" i="1" l="1"/>
  <c r="D1010" i="1"/>
  <c r="B1010" i="1"/>
  <c r="N1010" i="1" s="1"/>
  <c r="Q1010" i="1" s="1"/>
  <c r="I1010" i="1" l="1"/>
  <c r="P1010" i="1"/>
  <c r="S1010" i="1" s="1"/>
  <c r="M1010" i="1" s="1"/>
  <c r="O1010" i="1"/>
  <c r="R1010" i="1" s="1"/>
  <c r="K1010" i="1" s="1"/>
  <c r="H1010" i="1"/>
  <c r="J1010" i="1" l="1"/>
  <c r="G1010" i="1"/>
  <c r="L1010" i="1"/>
  <c r="F1010" i="1" s="1"/>
  <c r="B1011" i="1" l="1"/>
  <c r="D1011" i="1"/>
  <c r="E1011" i="1"/>
  <c r="C1011" i="1"/>
  <c r="N1011" i="1" l="1"/>
  <c r="Q1011" i="1" s="1"/>
  <c r="P1011" i="1"/>
  <c r="S1011" i="1" s="1"/>
  <c r="I1011" i="1"/>
  <c r="O1011" i="1"/>
  <c r="R1011" i="1" s="1"/>
  <c r="K1011" i="1" s="1"/>
  <c r="M1011" i="1" l="1"/>
  <c r="G1011" i="1" s="1"/>
  <c r="L1011" i="1"/>
  <c r="J1011" i="1"/>
  <c r="H1011" i="1"/>
  <c r="F1011" i="1" s="1"/>
  <c r="E1012" i="1" l="1"/>
  <c r="C1012" i="1"/>
  <c r="D1012" i="1"/>
  <c r="B1012" i="1"/>
  <c r="N1012" i="1" s="1"/>
  <c r="Q1012" i="1" s="1"/>
  <c r="P1012" i="1" l="1"/>
  <c r="S1012" i="1" s="1"/>
  <c r="M1012" i="1" s="1"/>
  <c r="I1012" i="1"/>
  <c r="O1012" i="1"/>
  <c r="R1012" i="1" s="1"/>
  <c r="K1012" i="1" s="1"/>
  <c r="G1012" i="1" l="1"/>
  <c r="H1012" i="1"/>
  <c r="J1012" i="1"/>
  <c r="E1013" i="1"/>
  <c r="C1013" i="1"/>
  <c r="L1012" i="1"/>
  <c r="F1012" i="1" l="1"/>
  <c r="B1013" i="1" l="1"/>
  <c r="N1013" i="1" s="1"/>
  <c r="Q1013" i="1" s="1"/>
  <c r="D1013" i="1"/>
  <c r="O1013" i="1" l="1"/>
  <c r="R1013" i="1" s="1"/>
  <c r="K1013" i="1" s="1"/>
  <c r="P1013" i="1"/>
  <c r="S1013" i="1" s="1"/>
  <c r="M1013" i="1" s="1"/>
  <c r="I1013" i="1"/>
  <c r="G1013" i="1" s="1"/>
  <c r="J1013" i="1"/>
  <c r="H1013" i="1" l="1"/>
  <c r="L1013" i="1"/>
  <c r="F1013" i="1" s="1"/>
  <c r="C1014" i="1"/>
  <c r="E1014" i="1"/>
  <c r="D1014" i="1" l="1"/>
  <c r="B1014" i="1"/>
  <c r="N1014" i="1" s="1"/>
  <c r="Q1014" i="1" s="1"/>
  <c r="I1014" i="1" l="1"/>
  <c r="O1014" i="1"/>
  <c r="R1014" i="1" s="1"/>
  <c r="K1014" i="1" s="1"/>
  <c r="P1014" i="1"/>
  <c r="S1014" i="1" s="1"/>
  <c r="M1014" i="1" s="1"/>
  <c r="H1014" i="1"/>
  <c r="J1014" i="1"/>
  <c r="G1014" i="1" l="1"/>
  <c r="L1014" i="1"/>
  <c r="F1014" i="1" s="1"/>
  <c r="B1015" i="1" l="1"/>
  <c r="D1015" i="1"/>
  <c r="C1015" i="1"/>
  <c r="E1015" i="1"/>
  <c r="N1015" i="1" l="1"/>
  <c r="Q1015" i="1" s="1"/>
  <c r="P1015" i="1"/>
  <c r="S1015" i="1" s="1"/>
  <c r="M1015" i="1" s="1"/>
  <c r="I1015" i="1"/>
  <c r="O1015" i="1"/>
  <c r="R1015" i="1" s="1"/>
  <c r="K1015" i="1" s="1"/>
  <c r="G1015" i="1" l="1"/>
  <c r="E1016" i="1" s="1"/>
  <c r="J1015" i="1"/>
  <c r="H1015" i="1"/>
  <c r="L1015" i="1"/>
  <c r="F1015" i="1" s="1"/>
  <c r="C1016" i="1"/>
  <c r="B1016" i="1" l="1"/>
  <c r="N1016" i="1" s="1"/>
  <c r="Q1016" i="1" s="1"/>
  <c r="D1016" i="1"/>
  <c r="I1016" i="1" l="1"/>
  <c r="O1016" i="1"/>
  <c r="R1016" i="1" s="1"/>
  <c r="K1016" i="1" s="1"/>
  <c r="P1016" i="1"/>
  <c r="S1016" i="1" s="1"/>
  <c r="M1016" i="1" s="1"/>
  <c r="J1016" i="1"/>
  <c r="G1016" i="1" l="1"/>
  <c r="E1017" i="1"/>
  <c r="C1017" i="1"/>
  <c r="L1016" i="1"/>
  <c r="H1016" i="1"/>
  <c r="F1016" i="1" s="1"/>
  <c r="D1017" i="1" l="1"/>
  <c r="B1017" i="1"/>
  <c r="N1017" i="1" s="1"/>
  <c r="Q1017" i="1" s="1"/>
  <c r="I1017" i="1" l="1"/>
  <c r="P1017" i="1"/>
  <c r="S1017" i="1" s="1"/>
  <c r="M1017" i="1" s="1"/>
  <c r="O1017" i="1"/>
  <c r="R1017" i="1" s="1"/>
  <c r="K1017" i="1" s="1"/>
  <c r="J1017" i="1" l="1"/>
  <c r="G1017" i="1"/>
  <c r="H1017" i="1"/>
  <c r="L1017" i="1"/>
  <c r="E1018" i="1" l="1"/>
  <c r="C1018" i="1"/>
  <c r="F1017" i="1"/>
  <c r="B1018" i="1" l="1"/>
  <c r="N1018" i="1" s="1"/>
  <c r="Q1018" i="1" s="1"/>
  <c r="D1018" i="1"/>
  <c r="O1018" i="1" l="1"/>
  <c r="R1018" i="1" s="1"/>
  <c r="K1018" i="1" s="1"/>
  <c r="I1018" i="1"/>
  <c r="P1018" i="1"/>
  <c r="S1018" i="1" s="1"/>
  <c r="M1018" i="1" s="1"/>
  <c r="J1018" i="1"/>
  <c r="H1018" i="1" l="1"/>
  <c r="G1018" i="1"/>
  <c r="L1018" i="1"/>
  <c r="F1018" i="1" s="1"/>
  <c r="D1019" i="1" l="1"/>
  <c r="B1019" i="1"/>
  <c r="C1019" i="1"/>
  <c r="E1019" i="1"/>
  <c r="N1019" i="1" l="1"/>
  <c r="Q1019" i="1" s="1"/>
  <c r="O1019" i="1"/>
  <c r="R1019" i="1" s="1"/>
  <c r="K1019" i="1" s="1"/>
  <c r="H1019" i="1"/>
  <c r="P1019" i="1"/>
  <c r="S1019" i="1" s="1"/>
  <c r="M1019" i="1" s="1"/>
  <c r="J1019" i="1"/>
  <c r="I1019" i="1"/>
  <c r="G1019" i="1" l="1"/>
  <c r="C1020" i="1" s="1"/>
  <c r="E1020" i="1"/>
  <c r="L1019" i="1"/>
  <c r="F1019" i="1" s="1"/>
  <c r="D1020" i="1" l="1"/>
  <c r="B1020" i="1"/>
  <c r="N1020" i="1" s="1"/>
  <c r="Q1020" i="1" s="1"/>
  <c r="I1020" i="1" l="1"/>
  <c r="O1020" i="1"/>
  <c r="R1020" i="1" s="1"/>
  <c r="K1020" i="1" s="1"/>
  <c r="P1020" i="1"/>
  <c r="S1020" i="1" s="1"/>
  <c r="M1020" i="1" s="1"/>
  <c r="J1020" i="1"/>
  <c r="H1020" i="1" l="1"/>
  <c r="G1020" i="1"/>
  <c r="L1020" i="1"/>
  <c r="F1020" i="1" l="1"/>
  <c r="B1021" i="1"/>
  <c r="D1021" i="1"/>
  <c r="C1021" i="1"/>
  <c r="E1021" i="1"/>
  <c r="N1021" i="1" l="1"/>
  <c r="Q1021" i="1" s="1"/>
  <c r="O1021" i="1"/>
  <c r="R1021" i="1" s="1"/>
  <c r="K1021" i="1" s="1"/>
  <c r="I1021" i="1"/>
  <c r="P1021" i="1"/>
  <c r="S1021" i="1" s="1"/>
  <c r="M1021" i="1" s="1"/>
  <c r="J1021" i="1" l="1"/>
  <c r="G1021" i="1"/>
  <c r="C1022" i="1" s="1"/>
  <c r="H1021" i="1"/>
  <c r="L1021" i="1"/>
  <c r="F1021" i="1" s="1"/>
  <c r="E1022" i="1"/>
  <c r="B1022" i="1" l="1"/>
  <c r="N1022" i="1" s="1"/>
  <c r="Q1022" i="1" s="1"/>
  <c r="D1022" i="1"/>
  <c r="O1022" i="1" l="1"/>
  <c r="R1022" i="1" s="1"/>
  <c r="K1022" i="1" s="1"/>
  <c r="I1022" i="1"/>
  <c r="P1022" i="1"/>
  <c r="S1022" i="1" s="1"/>
  <c r="H1022" i="1"/>
  <c r="J1022" i="1"/>
  <c r="M1022" i="1" l="1"/>
  <c r="G1022" i="1" s="1"/>
  <c r="L1022" i="1"/>
  <c r="F1022" i="1" s="1"/>
  <c r="E1023" i="1" l="1"/>
  <c r="C1023" i="1"/>
  <c r="D1023" i="1"/>
  <c r="B1023" i="1"/>
  <c r="N1023" i="1" s="1"/>
  <c r="Q1023" i="1" s="1"/>
  <c r="O1023" i="1" l="1"/>
  <c r="R1023" i="1" s="1"/>
  <c r="K1023" i="1" s="1"/>
  <c r="I1023" i="1"/>
  <c r="P1023" i="1"/>
  <c r="S1023" i="1" s="1"/>
  <c r="M1023" i="1" s="1"/>
  <c r="J1023" i="1"/>
  <c r="G1023" i="1" l="1"/>
  <c r="H1023" i="1"/>
  <c r="C1024" i="1"/>
  <c r="E1024" i="1"/>
  <c r="L1023" i="1"/>
  <c r="F1023" i="1" s="1"/>
  <c r="D1024" i="1" l="1"/>
  <c r="B1024" i="1"/>
  <c r="N1024" i="1" s="1"/>
  <c r="Q1024" i="1" s="1"/>
  <c r="O1024" i="1" l="1"/>
  <c r="R1024" i="1" s="1"/>
  <c r="K1024" i="1" s="1"/>
  <c r="I1024" i="1"/>
  <c r="P1024" i="1"/>
  <c r="S1024" i="1" s="1"/>
  <c r="M1024" i="1" s="1"/>
  <c r="J1024" i="1" l="1"/>
  <c r="G1024" i="1"/>
  <c r="H1024" i="1"/>
  <c r="L1024" i="1"/>
  <c r="C1025" i="1" l="1"/>
  <c r="E1025" i="1"/>
  <c r="F1024" i="1"/>
  <c r="B1025" i="1" l="1"/>
  <c r="N1025" i="1" s="1"/>
  <c r="Q1025" i="1" s="1"/>
  <c r="D1025" i="1"/>
  <c r="P1025" i="1" l="1"/>
  <c r="S1025" i="1" s="1"/>
  <c r="M1025" i="1" s="1"/>
  <c r="I1025" i="1"/>
  <c r="O1025" i="1"/>
  <c r="R1025" i="1" s="1"/>
  <c r="K1025" i="1" s="1"/>
  <c r="J1025" i="1" l="1"/>
  <c r="H1025" i="1"/>
  <c r="G1025" i="1"/>
  <c r="L1025" i="1"/>
  <c r="F1025" i="1" s="1"/>
  <c r="D1026" i="1" l="1"/>
  <c r="B1026" i="1"/>
  <c r="E1026" i="1"/>
  <c r="C1026" i="1"/>
  <c r="N1026" i="1" l="1"/>
  <c r="Q1026" i="1" s="1"/>
  <c r="O1026" i="1"/>
  <c r="R1026" i="1" s="1"/>
  <c r="K1026" i="1" s="1"/>
  <c r="I1026" i="1"/>
  <c r="P1026" i="1"/>
  <c r="S1026" i="1" s="1"/>
  <c r="M1026" i="1" s="1"/>
  <c r="J1026" i="1" l="1"/>
  <c r="G1026" i="1"/>
  <c r="E1027" i="1" s="1"/>
  <c r="H1026" i="1"/>
  <c r="L1026" i="1"/>
  <c r="F1026" i="1" s="1"/>
  <c r="C1027" i="1" l="1"/>
  <c r="D1027" i="1"/>
  <c r="B1027" i="1"/>
  <c r="N1027" i="1" s="1"/>
  <c r="Q1027" i="1" s="1"/>
  <c r="I1027" i="1" l="1"/>
  <c r="P1027" i="1"/>
  <c r="S1027" i="1" s="1"/>
  <c r="M1027" i="1" s="1"/>
  <c r="O1027" i="1"/>
  <c r="R1027" i="1" s="1"/>
  <c r="K1027" i="1" s="1"/>
  <c r="H1027" i="1"/>
  <c r="J1027" i="1" l="1"/>
  <c r="G1027" i="1"/>
  <c r="L1027" i="1"/>
  <c r="F1027" i="1" s="1"/>
  <c r="D1028" i="1" l="1"/>
  <c r="B1028" i="1"/>
  <c r="E1028" i="1"/>
  <c r="C1028" i="1"/>
  <c r="N1028" i="1" l="1"/>
  <c r="Q1028" i="1" s="1"/>
  <c r="O1028" i="1"/>
  <c r="R1028" i="1" s="1"/>
  <c r="K1028" i="1" s="1"/>
  <c r="I1028" i="1"/>
  <c r="P1028" i="1"/>
  <c r="S1028" i="1" s="1"/>
  <c r="M1028" i="1" s="1"/>
  <c r="H1028" i="1"/>
  <c r="J1028" i="1"/>
  <c r="G1028" i="1" l="1"/>
  <c r="C1029" i="1" s="1"/>
  <c r="L1028" i="1"/>
  <c r="F1028" i="1" s="1"/>
  <c r="E1029" i="1"/>
  <c r="D1029" i="1" l="1"/>
  <c r="B1029" i="1"/>
  <c r="N1029" i="1" s="1"/>
  <c r="Q1029" i="1" s="1"/>
  <c r="I1029" i="1" l="1"/>
  <c r="P1029" i="1"/>
  <c r="S1029" i="1" s="1"/>
  <c r="M1029" i="1" s="1"/>
  <c r="O1029" i="1"/>
  <c r="R1029" i="1" s="1"/>
  <c r="K1029" i="1" s="1"/>
  <c r="J1029" i="1" l="1"/>
  <c r="G1029" i="1"/>
  <c r="H1029" i="1"/>
  <c r="F1029" i="1" s="1"/>
  <c r="L1029" i="1"/>
  <c r="D1030" i="1" l="1"/>
  <c r="B1030" i="1"/>
  <c r="E1030" i="1"/>
  <c r="C1030" i="1"/>
  <c r="N1030" i="1" l="1"/>
  <c r="P1030" i="1"/>
  <c r="S1030" i="1" s="1"/>
  <c r="L1030" i="1" s="1"/>
  <c r="O1030" i="1"/>
  <c r="R1030" i="1" s="1"/>
  <c r="K1030" i="1" s="1"/>
  <c r="Q1030" i="1" l="1"/>
  <c r="I1030" i="1" s="1"/>
  <c r="J1030" i="1"/>
  <c r="M1030" i="1"/>
  <c r="G1030" i="1" l="1"/>
  <c r="H1030" i="1"/>
  <c r="F1030" i="1" s="1"/>
  <c r="D1031" i="1" s="1"/>
  <c r="C1031" i="1"/>
  <c r="E1031" i="1"/>
  <c r="B1031" i="1" l="1"/>
  <c r="N1031" i="1" s="1"/>
  <c r="Q1031" i="1" s="1"/>
  <c r="I1031" i="1" s="1"/>
  <c r="O1031" i="1"/>
  <c r="R1031" i="1" s="1"/>
  <c r="K1031" i="1" s="1"/>
  <c r="P1031" i="1"/>
  <c r="S1031" i="1" s="1"/>
  <c r="M1031" i="1" s="1"/>
  <c r="H1031" i="1"/>
  <c r="G1031" i="1" l="1"/>
  <c r="J1031" i="1"/>
  <c r="L1031" i="1"/>
  <c r="F1031" i="1" s="1"/>
  <c r="D1032" i="1" l="1"/>
  <c r="B1032" i="1"/>
  <c r="E1032" i="1"/>
  <c r="C1032" i="1"/>
  <c r="N1032" i="1" l="1"/>
  <c r="Q1032" i="1" s="1"/>
  <c r="P1032" i="1"/>
  <c r="S1032" i="1" s="1"/>
  <c r="M1032" i="1" s="1"/>
  <c r="I1032" i="1"/>
  <c r="O1032" i="1"/>
  <c r="R1032" i="1" s="1"/>
  <c r="K1032" i="1" s="1"/>
  <c r="J1032" i="1" l="1"/>
  <c r="G1032" i="1"/>
  <c r="E1033" i="1" s="1"/>
  <c r="H1032" i="1"/>
  <c r="C1033" i="1"/>
  <c r="L1032" i="1"/>
  <c r="F1032" i="1" l="1"/>
  <c r="B1033" i="1" l="1"/>
  <c r="N1033" i="1" s="1"/>
  <c r="Q1033" i="1" s="1"/>
  <c r="D1033" i="1"/>
  <c r="I1033" i="1" l="1"/>
  <c r="O1033" i="1"/>
  <c r="R1033" i="1" s="1"/>
  <c r="K1033" i="1" s="1"/>
  <c r="P1033" i="1"/>
  <c r="S1033" i="1" s="1"/>
  <c r="M1033" i="1" s="1"/>
  <c r="J1033" i="1" l="1"/>
  <c r="H1033" i="1"/>
  <c r="L1033" i="1"/>
  <c r="G1033" i="1"/>
  <c r="F1033" i="1" l="1"/>
  <c r="D1034" i="1"/>
  <c r="B1034" i="1"/>
  <c r="E1034" i="1"/>
  <c r="C1034" i="1"/>
  <c r="N1034" i="1" l="1"/>
  <c r="P1034" i="1"/>
  <c r="S1034" i="1" s="1"/>
  <c r="M1034" i="1" s="1"/>
  <c r="O1034" i="1"/>
  <c r="R1034" i="1" s="1"/>
  <c r="K1034" i="1" s="1"/>
  <c r="Q1034" i="1" l="1"/>
  <c r="H1034" i="1" s="1"/>
  <c r="J1034" i="1"/>
  <c r="I1034" i="1"/>
  <c r="G1034" i="1" s="1"/>
  <c r="L1034" i="1"/>
  <c r="F1034" i="1" l="1"/>
  <c r="B1035" i="1"/>
  <c r="D1035" i="1"/>
  <c r="E1035" i="1"/>
  <c r="C1035" i="1"/>
  <c r="N1035" i="1" l="1"/>
  <c r="Q1035" i="1" s="1"/>
  <c r="O1035" i="1"/>
  <c r="R1035" i="1" s="1"/>
  <c r="K1035" i="1" s="1"/>
  <c r="I1035" i="1"/>
  <c r="P1035" i="1"/>
  <c r="S1035" i="1" s="1"/>
  <c r="M1035" i="1" s="1"/>
  <c r="J1035" i="1" l="1"/>
  <c r="G1035" i="1"/>
  <c r="L1035" i="1"/>
  <c r="H1035" i="1"/>
  <c r="F1035" i="1" s="1"/>
  <c r="B1036" i="1" l="1"/>
  <c r="J31" i="2" s="1"/>
  <c r="D1036" i="1"/>
  <c r="E1036" i="1"/>
  <c r="C1036" i="1"/>
  <c r="J32" i="2" s="1"/>
  <c r="N1036" i="1" l="1"/>
  <c r="P1036" i="1"/>
  <c r="S1036" i="1" s="1"/>
  <c r="M1036" i="1" s="1"/>
  <c r="O1036" i="1"/>
  <c r="R1036" i="1" s="1"/>
  <c r="K1036" i="1" s="1"/>
  <c r="Q1036" i="1" l="1"/>
  <c r="I1036" i="1" s="1"/>
  <c r="G1036" i="1" s="1"/>
  <c r="J1036" i="1"/>
  <c r="L1036" i="1"/>
  <c r="H1036" i="1"/>
  <c r="F1036" i="1" s="1"/>
  <c r="D1037" i="1" l="1"/>
  <c r="B1037" i="1"/>
  <c r="I31" i="2" s="1"/>
  <c r="E1037" i="1"/>
  <c r="C1037" i="1"/>
  <c r="I32" i="2" s="1"/>
  <c r="N1037" i="1" l="1"/>
  <c r="Q1037" i="1" s="1"/>
  <c r="P1037" i="1"/>
  <c r="S1037" i="1" s="1"/>
  <c r="M1037" i="1" s="1"/>
  <c r="O1037" i="1"/>
  <c r="R1037" i="1" s="1"/>
  <c r="K1037" i="1" s="1"/>
  <c r="I1037" i="1"/>
  <c r="J1037" i="1" l="1"/>
  <c r="H1037" i="1"/>
  <c r="G1037" i="1"/>
  <c r="L1037" i="1"/>
  <c r="F1037" i="1" s="1"/>
  <c r="B1038" i="1" l="1"/>
  <c r="H31" i="2" s="1"/>
  <c r="D1038" i="1"/>
  <c r="E1038" i="1"/>
  <c r="C1038" i="1"/>
  <c r="H32" i="2" s="1"/>
  <c r="N1038" i="1" l="1"/>
  <c r="Q1038" i="1" s="1"/>
  <c r="P1038" i="1"/>
  <c r="S1038" i="1" s="1"/>
  <c r="M1038" i="1" s="1"/>
  <c r="O1038" i="1"/>
  <c r="R1038" i="1" s="1"/>
  <c r="K1038" i="1" s="1"/>
  <c r="I1038" i="1"/>
  <c r="H1038" i="1" l="1"/>
  <c r="G1038" i="1"/>
  <c r="L1038" i="1"/>
  <c r="J1038" i="1"/>
  <c r="F1038" i="1" s="1"/>
  <c r="B1039" i="1" l="1"/>
  <c r="G31" i="2" s="1"/>
  <c r="D1039" i="1"/>
  <c r="E1039" i="1"/>
  <c r="C1039" i="1"/>
  <c r="G32" i="2" s="1"/>
  <c r="N1039" i="1" l="1"/>
  <c r="Q1039" i="1" s="1"/>
  <c r="P1039" i="1"/>
  <c r="S1039" i="1" s="1"/>
  <c r="M1039" i="1" s="1"/>
  <c r="O1039" i="1"/>
  <c r="R1039" i="1" s="1"/>
  <c r="K1039" i="1" s="1"/>
  <c r="I1039" i="1"/>
  <c r="J1039" i="1"/>
  <c r="G1039" i="1" l="1"/>
  <c r="E1040" i="1" s="1"/>
  <c r="L1039" i="1"/>
  <c r="C1040" i="1"/>
  <c r="F32" i="2" s="1"/>
  <c r="H1039" i="1"/>
  <c r="F1039" i="1" s="1"/>
  <c r="B1040" i="1" l="1"/>
  <c r="D1040" i="1"/>
  <c r="N1040" i="1" l="1"/>
  <c r="Q1040" i="1" s="1"/>
  <c r="F31" i="2"/>
  <c r="O1040" i="1"/>
  <c r="R1040" i="1" s="1"/>
  <c r="K1040" i="1" s="1"/>
  <c r="P1040" i="1"/>
  <c r="S1040" i="1" s="1"/>
  <c r="M1040" i="1" s="1"/>
  <c r="I1040" i="1"/>
  <c r="J1040" i="1"/>
  <c r="G1040" i="1" l="1"/>
  <c r="H1040" i="1"/>
  <c r="E1041" i="1"/>
  <c r="C1041" i="1"/>
  <c r="E32" i="2" s="1"/>
  <c r="L1040" i="1"/>
  <c r="F1040" i="1" s="1"/>
  <c r="D1041" i="1" l="1"/>
  <c r="B1041" i="1"/>
  <c r="N1041" i="1" l="1"/>
  <c r="Q1041" i="1" s="1"/>
  <c r="E31" i="2"/>
  <c r="P1041" i="1"/>
  <c r="S1041" i="1" s="1"/>
  <c r="M1041" i="1" s="1"/>
  <c r="I1041" i="1"/>
  <c r="O1041" i="1"/>
  <c r="R1041" i="1" s="1"/>
  <c r="K1041" i="1" s="1"/>
  <c r="G1041" i="1" l="1"/>
  <c r="J1041" i="1"/>
  <c r="H1041" i="1"/>
  <c r="E1042" i="1"/>
  <c r="C1042" i="1"/>
  <c r="D32" i="2" s="1"/>
  <c r="L1041" i="1"/>
  <c r="D35" i="2" l="1"/>
  <c r="L35" i="2"/>
  <c r="J35" i="2"/>
  <c r="I35" i="2"/>
  <c r="C35" i="2"/>
  <c r="M35" i="2"/>
  <c r="F35" i="2"/>
  <c r="H35" i="2"/>
  <c r="G35" i="2"/>
  <c r="K35" i="2"/>
  <c r="E35" i="2"/>
  <c r="F1041" i="1"/>
  <c r="B1042" i="1" l="1"/>
  <c r="D1042" i="1"/>
  <c r="N1042" i="1" l="1"/>
  <c r="Q1042" i="1" s="1"/>
  <c r="D31" i="2"/>
  <c r="I1042" i="1"/>
  <c r="P1042" i="1"/>
  <c r="S1042" i="1" s="1"/>
  <c r="M1042" i="1" s="1"/>
  <c r="O1042" i="1"/>
  <c r="R1042" i="1" s="1"/>
  <c r="K1042" i="1" s="1"/>
  <c r="E34" i="2" l="1"/>
  <c r="K34" i="2"/>
  <c r="D34" i="2"/>
  <c r="M34" i="2"/>
  <c r="J34" i="2"/>
  <c r="I34" i="2"/>
  <c r="L34" i="2"/>
  <c r="H34" i="2"/>
  <c r="C34" i="2"/>
  <c r="G34" i="2"/>
  <c r="F34" i="2"/>
  <c r="J1042" i="1"/>
  <c r="G1042" i="1"/>
  <c r="L1042" i="1"/>
  <c r="H1042" i="1"/>
  <c r="F1042" i="1" s="1"/>
  <c r="D1043" i="1" l="1"/>
  <c r="B1043" i="1"/>
  <c r="C1043" i="1"/>
  <c r="E1043" i="1"/>
  <c r="N1043" i="1" l="1"/>
  <c r="Q1043" i="1" s="1"/>
  <c r="O1043" i="1"/>
  <c r="R1043" i="1" s="1"/>
  <c r="K1043" i="1" s="1"/>
  <c r="P1043" i="1"/>
  <c r="S1043" i="1" s="1"/>
  <c r="M1043" i="1" s="1"/>
  <c r="I1043" i="1"/>
  <c r="J1043" i="1"/>
  <c r="G1043" i="1" l="1"/>
  <c r="H1043" i="1"/>
  <c r="L1043" i="1"/>
  <c r="F1043" i="1" l="1"/>
  <c r="B1044" i="1"/>
  <c r="N1044" i="1" s="1"/>
  <c r="Q1044" i="1" s="1"/>
  <c r="D1044" i="1"/>
  <c r="C1044" i="1"/>
  <c r="E1044" i="1"/>
  <c r="I1044" i="1" l="1"/>
  <c r="O1044" i="1"/>
  <c r="R1044" i="1" s="1"/>
  <c r="K1044" i="1" s="1"/>
  <c r="P1044" i="1"/>
  <c r="S1044" i="1" s="1"/>
  <c r="M1044" i="1" s="1"/>
  <c r="J1044" i="1" l="1"/>
  <c r="L1044" i="1"/>
  <c r="G1044" i="1"/>
  <c r="H1044" i="1"/>
  <c r="F1044" i="1" s="1"/>
  <c r="C1045" i="1" l="1"/>
  <c r="E1045" i="1"/>
  <c r="D1045" i="1"/>
  <c r="B1045" i="1"/>
  <c r="N1045" i="1" s="1"/>
  <c r="Q1045" i="1" s="1"/>
  <c r="I1045" i="1" l="1"/>
  <c r="P1045" i="1"/>
  <c r="S1045" i="1" s="1"/>
  <c r="M1045" i="1" s="1"/>
  <c r="O1045" i="1"/>
  <c r="R1045" i="1" s="1"/>
  <c r="K1045" i="1" s="1"/>
  <c r="H1045" i="1"/>
  <c r="J1045" i="1" l="1"/>
  <c r="G1045" i="1"/>
  <c r="L1045" i="1"/>
  <c r="E1046" i="1" l="1"/>
  <c r="C1046" i="1"/>
  <c r="F1045" i="1"/>
  <c r="D1046" i="1" l="1"/>
  <c r="B1046" i="1"/>
  <c r="N1046" i="1" s="1"/>
  <c r="Q1046" i="1" s="1"/>
  <c r="I1046" i="1" l="1"/>
  <c r="O1046" i="1"/>
  <c r="R1046" i="1" s="1"/>
  <c r="K1046" i="1" s="1"/>
  <c r="P1046" i="1"/>
  <c r="S1046" i="1" s="1"/>
  <c r="M1046" i="1" s="1"/>
  <c r="J1046" i="1" l="1"/>
  <c r="H1046" i="1"/>
  <c r="G1046" i="1"/>
  <c r="L1046" i="1"/>
  <c r="F1046" i="1" s="1"/>
  <c r="D1047" i="1" l="1"/>
  <c r="B1047" i="1"/>
  <c r="E1047" i="1"/>
  <c r="C1047" i="1"/>
  <c r="N1047" i="1" l="1"/>
  <c r="Q1047" i="1" s="1"/>
  <c r="P1047" i="1"/>
  <c r="S1047" i="1" s="1"/>
  <c r="M1047" i="1" s="1"/>
  <c r="O1047" i="1"/>
  <c r="R1047" i="1" s="1"/>
  <c r="K1047" i="1" s="1"/>
  <c r="I1047" i="1" l="1"/>
  <c r="H1047" i="1"/>
  <c r="J1047" i="1"/>
  <c r="G1047" i="1"/>
  <c r="E1048" i="1" s="1"/>
  <c r="L1047" i="1"/>
  <c r="F1047" i="1" s="1"/>
  <c r="C1048" i="1"/>
  <c r="D1048" i="1" l="1"/>
  <c r="B1048" i="1"/>
  <c r="N1048" i="1" s="1"/>
  <c r="Q1048" i="1" s="1"/>
  <c r="P1048" i="1" l="1"/>
  <c r="S1048" i="1" s="1"/>
  <c r="M1048" i="1" s="1"/>
  <c r="I1048" i="1"/>
  <c r="O1048" i="1"/>
  <c r="R1048" i="1" s="1"/>
  <c r="K1048" i="1" s="1"/>
  <c r="G1048" i="1" l="1"/>
  <c r="J1048" i="1"/>
  <c r="H1048" i="1"/>
  <c r="E1049" i="1"/>
  <c r="C1049" i="1"/>
  <c r="L1048" i="1"/>
  <c r="F1048" i="1" l="1"/>
  <c r="B1049" i="1" l="1"/>
  <c r="N1049" i="1" s="1"/>
  <c r="Q1049" i="1" s="1"/>
  <c r="D1049" i="1"/>
  <c r="I1049" i="1" l="1"/>
  <c r="O1049" i="1"/>
  <c r="R1049" i="1" s="1"/>
  <c r="K1049" i="1" s="1"/>
  <c r="P1049" i="1"/>
  <c r="S1049" i="1" s="1"/>
  <c r="M1049" i="1" s="1"/>
  <c r="J1049" i="1" l="1"/>
  <c r="G1049" i="1"/>
  <c r="H1049" i="1"/>
  <c r="L1049" i="1"/>
  <c r="C1050" i="1"/>
  <c r="E1050" i="1"/>
  <c r="F1049" i="1" l="1"/>
  <c r="D1050" i="1" l="1"/>
  <c r="B1050" i="1"/>
  <c r="N1050" i="1" s="1"/>
  <c r="Q1050" i="1" s="1"/>
  <c r="P1050" i="1" l="1"/>
  <c r="S1050" i="1" s="1"/>
  <c r="M1050" i="1" s="1"/>
  <c r="I1050" i="1"/>
  <c r="O1050" i="1"/>
  <c r="R1050" i="1" s="1"/>
  <c r="K1050" i="1" s="1"/>
  <c r="H1050" i="1" l="1"/>
  <c r="G1050" i="1"/>
  <c r="J1050" i="1"/>
  <c r="L1050" i="1"/>
  <c r="F1050" i="1" s="1"/>
  <c r="D1051" i="1" l="1"/>
  <c r="B1051" i="1"/>
  <c r="E1051" i="1"/>
  <c r="C1051" i="1"/>
  <c r="N1051" i="1" l="1"/>
  <c r="Q1051" i="1" s="1"/>
  <c r="P1051" i="1"/>
  <c r="S1051" i="1" s="1"/>
  <c r="M1051" i="1" s="1"/>
  <c r="I1051" i="1"/>
  <c r="O1051" i="1"/>
  <c r="R1051" i="1" s="1"/>
  <c r="K1051" i="1" s="1"/>
  <c r="H1051" i="1"/>
  <c r="G1051" i="1" l="1"/>
  <c r="E1052" i="1" s="1"/>
  <c r="J1051" i="1"/>
  <c r="C1052" i="1"/>
  <c r="L1051" i="1"/>
  <c r="F1051" i="1" s="1"/>
  <c r="D1052" i="1" l="1"/>
  <c r="B1052" i="1"/>
  <c r="N1052" i="1" s="1"/>
  <c r="Q1052" i="1" s="1"/>
  <c r="P1052" i="1" l="1"/>
  <c r="S1052" i="1" s="1"/>
  <c r="M1052" i="1" s="1"/>
  <c r="I1052" i="1"/>
  <c r="O1052" i="1"/>
  <c r="R1052" i="1" s="1"/>
  <c r="K1052" i="1" s="1"/>
  <c r="H1052" i="1"/>
  <c r="G1052" i="1" l="1"/>
  <c r="J1052" i="1"/>
  <c r="L1052" i="1"/>
  <c r="F1052" i="1" l="1"/>
  <c r="D1053" i="1"/>
  <c r="B1053" i="1"/>
  <c r="E1053" i="1"/>
  <c r="C1053" i="1"/>
  <c r="N1053" i="1" l="1"/>
  <c r="Q1053" i="1" s="1"/>
  <c r="O1053" i="1"/>
  <c r="R1053" i="1" s="1"/>
  <c r="K1053" i="1" s="1"/>
  <c r="P1053" i="1"/>
  <c r="S1053" i="1" s="1"/>
  <c r="M1053" i="1" s="1"/>
  <c r="I1053" i="1" l="1"/>
  <c r="H1053" i="1"/>
  <c r="G1053" i="1"/>
  <c r="E1054" i="1" s="1"/>
  <c r="J1053" i="1"/>
  <c r="L1053" i="1"/>
  <c r="C1054" i="1" l="1"/>
  <c r="F1053" i="1"/>
  <c r="B1054" i="1" s="1"/>
  <c r="N1054" i="1" s="1"/>
  <c r="Q1054" i="1" s="1"/>
  <c r="D1054" i="1"/>
  <c r="P1054" i="1" l="1"/>
  <c r="S1054" i="1" s="1"/>
  <c r="M1054" i="1" s="1"/>
  <c r="O1054" i="1"/>
  <c r="R1054" i="1" s="1"/>
  <c r="K1054" i="1" s="1"/>
  <c r="I1054" i="1"/>
  <c r="G1054" i="1" l="1"/>
  <c r="J1054" i="1"/>
  <c r="H1054" i="1"/>
  <c r="E1055" i="1"/>
  <c r="C1055" i="1"/>
  <c r="L1054" i="1"/>
  <c r="F1054" i="1" s="1"/>
  <c r="D1055" i="1" l="1"/>
  <c r="B1055" i="1"/>
  <c r="N1055" i="1" s="1"/>
  <c r="Q1055" i="1" s="1"/>
  <c r="O1055" i="1" l="1"/>
  <c r="R1055" i="1" s="1"/>
  <c r="K1055" i="1" s="1"/>
  <c r="P1055" i="1"/>
  <c r="S1055" i="1" s="1"/>
  <c r="M1055" i="1" s="1"/>
  <c r="I1055" i="1"/>
  <c r="G1055" i="1" s="1"/>
  <c r="J1055" i="1"/>
  <c r="H1055" i="1"/>
  <c r="C1056" i="1" l="1"/>
  <c r="E1056" i="1"/>
  <c r="L1055" i="1"/>
  <c r="F1055" i="1" s="1"/>
  <c r="D1056" i="1" l="1"/>
  <c r="B1056" i="1"/>
  <c r="N1056" i="1" s="1"/>
  <c r="Q1056" i="1" s="1"/>
  <c r="I1056" i="1" l="1"/>
  <c r="P1056" i="1"/>
  <c r="S1056" i="1" s="1"/>
  <c r="M1056" i="1" s="1"/>
  <c r="H1056" i="1"/>
  <c r="O1056" i="1"/>
  <c r="R1056" i="1" s="1"/>
  <c r="K1056" i="1" s="1"/>
  <c r="J1056" i="1" l="1"/>
  <c r="G1056" i="1"/>
  <c r="L1056" i="1"/>
  <c r="F1056" i="1" s="1"/>
  <c r="B1057" i="1" l="1"/>
  <c r="D1057" i="1"/>
  <c r="C1057" i="1"/>
  <c r="E1057" i="1"/>
  <c r="N1057" i="1" l="1"/>
  <c r="Q1057" i="1" s="1"/>
  <c r="O1057" i="1"/>
  <c r="R1057" i="1" s="1"/>
  <c r="K1057" i="1" s="1"/>
  <c r="P1057" i="1"/>
  <c r="S1057" i="1" s="1"/>
  <c r="M1057" i="1" s="1"/>
  <c r="I1057" i="1"/>
  <c r="G1057" i="1" l="1"/>
  <c r="C1058" i="1" s="1"/>
  <c r="J1057" i="1"/>
  <c r="L1057" i="1"/>
  <c r="E1058" i="1"/>
  <c r="H1057" i="1"/>
  <c r="F1057" i="1" s="1"/>
  <c r="B1058" i="1" l="1"/>
  <c r="N1058" i="1" s="1"/>
  <c r="Q1058" i="1" s="1"/>
  <c r="D1058" i="1"/>
  <c r="P1058" i="1" l="1"/>
  <c r="S1058" i="1" s="1"/>
  <c r="M1058" i="1" s="1"/>
  <c r="I1058" i="1"/>
  <c r="O1058" i="1"/>
  <c r="R1058" i="1" s="1"/>
  <c r="K1058" i="1" s="1"/>
  <c r="G1058" i="1" l="1"/>
  <c r="J1058" i="1"/>
  <c r="H1058" i="1"/>
  <c r="C1059" i="1"/>
  <c r="E1059" i="1"/>
  <c r="L1058" i="1"/>
  <c r="F1058" i="1" l="1"/>
  <c r="D1059" i="1"/>
  <c r="B1059" i="1"/>
  <c r="N1059" i="1" s="1"/>
  <c r="Q1059" i="1" s="1"/>
  <c r="I1059" i="1" l="1"/>
  <c r="P1059" i="1"/>
  <c r="S1059" i="1" s="1"/>
  <c r="M1059" i="1" s="1"/>
  <c r="H1059" i="1"/>
  <c r="O1059" i="1"/>
  <c r="R1059" i="1" s="1"/>
  <c r="K1059" i="1" s="1"/>
  <c r="J1059" i="1" l="1"/>
  <c r="G1059" i="1"/>
  <c r="L1059" i="1"/>
  <c r="F1059" i="1" s="1"/>
  <c r="B1060" i="1" l="1"/>
  <c r="D1060" i="1"/>
  <c r="E1060" i="1"/>
  <c r="C1060" i="1"/>
  <c r="N1060" i="1" l="1"/>
  <c r="Q1060" i="1" s="1"/>
  <c r="P1060" i="1"/>
  <c r="S1060" i="1" s="1"/>
  <c r="M1060" i="1" s="1"/>
  <c r="O1060" i="1"/>
  <c r="R1060" i="1" s="1"/>
  <c r="J1060" i="1" s="1"/>
  <c r="I1060" i="1"/>
  <c r="L1060" i="1" l="1"/>
  <c r="K1060" i="1"/>
  <c r="G1060" i="1" s="1"/>
  <c r="H1060" i="1"/>
  <c r="F1060" i="1" s="1"/>
  <c r="E1061" i="1" l="1"/>
  <c r="C1061" i="1"/>
  <c r="D1061" i="1"/>
  <c r="B1061" i="1"/>
  <c r="N1061" i="1" s="1"/>
  <c r="Q1061" i="1" s="1"/>
  <c r="I1061" i="1" l="1"/>
  <c r="O1061" i="1"/>
  <c r="R1061" i="1" s="1"/>
  <c r="K1061" i="1" s="1"/>
  <c r="P1061" i="1"/>
  <c r="S1061" i="1" s="1"/>
  <c r="H1061" i="1"/>
  <c r="J1061" i="1" l="1"/>
  <c r="M1061" i="1"/>
  <c r="G1061" i="1" s="1"/>
  <c r="L1061" i="1"/>
  <c r="F1061" i="1" s="1"/>
  <c r="C1062" i="1" l="1"/>
  <c r="E1062" i="1"/>
  <c r="D1062" i="1"/>
  <c r="B1062" i="1"/>
  <c r="N1062" i="1" s="1"/>
  <c r="Q1062" i="1" s="1"/>
  <c r="P1062" i="1" l="1"/>
  <c r="S1062" i="1" s="1"/>
  <c r="M1062" i="1" s="1"/>
  <c r="I1062" i="1"/>
  <c r="O1062" i="1"/>
  <c r="R1062" i="1" s="1"/>
  <c r="K1062" i="1" s="1"/>
  <c r="G1062" i="1" l="1"/>
  <c r="H1062" i="1"/>
  <c r="J1062" i="1"/>
  <c r="E1063" i="1"/>
  <c r="C1063" i="1"/>
  <c r="L1062" i="1"/>
  <c r="F1062" i="1" l="1"/>
  <c r="D1063" i="1" l="1"/>
  <c r="B1063" i="1"/>
  <c r="N1063" i="1" s="1"/>
  <c r="Q1063" i="1" s="1"/>
  <c r="I1063" i="1" l="1"/>
  <c r="P1063" i="1"/>
  <c r="S1063" i="1" s="1"/>
  <c r="O1063" i="1"/>
  <c r="R1063" i="1" s="1"/>
  <c r="K1063" i="1" s="1"/>
  <c r="M1063" i="1" l="1"/>
  <c r="G1063" i="1" s="1"/>
  <c r="J1063" i="1"/>
  <c r="H1063" i="1"/>
  <c r="L1063" i="1"/>
  <c r="E1064" i="1" l="1"/>
  <c r="C1064" i="1"/>
  <c r="F1063" i="1"/>
  <c r="B1064" i="1" l="1"/>
  <c r="N1064" i="1" s="1"/>
  <c r="Q1064" i="1" s="1"/>
  <c r="D1064" i="1"/>
  <c r="I1064" i="1" l="1"/>
  <c r="O1064" i="1"/>
  <c r="R1064" i="1" s="1"/>
  <c r="K1064" i="1" s="1"/>
  <c r="P1064" i="1"/>
  <c r="S1064" i="1" s="1"/>
  <c r="M1064" i="1" s="1"/>
  <c r="J1064" i="1" l="1"/>
  <c r="G1064" i="1"/>
  <c r="L1064" i="1"/>
  <c r="H1064" i="1"/>
  <c r="F1064" i="1" s="1"/>
  <c r="D1065" i="1" l="1"/>
  <c r="B1065" i="1"/>
  <c r="C1065" i="1"/>
  <c r="E1065" i="1"/>
  <c r="N1065" i="1" l="1"/>
  <c r="Q1065" i="1" s="1"/>
  <c r="O1065" i="1"/>
  <c r="R1065" i="1" s="1"/>
  <c r="K1065" i="1" s="1"/>
  <c r="I1065" i="1"/>
  <c r="P1065" i="1"/>
  <c r="S1065" i="1" s="1"/>
  <c r="M1065" i="1" s="1"/>
  <c r="J1065" i="1"/>
  <c r="G1065" i="1" l="1"/>
  <c r="C1066" i="1" s="1"/>
  <c r="H1065" i="1"/>
  <c r="E1066" i="1"/>
  <c r="L1065" i="1"/>
  <c r="F1065" i="1" l="1"/>
  <c r="B1066" i="1" l="1"/>
  <c r="N1066" i="1" s="1"/>
  <c r="Q1066" i="1" s="1"/>
  <c r="D1066" i="1"/>
  <c r="P1066" i="1" l="1"/>
  <c r="S1066" i="1" s="1"/>
  <c r="M1066" i="1" s="1"/>
  <c r="O1066" i="1"/>
  <c r="R1066" i="1" s="1"/>
  <c r="I1066" i="1"/>
  <c r="H1066" i="1" l="1"/>
  <c r="J1066" i="1"/>
  <c r="K1066" i="1"/>
  <c r="G1066" i="1" s="1"/>
  <c r="L1066" i="1"/>
  <c r="E1067" i="1" l="1"/>
  <c r="C1067" i="1"/>
  <c r="F1066" i="1"/>
  <c r="D1067" i="1" l="1"/>
  <c r="B1067" i="1"/>
  <c r="N1067" i="1" s="1"/>
  <c r="Q1067" i="1" s="1"/>
  <c r="O1067" i="1" l="1"/>
  <c r="R1067" i="1" s="1"/>
  <c r="K1067" i="1" s="1"/>
  <c r="P1067" i="1"/>
  <c r="S1067" i="1" s="1"/>
  <c r="M1067" i="1" s="1"/>
  <c r="I1067" i="1"/>
  <c r="J1067" i="1"/>
  <c r="H1067" i="1" l="1"/>
  <c r="G1067" i="1"/>
  <c r="L1067" i="1"/>
  <c r="F1067" i="1" s="1"/>
  <c r="D1068" i="1" l="1"/>
  <c r="B1068" i="1"/>
  <c r="E1068" i="1"/>
  <c r="C1068" i="1"/>
  <c r="N1068" i="1" l="1"/>
  <c r="Q1068" i="1" s="1"/>
  <c r="P1068" i="1"/>
  <c r="S1068" i="1" s="1"/>
  <c r="M1068" i="1" s="1"/>
  <c r="O1068" i="1"/>
  <c r="R1068" i="1" s="1"/>
  <c r="K1068" i="1" s="1"/>
  <c r="I1068" i="1"/>
  <c r="J1068" i="1" l="1"/>
  <c r="H1068" i="1"/>
  <c r="G1068" i="1"/>
  <c r="E1069" i="1" s="1"/>
  <c r="L1068" i="1"/>
  <c r="F1068" i="1" s="1"/>
  <c r="C1069" i="1"/>
  <c r="D1069" i="1" l="1"/>
  <c r="B1069" i="1"/>
  <c r="N1069" i="1" s="1"/>
  <c r="Q1069" i="1" s="1"/>
  <c r="I1069" i="1" l="1"/>
  <c r="P1069" i="1"/>
  <c r="S1069" i="1" s="1"/>
  <c r="M1069" i="1" s="1"/>
  <c r="O1069" i="1"/>
  <c r="R1069" i="1" s="1"/>
  <c r="K1069" i="1" s="1"/>
  <c r="J1069" i="1"/>
  <c r="G1069" i="1" l="1"/>
  <c r="H1069" i="1"/>
  <c r="L1069" i="1"/>
  <c r="F1069" i="1" l="1"/>
  <c r="D1070" i="1"/>
  <c r="B1070" i="1"/>
  <c r="E1070" i="1"/>
  <c r="C1070" i="1"/>
  <c r="N1070" i="1" l="1"/>
  <c r="Q1070" i="1" s="1"/>
  <c r="P1070" i="1"/>
  <c r="S1070" i="1" s="1"/>
  <c r="O1070" i="1"/>
  <c r="R1070" i="1" s="1"/>
  <c r="K1070" i="1" s="1"/>
  <c r="I1070" i="1" l="1"/>
  <c r="H1070" i="1"/>
  <c r="M1070" i="1"/>
  <c r="G1070" i="1" s="1"/>
  <c r="L1070" i="1"/>
  <c r="J1070" i="1"/>
  <c r="F1070" i="1" s="1"/>
  <c r="E1071" i="1" l="1"/>
  <c r="C1071" i="1"/>
  <c r="B1071" i="1"/>
  <c r="N1071" i="1" s="1"/>
  <c r="Q1071" i="1" s="1"/>
  <c r="D1071" i="1"/>
  <c r="O1071" i="1" l="1"/>
  <c r="R1071" i="1" s="1"/>
  <c r="K1071" i="1" s="1"/>
  <c r="I1071" i="1"/>
  <c r="P1071" i="1"/>
  <c r="S1071" i="1" s="1"/>
  <c r="M1071" i="1" s="1"/>
  <c r="J1071" i="1"/>
  <c r="G1071" i="1" l="1"/>
  <c r="H1071" i="1"/>
  <c r="L1071" i="1"/>
  <c r="C1072" i="1"/>
  <c r="E1072" i="1"/>
  <c r="F1071" i="1" l="1"/>
  <c r="D1072" i="1" s="1"/>
  <c r="B1072" i="1"/>
  <c r="N1072" i="1" s="1"/>
  <c r="Q1072" i="1" s="1"/>
  <c r="O1072" i="1" l="1"/>
  <c r="R1072" i="1" s="1"/>
  <c r="K1072" i="1" s="1"/>
  <c r="P1072" i="1"/>
  <c r="S1072" i="1" s="1"/>
  <c r="I1072" i="1"/>
  <c r="J1072" i="1"/>
  <c r="M1072" i="1" l="1"/>
  <c r="G1072" i="1" s="1"/>
  <c r="H1072" i="1"/>
  <c r="L1072" i="1"/>
  <c r="E1073" i="1" l="1"/>
  <c r="C1073" i="1"/>
  <c r="F1072" i="1"/>
  <c r="B1073" i="1" s="1"/>
  <c r="N1073" i="1" s="1"/>
  <c r="Q1073" i="1" s="1"/>
  <c r="D1073" i="1" l="1"/>
  <c r="P1073" i="1"/>
  <c r="S1073" i="1" s="1"/>
  <c r="M1073" i="1" s="1"/>
  <c r="I1073" i="1"/>
  <c r="O1073" i="1"/>
  <c r="R1073" i="1" s="1"/>
  <c r="K1073" i="1" s="1"/>
  <c r="H1073" i="1"/>
  <c r="J1073" i="1" l="1"/>
  <c r="G1073" i="1"/>
  <c r="E1074" i="1" s="1"/>
  <c r="L1073" i="1"/>
  <c r="F1073" i="1" s="1"/>
  <c r="C1074" i="1" l="1"/>
  <c r="D1074" i="1"/>
  <c r="B1074" i="1"/>
  <c r="N1074" i="1" s="1"/>
  <c r="Q1074" i="1" s="1"/>
  <c r="P1074" i="1" l="1"/>
  <c r="S1074" i="1" s="1"/>
  <c r="M1074" i="1" s="1"/>
  <c r="O1074" i="1"/>
  <c r="R1074" i="1" s="1"/>
  <c r="K1074" i="1" s="1"/>
  <c r="J1074" i="1" l="1"/>
  <c r="H1074" i="1"/>
  <c r="I1074" i="1"/>
  <c r="G1074" i="1" s="1"/>
  <c r="L1074" i="1"/>
  <c r="E1075" i="1" l="1"/>
  <c r="C1075" i="1"/>
  <c r="F1074" i="1"/>
  <c r="B1075" i="1" l="1"/>
  <c r="N1075" i="1" s="1"/>
  <c r="Q1075" i="1" s="1"/>
  <c r="D1075" i="1"/>
  <c r="P1075" i="1" l="1"/>
  <c r="S1075" i="1" s="1"/>
  <c r="M1075" i="1" s="1"/>
  <c r="I1075" i="1"/>
  <c r="O1075" i="1"/>
  <c r="R1075" i="1" s="1"/>
  <c r="K1075" i="1" s="1"/>
  <c r="H1075" i="1" l="1"/>
  <c r="J1075" i="1"/>
  <c r="G1075" i="1"/>
  <c r="L1075" i="1"/>
  <c r="F1075" i="1" l="1"/>
  <c r="D1076" i="1"/>
  <c r="B1076" i="1"/>
  <c r="E1076" i="1"/>
  <c r="C1076" i="1"/>
  <c r="N1076" i="1" l="1"/>
  <c r="O1076" i="1"/>
  <c r="R1076" i="1" s="1"/>
  <c r="J1076" i="1" s="1"/>
  <c r="P1076" i="1"/>
  <c r="S1076" i="1" s="1"/>
  <c r="M1076" i="1" s="1"/>
  <c r="Q1076" i="1" l="1"/>
  <c r="I1076" i="1" s="1"/>
  <c r="K1076" i="1"/>
  <c r="L1076" i="1"/>
  <c r="G1076" i="1" l="1"/>
  <c r="H1076" i="1"/>
  <c r="E1077" i="1"/>
  <c r="C1077" i="1"/>
  <c r="F1076" i="1"/>
  <c r="B1077" i="1" l="1"/>
  <c r="N1077" i="1" s="1"/>
  <c r="Q1077" i="1" s="1"/>
  <c r="D1077" i="1"/>
  <c r="P1077" i="1" l="1"/>
  <c r="S1077" i="1" s="1"/>
  <c r="M1077" i="1" s="1"/>
  <c r="O1077" i="1"/>
  <c r="R1077" i="1" s="1"/>
  <c r="K1077" i="1" s="1"/>
  <c r="I1077" i="1"/>
  <c r="H1077" i="1"/>
  <c r="J1077" i="1" l="1"/>
  <c r="G1077" i="1"/>
  <c r="L1077" i="1"/>
  <c r="F1077" i="1" s="1"/>
  <c r="D1078" i="1" l="1"/>
  <c r="B1078" i="1"/>
  <c r="E1078" i="1"/>
  <c r="C1078" i="1"/>
  <c r="N1078" i="1" l="1"/>
  <c r="Q1078" i="1" s="1"/>
  <c r="P1078" i="1"/>
  <c r="S1078" i="1" s="1"/>
  <c r="L1078" i="1" s="1"/>
  <c r="I1078" i="1"/>
  <c r="O1078" i="1"/>
  <c r="R1078" i="1" s="1"/>
  <c r="K1078" i="1" s="1"/>
  <c r="M1078" i="1" l="1"/>
  <c r="H1078" i="1"/>
  <c r="G1078" i="1"/>
  <c r="J1078" i="1"/>
  <c r="F1078" i="1" s="1"/>
  <c r="B1079" i="1" l="1"/>
  <c r="D1079" i="1"/>
  <c r="E1079" i="1"/>
  <c r="C1079" i="1"/>
  <c r="N1079" i="1" l="1"/>
  <c r="Q1079" i="1" s="1"/>
  <c r="P1079" i="1"/>
  <c r="S1079" i="1" s="1"/>
  <c r="M1079" i="1" s="1"/>
  <c r="O1079" i="1"/>
  <c r="R1079" i="1" s="1"/>
  <c r="K1079" i="1" s="1"/>
  <c r="H1079" i="1"/>
  <c r="L1079" i="1" l="1"/>
  <c r="I1079" i="1"/>
  <c r="G1079" i="1" s="1"/>
  <c r="J1079" i="1"/>
  <c r="F1079" i="1" s="1"/>
  <c r="B1080" i="1" l="1"/>
  <c r="D1080" i="1"/>
  <c r="E1080" i="1"/>
  <c r="C1080" i="1"/>
  <c r="N1080" i="1" l="1"/>
  <c r="O1080" i="1"/>
  <c r="R1080" i="1" s="1"/>
  <c r="K1080" i="1" s="1"/>
  <c r="P1080" i="1"/>
  <c r="S1080" i="1" s="1"/>
  <c r="M1080" i="1" s="1"/>
  <c r="Q1080" i="1" l="1"/>
  <c r="I1080" i="1" s="1"/>
  <c r="G1080" i="1" s="1"/>
  <c r="C1081" i="1" s="1"/>
  <c r="J1080" i="1"/>
  <c r="L1080" i="1"/>
  <c r="H1080" i="1"/>
  <c r="F1080" i="1" s="1"/>
  <c r="E1081" i="1" l="1"/>
  <c r="D1081" i="1"/>
  <c r="B1081" i="1"/>
  <c r="N1081" i="1" s="1"/>
  <c r="Q1081" i="1" s="1"/>
  <c r="P1081" i="1" l="1"/>
  <c r="S1081" i="1" s="1"/>
  <c r="M1081" i="1" s="1"/>
  <c r="O1081" i="1"/>
  <c r="R1081" i="1" s="1"/>
  <c r="K1081" i="1" s="1"/>
  <c r="I1081" i="1"/>
  <c r="J1081" i="1" l="1"/>
  <c r="H1081" i="1"/>
  <c r="G1081" i="1"/>
  <c r="L1081" i="1"/>
  <c r="C1082" i="1" l="1"/>
  <c r="E1082" i="1"/>
  <c r="F1081" i="1"/>
  <c r="B1082" i="1" l="1"/>
  <c r="N1082" i="1" s="1"/>
  <c r="Q1082" i="1" s="1"/>
  <c r="D1082" i="1"/>
  <c r="P1082" i="1" l="1"/>
  <c r="S1082" i="1" s="1"/>
  <c r="M1082" i="1" s="1"/>
  <c r="O1082" i="1"/>
  <c r="R1082" i="1" s="1"/>
  <c r="K1082" i="1" s="1"/>
  <c r="J1082" i="1" l="1"/>
  <c r="H1082" i="1"/>
  <c r="I1082" i="1"/>
  <c r="G1082" i="1" s="1"/>
  <c r="L1082" i="1"/>
  <c r="F1082" i="1" l="1"/>
  <c r="C1083" i="1"/>
  <c r="E1083" i="1"/>
  <c r="D1083" i="1" l="1"/>
  <c r="B1083" i="1"/>
  <c r="N1083" i="1" s="1"/>
  <c r="Q1083" i="1" s="1"/>
  <c r="P1083" i="1" l="1"/>
  <c r="S1083" i="1" s="1"/>
  <c r="M1083" i="1" s="1"/>
  <c r="O1083" i="1"/>
  <c r="R1083" i="1" s="1"/>
  <c r="K1083" i="1" s="1"/>
  <c r="I1083" i="1"/>
  <c r="G1083" i="1" l="1"/>
  <c r="J1083" i="1"/>
  <c r="H1083" i="1"/>
  <c r="L1083" i="1"/>
  <c r="F1083" i="1" l="1"/>
  <c r="C1084" i="1"/>
  <c r="E1084" i="1"/>
  <c r="B1084" i="1" l="1"/>
  <c r="N1084" i="1" s="1"/>
  <c r="Q1084" i="1" s="1"/>
  <c r="D1084" i="1"/>
  <c r="P1084" i="1" l="1"/>
  <c r="S1084" i="1" s="1"/>
  <c r="M1084" i="1" s="1"/>
  <c r="I1084" i="1"/>
  <c r="O1084" i="1"/>
  <c r="R1084" i="1" s="1"/>
  <c r="K1084" i="1" s="1"/>
  <c r="G1084" i="1" l="1"/>
  <c r="J1084" i="1"/>
  <c r="H1084" i="1"/>
  <c r="C1085" i="1"/>
  <c r="E1085" i="1"/>
  <c r="L1084" i="1"/>
  <c r="F1084" i="1" l="1"/>
  <c r="B1085" i="1" l="1"/>
  <c r="N1085" i="1" s="1"/>
  <c r="Q1085" i="1" s="1"/>
  <c r="D1085" i="1"/>
  <c r="O1085" i="1" l="1"/>
  <c r="R1085" i="1" s="1"/>
  <c r="K1085" i="1" s="1"/>
  <c r="I1085" i="1"/>
  <c r="P1085" i="1"/>
  <c r="S1085" i="1" s="1"/>
  <c r="M1085" i="1" s="1"/>
  <c r="J1085" i="1"/>
  <c r="G1085" i="1" l="1"/>
  <c r="L1085" i="1"/>
  <c r="H1085" i="1"/>
  <c r="F1085" i="1" s="1"/>
  <c r="D1086" i="1" l="1"/>
  <c r="B1086" i="1"/>
  <c r="E1086" i="1"/>
  <c r="C1086" i="1"/>
  <c r="N1086" i="1" l="1"/>
  <c r="Q1086" i="1" s="1"/>
  <c r="O1086" i="1"/>
  <c r="R1086" i="1" s="1"/>
  <c r="K1086" i="1" s="1"/>
  <c r="I1086" i="1"/>
  <c r="P1086" i="1"/>
  <c r="S1086" i="1" s="1"/>
  <c r="M1086" i="1" s="1"/>
  <c r="J1086" i="1"/>
  <c r="G1086" i="1" l="1"/>
  <c r="E1087" i="1" s="1"/>
  <c r="C1087" i="1"/>
  <c r="H1086" i="1"/>
  <c r="L1086" i="1"/>
  <c r="F1086" i="1" l="1"/>
  <c r="D1087" i="1" l="1"/>
  <c r="B1087" i="1"/>
  <c r="N1087" i="1" s="1"/>
  <c r="Q1087" i="1" s="1"/>
  <c r="O1087" i="1" l="1"/>
  <c r="R1087" i="1" s="1"/>
  <c r="K1087" i="1" s="1"/>
  <c r="I1087" i="1"/>
  <c r="P1087" i="1"/>
  <c r="S1087" i="1" s="1"/>
  <c r="M1087" i="1" s="1"/>
  <c r="J1087" i="1"/>
  <c r="H1087" i="1"/>
  <c r="G1087" i="1" l="1"/>
  <c r="E1088" i="1"/>
  <c r="C1088" i="1"/>
  <c r="L1087" i="1"/>
  <c r="F1087" i="1" s="1"/>
  <c r="B1088" i="1" l="1"/>
  <c r="N1088" i="1" s="1"/>
  <c r="Q1088" i="1" s="1"/>
  <c r="D1088" i="1"/>
  <c r="O1088" i="1" l="1"/>
  <c r="R1088" i="1" s="1"/>
  <c r="K1088" i="1" s="1"/>
  <c r="I1088" i="1"/>
  <c r="P1088" i="1"/>
  <c r="S1088" i="1" s="1"/>
  <c r="M1088" i="1" s="1"/>
  <c r="J1088" i="1"/>
  <c r="G1088" i="1" l="1"/>
  <c r="H1088" i="1"/>
  <c r="E1089" i="1"/>
  <c r="C1089" i="1"/>
  <c r="L1088" i="1"/>
  <c r="F1088" i="1" l="1"/>
  <c r="D1089" i="1" l="1"/>
  <c r="B1089" i="1"/>
  <c r="N1089" i="1" s="1"/>
  <c r="Q1089" i="1" s="1"/>
  <c r="P1089" i="1" l="1"/>
  <c r="S1089" i="1" s="1"/>
  <c r="M1089" i="1" s="1"/>
  <c r="I1089" i="1"/>
  <c r="O1089" i="1"/>
  <c r="R1089" i="1" s="1"/>
  <c r="K1089" i="1" s="1"/>
  <c r="H1089" i="1"/>
  <c r="J1089" i="1" l="1"/>
  <c r="G1089" i="1"/>
  <c r="E1090" i="1" s="1"/>
  <c r="C1090" i="1"/>
  <c r="L1089" i="1"/>
  <c r="F1089" i="1" s="1"/>
  <c r="D1090" i="1" l="1"/>
  <c r="B1090" i="1"/>
  <c r="N1090" i="1" s="1"/>
  <c r="Q1090" i="1" s="1"/>
  <c r="O1090" i="1" l="1"/>
  <c r="R1090" i="1" s="1"/>
  <c r="K1090" i="1" s="1"/>
  <c r="P1090" i="1"/>
  <c r="S1090" i="1" s="1"/>
  <c r="M1090" i="1" s="1"/>
  <c r="I1090" i="1"/>
  <c r="J1090" i="1"/>
  <c r="H1090" i="1" l="1"/>
  <c r="G1090" i="1"/>
  <c r="L1090" i="1"/>
  <c r="F1090" i="1" s="1"/>
  <c r="D1091" i="1" l="1"/>
  <c r="B1091" i="1"/>
  <c r="C1091" i="1"/>
  <c r="E1091" i="1"/>
  <c r="N1091" i="1" l="1"/>
  <c r="Q1091" i="1" s="1"/>
  <c r="P1091" i="1"/>
  <c r="S1091" i="1" s="1"/>
  <c r="M1091" i="1" s="1"/>
  <c r="O1091" i="1"/>
  <c r="R1091" i="1" s="1"/>
  <c r="K1091" i="1" s="1"/>
  <c r="I1091" i="1"/>
  <c r="J1091" i="1" l="1"/>
  <c r="G1091" i="1"/>
  <c r="C1092" i="1" s="1"/>
  <c r="H1091" i="1"/>
  <c r="E1092" i="1"/>
  <c r="L1091" i="1"/>
  <c r="F1091" i="1" l="1"/>
  <c r="B1092" i="1" l="1"/>
  <c r="N1092" i="1" s="1"/>
  <c r="Q1092" i="1" s="1"/>
  <c r="D1092" i="1"/>
  <c r="P1092" i="1" l="1"/>
  <c r="S1092" i="1" s="1"/>
  <c r="M1092" i="1" s="1"/>
  <c r="I1092" i="1"/>
  <c r="O1092" i="1"/>
  <c r="R1092" i="1" s="1"/>
  <c r="K1092" i="1" s="1"/>
  <c r="G1092" i="1" l="1"/>
  <c r="J1092" i="1"/>
  <c r="H1092" i="1"/>
  <c r="E1093" i="1"/>
  <c r="C1093" i="1"/>
  <c r="L1092" i="1"/>
  <c r="F1092" i="1" l="1"/>
  <c r="D1093" i="1" l="1"/>
  <c r="B1093" i="1"/>
  <c r="N1093" i="1" s="1"/>
  <c r="Q1093" i="1" s="1"/>
  <c r="O1093" i="1" l="1"/>
  <c r="R1093" i="1" s="1"/>
  <c r="K1093" i="1" s="1"/>
  <c r="I1093" i="1"/>
  <c r="P1093" i="1"/>
  <c r="S1093" i="1" s="1"/>
  <c r="M1093" i="1" s="1"/>
  <c r="H1093" i="1"/>
  <c r="J1093" i="1"/>
  <c r="G1093" i="1" l="1"/>
  <c r="L1093" i="1"/>
  <c r="F1093" i="1" s="1"/>
  <c r="B1094" i="1" l="1"/>
  <c r="D1094" i="1"/>
  <c r="E1094" i="1"/>
  <c r="C1094" i="1"/>
  <c r="N1094" i="1" l="1"/>
  <c r="Q1094" i="1" s="1"/>
  <c r="O1094" i="1"/>
  <c r="R1094" i="1" s="1"/>
  <c r="K1094" i="1" s="1"/>
  <c r="I1094" i="1"/>
  <c r="P1094" i="1"/>
  <c r="S1094" i="1" s="1"/>
  <c r="M1094" i="1" s="1"/>
  <c r="G1094" i="1" l="1"/>
  <c r="E1095" i="1" s="1"/>
  <c r="H1094" i="1"/>
  <c r="C1095" i="1"/>
  <c r="L1094" i="1"/>
  <c r="J1094" i="1"/>
  <c r="F1094" i="1" s="1"/>
  <c r="B1095" i="1" l="1"/>
  <c r="N1095" i="1" s="1"/>
  <c r="Q1095" i="1" s="1"/>
  <c r="D1095" i="1"/>
  <c r="P1095" i="1" l="1"/>
  <c r="S1095" i="1" s="1"/>
  <c r="M1095" i="1" s="1"/>
  <c r="I1095" i="1"/>
  <c r="O1095" i="1"/>
  <c r="R1095" i="1" s="1"/>
  <c r="K1095" i="1" s="1"/>
  <c r="G1095" i="1" l="1"/>
  <c r="H1095" i="1"/>
  <c r="J1095" i="1"/>
  <c r="E1096" i="1"/>
  <c r="C1096" i="1"/>
  <c r="L1095" i="1"/>
  <c r="F1095" i="1" l="1"/>
  <c r="D1096" i="1" l="1"/>
  <c r="B1096" i="1"/>
  <c r="N1096" i="1" s="1"/>
  <c r="Q1096" i="1" s="1"/>
  <c r="O1096" i="1" l="1"/>
  <c r="R1096" i="1" s="1"/>
  <c r="K1096" i="1" s="1"/>
  <c r="P1096" i="1"/>
  <c r="S1096" i="1" s="1"/>
  <c r="M1096" i="1" s="1"/>
  <c r="I1096" i="1"/>
  <c r="J1096" i="1"/>
  <c r="G1096" i="1" l="1"/>
  <c r="H1096" i="1"/>
  <c r="E1097" i="1"/>
  <c r="C1097" i="1"/>
  <c r="L1096" i="1"/>
  <c r="F1096" i="1" s="1"/>
  <c r="B1097" i="1" l="1"/>
  <c r="N1097" i="1" s="1"/>
  <c r="Q1097" i="1" s="1"/>
  <c r="D1097" i="1"/>
  <c r="P1097" i="1" l="1"/>
  <c r="S1097" i="1" s="1"/>
  <c r="M1097" i="1" s="1"/>
  <c r="I1097" i="1"/>
  <c r="O1097" i="1"/>
  <c r="R1097" i="1" s="1"/>
  <c r="K1097" i="1" s="1"/>
  <c r="G1097" i="1" l="1"/>
  <c r="H1097" i="1"/>
  <c r="J1097" i="1"/>
  <c r="E1098" i="1"/>
  <c r="C1098" i="1"/>
  <c r="L1097" i="1"/>
  <c r="F1097" i="1" l="1"/>
  <c r="D1098" i="1" l="1"/>
  <c r="B1098" i="1"/>
  <c r="N1098" i="1" s="1"/>
  <c r="Q1098" i="1" s="1"/>
  <c r="P1098" i="1" l="1"/>
  <c r="S1098" i="1" s="1"/>
  <c r="M1098" i="1" s="1"/>
  <c r="I1098" i="1"/>
  <c r="O1098" i="1"/>
  <c r="R1098" i="1" s="1"/>
  <c r="K1098" i="1" s="1"/>
  <c r="J1098" i="1" l="1"/>
  <c r="H1098" i="1"/>
  <c r="G1098" i="1"/>
  <c r="L1098" i="1"/>
  <c r="F1098" i="1" s="1"/>
  <c r="D1099" i="1" l="1"/>
  <c r="B1099" i="1"/>
  <c r="C1099" i="1"/>
  <c r="E1099" i="1"/>
  <c r="N1099" i="1" l="1"/>
  <c r="Q1099" i="1" s="1"/>
  <c r="O1099" i="1"/>
  <c r="R1099" i="1" s="1"/>
  <c r="K1099" i="1" s="1"/>
  <c r="P1099" i="1"/>
  <c r="S1099" i="1" s="1"/>
  <c r="M1099" i="1" s="1"/>
  <c r="I1099" i="1" l="1"/>
  <c r="H1099" i="1"/>
  <c r="J1099" i="1"/>
  <c r="G1099" i="1"/>
  <c r="C1100" i="1" s="1"/>
  <c r="L1099" i="1"/>
  <c r="F1099" i="1" s="1"/>
  <c r="E1100" i="1" l="1"/>
  <c r="B1100" i="1"/>
  <c r="N1100" i="1" s="1"/>
  <c r="Q1100" i="1" s="1"/>
  <c r="D1100" i="1"/>
  <c r="P1100" i="1" l="1"/>
  <c r="S1100" i="1" s="1"/>
  <c r="M1100" i="1" s="1"/>
  <c r="O1100" i="1"/>
  <c r="R1100" i="1" s="1"/>
  <c r="K1100" i="1" s="1"/>
  <c r="I1100" i="1"/>
  <c r="J1100" i="1" l="1"/>
  <c r="G1100" i="1"/>
  <c r="H1100" i="1"/>
  <c r="L1100" i="1"/>
  <c r="F1100" i="1" l="1"/>
  <c r="D1101" i="1"/>
  <c r="B1101" i="1"/>
  <c r="E1101" i="1"/>
  <c r="C1101" i="1"/>
  <c r="N1101" i="1" l="1"/>
  <c r="Q1101" i="1" s="1"/>
  <c r="P1101" i="1"/>
  <c r="S1101" i="1" s="1"/>
  <c r="M1101" i="1" s="1"/>
  <c r="O1101" i="1"/>
  <c r="R1101" i="1" s="1"/>
  <c r="K1101" i="1" s="1"/>
  <c r="I1101" i="1"/>
  <c r="H1101" i="1"/>
  <c r="G1101" i="1" l="1"/>
  <c r="J1101" i="1"/>
  <c r="L1101" i="1"/>
  <c r="F1101" i="1" l="1"/>
  <c r="E1102" i="1"/>
  <c r="C1102" i="1"/>
  <c r="B1102" i="1" l="1"/>
  <c r="N1102" i="1" s="1"/>
  <c r="Q1102" i="1" s="1"/>
  <c r="D1102" i="1"/>
  <c r="P1102" i="1" l="1"/>
  <c r="S1102" i="1" s="1"/>
  <c r="M1102" i="1" s="1"/>
  <c r="I1102" i="1"/>
  <c r="O1102" i="1"/>
  <c r="R1102" i="1" s="1"/>
  <c r="K1102" i="1" s="1"/>
  <c r="J1102" i="1" l="1"/>
  <c r="H1102" i="1"/>
  <c r="G1102" i="1"/>
  <c r="L1102" i="1"/>
  <c r="F1102" i="1" s="1"/>
  <c r="D1103" i="1" l="1"/>
  <c r="B1103" i="1"/>
  <c r="E1103" i="1"/>
  <c r="C1103" i="1"/>
  <c r="N1103" i="1" l="1"/>
  <c r="P1103" i="1"/>
  <c r="S1103" i="1" s="1"/>
  <c r="M1103" i="1" s="1"/>
  <c r="O1103" i="1"/>
  <c r="R1103" i="1" s="1"/>
  <c r="K1103" i="1" s="1"/>
  <c r="Q1103" i="1" l="1"/>
  <c r="I1103" i="1" s="1"/>
  <c r="G1103" i="1" s="1"/>
  <c r="J1103" i="1"/>
  <c r="L1103" i="1"/>
  <c r="H1103" i="1"/>
  <c r="F1103" i="1" s="1"/>
  <c r="C1104" i="1" l="1"/>
  <c r="E1104" i="1"/>
  <c r="B1104" i="1"/>
  <c r="N1104" i="1" s="1"/>
  <c r="Q1104" i="1" s="1"/>
  <c r="D1104" i="1"/>
  <c r="I1104" i="1" l="1"/>
  <c r="P1104" i="1"/>
  <c r="S1104" i="1" s="1"/>
  <c r="M1104" i="1" s="1"/>
  <c r="O1104" i="1"/>
  <c r="R1104" i="1" s="1"/>
  <c r="K1104" i="1" s="1"/>
  <c r="H1104" i="1"/>
  <c r="J1104" i="1" l="1"/>
  <c r="G1104" i="1"/>
  <c r="C1105" i="1"/>
  <c r="E1105" i="1"/>
  <c r="L1104" i="1"/>
  <c r="F1104" i="1" s="1"/>
  <c r="D1105" i="1" l="1"/>
  <c r="B1105" i="1"/>
  <c r="N1105" i="1" s="1"/>
  <c r="Q1105" i="1" s="1"/>
  <c r="I1105" i="1" l="1"/>
  <c r="P1105" i="1"/>
  <c r="S1105" i="1" s="1"/>
  <c r="M1105" i="1" s="1"/>
  <c r="O1105" i="1"/>
  <c r="R1105" i="1" s="1"/>
  <c r="K1105" i="1" s="1"/>
  <c r="G1105" i="1" s="1"/>
  <c r="H1105" i="1"/>
  <c r="C1106" i="1" l="1"/>
  <c r="E1106" i="1"/>
  <c r="J1105" i="1"/>
  <c r="L1105" i="1"/>
  <c r="F1105" i="1" l="1"/>
  <c r="B1106" i="1"/>
  <c r="N1106" i="1" s="1"/>
  <c r="Q1106" i="1" s="1"/>
  <c r="D1106" i="1"/>
  <c r="P1106" i="1" l="1"/>
  <c r="S1106" i="1" s="1"/>
  <c r="M1106" i="1" s="1"/>
  <c r="I1106" i="1"/>
  <c r="O1106" i="1"/>
  <c r="R1106" i="1" s="1"/>
  <c r="K1106" i="1" s="1"/>
  <c r="J1106" i="1" l="1"/>
  <c r="G1106" i="1"/>
  <c r="H1106" i="1"/>
  <c r="C1107" i="1"/>
  <c r="E1107" i="1"/>
  <c r="L1106" i="1"/>
  <c r="F1106" i="1" s="1"/>
  <c r="D1107" i="1" l="1"/>
  <c r="B1107" i="1"/>
  <c r="N1107" i="1" s="1"/>
  <c r="Q1107" i="1" s="1"/>
  <c r="P1107" i="1" l="1"/>
  <c r="S1107" i="1" s="1"/>
  <c r="M1107" i="1" s="1"/>
  <c r="O1107" i="1"/>
  <c r="R1107" i="1" s="1"/>
  <c r="J1107" i="1" l="1"/>
  <c r="K1107" i="1"/>
  <c r="H1107" i="1"/>
  <c r="I1107" i="1"/>
  <c r="G1107" i="1" s="1"/>
  <c r="L1107" i="1"/>
  <c r="C1108" i="1" l="1"/>
  <c r="E1108" i="1"/>
  <c r="F1107" i="1"/>
  <c r="B1108" i="1" l="1"/>
  <c r="N1108" i="1" s="1"/>
  <c r="Q1108" i="1" s="1"/>
  <c r="D1108" i="1"/>
  <c r="O1108" i="1" l="1"/>
  <c r="R1108" i="1" s="1"/>
  <c r="K1108" i="1" s="1"/>
  <c r="P1108" i="1"/>
  <c r="S1108" i="1" s="1"/>
  <c r="M1108" i="1" s="1"/>
  <c r="J1108" i="1"/>
  <c r="H1108" i="1" l="1"/>
  <c r="I1108" i="1"/>
  <c r="G1108" i="1" s="1"/>
  <c r="L1108" i="1"/>
  <c r="F1108" i="1" s="1"/>
  <c r="D1109" i="1" l="1"/>
  <c r="B1109" i="1"/>
  <c r="C1109" i="1"/>
  <c r="E1109" i="1"/>
  <c r="N1109" i="1" l="1"/>
  <c r="Q1109" i="1" s="1"/>
  <c r="P1109" i="1"/>
  <c r="S1109" i="1" s="1"/>
  <c r="M1109" i="1" s="1"/>
  <c r="I1109" i="1"/>
  <c r="O1109" i="1"/>
  <c r="R1109" i="1" s="1"/>
  <c r="K1109" i="1" s="1"/>
  <c r="G1109" i="1" l="1"/>
  <c r="J1109" i="1"/>
  <c r="H1109" i="1"/>
  <c r="L1109" i="1"/>
  <c r="F1109" i="1" l="1"/>
  <c r="C1110" i="1"/>
  <c r="E1110" i="1"/>
  <c r="B1110" i="1" l="1"/>
  <c r="N1110" i="1" s="1"/>
  <c r="Q1110" i="1" s="1"/>
  <c r="D1110" i="1"/>
  <c r="I1110" i="1" l="1"/>
  <c r="P1110" i="1"/>
  <c r="S1110" i="1" s="1"/>
  <c r="M1110" i="1" s="1"/>
  <c r="O1110" i="1"/>
  <c r="R1110" i="1" s="1"/>
  <c r="H1110" i="1"/>
  <c r="J1110" i="1" l="1"/>
  <c r="K1110" i="1"/>
  <c r="G1110" i="1"/>
  <c r="L1110" i="1"/>
  <c r="F1110" i="1" s="1"/>
  <c r="D1111" i="1" l="1"/>
  <c r="B1111" i="1"/>
  <c r="E1111" i="1"/>
  <c r="C1111" i="1"/>
  <c r="N1111" i="1" l="1"/>
  <c r="Q1111" i="1" s="1"/>
  <c r="P1111" i="1"/>
  <c r="S1111" i="1" s="1"/>
  <c r="O1111" i="1"/>
  <c r="R1111" i="1" s="1"/>
  <c r="K1111" i="1" s="1"/>
  <c r="I1111" i="1"/>
  <c r="J1111" i="1" l="1"/>
  <c r="M1111" i="1"/>
  <c r="G1111" i="1" s="1"/>
  <c r="L1111" i="1"/>
  <c r="H1111" i="1"/>
  <c r="F1111" i="1" s="1"/>
  <c r="E1112" i="1" l="1"/>
  <c r="C1112" i="1"/>
  <c r="B1112" i="1"/>
  <c r="N1112" i="1" s="1"/>
  <c r="Q1112" i="1" s="1"/>
  <c r="D1112" i="1"/>
  <c r="P1112" i="1" l="1"/>
  <c r="S1112" i="1" s="1"/>
  <c r="M1112" i="1" s="1"/>
  <c r="O1112" i="1"/>
  <c r="R1112" i="1" s="1"/>
  <c r="K1112" i="1" s="1"/>
  <c r="I1112" i="1"/>
  <c r="J1112" i="1" l="1"/>
  <c r="G1112" i="1"/>
  <c r="H1112" i="1"/>
  <c r="L1112" i="1"/>
  <c r="F1112" i="1" l="1"/>
  <c r="E1113" i="1"/>
  <c r="C1113" i="1"/>
  <c r="D1113" i="1" l="1"/>
  <c r="B1113" i="1"/>
  <c r="N1113" i="1" s="1"/>
  <c r="Q1113" i="1" s="1"/>
  <c r="P1113" i="1" l="1"/>
  <c r="S1113" i="1" s="1"/>
  <c r="M1113" i="1" s="1"/>
  <c r="O1113" i="1"/>
  <c r="R1113" i="1" s="1"/>
  <c r="K1113" i="1" s="1"/>
  <c r="I1113" i="1"/>
  <c r="J1113" i="1" l="1"/>
  <c r="H1113" i="1"/>
  <c r="G1113" i="1"/>
  <c r="L1113" i="1"/>
  <c r="F1113" i="1" s="1"/>
  <c r="D1114" i="1" l="1"/>
  <c r="B1114" i="1"/>
  <c r="C1114" i="1"/>
  <c r="E1114" i="1"/>
  <c r="N1114" i="1" l="1"/>
  <c r="Q1114" i="1" s="1"/>
  <c r="P1114" i="1"/>
  <c r="S1114" i="1" s="1"/>
  <c r="M1114" i="1" s="1"/>
  <c r="O1114" i="1"/>
  <c r="R1114" i="1" s="1"/>
  <c r="K1114" i="1" s="1"/>
  <c r="I1114" i="1"/>
  <c r="J1114" i="1" l="1"/>
  <c r="G1114" i="1"/>
  <c r="E1115" i="1" s="1"/>
  <c r="H1114" i="1"/>
  <c r="L1114" i="1"/>
  <c r="C1115" i="1"/>
  <c r="F1114" i="1" l="1"/>
  <c r="B1115" i="1"/>
  <c r="N1115" i="1" s="1"/>
  <c r="Q1115" i="1" s="1"/>
  <c r="D1115" i="1"/>
  <c r="O1115" i="1" l="1"/>
  <c r="R1115" i="1" s="1"/>
  <c r="K1115" i="1" s="1"/>
  <c r="P1115" i="1"/>
  <c r="S1115" i="1" s="1"/>
  <c r="M1115" i="1" s="1"/>
  <c r="J1115" i="1"/>
  <c r="H1115" i="1" l="1"/>
  <c r="I1115" i="1"/>
  <c r="G1115" i="1" s="1"/>
  <c r="L1115" i="1"/>
  <c r="F1115" i="1" s="1"/>
  <c r="D1116" i="1" l="1"/>
  <c r="B1116" i="1"/>
  <c r="E1116" i="1"/>
  <c r="C1116" i="1"/>
  <c r="N1116" i="1" l="1"/>
  <c r="O1116" i="1"/>
  <c r="R1116" i="1" s="1"/>
  <c r="K1116" i="1" s="1"/>
  <c r="P1116" i="1"/>
  <c r="S1116" i="1" s="1"/>
  <c r="Q1116" i="1" l="1"/>
  <c r="I1116" i="1" s="1"/>
  <c r="J1116" i="1"/>
  <c r="M1116" i="1"/>
  <c r="L1116" i="1"/>
  <c r="H1116" i="1" l="1"/>
  <c r="F1116" i="1" s="1"/>
  <c r="G1116" i="1"/>
  <c r="E1117" i="1" s="1"/>
  <c r="C1117" i="1"/>
  <c r="B1117" i="1"/>
  <c r="D1117" i="1"/>
  <c r="N1117" i="1" l="1"/>
  <c r="Q1117" i="1" s="1"/>
  <c r="P1117" i="1"/>
  <c r="S1117" i="1" s="1"/>
  <c r="M1117" i="1" s="1"/>
  <c r="O1117" i="1"/>
  <c r="R1117" i="1" s="1"/>
  <c r="K1117" i="1" s="1"/>
  <c r="I1117" i="1"/>
  <c r="J1117" i="1" l="1"/>
  <c r="G1117" i="1"/>
  <c r="H1117" i="1"/>
  <c r="L1117" i="1"/>
  <c r="F1117" i="1" l="1"/>
  <c r="D1118" i="1"/>
  <c r="B1118" i="1"/>
  <c r="C1118" i="1"/>
  <c r="E1118" i="1"/>
  <c r="N1118" i="1" l="1"/>
  <c r="Q1118" i="1" s="1"/>
  <c r="P1118" i="1"/>
  <c r="S1118" i="1" s="1"/>
  <c r="M1118" i="1" s="1"/>
  <c r="I1118" i="1"/>
  <c r="O1118" i="1"/>
  <c r="R1118" i="1" s="1"/>
  <c r="K1118" i="1" s="1"/>
  <c r="G1118" i="1" l="1"/>
  <c r="C1119" i="1"/>
  <c r="E1119" i="1"/>
  <c r="J1118" i="1"/>
  <c r="H1118" i="1"/>
  <c r="L1118" i="1"/>
  <c r="F1118" i="1" l="1"/>
  <c r="D1119" i="1" l="1"/>
  <c r="B1119" i="1"/>
  <c r="N1119" i="1" s="1"/>
  <c r="Q1119" i="1" s="1"/>
  <c r="I1119" i="1" l="1"/>
  <c r="O1119" i="1"/>
  <c r="R1119" i="1" s="1"/>
  <c r="K1119" i="1" s="1"/>
  <c r="H1119" i="1"/>
  <c r="P1119" i="1"/>
  <c r="S1119" i="1" s="1"/>
  <c r="M1119" i="1" s="1"/>
  <c r="J1119" i="1"/>
  <c r="G1119" i="1" l="1"/>
  <c r="E1120" i="1"/>
  <c r="C1120" i="1"/>
  <c r="L1119" i="1"/>
  <c r="F1119" i="1" s="1"/>
  <c r="B1120" i="1" l="1"/>
  <c r="N1120" i="1" s="1"/>
  <c r="Q1120" i="1" s="1"/>
  <c r="D1120" i="1"/>
  <c r="O1120" i="1" l="1"/>
  <c r="R1120" i="1" s="1"/>
  <c r="K1120" i="1" s="1"/>
  <c r="P1120" i="1"/>
  <c r="S1120" i="1" s="1"/>
  <c r="M1120" i="1" s="1"/>
  <c r="I1120" i="1"/>
  <c r="J1120" i="1"/>
  <c r="G1120" i="1" l="1"/>
  <c r="C1121" i="1"/>
  <c r="E1121" i="1"/>
  <c r="H1120" i="1"/>
  <c r="L1120" i="1"/>
  <c r="F1120" i="1" l="1"/>
  <c r="D1121" i="1"/>
  <c r="B1121" i="1"/>
  <c r="N1121" i="1" s="1"/>
  <c r="Q1121" i="1" s="1"/>
  <c r="P1121" i="1" l="1"/>
  <c r="S1121" i="1" s="1"/>
  <c r="O1121" i="1"/>
  <c r="R1121" i="1" s="1"/>
  <c r="K1121" i="1" s="1"/>
  <c r="I1121" i="1"/>
  <c r="J1121" i="1" l="1"/>
  <c r="M1121" i="1"/>
  <c r="G1121" i="1" s="1"/>
  <c r="H1121" i="1"/>
  <c r="L1121" i="1"/>
  <c r="C1122" i="1" l="1"/>
  <c r="E1122" i="1"/>
  <c r="F1121" i="1"/>
  <c r="B1122" i="1" l="1"/>
  <c r="N1122" i="1" s="1"/>
  <c r="Q1122" i="1" s="1"/>
  <c r="D1122" i="1"/>
  <c r="P1122" i="1" l="1"/>
  <c r="S1122" i="1" s="1"/>
  <c r="M1122" i="1" s="1"/>
  <c r="I1122" i="1"/>
  <c r="O1122" i="1"/>
  <c r="R1122" i="1" s="1"/>
  <c r="K1122" i="1" s="1"/>
  <c r="G1122" i="1" l="1"/>
  <c r="J1122" i="1"/>
  <c r="H1122" i="1"/>
  <c r="E1123" i="1"/>
  <c r="C1123" i="1"/>
  <c r="L1122" i="1"/>
  <c r="F1122" i="1" l="1"/>
  <c r="D1123" i="1" l="1"/>
  <c r="B1123" i="1"/>
  <c r="N1123" i="1" s="1"/>
  <c r="Q1123" i="1" s="1"/>
  <c r="O1123" i="1" l="1"/>
  <c r="R1123" i="1" s="1"/>
  <c r="K1123" i="1" s="1"/>
  <c r="I1123" i="1"/>
  <c r="P1123" i="1"/>
  <c r="S1123" i="1" s="1"/>
  <c r="M1123" i="1" s="1"/>
  <c r="J1123" i="1" l="1"/>
  <c r="G1123" i="1"/>
  <c r="H1123" i="1"/>
  <c r="E1124" i="1"/>
  <c r="C1124" i="1"/>
  <c r="L1123" i="1"/>
  <c r="F1123" i="1" s="1"/>
  <c r="D1124" i="1" l="1"/>
  <c r="B1124" i="1"/>
  <c r="N1124" i="1" s="1"/>
  <c r="Q1124" i="1" s="1"/>
  <c r="P1124" i="1" l="1"/>
  <c r="S1124" i="1" s="1"/>
  <c r="M1124" i="1" s="1"/>
  <c r="I1124" i="1"/>
  <c r="O1124" i="1"/>
  <c r="R1124" i="1" s="1"/>
  <c r="K1124" i="1" s="1"/>
  <c r="J1124" i="1" l="1"/>
  <c r="H1124" i="1"/>
  <c r="G1124" i="1"/>
  <c r="L1124" i="1"/>
  <c r="F1124" i="1" s="1"/>
  <c r="B1125" i="1" l="1"/>
  <c r="D1125" i="1"/>
  <c r="C1125" i="1"/>
  <c r="E1125" i="1"/>
  <c r="N1125" i="1" l="1"/>
  <c r="O1125" i="1"/>
  <c r="R1125" i="1" s="1"/>
  <c r="K1125" i="1" s="1"/>
  <c r="P1125" i="1"/>
  <c r="S1125" i="1" s="1"/>
  <c r="M1125" i="1" s="1"/>
  <c r="Q1125" i="1" l="1"/>
  <c r="I1125" i="1" s="1"/>
  <c r="G1125" i="1" s="1"/>
  <c r="L1125" i="1"/>
  <c r="J1125" i="1"/>
  <c r="H1125" i="1" l="1"/>
  <c r="F1125" i="1"/>
  <c r="C1126" i="1"/>
  <c r="E1126" i="1"/>
  <c r="D1126" i="1" l="1"/>
  <c r="B1126" i="1"/>
  <c r="N1126" i="1" s="1"/>
  <c r="Q1126" i="1" s="1"/>
  <c r="I1126" i="1" l="1"/>
  <c r="O1126" i="1"/>
  <c r="R1126" i="1" s="1"/>
  <c r="P1126" i="1"/>
  <c r="S1126" i="1" s="1"/>
  <c r="M1126" i="1" s="1"/>
  <c r="H1126" i="1"/>
  <c r="J1126" i="1" l="1"/>
  <c r="K1126" i="1"/>
  <c r="G1126" i="1" s="1"/>
  <c r="L1126" i="1"/>
  <c r="F1126" i="1" l="1"/>
  <c r="B1127" i="1"/>
  <c r="D1127" i="1"/>
  <c r="E1127" i="1"/>
  <c r="C1127" i="1"/>
  <c r="N1127" i="1" l="1"/>
  <c r="Q1127" i="1" s="1"/>
  <c r="I1127" i="1" s="1"/>
  <c r="P1127" i="1"/>
  <c r="S1127" i="1" s="1"/>
  <c r="M1127" i="1" s="1"/>
  <c r="O1127" i="1"/>
  <c r="R1127" i="1" s="1"/>
  <c r="K1127" i="1" s="1"/>
  <c r="H1127" i="1"/>
  <c r="J1127" i="1" l="1"/>
  <c r="G1127" i="1"/>
  <c r="L1127" i="1"/>
  <c r="F1127" i="1" s="1"/>
  <c r="B1128" i="1" l="1"/>
  <c r="D1128" i="1"/>
  <c r="C1128" i="1"/>
  <c r="E1128" i="1"/>
  <c r="N1128" i="1" l="1"/>
  <c r="Q1128" i="1" s="1"/>
  <c r="O1128" i="1"/>
  <c r="R1128" i="1" s="1"/>
  <c r="K1128" i="1" s="1"/>
  <c r="P1128" i="1"/>
  <c r="S1128" i="1" s="1"/>
  <c r="M1128" i="1" s="1"/>
  <c r="I1128" i="1"/>
  <c r="J1128" i="1"/>
  <c r="G1128" i="1" l="1"/>
  <c r="L1128" i="1"/>
  <c r="H1128" i="1"/>
  <c r="F1128" i="1" s="1"/>
  <c r="B1129" i="1" l="1"/>
  <c r="D1129" i="1"/>
  <c r="C1129" i="1"/>
  <c r="E1129" i="1"/>
  <c r="N1129" i="1" l="1"/>
  <c r="Q1129" i="1" s="1"/>
  <c r="O1129" i="1"/>
  <c r="R1129" i="1" s="1"/>
  <c r="K1129" i="1" s="1"/>
  <c r="P1129" i="1"/>
  <c r="S1129" i="1" s="1"/>
  <c r="M1129" i="1" s="1"/>
  <c r="I1129" i="1"/>
  <c r="G1129" i="1" l="1"/>
  <c r="H1129" i="1"/>
  <c r="C1130" i="1"/>
  <c r="E1130" i="1"/>
  <c r="L1129" i="1"/>
  <c r="J1129" i="1"/>
  <c r="F1129" i="1" s="1"/>
  <c r="B1130" i="1" l="1"/>
  <c r="N1130" i="1" s="1"/>
  <c r="Q1130" i="1" s="1"/>
  <c r="D1130" i="1"/>
  <c r="O1130" i="1" l="1"/>
  <c r="R1130" i="1" s="1"/>
  <c r="K1130" i="1" s="1"/>
  <c r="I1130" i="1"/>
  <c r="P1130" i="1"/>
  <c r="S1130" i="1" s="1"/>
  <c r="M1130" i="1" s="1"/>
  <c r="J1130" i="1"/>
  <c r="H1130" i="1" l="1"/>
  <c r="G1130" i="1"/>
  <c r="L1130" i="1"/>
  <c r="F1130" i="1" s="1"/>
  <c r="D1131" i="1" l="1"/>
  <c r="B1131" i="1"/>
  <c r="E1131" i="1"/>
  <c r="C1131" i="1"/>
  <c r="N1131" i="1" l="1"/>
  <c r="Q1131" i="1" s="1"/>
  <c r="O1131" i="1"/>
  <c r="R1131" i="1" s="1"/>
  <c r="K1131" i="1" s="1"/>
  <c r="P1131" i="1"/>
  <c r="S1131" i="1" s="1"/>
  <c r="M1131" i="1" s="1"/>
  <c r="I1131" i="1"/>
  <c r="J1131" i="1" l="1"/>
  <c r="G1131" i="1"/>
  <c r="E1132" i="1" s="1"/>
  <c r="H1131" i="1"/>
  <c r="L1131" i="1"/>
  <c r="F1131" i="1" s="1"/>
  <c r="C1132" i="1" l="1"/>
  <c r="B1132" i="1"/>
  <c r="N1132" i="1" s="1"/>
  <c r="Q1132" i="1" s="1"/>
  <c r="D1132" i="1"/>
  <c r="O1132" i="1" l="1"/>
  <c r="R1132" i="1" s="1"/>
  <c r="K1132" i="1" s="1"/>
  <c r="P1132" i="1"/>
  <c r="S1132" i="1" s="1"/>
  <c r="M1132" i="1" s="1"/>
  <c r="J1132" i="1" l="1"/>
  <c r="H1132" i="1"/>
  <c r="I1132" i="1"/>
  <c r="G1132" i="1" s="1"/>
  <c r="L1132" i="1"/>
  <c r="E1133" i="1" l="1"/>
  <c r="C1133" i="1"/>
  <c r="F1132" i="1"/>
  <c r="D1133" i="1" l="1"/>
  <c r="B1133" i="1"/>
  <c r="N1133" i="1" s="1"/>
  <c r="Q1133" i="1" s="1"/>
  <c r="P1133" i="1" l="1"/>
  <c r="S1133" i="1" s="1"/>
  <c r="M1133" i="1" s="1"/>
  <c r="I1133" i="1"/>
  <c r="O1133" i="1"/>
  <c r="R1133" i="1" s="1"/>
  <c r="K1133" i="1" s="1"/>
  <c r="G1133" i="1" s="1"/>
  <c r="H1133" i="1"/>
  <c r="J1133" i="1" l="1"/>
  <c r="C1134" i="1"/>
  <c r="E1134" i="1"/>
  <c r="L1133" i="1"/>
  <c r="F1133" i="1" s="1"/>
  <c r="D1134" i="1" l="1"/>
  <c r="B1134" i="1"/>
  <c r="N1134" i="1" s="1"/>
  <c r="Q1134" i="1" s="1"/>
  <c r="P1134" i="1" l="1"/>
  <c r="S1134" i="1" s="1"/>
  <c r="M1134" i="1" s="1"/>
  <c r="I1134" i="1"/>
  <c r="O1134" i="1"/>
  <c r="R1134" i="1" s="1"/>
  <c r="K1134" i="1" s="1"/>
  <c r="H1134" i="1"/>
  <c r="J1134" i="1" l="1"/>
  <c r="G1134" i="1"/>
  <c r="L1134" i="1"/>
  <c r="F1134" i="1" s="1"/>
  <c r="B1135" i="1" l="1"/>
  <c r="D1135" i="1"/>
  <c r="C1135" i="1"/>
  <c r="E1135" i="1"/>
  <c r="N1135" i="1" l="1"/>
  <c r="Q1135" i="1" s="1"/>
  <c r="P1135" i="1"/>
  <c r="S1135" i="1" s="1"/>
  <c r="M1135" i="1" s="1"/>
  <c r="O1135" i="1"/>
  <c r="R1135" i="1" s="1"/>
  <c r="K1135" i="1" s="1"/>
  <c r="I1135" i="1"/>
  <c r="H1135" i="1" l="1"/>
  <c r="G1135" i="1"/>
  <c r="L1135" i="1"/>
  <c r="J1135" i="1"/>
  <c r="F1135" i="1" s="1"/>
  <c r="B1136" i="1" l="1"/>
  <c r="D1136" i="1"/>
  <c r="C1136" i="1"/>
  <c r="E1136" i="1"/>
  <c r="N1136" i="1" l="1"/>
  <c r="Q1136" i="1" s="1"/>
  <c r="O1136" i="1"/>
  <c r="R1136" i="1" s="1"/>
  <c r="K1136" i="1" s="1"/>
  <c r="I1136" i="1"/>
  <c r="P1136" i="1"/>
  <c r="S1136" i="1" s="1"/>
  <c r="M1136" i="1" s="1"/>
  <c r="H1136" i="1"/>
  <c r="G1136" i="1" l="1"/>
  <c r="L1136" i="1"/>
  <c r="J1136" i="1"/>
  <c r="F1136" i="1" s="1"/>
  <c r="D1137" i="1" l="1"/>
  <c r="B1137" i="1"/>
  <c r="C1137" i="1"/>
  <c r="E1137" i="1"/>
  <c r="N1137" i="1" l="1"/>
  <c r="Q1137" i="1" s="1"/>
  <c r="O1137" i="1"/>
  <c r="R1137" i="1" s="1"/>
  <c r="K1137" i="1" s="1"/>
  <c r="I1137" i="1"/>
  <c r="P1137" i="1"/>
  <c r="S1137" i="1" s="1"/>
  <c r="M1137" i="1" s="1"/>
  <c r="J1137" i="1" l="1"/>
  <c r="G1137" i="1"/>
  <c r="H1137" i="1"/>
  <c r="L1137" i="1"/>
  <c r="F1137" i="1" l="1"/>
  <c r="D1138" i="1"/>
  <c r="B1138" i="1"/>
  <c r="C1138" i="1"/>
  <c r="E1138" i="1"/>
  <c r="N1138" i="1" l="1"/>
  <c r="Q1138" i="1" s="1"/>
  <c r="O1138" i="1"/>
  <c r="R1138" i="1" s="1"/>
  <c r="K1138" i="1" s="1"/>
  <c r="P1138" i="1"/>
  <c r="S1138" i="1" s="1"/>
  <c r="M1138" i="1" s="1"/>
  <c r="I1138" i="1"/>
  <c r="J1138" i="1"/>
  <c r="G1138" i="1" l="1"/>
  <c r="C1139" i="1" s="1"/>
  <c r="H1138" i="1"/>
  <c r="E1139" i="1"/>
  <c r="L1138" i="1"/>
  <c r="F1138" i="1" l="1"/>
  <c r="B1139" i="1" l="1"/>
  <c r="N1139" i="1" s="1"/>
  <c r="Q1139" i="1" s="1"/>
  <c r="D1139" i="1"/>
  <c r="O1139" i="1" l="1"/>
  <c r="R1139" i="1" s="1"/>
  <c r="K1139" i="1" s="1"/>
  <c r="I1139" i="1"/>
  <c r="P1139" i="1"/>
  <c r="S1139" i="1" s="1"/>
  <c r="M1139" i="1" s="1"/>
  <c r="J1139" i="1"/>
  <c r="G1139" i="1" l="1"/>
  <c r="H1139" i="1"/>
  <c r="E1140" i="1"/>
  <c r="C1140" i="1"/>
  <c r="L1139" i="1"/>
  <c r="F1139" i="1" s="1"/>
  <c r="B1140" i="1" l="1"/>
  <c r="N1140" i="1" s="1"/>
  <c r="Q1140" i="1" s="1"/>
  <c r="D1140" i="1"/>
  <c r="I1140" i="1" l="1"/>
  <c r="O1140" i="1"/>
  <c r="R1140" i="1" s="1"/>
  <c r="K1140" i="1" s="1"/>
  <c r="P1140" i="1"/>
  <c r="S1140" i="1" s="1"/>
  <c r="M1140" i="1" s="1"/>
  <c r="J1140" i="1" l="1"/>
  <c r="G1140" i="1"/>
  <c r="H1140" i="1"/>
  <c r="C1141" i="1"/>
  <c r="E1141" i="1"/>
  <c r="L1140" i="1"/>
  <c r="F1140" i="1" s="1"/>
  <c r="D1141" i="1" l="1"/>
  <c r="B1141" i="1"/>
  <c r="N1141" i="1" s="1"/>
  <c r="Q1141" i="1" s="1"/>
  <c r="O1141" i="1" l="1"/>
  <c r="R1141" i="1" s="1"/>
  <c r="K1141" i="1" s="1"/>
  <c r="P1141" i="1"/>
  <c r="S1141" i="1" s="1"/>
  <c r="M1141" i="1" s="1"/>
  <c r="I1141" i="1"/>
  <c r="J1141" i="1"/>
  <c r="G1141" i="1" l="1"/>
  <c r="E1142" i="1"/>
  <c r="C1142" i="1"/>
  <c r="H1141" i="1"/>
  <c r="L1141" i="1"/>
  <c r="F1141" i="1" l="1"/>
  <c r="B1142" i="1"/>
  <c r="N1142" i="1" s="1"/>
  <c r="Q1142" i="1" s="1"/>
  <c r="D1142" i="1"/>
  <c r="O1142" i="1" l="1"/>
  <c r="R1142" i="1" s="1"/>
  <c r="K1142" i="1" s="1"/>
  <c r="P1142" i="1"/>
  <c r="S1142" i="1" s="1"/>
  <c r="M1142" i="1" s="1"/>
  <c r="I1142" i="1"/>
  <c r="J1142" i="1"/>
  <c r="G1142" i="1" l="1"/>
  <c r="H1142" i="1"/>
  <c r="L1142" i="1"/>
  <c r="F1142" i="1" l="1"/>
  <c r="E1143" i="1"/>
  <c r="C1143" i="1"/>
  <c r="D1143" i="1" l="1"/>
  <c r="B1143" i="1"/>
  <c r="N1143" i="1" s="1"/>
  <c r="Q1143" i="1" s="1"/>
  <c r="P1143" i="1" l="1"/>
  <c r="S1143" i="1" s="1"/>
  <c r="M1143" i="1" s="1"/>
  <c r="O1143" i="1"/>
  <c r="R1143" i="1" s="1"/>
  <c r="K1143" i="1" s="1"/>
  <c r="I1143" i="1"/>
  <c r="J1143" i="1" l="1"/>
  <c r="H1143" i="1"/>
  <c r="G1143" i="1"/>
  <c r="L1143" i="1"/>
  <c r="F1143" i="1" s="1"/>
  <c r="D1144" i="1" l="1"/>
  <c r="B1144" i="1"/>
  <c r="E1144" i="1"/>
  <c r="C1144" i="1"/>
  <c r="N1144" i="1" l="1"/>
  <c r="O1144" i="1"/>
  <c r="R1144" i="1" s="1"/>
  <c r="K1144" i="1" s="1"/>
  <c r="P1144" i="1"/>
  <c r="S1144" i="1" s="1"/>
  <c r="Q1144" i="1" l="1"/>
  <c r="I1144" i="1" s="1"/>
  <c r="M1144" i="1"/>
  <c r="H1144" i="1"/>
  <c r="J1144" i="1"/>
  <c r="L1144" i="1"/>
  <c r="G1144" i="1" l="1"/>
  <c r="F1144" i="1"/>
</calcChain>
</file>

<file path=xl/sharedStrings.xml><?xml version="1.0" encoding="utf-8"?>
<sst xmlns="http://schemas.openxmlformats.org/spreadsheetml/2006/main" count="123" uniqueCount="85">
  <si>
    <t>Conditions initiales de la simulation</t>
  </si>
  <si>
    <t>Paramètres généraux</t>
  </si>
  <si>
    <t>Base de temps</t>
  </si>
  <si>
    <t>Coefficient de friction</t>
  </si>
  <si>
    <t>Ratio de la constante d'Aaseth</t>
  </si>
  <si>
    <t>t</t>
  </si>
  <si>
    <t>seconde</t>
  </si>
  <si>
    <t>mètre/seconde</t>
  </si>
  <si>
    <t>-</t>
  </si>
  <si>
    <t>λ</t>
  </si>
  <si>
    <t>Corsp en mouvement</t>
  </si>
  <si>
    <t>Masse</t>
  </si>
  <si>
    <t>Position initiale</t>
  </si>
  <si>
    <t>Vitesse initiale</t>
  </si>
  <si>
    <t>Accélération initiale</t>
  </si>
  <si>
    <t>Dimension</t>
  </si>
  <si>
    <t>mètre</t>
  </si>
  <si>
    <t>mètre /seconde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</si>
  <si>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</si>
  <si>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</si>
  <si>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</si>
  <si>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</si>
  <si>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</si>
  <si>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</si>
  <si>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</si>
  <si>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Constance d'Aaseth</t>
  </si>
  <si>
    <t>Attraction/Répulsion</t>
  </si>
  <si>
    <t>Attraction</t>
  </si>
  <si>
    <t>gramme</t>
  </si>
  <si>
    <t>m</t>
  </si>
  <si>
    <t>s</t>
  </si>
  <si>
    <t>Corps 2</t>
  </si>
  <si>
    <t>Corps 3</t>
  </si>
  <si>
    <r>
      <t xml:space="preserve">p </t>
    </r>
    <r>
      <rPr>
        <i/>
        <vertAlign val="subscript"/>
        <sz val="11"/>
        <color theme="1"/>
        <rFont val="DejaVu Sans Mono"/>
        <family val="3"/>
      </rPr>
      <t>0,0</t>
    </r>
  </si>
  <si>
    <r>
      <t xml:space="preserve">v </t>
    </r>
    <r>
      <rPr>
        <i/>
        <vertAlign val="subscript"/>
        <sz val="11"/>
        <color theme="1"/>
        <rFont val="DejaVu Sans Mono"/>
        <family val="3"/>
      </rPr>
      <t>0,0</t>
    </r>
  </si>
  <si>
    <r>
      <t>a</t>
    </r>
    <r>
      <rPr>
        <i/>
        <vertAlign val="subscript"/>
        <sz val="11"/>
        <color theme="1"/>
        <rFont val="DejaVu Sans Mono"/>
        <family val="3"/>
      </rPr>
      <t>0,0</t>
    </r>
  </si>
  <si>
    <r>
      <t>mètre /seconde</t>
    </r>
    <r>
      <rPr>
        <i/>
        <vertAlign val="superscript"/>
        <sz val="11"/>
        <color theme="1"/>
        <rFont val="DejaVu Sans Mono"/>
        <family val="3"/>
      </rPr>
      <t>2</t>
    </r>
  </si>
  <si>
    <r>
      <t xml:space="preserve">q </t>
    </r>
    <r>
      <rPr>
        <i/>
        <vertAlign val="subscript"/>
        <sz val="11"/>
        <color theme="1"/>
        <rFont val="DejaVu Sans Mono"/>
        <family val="3"/>
      </rPr>
      <t>xy</t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</si>
  <si>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1</t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</si>
  <si>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1</t>
    </r>
  </si>
  <si>
    <r>
      <t>gramme/mètre</t>
    </r>
    <r>
      <rPr>
        <i/>
        <vertAlign val="superscript"/>
        <sz val="11"/>
        <color theme="1"/>
        <rFont val="DejaVu Sans Mono"/>
        <family val="3"/>
      </rPr>
      <t>2</t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</si>
  <si>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</si>
  <si>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>mètre</t>
    </r>
    <r>
      <rPr>
        <i/>
        <vertAlign val="superscript"/>
        <sz val="11"/>
        <color theme="0" tint="-0.499984740745262"/>
        <rFont val="DejaVu Sans Mono"/>
        <family val="3"/>
      </rPr>
      <t>2</t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</si>
  <si>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</si>
  <si>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</si>
  <si>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1</t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</si>
  <si>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</si>
  <si>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</si>
  <si>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</si>
  <si>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</si>
  <si>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</si>
  <si>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</si>
  <si>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</si>
  <si>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</si>
  <si>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</si>
  <si>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</si>
  <si>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</si>
  <si>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</si>
  <si>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t>Px</t>
  </si>
  <si>
    <t>Py</t>
  </si>
  <si>
    <t>force x 1</t>
  </si>
  <si>
    <t>force y 1</t>
  </si>
  <si>
    <t>force x 2</t>
  </si>
  <si>
    <t>force y 2</t>
  </si>
  <si>
    <t>force x 3</t>
  </si>
  <si>
    <t>force y 3</t>
  </si>
  <si>
    <t>distance 1</t>
  </si>
  <si>
    <t xml:space="preserve">distance 2 </t>
  </si>
  <si>
    <t>distance 3</t>
  </si>
  <si>
    <t>div1</t>
  </si>
  <si>
    <t>div2</t>
  </si>
  <si>
    <t>div3</t>
  </si>
  <si>
    <t>Vitesse x</t>
  </si>
  <si>
    <t>Vitesse y</t>
  </si>
  <si>
    <t>Accélération x</t>
  </si>
  <si>
    <t>Accélération y</t>
  </si>
  <si>
    <t>diff temps</t>
  </si>
  <si>
    <t>x1</t>
  </si>
  <si>
    <t>y1</t>
  </si>
  <si>
    <t>x2</t>
  </si>
  <si>
    <t>y2</t>
  </si>
  <si>
    <t>x3</t>
  </si>
  <si>
    <t>y3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</si>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</sst>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6"/>
      <color theme="1"/>
      <name val="DejaVu Sans Mono"/>
      <family val="3"/>
    </font>
    <font>
      <sz val="11"/>
      <color theme="1"/>
      <name val="DejaVu Sans Mono"/>
      <family val="3"/>
    </font>
    <font>
      <b/>
      <sz val="11"/>
      <color theme="0"/>
      <name val="DejaVu Sans Mono"/>
      <family val="3"/>
    </font>
    <font>
      <b/>
      <sz val="11"/>
      <color theme="1"/>
      <name val="DejaVu Sans Mono"/>
      <family val="3"/>
    </font>
    <font>
      <i/>
      <sz val="11"/>
      <color theme="1"/>
      <name val="DejaVu Sans Mono"/>
      <family val="3"/>
    </font>
    <font>
      <i/>
      <vertAlign val="subscript"/>
      <sz val="11"/>
      <color theme="1"/>
      <name val="DejaVu Sans Mono"/>
      <family val="3"/>
    </font>
    <font>
      <i/>
      <vertAlign val="superscript"/>
      <sz val="11"/>
      <color theme="1"/>
      <name val="DejaVu Sans Mono"/>
      <family val="3"/>
    </font>
    <font>
      <i/>
      <sz val="11"/>
      <color theme="0"/>
      <name val="DejaVu Sans Mono"/>
      <family val="3"/>
    </font>
    <font>
      <sz val="11"/>
      <color theme="0"/>
      <name val="DejaVu Sans Mono"/>
      <family val="3"/>
    </font>
    <font>
      <b/>
      <sz val="11"/>
      <color theme="0" tint="-0.499984740745262"/>
      <name val="DejaVu Sans Mono"/>
      <family val="3"/>
    </font>
    <font>
      <i/>
      <sz val="11"/>
      <color theme="0" tint="-0.499984740745262"/>
      <name val="DejaVu Sans Mono"/>
      <family val="3"/>
    </font>
    <font>
      <i/>
      <vertAlign val="subscript"/>
      <sz val="11"/>
      <color theme="0" tint="-0.499984740745262"/>
      <name val="DejaVu Sans Mono"/>
      <family val="3"/>
    </font>
    <font>
      <sz val="11"/>
      <color theme="0" tint="-0.499984740745262"/>
      <name val="DejaVu Sans Mono"/>
      <family val="3"/>
    </font>
    <font>
      <i/>
      <vertAlign val="superscript"/>
      <sz val="11"/>
      <color theme="0" tint="-0.499984740745262"/>
      <name val="DejaVu Sans Mono"/>
      <family val="3"/>
    </font>
    <font>
      <i/>
      <sz val="11"/>
      <color rgb="FF202122"/>
      <name val="DejaVu Sans Mono"/>
      <family val="3"/>
    </font>
    <font>
      <i/>
      <vertAlign val="subscript"/>
      <sz val="11"/>
      <color rgb="FF202122"/>
      <name val="DejaVu Sans Mono"/>
      <family val="3"/>
    </font>
    <font>
      <sz val="11"/>
      <color theme="1"/>
      <name val="Berlin Sans FB"/>
      <family val="2"/>
    </font>
    <font>
      <sz val="11"/>
      <color rgb="FF000000"/>
      <name val="Bahnschrift SemiBold SemiConden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42A7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A3C84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indexed="64"/>
      </top>
      <bottom style="thin">
        <color indexed="64"/>
      </bottom>
      <diagonal/>
    </border>
    <border>
      <left style="medium">
        <color rgb="FF7A0000"/>
      </left>
      <right/>
      <top style="medium">
        <color rgb="FF7A0000"/>
      </top>
      <bottom style="medium">
        <color rgb="FF7A0000"/>
      </bottom>
      <diagonal/>
    </border>
    <border>
      <left/>
      <right/>
      <top style="medium">
        <color rgb="FF7A0000"/>
      </top>
      <bottom style="medium">
        <color rgb="FF7A0000"/>
      </bottom>
      <diagonal/>
    </border>
    <border>
      <left/>
      <right style="medium">
        <color rgb="FF7A0000"/>
      </right>
      <top style="medium">
        <color rgb="FF7A0000"/>
      </top>
      <bottom style="medium">
        <color rgb="FF7A0000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2" fillId="0" borderId="0" xfId="0" applyFont="1"/>
    <xf numFmtId="0" fontId="4" fillId="10" borderId="3" xfId="0" applyFont="1" applyFill="1" applyBorder="1"/>
    <xf numFmtId="0" fontId="5" fillId="10" borderId="2" xfId="0" applyFont="1" applyFill="1" applyBorder="1" applyAlignment="1">
      <alignment horizontal="center"/>
    </xf>
    <xf numFmtId="0" fontId="4" fillId="11" borderId="3" xfId="0" applyFont="1" applyFill="1" applyBorder="1"/>
    <xf numFmtId="0" fontId="5" fillId="11" borderId="4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0" fontId="5" fillId="10" borderId="4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4" fillId="5" borderId="3" xfId="0" applyFont="1" applyFill="1" applyBorder="1"/>
    <xf numFmtId="0" fontId="5" fillId="5" borderId="4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4" fillId="12" borderId="3" xfId="0" applyFont="1" applyFill="1" applyBorder="1"/>
    <xf numFmtId="0" fontId="5" fillId="12" borderId="4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4" fillId="6" borderId="8" xfId="0" applyFont="1" applyFill="1" applyBorder="1"/>
    <xf numFmtId="0" fontId="5" fillId="6" borderId="5" xfId="0" applyFont="1" applyFill="1" applyBorder="1" applyAlignment="1">
      <alignment horizontal="center"/>
    </xf>
    <xf numFmtId="3" fontId="2" fillId="6" borderId="8" xfId="0" applyNumberFormat="1" applyFont="1" applyFill="1" applyBorder="1" applyAlignment="1">
      <alignment horizontal="center"/>
    </xf>
    <xf numFmtId="3" fontId="2" fillId="6" borderId="5" xfId="0" applyNumberFormat="1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4" fillId="7" borderId="3" xfId="0" applyFont="1" applyFill="1" applyBorder="1"/>
    <xf numFmtId="0" fontId="5" fillId="7" borderId="4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4" fillId="6" borderId="3" xfId="0" applyFont="1" applyFill="1" applyBorder="1"/>
    <xf numFmtId="0" fontId="5" fillId="6" borderId="4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10" fillId="7" borderId="3" xfId="0" applyFont="1" applyFill="1" applyBorder="1"/>
    <xf numFmtId="0" fontId="11" fillId="7" borderId="4" xfId="0" applyFont="1" applyFill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10" fillId="6" borderId="3" xfId="0" applyFont="1" applyFill="1" applyBorder="1"/>
    <xf numFmtId="0" fontId="11" fillId="6" borderId="4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4" fillId="6" borderId="6" xfId="0" applyFont="1" applyFill="1" applyBorder="1"/>
    <xf numFmtId="0" fontId="15" fillId="6" borderId="7" xfId="0" applyFont="1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3" fillId="4" borderId="16" xfId="0" applyFont="1" applyFill="1" applyBorder="1"/>
    <xf numFmtId="0" fontId="8" fillId="4" borderId="17" xfId="0" applyFont="1" applyFill="1" applyBorder="1" applyAlignment="1">
      <alignment horizontal="center"/>
    </xf>
    <xf numFmtId="0" fontId="9" fillId="4" borderId="17" xfId="0" applyFont="1" applyFill="1" applyBorder="1"/>
    <xf numFmtId="0" fontId="9" fillId="4" borderId="18" xfId="0" applyFont="1" applyFill="1" applyBorder="1" applyAlignment="1">
      <alignment horizontal="center"/>
    </xf>
    <xf numFmtId="0" fontId="4" fillId="2" borderId="8" xfId="0" applyFont="1" applyFill="1" applyBorder="1"/>
    <xf numFmtId="0" fontId="5" fillId="2" borderId="5" xfId="0" applyFont="1" applyFill="1" applyBorder="1" applyAlignment="1">
      <alignment horizontal="center"/>
    </xf>
    <xf numFmtId="3" fontId="2" fillId="2" borderId="8" xfId="0" applyNumberFormat="1" applyFont="1" applyFill="1" applyBorder="1" applyAlignment="1">
      <alignment horizontal="center"/>
    </xf>
    <xf numFmtId="3" fontId="2" fillId="2" borderId="5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4" fillId="3" borderId="3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4" fillId="2" borderId="3" xfId="0" applyFont="1" applyFill="1" applyBorder="1"/>
    <xf numFmtId="0" fontId="5" fillId="2" borderId="1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10" fillId="3" borderId="3" xfId="0" applyFont="1" applyFill="1" applyBorder="1"/>
    <xf numFmtId="0" fontId="11" fillId="3" borderId="4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0" fillId="2" borderId="3" xfId="0" applyFont="1" applyFill="1" applyBorder="1"/>
    <xf numFmtId="0" fontId="11" fillId="2" borderId="4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4" fillId="2" borderId="6" xfId="0" applyFont="1" applyFill="1" applyBorder="1"/>
    <xf numFmtId="0" fontId="15" fillId="2" borderId="7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8" borderId="8" xfId="0" applyFont="1" applyFill="1" applyBorder="1"/>
    <xf numFmtId="0" fontId="5" fillId="8" borderId="5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3" fontId="2" fillId="8" borderId="5" xfId="0" applyNumberFormat="1" applyFont="1" applyFill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4" fillId="9" borderId="3" xfId="0" applyFont="1" applyFill="1" applyBorder="1"/>
    <xf numFmtId="0" fontId="5" fillId="9" borderId="4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4" fillId="8" borderId="3" xfId="0" applyFont="1" applyFill="1" applyBorder="1"/>
    <xf numFmtId="0" fontId="5" fillId="8" borderId="4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10" fillId="9" borderId="3" xfId="0" applyFont="1" applyFill="1" applyBorder="1"/>
    <xf numFmtId="0" fontId="11" fillId="9" borderId="4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/>
    </xf>
    <xf numFmtId="0" fontId="10" fillId="8" borderId="3" xfId="0" applyFont="1" applyFill="1" applyBorder="1"/>
    <xf numFmtId="0" fontId="11" fillId="8" borderId="4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/>
    </xf>
    <xf numFmtId="0" fontId="15" fillId="8" borderId="4" xfId="0" applyFont="1" applyFill="1" applyBorder="1" applyAlignment="1">
      <alignment horizontal="center"/>
    </xf>
    <xf numFmtId="0" fontId="4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0" xfId="0" applyFill="1" applyBorder="1"/>
    <xf numFmtId="0" fontId="0" fillId="10" borderId="0" xfId="0" applyFill="1" applyBorder="1"/>
    <xf numFmtId="0" fontId="0" fillId="10" borderId="22" xfId="0" applyFill="1" applyBorder="1"/>
    <xf numFmtId="0" fontId="0" fillId="10" borderId="0" xfId="0" applyFill="1"/>
    <xf numFmtId="0" fontId="0" fillId="10" borderId="23" xfId="0" applyFill="1" applyBorder="1"/>
    <xf numFmtId="0" fontId="0" fillId="10" borderId="24" xfId="0" applyFill="1" applyBorder="1"/>
    <xf numFmtId="0" fontId="0" fillId="0" borderId="0" xfId="0" applyNumberFormat="1"/>
    <xf numFmtId="0" fontId="0" fillId="0" borderId="0" xfId="0"/>
    <xf numFmtId="0" fontId="0" fillId="13" borderId="0" xfId="0" applyFill="1" applyAlignment="1"/>
    <xf numFmtId="0" fontId="0" fillId="13" borderId="0" xfId="0" applyFill="1"/>
    <xf numFmtId="0" fontId="17" fillId="13" borderId="0" xfId="0" applyFont="1" applyFill="1"/>
    <xf numFmtId="0" fontId="3" fillId="14" borderId="13" xfId="0" applyFont="1" applyFill="1" applyBorder="1"/>
    <xf numFmtId="0" fontId="8" fillId="14" borderId="14" xfId="0" applyFont="1" applyFill="1" applyBorder="1" applyAlignment="1">
      <alignment horizontal="center"/>
    </xf>
    <xf numFmtId="0" fontId="9" fillId="14" borderId="14" xfId="0" applyFont="1" applyFill="1" applyBorder="1"/>
    <xf numFmtId="0" fontId="9" fillId="14" borderId="15" xfId="0" applyFont="1" applyFill="1" applyBorder="1" applyAlignment="1">
      <alignment horizontal="center"/>
    </xf>
    <xf numFmtId="0" fontId="3" fillId="15" borderId="19" xfId="0" applyFont="1" applyFill="1" applyBorder="1"/>
    <xf numFmtId="0" fontId="8" fillId="15" borderId="20" xfId="0" applyFont="1" applyFill="1" applyBorder="1" applyAlignment="1">
      <alignment horizontal="center"/>
    </xf>
    <xf numFmtId="0" fontId="9" fillId="15" borderId="20" xfId="0" applyFont="1" applyFill="1" applyBorder="1"/>
    <xf numFmtId="0" fontId="9" fillId="15" borderId="21" xfId="0" applyFont="1" applyFill="1" applyBorder="1" applyAlignment="1">
      <alignment horizontal="center"/>
    </xf>
    <xf numFmtId="0" fontId="3" fillId="16" borderId="0" xfId="0" applyFont="1" applyFill="1"/>
    <xf numFmtId="0" fontId="5" fillId="16" borderId="0" xfId="0" applyFont="1" applyFill="1" applyAlignment="1">
      <alignment horizontal="center"/>
    </xf>
    <xf numFmtId="0" fontId="2" fillId="16" borderId="0" xfId="0" applyFont="1" applyFill="1"/>
    <xf numFmtId="0" fontId="2" fillId="16" borderId="0" xfId="0" applyFont="1" applyFill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3" fillId="3" borderId="4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3" fontId="13" fillId="3" borderId="3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13" fillId="9" borderId="3" xfId="0" applyFont="1" applyFill="1" applyBorder="1" applyAlignment="1">
      <alignment horizontal="center"/>
    </xf>
    <xf numFmtId="0" fontId="13" fillId="9" borderId="4" xfId="0" applyFont="1" applyFill="1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0" fontId="13" fillId="8" borderId="4" xfId="0" applyFont="1" applyFill="1" applyBorder="1" applyAlignment="1">
      <alignment horizontal="center"/>
    </xf>
    <xf numFmtId="3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3" fontId="13" fillId="7" borderId="3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2" fillId="10" borderId="4" xfId="0" applyFont="1" applyFill="1" applyBorder="1" applyAlignment="1">
      <alignment horizontal="center"/>
    </xf>
    <xf numFmtId="0" fontId="2" fillId="11" borderId="3" xfId="0" applyFont="1" applyFill="1" applyBorder="1" applyAlignment="1">
      <alignment horizontal="center"/>
    </xf>
    <xf numFmtId="0" fontId="2" fillId="11" borderId="4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A3C84"/>
      <color rgb="FFF42A77"/>
      <color rgb="FFFF3300"/>
      <color rgb="FF90CCF4"/>
      <color rgb="FFF1ABDA"/>
      <color rgb="FF7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0536755605180633E-2"/>
          <c:w val="0.9897342994192847"/>
          <c:h val="0.98314119103171094"/>
        </c:manualLayout>
      </c:layout>
      <c:scatterChart>
        <c:scatterStyle val="smoothMarker"/>
        <c:varyColors val="0"/>
        <c:ser>
          <c:idx val="1"/>
          <c:order val="0"/>
          <c:tx>
            <c:v>Planete1</c:v>
          </c:tx>
          <c:spPr>
            <a:ln w="127000" cap="rnd">
              <a:solidFill>
                <a:srgbClr val="F42A77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initiales'!$Y$43:$Y$403</c:f>
              <c:numCache>
                <c:formatCode>General</c:formatCode>
                <c:ptCount val="361"/>
                <c:pt idx="0">
                  <c:v>15000</c:v>
                </c:pt>
                <c:pt idx="1">
                  <c:v>14999.238475781956</c:v>
                </c:pt>
                <c:pt idx="2">
                  <c:v>14996.954135095479</c:v>
                </c:pt>
                <c:pt idx="3">
                  <c:v>14993.14767377287</c:v>
                </c:pt>
                <c:pt idx="4">
                  <c:v>14987.820251299121</c:v>
                </c:pt>
                <c:pt idx="5">
                  <c:v>14980.973490458728</c:v>
                </c:pt>
                <c:pt idx="6">
                  <c:v>14972.609476841368</c:v>
                </c:pt>
                <c:pt idx="7">
                  <c:v>14962.73075820661</c:v>
                </c:pt>
                <c:pt idx="8">
                  <c:v>14951.340343707852</c:v>
                </c:pt>
                <c:pt idx="9">
                  <c:v>14938.441702975688</c:v>
                </c:pt>
                <c:pt idx="10">
                  <c:v>14924.038765061039</c:v>
                </c:pt>
                <c:pt idx="11">
                  <c:v>14908.13591723832</c:v>
                </c:pt>
                <c:pt idx="12">
                  <c:v>14890.738003669028</c:v>
                </c:pt>
                <c:pt idx="13">
                  <c:v>14871.850323926177</c:v>
                </c:pt>
                <c:pt idx="14">
                  <c:v>14851.478631379981</c:v>
                </c:pt>
                <c:pt idx="15">
                  <c:v>14829.629131445341</c:v>
                </c:pt>
                <c:pt idx="16">
                  <c:v>14806.308479691594</c:v>
                </c:pt>
                <c:pt idx="17">
                  <c:v>14781.523779815177</c:v>
                </c:pt>
                <c:pt idx="18">
                  <c:v>14755.282581475767</c:v>
                </c:pt>
                <c:pt idx="19">
                  <c:v>14727.592877996583</c:v>
                </c:pt>
                <c:pt idx="20">
                  <c:v>14698.463103929542</c:v>
                </c:pt>
                <c:pt idx="21">
                  <c:v>14667.902132486008</c:v>
                </c:pt>
                <c:pt idx="22">
                  <c:v>14635.919272833937</c:v>
                </c:pt>
                <c:pt idx="23">
                  <c:v>14602.524267262201</c:v>
                </c:pt>
                <c:pt idx="24">
                  <c:v>14567.727288213006</c:v>
                </c:pt>
                <c:pt idx="25">
                  <c:v>14531.538935183249</c:v>
                </c:pt>
                <c:pt idx="26">
                  <c:v>14493.970231495834</c:v>
                </c:pt>
                <c:pt idx="27">
                  <c:v>14455.03262094184</c:v>
                </c:pt>
                <c:pt idx="28">
                  <c:v>14414.737964294636</c:v>
                </c:pt>
                <c:pt idx="29">
                  <c:v>14373.09853569698</c:v>
                </c:pt>
                <c:pt idx="30">
                  <c:v>14330.127018922194</c:v>
                </c:pt>
                <c:pt idx="31">
                  <c:v>14285.836503510562</c:v>
                </c:pt>
                <c:pt idx="32">
                  <c:v>14240.240480782129</c:v>
                </c:pt>
                <c:pt idx="33">
                  <c:v>14193.35283972712</c:v>
                </c:pt>
                <c:pt idx="34">
                  <c:v>14145.187862775208</c:v>
                </c:pt>
                <c:pt idx="35">
                  <c:v>14095.760221444958</c:v>
                </c:pt>
                <c:pt idx="36">
                  <c:v>14045.084971874738</c:v>
                </c:pt>
                <c:pt idx="37">
                  <c:v>13993.177550236464</c:v>
                </c:pt>
                <c:pt idx="38">
                  <c:v>13940.053768033609</c:v>
                </c:pt>
                <c:pt idx="39">
                  <c:v>13885.729807284853</c:v>
                </c:pt>
                <c:pt idx="40">
                  <c:v>13830.222215594891</c:v>
                </c:pt>
                <c:pt idx="41">
                  <c:v>13773.54790111386</c:v>
                </c:pt>
                <c:pt idx="42">
                  <c:v>13715.724127386971</c:v>
                </c:pt>
                <c:pt idx="43">
                  <c:v>13656.768508095853</c:v>
                </c:pt>
                <c:pt idx="44">
                  <c:v>13596.699001693256</c:v>
                </c:pt>
                <c:pt idx="45">
                  <c:v>13535.533905932738</c:v>
                </c:pt>
                <c:pt idx="46">
                  <c:v>13473.291852294988</c:v>
                </c:pt>
                <c:pt idx="47">
                  <c:v>13409.991800312491</c:v>
                </c:pt>
                <c:pt idx="48">
                  <c:v>13345.653031794291</c:v>
                </c:pt>
                <c:pt idx="49">
                  <c:v>13280.295144952535</c:v>
                </c:pt>
                <c:pt idx="50">
                  <c:v>13213.938048432698</c:v>
                </c:pt>
                <c:pt idx="51">
                  <c:v>13146.601955249187</c:v>
                </c:pt>
                <c:pt idx="52">
                  <c:v>13078.307376628291</c:v>
                </c:pt>
                <c:pt idx="53">
                  <c:v>13009.075115760243</c:v>
                </c:pt>
                <c:pt idx="54">
                  <c:v>12938.926261462366</c:v>
                </c:pt>
                <c:pt idx="55">
                  <c:v>12867.882181755231</c:v>
                </c:pt>
                <c:pt idx="56">
                  <c:v>12795.964517353734</c:v>
                </c:pt>
                <c:pt idx="57">
                  <c:v>12723.195175075136</c:v>
                </c:pt>
                <c:pt idx="58">
                  <c:v>12649.596321166024</c:v>
                </c:pt>
                <c:pt idx="59">
                  <c:v>12575.190374550271</c:v>
                </c:pt>
                <c:pt idx="60">
                  <c:v>12500</c:v>
                </c:pt>
                <c:pt idx="61">
                  <c:v>12424.048101231685</c:v>
                </c:pt>
                <c:pt idx="62">
                  <c:v>12347.357813929455</c:v>
                </c:pt>
                <c:pt idx="63">
                  <c:v>12269.952498697734</c:v>
                </c:pt>
                <c:pt idx="64">
                  <c:v>12191.855733945387</c:v>
                </c:pt>
                <c:pt idx="65">
                  <c:v>12113.091308703497</c:v>
                </c:pt>
                <c:pt idx="66">
                  <c:v>12033.683215379002</c:v>
                </c:pt>
                <c:pt idx="67">
                  <c:v>11953.655642446371</c:v>
                </c:pt>
                <c:pt idx="68">
                  <c:v>11873.03296707956</c:v>
                </c:pt>
                <c:pt idx="69">
                  <c:v>11791.839747726503</c:v>
                </c:pt>
                <c:pt idx="70">
                  <c:v>11710.100716628343</c:v>
                </c:pt>
                <c:pt idx="71">
                  <c:v>11627.840772285785</c:v>
                </c:pt>
                <c:pt idx="72">
                  <c:v>11545.084971874738</c:v>
                </c:pt>
                <c:pt idx="73">
                  <c:v>11461.858523613684</c:v>
                </c:pt>
                <c:pt idx="74">
                  <c:v>11378.186779084996</c:v>
                </c:pt>
                <c:pt idx="75">
                  <c:v>11294.095225512603</c:v>
                </c:pt>
                <c:pt idx="76">
                  <c:v>11209.60947799834</c:v>
                </c:pt>
                <c:pt idx="77">
                  <c:v>11124.755271719325</c:v>
                </c:pt>
                <c:pt idx="78">
                  <c:v>11039.558454088798</c:v>
                </c:pt>
                <c:pt idx="79">
                  <c:v>10954.044976882724</c:v>
                </c:pt>
                <c:pt idx="80">
                  <c:v>10868.240888334652</c:v>
                </c:pt>
                <c:pt idx="81">
                  <c:v>10782.172325201154</c:v>
                </c:pt>
                <c:pt idx="82">
                  <c:v>10695.865504800329</c:v>
                </c:pt>
                <c:pt idx="83">
                  <c:v>10609.346717025737</c:v>
                </c:pt>
                <c:pt idx="84">
                  <c:v>10522.642316338268</c:v>
                </c:pt>
                <c:pt idx="85">
                  <c:v>10435.778713738291</c:v>
                </c:pt>
                <c:pt idx="86">
                  <c:v>10348.782368720627</c:v>
                </c:pt>
                <c:pt idx="87">
                  <c:v>10261.67978121472</c:v>
                </c:pt>
                <c:pt idx="88">
                  <c:v>10174.497483512505</c:v>
                </c:pt>
                <c:pt idx="89">
                  <c:v>10087.262032186416</c:v>
                </c:pt>
                <c:pt idx="90">
                  <c:v>10000</c:v>
                </c:pt>
                <c:pt idx="91">
                  <c:v>9912.7379678135821</c:v>
                </c:pt>
                <c:pt idx="92">
                  <c:v>9825.5025164874969</c:v>
                </c:pt>
                <c:pt idx="93">
                  <c:v>9738.3202187852821</c:v>
                </c:pt>
                <c:pt idx="94">
                  <c:v>9651.2176312793727</c:v>
                </c:pt>
                <c:pt idx="95">
                  <c:v>9564.2212862617089</c:v>
                </c:pt>
                <c:pt idx="96">
                  <c:v>9477.357683661734</c:v>
                </c:pt>
                <c:pt idx="97">
                  <c:v>9390.6532829742628</c:v>
                </c:pt>
                <c:pt idx="98">
                  <c:v>9304.1344951996725</c:v>
                </c:pt>
                <c:pt idx="99">
                  <c:v>9217.8276747988457</c:v>
                </c:pt>
                <c:pt idx="100">
                  <c:v>9131.7591116653493</c:v>
                </c:pt>
                <c:pt idx="101">
                  <c:v>9045.9550231172761</c:v>
                </c:pt>
                <c:pt idx="102">
                  <c:v>8960.4415459112042</c:v>
                </c:pt>
                <c:pt idx="103">
                  <c:v>8875.2447282806752</c:v>
                </c:pt>
                <c:pt idx="104">
                  <c:v>8790.3905220016604</c:v>
                </c:pt>
                <c:pt idx="105">
                  <c:v>8705.9047744873951</c:v>
                </c:pt>
                <c:pt idx="106">
                  <c:v>8621.8132209150044</c:v>
                </c:pt>
                <c:pt idx="107">
                  <c:v>8538.1414763863177</c:v>
                </c:pt>
                <c:pt idx="108">
                  <c:v>8454.9150281252623</c:v>
                </c:pt>
                <c:pt idx="109">
                  <c:v>8372.1592277142172</c:v>
                </c:pt>
                <c:pt idx="110">
                  <c:v>8289.8992833716566</c:v>
                </c:pt>
                <c:pt idx="111">
                  <c:v>8208.1602522734993</c:v>
                </c:pt>
                <c:pt idx="112">
                  <c:v>8126.96703292044</c:v>
                </c:pt>
                <c:pt idx="113">
                  <c:v>8046.3443575536321</c:v>
                </c:pt>
                <c:pt idx="114">
                  <c:v>7966.3167846209999</c:v>
                </c:pt>
                <c:pt idx="115">
                  <c:v>7886.9086912965031</c:v>
                </c:pt>
                <c:pt idx="116">
                  <c:v>7808.1442660546127</c:v>
                </c:pt>
                <c:pt idx="117">
                  <c:v>7730.047501302266</c:v>
                </c:pt>
                <c:pt idx="118">
                  <c:v>7652.6421860705468</c:v>
                </c:pt>
                <c:pt idx="119">
                  <c:v>7575.951898768315</c:v>
                </c:pt>
                <c:pt idx="120">
                  <c:v>7500.0000000000009</c:v>
                </c:pt>
                <c:pt idx="121">
                  <c:v>7424.8096254497286</c:v>
                </c:pt>
                <c:pt idx="122">
                  <c:v>7350.4036788339763</c:v>
                </c:pt>
                <c:pt idx="123">
                  <c:v>7276.8048249248641</c:v>
                </c:pt>
                <c:pt idx="124">
                  <c:v>7204.0354826462662</c:v>
                </c:pt>
                <c:pt idx="125">
                  <c:v>7132.1178182447711</c:v>
                </c:pt>
                <c:pt idx="126">
                  <c:v>7061.0737385376342</c:v>
                </c:pt>
                <c:pt idx="127">
                  <c:v>6990.9248842397583</c:v>
                </c:pt>
                <c:pt idx="128">
                  <c:v>6921.6926233717086</c:v>
                </c:pt>
                <c:pt idx="129">
                  <c:v>6853.3980447508138</c:v>
                </c:pt>
                <c:pt idx="130">
                  <c:v>6786.0619515673034</c:v>
                </c:pt>
                <c:pt idx="131">
                  <c:v>6719.7048550474628</c:v>
                </c:pt>
                <c:pt idx="132">
                  <c:v>6654.3469682057093</c:v>
                </c:pt>
                <c:pt idx="133">
                  <c:v>6590.0081996875087</c:v>
                </c:pt>
                <c:pt idx="134">
                  <c:v>6526.7081477050142</c:v>
                </c:pt>
                <c:pt idx="135">
                  <c:v>6464.466094067262</c:v>
                </c:pt>
                <c:pt idx="136">
                  <c:v>6403.3009983067441</c:v>
                </c:pt>
                <c:pt idx="137">
                  <c:v>6343.2314919041473</c:v>
                </c:pt>
                <c:pt idx="138">
                  <c:v>6284.2758726130305</c:v>
                </c:pt>
                <c:pt idx="139">
                  <c:v>6226.4520988861404</c:v>
                </c:pt>
                <c:pt idx="140">
                  <c:v>6169.7777844051107</c:v>
                </c:pt>
                <c:pt idx="141">
                  <c:v>6114.2701927151465</c:v>
                </c:pt>
                <c:pt idx="142">
                  <c:v>6059.9462319663908</c:v>
                </c:pt>
                <c:pt idx="143">
                  <c:v>6006.8224497635347</c:v>
                </c:pt>
                <c:pt idx="144">
                  <c:v>5954.9150281252632</c:v>
                </c:pt>
                <c:pt idx="145">
                  <c:v>5904.239778555042</c:v>
                </c:pt>
                <c:pt idx="146">
                  <c:v>5854.8121372247915</c:v>
                </c:pt>
                <c:pt idx="147">
                  <c:v>5806.6471602728789</c:v>
                </c:pt>
                <c:pt idx="148">
                  <c:v>5759.7595192178705</c:v>
                </c:pt>
                <c:pt idx="149">
                  <c:v>5714.1634964894392</c:v>
                </c:pt>
                <c:pt idx="150">
                  <c:v>5669.8729810778068</c:v>
                </c:pt>
                <c:pt idx="151">
                  <c:v>5626.9014643030214</c:v>
                </c:pt>
                <c:pt idx="152">
                  <c:v>5585.2620357053665</c:v>
                </c:pt>
                <c:pt idx="153">
                  <c:v>5544.967379058161</c:v>
                </c:pt>
                <c:pt idx="154">
                  <c:v>5506.0297685041651</c:v>
                </c:pt>
                <c:pt idx="155">
                  <c:v>5468.46106481675</c:v>
                </c:pt>
                <c:pt idx="156">
                  <c:v>5432.2727117869963</c:v>
                </c:pt>
                <c:pt idx="157">
                  <c:v>5397.4757327377993</c:v>
                </c:pt>
                <c:pt idx="158">
                  <c:v>5364.0807271660633</c:v>
                </c:pt>
                <c:pt idx="159">
                  <c:v>5332.0978675139913</c:v>
                </c:pt>
                <c:pt idx="160">
                  <c:v>5301.5368960704582</c:v>
                </c:pt>
                <c:pt idx="161">
                  <c:v>5272.4071220034166</c:v>
                </c:pt>
                <c:pt idx="162">
                  <c:v>5244.717418524232</c:v>
                </c:pt>
                <c:pt idx="163">
                  <c:v>5218.4762201848225</c:v>
                </c:pt>
                <c:pt idx="164">
                  <c:v>5193.6915203084063</c:v>
                </c:pt>
                <c:pt idx="165">
                  <c:v>5170.370868554659</c:v>
                </c:pt>
                <c:pt idx="166">
                  <c:v>5148.5213686200177</c:v>
                </c:pt>
                <c:pt idx="167">
                  <c:v>5128.1496760738237</c:v>
                </c:pt>
                <c:pt idx="168">
                  <c:v>5109.2619963309717</c:v>
                </c:pt>
                <c:pt idx="169">
                  <c:v>5091.86408276168</c:v>
                </c:pt>
                <c:pt idx="170">
                  <c:v>5075.9612349389599</c:v>
                </c:pt>
                <c:pt idx="171">
                  <c:v>5061.5582970243113</c:v>
                </c:pt>
                <c:pt idx="172">
                  <c:v>5048.6596562921486</c:v>
                </c:pt>
                <c:pt idx="173">
                  <c:v>5037.2692417933904</c:v>
                </c:pt>
                <c:pt idx="174">
                  <c:v>5027.3905231586332</c:v>
                </c:pt>
                <c:pt idx="175">
                  <c:v>5019.0265095412724</c:v>
                </c:pt>
                <c:pt idx="176">
                  <c:v>5012.1797487008789</c:v>
                </c:pt>
                <c:pt idx="177">
                  <c:v>5006.852326227131</c:v>
                </c:pt>
                <c:pt idx="178">
                  <c:v>5003.0458649045213</c:v>
                </c:pt>
                <c:pt idx="179">
                  <c:v>5000.7615242180436</c:v>
                </c:pt>
                <c:pt idx="180">
                  <c:v>5000</c:v>
                </c:pt>
                <c:pt idx="181">
                  <c:v>5000.7615242180436</c:v>
                </c:pt>
                <c:pt idx="182">
                  <c:v>5003.0458649045213</c:v>
                </c:pt>
                <c:pt idx="183">
                  <c:v>5006.852326227131</c:v>
                </c:pt>
                <c:pt idx="184">
                  <c:v>5012.179748700878</c:v>
                </c:pt>
                <c:pt idx="185">
                  <c:v>5019.0265095412724</c:v>
                </c:pt>
                <c:pt idx="186">
                  <c:v>5027.3905231586332</c:v>
                </c:pt>
                <c:pt idx="187">
                  <c:v>5037.2692417933904</c:v>
                </c:pt>
                <c:pt idx="188">
                  <c:v>5048.6596562921486</c:v>
                </c:pt>
                <c:pt idx="189">
                  <c:v>5061.5582970243113</c:v>
                </c:pt>
                <c:pt idx="190">
                  <c:v>5075.9612349389599</c:v>
                </c:pt>
                <c:pt idx="191">
                  <c:v>5091.86408276168</c:v>
                </c:pt>
                <c:pt idx="192">
                  <c:v>5109.2619963309717</c:v>
                </c:pt>
                <c:pt idx="193">
                  <c:v>5128.1496760738237</c:v>
                </c:pt>
                <c:pt idx="194">
                  <c:v>5148.5213686200177</c:v>
                </c:pt>
                <c:pt idx="195">
                  <c:v>5170.370868554658</c:v>
                </c:pt>
                <c:pt idx="196">
                  <c:v>5193.6915203084054</c:v>
                </c:pt>
                <c:pt idx="197">
                  <c:v>5218.4762201848225</c:v>
                </c:pt>
                <c:pt idx="198">
                  <c:v>5244.717418524232</c:v>
                </c:pt>
                <c:pt idx="199">
                  <c:v>5272.4071220034166</c:v>
                </c:pt>
                <c:pt idx="200">
                  <c:v>5301.5368960704582</c:v>
                </c:pt>
                <c:pt idx="201">
                  <c:v>5332.0978675139913</c:v>
                </c:pt>
                <c:pt idx="202">
                  <c:v>5364.0807271660633</c:v>
                </c:pt>
                <c:pt idx="203">
                  <c:v>5397.4757327377984</c:v>
                </c:pt>
                <c:pt idx="204">
                  <c:v>5432.2727117869945</c:v>
                </c:pt>
                <c:pt idx="205">
                  <c:v>5468.46106481675</c:v>
                </c:pt>
                <c:pt idx="206">
                  <c:v>5506.0297685041642</c:v>
                </c:pt>
                <c:pt idx="207">
                  <c:v>5544.9673790581592</c:v>
                </c:pt>
                <c:pt idx="208">
                  <c:v>5585.2620357053656</c:v>
                </c:pt>
                <c:pt idx="209">
                  <c:v>5626.9014643030205</c:v>
                </c:pt>
                <c:pt idx="210">
                  <c:v>5669.8729810778068</c:v>
                </c:pt>
                <c:pt idx="211">
                  <c:v>5714.1634964894383</c:v>
                </c:pt>
                <c:pt idx="212">
                  <c:v>5759.7595192178696</c:v>
                </c:pt>
                <c:pt idx="213">
                  <c:v>5806.6471602728798</c:v>
                </c:pt>
                <c:pt idx="214">
                  <c:v>5854.8121372247906</c:v>
                </c:pt>
                <c:pt idx="215">
                  <c:v>5904.2397785550402</c:v>
                </c:pt>
                <c:pt idx="216">
                  <c:v>5954.9150281252623</c:v>
                </c:pt>
                <c:pt idx="217">
                  <c:v>6006.8224497635347</c:v>
                </c:pt>
                <c:pt idx="218">
                  <c:v>6059.946231966389</c:v>
                </c:pt>
                <c:pt idx="219">
                  <c:v>6114.2701927151465</c:v>
                </c:pt>
                <c:pt idx="220">
                  <c:v>6169.7777844051097</c:v>
                </c:pt>
                <c:pt idx="221">
                  <c:v>6226.4520988861404</c:v>
                </c:pt>
                <c:pt idx="222">
                  <c:v>6284.2758726130287</c:v>
                </c:pt>
                <c:pt idx="223">
                  <c:v>6343.2314919041473</c:v>
                </c:pt>
                <c:pt idx="224">
                  <c:v>6403.3009983067441</c:v>
                </c:pt>
                <c:pt idx="225">
                  <c:v>6464.466094067262</c:v>
                </c:pt>
                <c:pt idx="226">
                  <c:v>6526.7081477050124</c:v>
                </c:pt>
                <c:pt idx="227">
                  <c:v>6590.0081996875051</c:v>
                </c:pt>
                <c:pt idx="228">
                  <c:v>6654.3469682057075</c:v>
                </c:pt>
                <c:pt idx="229">
                  <c:v>6719.7048550474619</c:v>
                </c:pt>
                <c:pt idx="230">
                  <c:v>6786.0619515673025</c:v>
                </c:pt>
                <c:pt idx="231">
                  <c:v>6853.3980447508147</c:v>
                </c:pt>
                <c:pt idx="232">
                  <c:v>6921.6926233717095</c:v>
                </c:pt>
                <c:pt idx="233">
                  <c:v>6990.9248842397592</c:v>
                </c:pt>
                <c:pt idx="234">
                  <c:v>7061.0737385376342</c:v>
                </c:pt>
                <c:pt idx="235">
                  <c:v>7132.1178182447675</c:v>
                </c:pt>
                <c:pt idx="236">
                  <c:v>7204.0354826462644</c:v>
                </c:pt>
                <c:pt idx="237">
                  <c:v>7276.804824924865</c:v>
                </c:pt>
                <c:pt idx="238">
                  <c:v>7350.4036788339745</c:v>
                </c:pt>
                <c:pt idx="239">
                  <c:v>7424.8096254497277</c:v>
                </c:pt>
                <c:pt idx="240">
                  <c:v>7499.9999999999982</c:v>
                </c:pt>
                <c:pt idx="241">
                  <c:v>7575.9518987683159</c:v>
                </c:pt>
                <c:pt idx="242">
                  <c:v>7652.6421860705468</c:v>
                </c:pt>
                <c:pt idx="243">
                  <c:v>7730.047501302266</c:v>
                </c:pt>
                <c:pt idx="244">
                  <c:v>7808.1442660546109</c:v>
                </c:pt>
                <c:pt idx="245">
                  <c:v>7886.9086912965004</c:v>
                </c:pt>
                <c:pt idx="246">
                  <c:v>7966.3167846209999</c:v>
                </c:pt>
                <c:pt idx="247">
                  <c:v>8046.3443575536312</c:v>
                </c:pt>
                <c:pt idx="248">
                  <c:v>8126.9670329204382</c:v>
                </c:pt>
                <c:pt idx="249">
                  <c:v>8208.1602522734956</c:v>
                </c:pt>
                <c:pt idx="250">
                  <c:v>8289.8992833716529</c:v>
                </c:pt>
                <c:pt idx="251">
                  <c:v>8372.1592277142172</c:v>
                </c:pt>
                <c:pt idx="252">
                  <c:v>8454.9150281252623</c:v>
                </c:pt>
                <c:pt idx="253">
                  <c:v>8538.141476386314</c:v>
                </c:pt>
                <c:pt idx="254">
                  <c:v>8621.8132209150062</c:v>
                </c:pt>
                <c:pt idx="255">
                  <c:v>8705.9047744873969</c:v>
                </c:pt>
                <c:pt idx="256">
                  <c:v>8790.3905220016604</c:v>
                </c:pt>
                <c:pt idx="257">
                  <c:v>8875.2447282806734</c:v>
                </c:pt>
                <c:pt idx="258">
                  <c:v>8960.4415459112006</c:v>
                </c:pt>
                <c:pt idx="259">
                  <c:v>9045.9550231172725</c:v>
                </c:pt>
                <c:pt idx="260">
                  <c:v>9131.7591116653475</c:v>
                </c:pt>
                <c:pt idx="261">
                  <c:v>9217.8276747988457</c:v>
                </c:pt>
                <c:pt idx="262">
                  <c:v>9304.1344951996762</c:v>
                </c:pt>
                <c:pt idx="263">
                  <c:v>9390.6532829742646</c:v>
                </c:pt>
                <c:pt idx="264">
                  <c:v>9477.357683661734</c:v>
                </c:pt>
                <c:pt idx="265">
                  <c:v>9564.2212862617089</c:v>
                </c:pt>
                <c:pt idx="266">
                  <c:v>9651.2176312793727</c:v>
                </c:pt>
                <c:pt idx="267">
                  <c:v>9738.3202187852785</c:v>
                </c:pt>
                <c:pt idx="268">
                  <c:v>9825.5025164874914</c:v>
                </c:pt>
                <c:pt idx="269">
                  <c:v>9912.7379678135821</c:v>
                </c:pt>
                <c:pt idx="270">
                  <c:v>9999.9999999999982</c:v>
                </c:pt>
                <c:pt idx="271">
                  <c:v>10087.262032186416</c:v>
                </c:pt>
                <c:pt idx="272">
                  <c:v>10174.497483512507</c:v>
                </c:pt>
                <c:pt idx="273">
                  <c:v>10261.67978121472</c:v>
                </c:pt>
                <c:pt idx="274">
                  <c:v>10348.782368720626</c:v>
                </c:pt>
                <c:pt idx="275">
                  <c:v>10435.778713738289</c:v>
                </c:pt>
                <c:pt idx="276">
                  <c:v>10522.642316338264</c:v>
                </c:pt>
                <c:pt idx="277">
                  <c:v>10609.346717025739</c:v>
                </c:pt>
                <c:pt idx="278">
                  <c:v>10695.865504800327</c:v>
                </c:pt>
                <c:pt idx="279">
                  <c:v>10782.172325201154</c:v>
                </c:pt>
                <c:pt idx="280">
                  <c:v>10868.240888334651</c:v>
                </c:pt>
                <c:pt idx="281">
                  <c:v>10954.044976882722</c:v>
                </c:pt>
                <c:pt idx="282">
                  <c:v>11039.558454088792</c:v>
                </c:pt>
                <c:pt idx="283">
                  <c:v>11124.755271719325</c:v>
                </c:pt>
                <c:pt idx="284">
                  <c:v>11209.609477998338</c:v>
                </c:pt>
                <c:pt idx="285">
                  <c:v>11294.095225512605</c:v>
                </c:pt>
                <c:pt idx="286">
                  <c:v>11378.186779084997</c:v>
                </c:pt>
                <c:pt idx="287">
                  <c:v>11461.858523613684</c:v>
                </c:pt>
                <c:pt idx="288">
                  <c:v>11545.084971874736</c:v>
                </c:pt>
                <c:pt idx="289">
                  <c:v>11627.840772285781</c:v>
                </c:pt>
                <c:pt idx="290">
                  <c:v>11710.100716628342</c:v>
                </c:pt>
                <c:pt idx="291">
                  <c:v>11791.839747726497</c:v>
                </c:pt>
                <c:pt idx="292">
                  <c:v>11873.03296707956</c:v>
                </c:pt>
                <c:pt idx="293">
                  <c:v>11953.655642446367</c:v>
                </c:pt>
                <c:pt idx="294">
                  <c:v>12033.683215379002</c:v>
                </c:pt>
                <c:pt idx="295">
                  <c:v>12113.091308703497</c:v>
                </c:pt>
                <c:pt idx="296">
                  <c:v>12191.855733945387</c:v>
                </c:pt>
                <c:pt idx="297">
                  <c:v>12269.952498697734</c:v>
                </c:pt>
                <c:pt idx="298">
                  <c:v>12347.357813929451</c:v>
                </c:pt>
                <c:pt idx="299">
                  <c:v>12424.048101231683</c:v>
                </c:pt>
                <c:pt idx="300">
                  <c:v>12500</c:v>
                </c:pt>
                <c:pt idx="301">
                  <c:v>12575.190374550271</c:v>
                </c:pt>
                <c:pt idx="302">
                  <c:v>12649.596321166024</c:v>
                </c:pt>
                <c:pt idx="303">
                  <c:v>12723.195175075132</c:v>
                </c:pt>
                <c:pt idx="304">
                  <c:v>12795.964517353732</c:v>
                </c:pt>
                <c:pt idx="305">
                  <c:v>12867.882181755231</c:v>
                </c:pt>
                <c:pt idx="306">
                  <c:v>12938.926261462364</c:v>
                </c:pt>
                <c:pt idx="307">
                  <c:v>13009.075115760239</c:v>
                </c:pt>
                <c:pt idx="308">
                  <c:v>13078.307376628292</c:v>
                </c:pt>
                <c:pt idx="309">
                  <c:v>13146.601955249187</c:v>
                </c:pt>
                <c:pt idx="310">
                  <c:v>13213.938048432696</c:v>
                </c:pt>
                <c:pt idx="311">
                  <c:v>13280.295144952535</c:v>
                </c:pt>
                <c:pt idx="312">
                  <c:v>13345.653031794289</c:v>
                </c:pt>
                <c:pt idx="313">
                  <c:v>13409.991800312491</c:v>
                </c:pt>
                <c:pt idx="314">
                  <c:v>13473.291852294984</c:v>
                </c:pt>
                <c:pt idx="315">
                  <c:v>13535.533905932736</c:v>
                </c:pt>
                <c:pt idx="316">
                  <c:v>13596.699001693254</c:v>
                </c:pt>
                <c:pt idx="317">
                  <c:v>13656.768508095854</c:v>
                </c:pt>
                <c:pt idx="318">
                  <c:v>13715.724127386971</c:v>
                </c:pt>
                <c:pt idx="319">
                  <c:v>13773.54790111386</c:v>
                </c:pt>
                <c:pt idx="320">
                  <c:v>13830.222215594889</c:v>
                </c:pt>
                <c:pt idx="321">
                  <c:v>13885.729807284853</c:v>
                </c:pt>
                <c:pt idx="322">
                  <c:v>13940.053768033607</c:v>
                </c:pt>
                <c:pt idx="323">
                  <c:v>13993.177550236464</c:v>
                </c:pt>
                <c:pt idx="324">
                  <c:v>14045.084971874738</c:v>
                </c:pt>
                <c:pt idx="325">
                  <c:v>14095.760221444958</c:v>
                </c:pt>
                <c:pt idx="326">
                  <c:v>14145.187862775207</c:v>
                </c:pt>
                <c:pt idx="327">
                  <c:v>14193.35283972712</c:v>
                </c:pt>
                <c:pt idx="328">
                  <c:v>14240.240480782126</c:v>
                </c:pt>
                <c:pt idx="329">
                  <c:v>14285.83650351056</c:v>
                </c:pt>
                <c:pt idx="330">
                  <c:v>14330.127018922192</c:v>
                </c:pt>
                <c:pt idx="331">
                  <c:v>14373.09853569698</c:v>
                </c:pt>
                <c:pt idx="332">
                  <c:v>14414.737964294634</c:v>
                </c:pt>
                <c:pt idx="333">
                  <c:v>14455.032620941838</c:v>
                </c:pt>
                <c:pt idx="334">
                  <c:v>14493.970231495836</c:v>
                </c:pt>
                <c:pt idx="335">
                  <c:v>14531.538935183249</c:v>
                </c:pt>
                <c:pt idx="336">
                  <c:v>14567.727288213006</c:v>
                </c:pt>
                <c:pt idx="337">
                  <c:v>14602.524267262201</c:v>
                </c:pt>
                <c:pt idx="338">
                  <c:v>14635.919272833937</c:v>
                </c:pt>
                <c:pt idx="339">
                  <c:v>14667.902132486008</c:v>
                </c:pt>
                <c:pt idx="340">
                  <c:v>14698.463103929542</c:v>
                </c:pt>
                <c:pt idx="341">
                  <c:v>14727.592877996583</c:v>
                </c:pt>
                <c:pt idx="342">
                  <c:v>14755.282581475767</c:v>
                </c:pt>
                <c:pt idx="343">
                  <c:v>14781.523779815179</c:v>
                </c:pt>
                <c:pt idx="344">
                  <c:v>14806.308479691594</c:v>
                </c:pt>
                <c:pt idx="345">
                  <c:v>14829.629131445341</c:v>
                </c:pt>
                <c:pt idx="346">
                  <c:v>14851.478631379981</c:v>
                </c:pt>
                <c:pt idx="347">
                  <c:v>14871.850323926175</c:v>
                </c:pt>
                <c:pt idx="348">
                  <c:v>14890.738003669028</c:v>
                </c:pt>
                <c:pt idx="349">
                  <c:v>14908.13591723832</c:v>
                </c:pt>
                <c:pt idx="350">
                  <c:v>14924.038765061039</c:v>
                </c:pt>
                <c:pt idx="351">
                  <c:v>14938.441702975688</c:v>
                </c:pt>
                <c:pt idx="352">
                  <c:v>14951.340343707852</c:v>
                </c:pt>
                <c:pt idx="353">
                  <c:v>14962.73075820661</c:v>
                </c:pt>
                <c:pt idx="354">
                  <c:v>14972.609476841368</c:v>
                </c:pt>
                <c:pt idx="355">
                  <c:v>14980.973490458728</c:v>
                </c:pt>
                <c:pt idx="356">
                  <c:v>14987.820251299123</c:v>
                </c:pt>
                <c:pt idx="357">
                  <c:v>14993.14767377287</c:v>
                </c:pt>
                <c:pt idx="358">
                  <c:v>14996.954135095479</c:v>
                </c:pt>
                <c:pt idx="359">
                  <c:v>14999.238475781956</c:v>
                </c:pt>
                <c:pt idx="360">
                  <c:v>15000</c:v>
                </c:pt>
              </c:numCache>
            </c:numRef>
          </c:xVal>
          <c:yVal>
            <c:numRef>
              <c:f>'Conditions initiales'!$Z$43:$Z$403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4B-4509-947B-FDCD5231E0E5}"/>
            </c:ext>
          </c:extLst>
        </c:ser>
        <c:ser>
          <c:idx val="0"/>
          <c:order val="1"/>
          <c:spPr>
            <a:ln w="19050" cap="rnd" cmpd="dbl">
              <a:solidFill>
                <a:schemeClr val="tx2">
                  <a:lumMod val="20000"/>
                  <a:lumOff val="80000"/>
                </a:schemeClr>
              </a:solidFill>
              <a:prstDash val="dashDot"/>
              <a:round/>
              <a:tailEnd type="triangle"/>
            </a:ln>
            <a:effectLst/>
          </c:spPr>
          <c:marker>
            <c:symbol val="none"/>
          </c:marker>
          <c:xVal>
            <c:numRef>
              <c:f>'Conditions initiales'!$B$43:$B$1144</c:f>
              <c:numCache>
                <c:formatCode>General</c:formatCode>
                <c:ptCount val="1102"/>
                <c:pt idx="0">
                  <c:v>0</c:v>
                </c:pt>
                <c:pt idx="1">
                  <c:v>315.46821991774539</c:v>
                </c:pt>
                <c:pt idx="2">
                  <c:v>953.55301578863077</c:v>
                </c:pt>
                <c:pt idx="3">
                  <c:v>1931.8950830337676</c:v>
                </c:pt>
                <c:pt idx="4">
                  <c:v>3286.5517966445123</c:v>
                </c:pt>
                <c:pt idx="5">
                  <c:v>5086.2282440466679</c:v>
                </c:pt>
                <c:pt idx="6">
                  <c:v>7449.1117437886114</c:v>
                </c:pt>
                <c:pt idx="7">
                  <c:v>10472.84425775564</c:v>
                </c:pt>
                <c:pt idx="8">
                  <c:v>12930.613810896073</c:v>
                </c:pt>
                <c:pt idx="9">
                  <c:v>13743.344584876046</c:v>
                </c:pt>
                <c:pt idx="10">
                  <c:v>13577.086592155174</c:v>
                </c:pt>
                <c:pt idx="11">
                  <c:v>12720.110744977088</c:v>
                </c:pt>
                <c:pt idx="12">
                  <c:v>11302.328970634506</c:v>
                </c:pt>
                <c:pt idx="13">
                  <c:v>9449.2119245732538</c:v>
                </c:pt>
                <c:pt idx="14">
                  <c:v>7799.3784004588142</c:v>
                </c:pt>
                <c:pt idx="15">
                  <c:v>7584.8487359345536</c:v>
                </c:pt>
                <c:pt idx="16">
                  <c:v>7841.4594594434802</c:v>
                </c:pt>
                <c:pt idx="17">
                  <c:v>8150.9774545369464</c:v>
                </c:pt>
                <c:pt idx="18">
                  <c:v>8344.6713191250419</c:v>
                </c:pt>
                <c:pt idx="19">
                  <c:v>8349.1915879668668</c:v>
                </c:pt>
                <c:pt idx="20">
                  <c:v>8143.2171379138799</c:v>
                </c:pt>
                <c:pt idx="21">
                  <c:v>7747.2756243813283</c:v>
                </c:pt>
                <c:pt idx="22">
                  <c:v>7232.0657627402279</c:v>
                </c:pt>
                <c:pt idx="23">
                  <c:v>6749.8179832410979</c:v>
                </c:pt>
                <c:pt idx="24">
                  <c:v>6621.4693844335088</c:v>
                </c:pt>
                <c:pt idx="25">
                  <c:v>7581.2241788522624</c:v>
                </c:pt>
                <c:pt idx="26">
                  <c:v>10207.411804345433</c:v>
                </c:pt>
                <c:pt idx="27">
                  <c:v>12624.882621593611</c:v>
                </c:pt>
                <c:pt idx="28">
                  <c:v>14295.390270641086</c:v>
                </c:pt>
                <c:pt idx="29">
                  <c:v>15039.721450354686</c:v>
                </c:pt>
                <c:pt idx="30">
                  <c:v>14592.506229822122</c:v>
                </c:pt>
                <c:pt idx="31">
                  <c:v>12398.786266449866</c:v>
                </c:pt>
                <c:pt idx="32">
                  <c:v>8292.8424671674456</c:v>
                </c:pt>
                <c:pt idx="33">
                  <c:v>4864.7856385893811</c:v>
                </c:pt>
                <c:pt idx="34">
                  <c:v>2320.2117467584526</c:v>
                </c:pt>
                <c:pt idx="35">
                  <c:v>470.00876424174066</c:v>
                </c:pt>
                <c:pt idx="36">
                  <c:v>-815.60611361687484</c:v>
                </c:pt>
                <c:pt idx="37">
                  <c:v>-1612.1822809183693</c:v>
                </c:pt>
                <c:pt idx="38">
                  <c:v>-1961.2902384898248</c:v>
                </c:pt>
                <c:pt idx="39">
                  <c:v>-1881.0368484046135</c:v>
                </c:pt>
                <c:pt idx="40">
                  <c:v>-1370.2790792609765</c:v>
                </c:pt>
                <c:pt idx="41">
                  <c:v>-409.08082549332499</c:v>
                </c:pt>
                <c:pt idx="42">
                  <c:v>1044.5514573583191</c:v>
                </c:pt>
                <c:pt idx="43">
                  <c:v>3063.539278294998</c:v>
                </c:pt>
                <c:pt idx="44">
                  <c:v>5764.6968620363959</c:v>
                </c:pt>
                <c:pt idx="45">
                  <c:v>9268.521614221354</c:v>
                </c:pt>
                <c:pt idx="46">
                  <c:v>12996.011167108574</c:v>
                </c:pt>
                <c:pt idx="47">
                  <c:v>14621.956414768454</c:v>
                </c:pt>
                <c:pt idx="48">
                  <c:v>14638.760693831993</c:v>
                </c:pt>
                <c:pt idx="49">
                  <c:v>13585.223434236552</c:v>
                </c:pt>
                <c:pt idx="50">
                  <c:v>11742.871484776177</c:v>
                </c:pt>
                <c:pt idx="51">
                  <c:v>9363.780672068664</c:v>
                </c:pt>
                <c:pt idx="52">
                  <c:v>7159.2238790271813</c:v>
                </c:pt>
                <c:pt idx="53">
                  <c:v>6751.866014354453</c:v>
                </c:pt>
                <c:pt idx="54">
                  <c:v>7324.2251153734051</c:v>
                </c:pt>
                <c:pt idx="55">
                  <c:v>8135.9201442261146</c:v>
                </c:pt>
                <c:pt idx="56">
                  <c:v>8879.7660283858095</c:v>
                </c:pt>
                <c:pt idx="57">
                  <c:v>9419.9226777233707</c:v>
                </c:pt>
                <c:pt idx="58">
                  <c:v>9697.7843210403134</c:v>
                </c:pt>
                <c:pt idx="59">
                  <c:v>9697.8116739199868</c:v>
                </c:pt>
                <c:pt idx="60">
                  <c:v>9439.42301318518</c:v>
                </c:pt>
                <c:pt idx="61">
                  <c:v>8993.3652796444912</c:v>
                </c:pt>
                <c:pt idx="62">
                  <c:v>8566.5244942310001</c:v>
                </c:pt>
                <c:pt idx="63">
                  <c:v>8890.5207928529726</c:v>
                </c:pt>
                <c:pt idx="64">
                  <c:v>9866.8567308040147</c:v>
                </c:pt>
                <c:pt idx="65">
                  <c:v>10775.533193364616</c:v>
                </c:pt>
                <c:pt idx="66">
                  <c:v>11449.708300973702</c:v>
                </c:pt>
                <c:pt idx="67">
                  <c:v>11787.175400346816</c:v>
                </c:pt>
                <c:pt idx="68">
                  <c:v>11615.432641046007</c:v>
                </c:pt>
                <c:pt idx="69">
                  <c:v>10506.139196651318</c:v>
                </c:pt>
                <c:pt idx="70">
                  <c:v>8762.3735781903652</c:v>
                </c:pt>
                <c:pt idx="71">
                  <c:v>7267.7262909362589</c:v>
                </c:pt>
                <c:pt idx="72">
                  <c:v>6007.1527022469963</c:v>
                </c:pt>
                <c:pt idx="73">
                  <c:v>4933.8156766052607</c:v>
                </c:pt>
                <c:pt idx="74">
                  <c:v>4037.2625082072504</c:v>
                </c:pt>
                <c:pt idx="75">
                  <c:v>3344.1694102183974</c:v>
                </c:pt>
                <c:pt idx="76">
                  <c:v>2915.1375303527966</c:v>
                </c:pt>
                <c:pt idx="77">
                  <c:v>2845.2799582488988</c:v>
                </c:pt>
                <c:pt idx="78">
                  <c:v>3277.277423737386</c:v>
                </c:pt>
                <c:pt idx="79">
                  <c:v>4445.1472764842001</c:v>
                </c:pt>
                <c:pt idx="80">
                  <c:v>6789.1965556559717</c:v>
                </c:pt>
                <c:pt idx="81">
                  <c:v>10934.016547846008</c:v>
                </c:pt>
                <c:pt idx="82">
                  <c:v>14198.068669613056</c:v>
                </c:pt>
                <c:pt idx="83">
                  <c:v>15859.210095527633</c:v>
                </c:pt>
                <c:pt idx="84">
                  <c:v>16020.861058125904</c:v>
                </c:pt>
                <c:pt idx="85">
                  <c:v>14561.242099698949</c:v>
                </c:pt>
                <c:pt idx="86">
                  <c:v>11060.626073530239</c:v>
                </c:pt>
                <c:pt idx="87">
                  <c:v>6466.7909674372868</c:v>
                </c:pt>
                <c:pt idx="88">
                  <c:v>3423.9433509718647</c:v>
                </c:pt>
                <c:pt idx="89">
                  <c:v>1620.4868604644998</c:v>
                </c:pt>
                <c:pt idx="90">
                  <c:v>784.67007506379127</c:v>
                </c:pt>
                <c:pt idx="91">
                  <c:v>808.74123727399854</c:v>
                </c:pt>
                <c:pt idx="92">
                  <c:v>1705.0474050755583</c:v>
                </c:pt>
                <c:pt idx="93">
                  <c:v>3617.8615111838503</c:v>
                </c:pt>
                <c:pt idx="94">
                  <c:v>6907.0710634725474</c:v>
                </c:pt>
                <c:pt idx="95">
                  <c:v>11968.989463062417</c:v>
                </c:pt>
                <c:pt idx="96">
                  <c:v>15244.000524793142</c:v>
                </c:pt>
                <c:pt idx="97">
                  <c:v>16592.404609307752</c:v>
                </c:pt>
                <c:pt idx="98">
                  <c:v>16317.36919692972</c:v>
                </c:pt>
                <c:pt idx="99">
                  <c:v>14376.862644274401</c:v>
                </c:pt>
                <c:pt idx="100">
                  <c:v>10408.018155217977</c:v>
                </c:pt>
                <c:pt idx="101">
                  <c:v>5878.5540702141088</c:v>
                </c:pt>
                <c:pt idx="102">
                  <c:v>3138.8006958107535</c:v>
                </c:pt>
                <c:pt idx="103">
                  <c:v>1629.7873817207271</c:v>
                </c:pt>
                <c:pt idx="104">
                  <c:v>1041.1068109579005</c:v>
                </c:pt>
                <c:pt idx="105">
                  <c:v>1241.3154380680348</c:v>
                </c:pt>
                <c:pt idx="106">
                  <c:v>2197.9911825637391</c:v>
                </c:pt>
                <c:pt idx="107">
                  <c:v>3953.0824860280854</c:v>
                </c:pt>
                <c:pt idx="108">
                  <c:v>6620.0359727215791</c:v>
                </c:pt>
                <c:pt idx="109">
                  <c:v>10269.175603371981</c:v>
                </c:pt>
                <c:pt idx="110">
                  <c:v>13551.953451362246</c:v>
                </c:pt>
                <c:pt idx="111">
                  <c:v>14733.356332415864</c:v>
                </c:pt>
                <c:pt idx="112">
                  <c:v>14441.942642119791</c:v>
                </c:pt>
                <c:pt idx="113">
                  <c:v>13057.032238179943</c:v>
                </c:pt>
                <c:pt idx="114">
                  <c:v>10784.071782075705</c:v>
                </c:pt>
                <c:pt idx="115">
                  <c:v>8050.9217624103767</c:v>
                </c:pt>
                <c:pt idx="116">
                  <c:v>6716.3007164091159</c:v>
                </c:pt>
                <c:pt idx="117">
                  <c:v>6628.4337182397094</c:v>
                </c:pt>
                <c:pt idx="118">
                  <c:v>7011.2313014900283</c:v>
                </c:pt>
                <c:pt idx="119">
                  <c:v>7515.2630959284479</c:v>
                </c:pt>
                <c:pt idx="120">
                  <c:v>7975.3909119688205</c:v>
                </c:pt>
                <c:pt idx="121">
                  <c:v>8317.0652937554332</c:v>
                </c:pt>
                <c:pt idx="122">
                  <c:v>8523.7138953682424</c:v>
                </c:pt>
                <c:pt idx="123">
                  <c:v>8630.6662857665524</c:v>
                </c:pt>
                <c:pt idx="124">
                  <c:v>8749.7479549549953</c:v>
                </c:pt>
                <c:pt idx="125">
                  <c:v>9188.3827770712596</c:v>
                </c:pt>
                <c:pt idx="126">
                  <c:v>10299.574056931053</c:v>
                </c:pt>
                <c:pt idx="127">
                  <c:v>11162.564967854913</c:v>
                </c:pt>
                <c:pt idx="128">
                  <c:v>11665.90219635591</c:v>
                </c:pt>
                <c:pt idx="129">
                  <c:v>11774.682141828413</c:v>
                </c:pt>
                <c:pt idx="130">
                  <c:v>11399.975820922115</c:v>
                </c:pt>
                <c:pt idx="131">
                  <c:v>10321.719833150755</c:v>
                </c:pt>
                <c:pt idx="132">
                  <c:v>8768.1424192396717</c:v>
                </c:pt>
                <c:pt idx="133">
                  <c:v>7552.935461083739</c:v>
                </c:pt>
                <c:pt idx="134">
                  <c:v>6531.4799422442165</c:v>
                </c:pt>
                <c:pt idx="135">
                  <c:v>5590.4347855063124</c:v>
                </c:pt>
                <c:pt idx="136">
                  <c:v>4664.6897258117242</c:v>
                </c:pt>
                <c:pt idx="137">
                  <c:v>3720.970223974688</c:v>
                </c:pt>
                <c:pt idx="138">
                  <c:v>2748.1767984183698</c:v>
                </c:pt>
                <c:pt idx="139">
                  <c:v>1749.8031326109235</c:v>
                </c:pt>
                <c:pt idx="140">
                  <c:v>736.29872859816419</c:v>
                </c:pt>
                <c:pt idx="141">
                  <c:v>-282.38485296444719</c:v>
                </c:pt>
                <c:pt idx="142">
                  <c:v>-1302.6338136029553</c:v>
                </c:pt>
                <c:pt idx="143">
                  <c:v>-2329.9959041592147</c:v>
                </c:pt>
                <c:pt idx="144">
                  <c:v>-3377.7933848345779</c:v>
                </c:pt>
                <c:pt idx="145">
                  <c:v>-4457.3366015266047</c:v>
                </c:pt>
                <c:pt idx="146">
                  <c:v>-5530.958007376219</c:v>
                </c:pt>
                <c:pt idx="147">
                  <c:v>-6193.1171657672694</c:v>
                </c:pt>
                <c:pt idx="148">
                  <c:v>-5836.3972526255302</c:v>
                </c:pt>
                <c:pt idx="149">
                  <c:v>-5160.1527316729298</c:v>
                </c:pt>
                <c:pt idx="150">
                  <c:v>-4412.357978125995</c:v>
                </c:pt>
                <c:pt idx="151">
                  <c:v>-3750.843347520522</c:v>
                </c:pt>
                <c:pt idx="152">
                  <c:v>-3449.1966764350204</c:v>
                </c:pt>
                <c:pt idx="153">
                  <c:v>-4268.7598459739702</c:v>
                </c:pt>
                <c:pt idx="154">
                  <c:v>-5449.4439284614173</c:v>
                </c:pt>
                <c:pt idx="155">
                  <c:v>-6401.4326344251822</c:v>
                </c:pt>
                <c:pt idx="156">
                  <c:v>-7030.2685347972674</c:v>
                </c:pt>
                <c:pt idx="157">
                  <c:v>-7319.2896746468059</c:v>
                </c:pt>
                <c:pt idx="158">
                  <c:v>-7265.1094374048525</c:v>
                </c:pt>
                <c:pt idx="159">
                  <c:v>-6864.5302553578103</c:v>
                </c:pt>
                <c:pt idx="160">
                  <c:v>-6116.0125893855375</c:v>
                </c:pt>
                <c:pt idx="161">
                  <c:v>-5042.6098744097671</c:v>
                </c:pt>
                <c:pt idx="162">
                  <c:v>-3846.7199210924723</c:v>
                </c:pt>
                <c:pt idx="163">
                  <c:v>-3684.7219422653288</c:v>
                </c:pt>
                <c:pt idx="164">
                  <c:v>-4074.1911614287801</c:v>
                </c:pt>
                <c:pt idx="165">
                  <c:v>-4631.8388869731043</c:v>
                </c:pt>
                <c:pt idx="166">
                  <c:v>-5218.0063000385617</c:v>
                </c:pt>
                <c:pt idx="167">
                  <c:v>-5723.6953390039453</c:v>
                </c:pt>
                <c:pt idx="168">
                  <c:v>-5927.6468114970658</c:v>
                </c:pt>
                <c:pt idx="169">
                  <c:v>-5206.4527574435715</c:v>
                </c:pt>
                <c:pt idx="170">
                  <c:v>-4286.4805621988007</c:v>
                </c:pt>
                <c:pt idx="171">
                  <c:v>-3351.5526361138445</c:v>
                </c:pt>
                <c:pt idx="172">
                  <c:v>-2381.3154043558975</c:v>
                </c:pt>
                <c:pt idx="173">
                  <c:v>-1324.6520305470026</c:v>
                </c:pt>
                <c:pt idx="174">
                  <c:v>-115.93619813013726</c:v>
                </c:pt>
                <c:pt idx="175">
                  <c:v>1331.486922500269</c:v>
                </c:pt>
                <c:pt idx="176">
                  <c:v>3145.0953984841585</c:v>
                </c:pt>
                <c:pt idx="177">
                  <c:v>5537.0397596879202</c:v>
                </c:pt>
                <c:pt idx="178">
                  <c:v>8883.5760791276261</c:v>
                </c:pt>
                <c:pt idx="179">
                  <c:v>12990.668330697057</c:v>
                </c:pt>
                <c:pt idx="180">
                  <c:v>15332.869940226603</c:v>
                </c:pt>
                <c:pt idx="181">
                  <c:v>16511.030924177554</c:v>
                </c:pt>
                <c:pt idx="182">
                  <c:v>16823.360090824732</c:v>
                </c:pt>
                <c:pt idx="183">
                  <c:v>16372.498683845943</c:v>
                </c:pt>
                <c:pt idx="184">
                  <c:v>15147.631273640012</c:v>
                </c:pt>
                <c:pt idx="185">
                  <c:v>13019.969724265193</c:v>
                </c:pt>
                <c:pt idx="186">
                  <c:v>9717.1242528087878</c:v>
                </c:pt>
                <c:pt idx="187">
                  <c:v>6562.8377221086848</c:v>
                </c:pt>
                <c:pt idx="188">
                  <c:v>4492.3203030511222</c:v>
                </c:pt>
                <c:pt idx="189">
                  <c:v>2883.0750740868434</c:v>
                </c:pt>
                <c:pt idx="190">
                  <c:v>1410.7291050400599</c:v>
                </c:pt>
                <c:pt idx="191">
                  <c:v>-154.72944752132571</c:v>
                </c:pt>
                <c:pt idx="192">
                  <c:v>-2058.5880410166856</c:v>
                </c:pt>
                <c:pt idx="193">
                  <c:v>-4663.6380744959843</c:v>
                </c:pt>
                <c:pt idx="194">
                  <c:v>-7524.1482036255684</c:v>
                </c:pt>
                <c:pt idx="195">
                  <c:v>-9311.4415352150118</c:v>
                </c:pt>
                <c:pt idx="196">
                  <c:v>-10449.679243737255</c:v>
                </c:pt>
                <c:pt idx="197">
                  <c:v>-11123.05994544633</c:v>
                </c:pt>
                <c:pt idx="198">
                  <c:v>-11409.995924356937</c:v>
                </c:pt>
                <c:pt idx="199">
                  <c:v>-11339.369226642531</c:v>
                </c:pt>
                <c:pt idx="200">
                  <c:v>-10906.521968228119</c:v>
                </c:pt>
                <c:pt idx="201">
                  <c:v>-10070.792856253776</c:v>
                </c:pt>
                <c:pt idx="202">
                  <c:v>-8731.4454823780397</c:v>
                </c:pt>
                <c:pt idx="203">
                  <c:v>-6649.4827647630455</c:v>
                </c:pt>
                <c:pt idx="204">
                  <c:v>-3443.5359492656817</c:v>
                </c:pt>
                <c:pt idx="205">
                  <c:v>-1082.9690830854383</c:v>
                </c:pt>
                <c:pt idx="206">
                  <c:v>809.43537853809471</c:v>
                </c:pt>
                <c:pt idx="207">
                  <c:v>2566.9552760972579</c:v>
                </c:pt>
                <c:pt idx="208">
                  <c:v>4476.3593139171699</c:v>
                </c:pt>
                <c:pt idx="209">
                  <c:v>6967.4311100935793</c:v>
                </c:pt>
                <c:pt idx="210">
                  <c:v>10888.026530117852</c:v>
                </c:pt>
                <c:pt idx="211">
                  <c:v>14051.888852075059</c:v>
                </c:pt>
                <c:pt idx="212">
                  <c:v>16231.668191724833</c:v>
                </c:pt>
                <c:pt idx="213">
                  <c:v>17651.109613538312</c:v>
                </c:pt>
                <c:pt idx="214">
                  <c:v>18414.418389258004</c:v>
                </c:pt>
                <c:pt idx="215">
                  <c:v>18547.75069794013</c:v>
                </c:pt>
                <c:pt idx="216">
                  <c:v>18013.020940926614</c:v>
                </c:pt>
                <c:pt idx="217">
                  <c:v>16686.412963872655</c:v>
                </c:pt>
                <c:pt idx="218">
                  <c:v>14270.147520440611</c:v>
                </c:pt>
                <c:pt idx="219">
                  <c:v>10068.850110749396</c:v>
                </c:pt>
                <c:pt idx="220">
                  <c:v>5648.4828435874688</c:v>
                </c:pt>
                <c:pt idx="221">
                  <c:v>2353.4142769400701</c:v>
                </c:pt>
                <c:pt idx="222">
                  <c:v>-283.08738541673949</c:v>
                </c:pt>
                <c:pt idx="223">
                  <c:v>-2522.405653657177</c:v>
                </c:pt>
                <c:pt idx="224">
                  <c:v>-4493.3857193505883</c:v>
                </c:pt>
                <c:pt idx="225">
                  <c:v>-6241.5732370186061</c:v>
                </c:pt>
                <c:pt idx="226">
                  <c:v>-7735.8410398888627</c:v>
                </c:pt>
                <c:pt idx="227">
                  <c:v>-8838.6823090108537</c:v>
                </c:pt>
                <c:pt idx="228">
                  <c:v>-9201.7448221627892</c:v>
                </c:pt>
                <c:pt idx="229">
                  <c:v>-8011.4446371498707</c:v>
                </c:pt>
                <c:pt idx="230">
                  <c:v>-4973.6359679006209</c:v>
                </c:pt>
                <c:pt idx="231">
                  <c:v>-1901.75834692584</c:v>
                </c:pt>
                <c:pt idx="232">
                  <c:v>622.28413171944794</c:v>
                </c:pt>
                <c:pt idx="233">
                  <c:v>2466.1665721452591</c:v>
                </c:pt>
                <c:pt idx="234">
                  <c:v>3550.6202598491382</c:v>
                </c:pt>
                <c:pt idx="235">
                  <c:v>3768.3992095577764</c:v>
                </c:pt>
                <c:pt idx="236">
                  <c:v>2961.9441153912112</c:v>
                </c:pt>
                <c:pt idx="237">
                  <c:v>954.33748959186551</c:v>
                </c:pt>
                <c:pt idx="238">
                  <c:v>-2223.3460863224282</c:v>
                </c:pt>
                <c:pt idx="239">
                  <c:v>-5926.0969965796185</c:v>
                </c:pt>
                <c:pt idx="240">
                  <c:v>-9325.6925119226071</c:v>
                </c:pt>
                <c:pt idx="241">
                  <c:v>-12036.980155373771</c:v>
                </c:pt>
                <c:pt idx="242">
                  <c:v>-13957.754328929455</c:v>
                </c:pt>
                <c:pt idx="243">
                  <c:v>-15064.855316802754</c:v>
                </c:pt>
                <c:pt idx="244">
                  <c:v>-15334.300194806381</c:v>
                </c:pt>
                <c:pt idx="245">
                  <c:v>-14705.608587985445</c:v>
                </c:pt>
                <c:pt idx="246">
                  <c:v>-13045.121496649383</c:v>
                </c:pt>
                <c:pt idx="247">
                  <c:v>-10078.964994399968</c:v>
                </c:pt>
                <c:pt idx="248">
                  <c:v>-5355.9963102566344</c:v>
                </c:pt>
                <c:pt idx="249">
                  <c:v>-301.35305882412183</c:v>
                </c:pt>
                <c:pt idx="250">
                  <c:v>2960.0343398946488</c:v>
                </c:pt>
                <c:pt idx="251">
                  <c:v>5030.0493737811094</c:v>
                </c:pt>
                <c:pt idx="252">
                  <c:v>6298.5013813295191</c:v>
                </c:pt>
                <c:pt idx="253">
                  <c:v>6987.9462225126299</c:v>
                </c:pt>
                <c:pt idx="254">
                  <c:v>7254.9893641111048</c:v>
                </c:pt>
                <c:pt idx="255">
                  <c:v>7245.7991818090759</c:v>
                </c:pt>
                <c:pt idx="256">
                  <c:v>7151.1648924349638</c:v>
                </c:pt>
                <c:pt idx="257">
                  <c:v>7345.9545011287346</c:v>
                </c:pt>
                <c:pt idx="258">
                  <c:v>8847.2915661738643</c:v>
                </c:pt>
                <c:pt idx="259">
                  <c:v>10927.379345479647</c:v>
                </c:pt>
                <c:pt idx="260">
                  <c:v>12699.161515777303</c:v>
                </c:pt>
                <c:pt idx="261">
                  <c:v>14057.084749241139</c:v>
                </c:pt>
                <c:pt idx="262">
                  <c:v>14970.986043736288</c:v>
                </c:pt>
                <c:pt idx="263">
                  <c:v>15390.691294797167</c:v>
                </c:pt>
                <c:pt idx="264">
                  <c:v>15208.703482603687</c:v>
                </c:pt>
                <c:pt idx="265">
                  <c:v>14185.993369401998</c:v>
                </c:pt>
                <c:pt idx="266">
                  <c:v>11733.712052433206</c:v>
                </c:pt>
                <c:pt idx="267">
                  <c:v>7626.6226028484371</c:v>
                </c:pt>
                <c:pt idx="268">
                  <c:v>4232.8311801606869</c:v>
                </c:pt>
                <c:pt idx="269">
                  <c:v>1331.1567686538158</c:v>
                </c:pt>
                <c:pt idx="270">
                  <c:v>-1326.9646584316063</c:v>
                </c:pt>
                <c:pt idx="271">
                  <c:v>-3876.3289913946501</c:v>
                </c:pt>
                <c:pt idx="272">
                  <c:v>-6325.9829357208982</c:v>
                </c:pt>
                <c:pt idx="273">
                  <c:v>-8436.1939307539087</c:v>
                </c:pt>
                <c:pt idx="274">
                  <c:v>-9371.3931305553706</c:v>
                </c:pt>
                <c:pt idx="275">
                  <c:v>-8293.0421780169854</c:v>
                </c:pt>
                <c:pt idx="276">
                  <c:v>-6193.554218294692</c:v>
                </c:pt>
                <c:pt idx="277">
                  <c:v>-3852.7107586291086</c:v>
                </c:pt>
                <c:pt idx="278">
                  <c:v>-1617.1140210249346</c:v>
                </c:pt>
                <c:pt idx="279">
                  <c:v>313.94383512153581</c:v>
                </c:pt>
                <c:pt idx="280">
                  <c:v>1767.2224756247815</c:v>
                </c:pt>
                <c:pt idx="281">
                  <c:v>2534.0029433405921</c:v>
                </c:pt>
                <c:pt idx="282">
                  <c:v>2325.2454055438452</c:v>
                </c:pt>
                <c:pt idx="283">
                  <c:v>799.71466599924634</c:v>
                </c:pt>
                <c:pt idx="284">
                  <c:v>-2042.7587797100907</c:v>
                </c:pt>
                <c:pt idx="285">
                  <c:v>-5402.1431516670136</c:v>
                </c:pt>
                <c:pt idx="286">
                  <c:v>-8560.0036201560906</c:v>
                </c:pt>
                <c:pt idx="287">
                  <c:v>-11278.843313792671</c:v>
                </c:pt>
                <c:pt idx="288">
                  <c:v>-13525.978419810272</c:v>
                </c:pt>
                <c:pt idx="289">
                  <c:v>-15317.004525997163</c:v>
                </c:pt>
                <c:pt idx="290">
                  <c:v>-16669.748687131727</c:v>
                </c:pt>
                <c:pt idx="291">
                  <c:v>-17595.615734166819</c:v>
                </c:pt>
                <c:pt idx="292">
                  <c:v>-18100.159212957115</c:v>
                </c:pt>
                <c:pt idx="293">
                  <c:v>-18184.249605755318</c:v>
                </c:pt>
                <c:pt idx="294">
                  <c:v>-17844.11099867017</c:v>
                </c:pt>
                <c:pt idx="295">
                  <c:v>-17070.192433604068</c:v>
                </c:pt>
                <c:pt idx="296">
                  <c:v>-15844.716862192106</c:v>
                </c:pt>
                <c:pt idx="297">
                  <c:v>-14137.42668169947</c:v>
                </c:pt>
                <c:pt idx="298">
                  <c:v>-11899.852957032599</c:v>
                </c:pt>
                <c:pt idx="299">
                  <c:v>-9064.6480164799832</c:v>
                </c:pt>
                <c:pt idx="300">
                  <c:v>-5592.9858293194184</c:v>
                </c:pt>
                <c:pt idx="301">
                  <c:v>-1840.4308179363875</c:v>
                </c:pt>
                <c:pt idx="302">
                  <c:v>493.9754404000355</c:v>
                </c:pt>
                <c:pt idx="303">
                  <c:v>1227.0013986358169</c:v>
                </c:pt>
                <c:pt idx="304">
                  <c:v>1035.2298668087064</c:v>
                </c:pt>
                <c:pt idx="305">
                  <c:v>276.99205264256091</c:v>
                </c:pt>
                <c:pt idx="306">
                  <c:v>-864.70105610442852</c:v>
                </c:pt>
                <c:pt idx="307">
                  <c:v>-2280.5707933918789</c:v>
                </c:pt>
                <c:pt idx="308">
                  <c:v>-3886.420724517402</c:v>
                </c:pt>
                <c:pt idx="309">
                  <c:v>-5580.0836829344998</c:v>
                </c:pt>
                <c:pt idx="310">
                  <c:v>-7131.9748349036081</c:v>
                </c:pt>
                <c:pt idx="311">
                  <c:v>-7707.46409964553</c:v>
                </c:pt>
                <c:pt idx="312">
                  <c:v>-6448.6549380729457</c:v>
                </c:pt>
                <c:pt idx="313">
                  <c:v>-4703.6249681000791</c:v>
                </c:pt>
                <c:pt idx="314">
                  <c:v>-2826.2437108382082</c:v>
                </c:pt>
                <c:pt idx="315">
                  <c:v>-831.74473282901999</c:v>
                </c:pt>
                <c:pt idx="316">
                  <c:v>1388.5597613000339</c:v>
                </c:pt>
                <c:pt idx="317">
                  <c:v>4064.5773058988389</c:v>
                </c:pt>
                <c:pt idx="318">
                  <c:v>7668.3943191397839</c:v>
                </c:pt>
                <c:pt idx="319">
                  <c:v>12753.824925172374</c:v>
                </c:pt>
                <c:pt idx="320">
                  <c:v>16139.666936564126</c:v>
                </c:pt>
                <c:pt idx="321">
                  <c:v>18354.949795756515</c:v>
                </c:pt>
                <c:pt idx="322">
                  <c:v>19737.248378027878</c:v>
                </c:pt>
                <c:pt idx="323">
                  <c:v>20432.225018214718</c:v>
                </c:pt>
                <c:pt idx="324">
                  <c:v>20495.032980174212</c:v>
                </c:pt>
                <c:pt idx="325">
                  <c:v>19921.415519643277</c:v>
                </c:pt>
                <c:pt idx="326">
                  <c:v>18645.822141395704</c:v>
                </c:pt>
                <c:pt idx="327">
                  <c:v>16504.048699205476</c:v>
                </c:pt>
                <c:pt idx="328">
                  <c:v>13110.81230490181</c:v>
                </c:pt>
                <c:pt idx="329">
                  <c:v>7778.3828500030431</c:v>
                </c:pt>
                <c:pt idx="330">
                  <c:v>3801.6408108672285</c:v>
                </c:pt>
                <c:pt idx="331">
                  <c:v>770.92975209345286</c:v>
                </c:pt>
                <c:pt idx="332">
                  <c:v>-1759.6328834007968</c:v>
                </c:pt>
                <c:pt idx="333">
                  <c:v>-3998.7576300219303</c:v>
                </c:pt>
                <c:pt idx="334">
                  <c:v>-6025.8138239657037</c:v>
                </c:pt>
                <c:pt idx="335">
                  <c:v>-7807.1653560100222</c:v>
                </c:pt>
                <c:pt idx="336">
                  <c:v>-9142.5827652121734</c:v>
                </c:pt>
                <c:pt idx="337">
                  <c:v>-9494.7586300690564</c:v>
                </c:pt>
                <c:pt idx="338">
                  <c:v>-7923.8998059266487</c:v>
                </c:pt>
                <c:pt idx="339">
                  <c:v>-5038.2762631254463</c:v>
                </c:pt>
                <c:pt idx="340">
                  <c:v>-2104.0304986398774</c:v>
                </c:pt>
                <c:pt idx="341">
                  <c:v>432.50835607274064</c:v>
                </c:pt>
                <c:pt idx="342">
                  <c:v>2404.8190025845179</c:v>
                </c:pt>
                <c:pt idx="343">
                  <c:v>3702.5155306223805</c:v>
                </c:pt>
                <c:pt idx="344">
                  <c:v>4206.8355856730486</c:v>
                </c:pt>
                <c:pt idx="345">
                  <c:v>3772.8994265158899</c:v>
                </c:pt>
                <c:pt idx="346">
                  <c:v>2260.6740267898085</c:v>
                </c:pt>
                <c:pt idx="347">
                  <c:v>-311.36132988295981</c:v>
                </c:pt>
                <c:pt idx="348">
                  <c:v>-3532.2799135802488</c:v>
                </c:pt>
                <c:pt idx="349">
                  <c:v>-6796.7070930349937</c:v>
                </c:pt>
                <c:pt idx="350">
                  <c:v>-9737.6910888861366</c:v>
                </c:pt>
                <c:pt idx="351">
                  <c:v>-12225.924755875876</c:v>
                </c:pt>
                <c:pt idx="352">
                  <c:v>-14230.337346177841</c:v>
                </c:pt>
                <c:pt idx="353">
                  <c:v>-15745.508100743817</c:v>
                </c:pt>
                <c:pt idx="354">
                  <c:v>-16768.188148034678</c:v>
                </c:pt>
                <c:pt idx="355">
                  <c:v>-17290.649412388575</c:v>
                </c:pt>
                <c:pt idx="356">
                  <c:v>-17296.435125453041</c:v>
                </c:pt>
                <c:pt idx="357">
                  <c:v>-16753.976372069934</c:v>
                </c:pt>
                <c:pt idx="358">
                  <c:v>-15605.131603095999</c:v>
                </c:pt>
                <c:pt idx="359">
                  <c:v>-13741.686320590874</c:v>
                </c:pt>
                <c:pt idx="360">
                  <c:v>-10949.231491327588</c:v>
                </c:pt>
                <c:pt idx="361">
                  <c:v>-6766.7512213453083</c:v>
                </c:pt>
                <c:pt idx="362">
                  <c:v>-1092.3189764815677</c:v>
                </c:pt>
                <c:pt idx="363">
                  <c:v>2778.0373858053317</c:v>
                </c:pt>
                <c:pt idx="364">
                  <c:v>5603.0118085061786</c:v>
                </c:pt>
                <c:pt idx="365">
                  <c:v>7739.8629854824721</c:v>
                </c:pt>
                <c:pt idx="366">
                  <c:v>9346.1682292084206</c:v>
                </c:pt>
                <c:pt idx="367">
                  <c:v>10499.64290945868</c:v>
                </c:pt>
                <c:pt idx="368">
                  <c:v>11238.927823031438</c:v>
                </c:pt>
                <c:pt idx="369">
                  <c:v>11579.245606668934</c:v>
                </c:pt>
                <c:pt idx="370">
                  <c:v>11518.554226168224</c:v>
                </c:pt>
                <c:pt idx="371">
                  <c:v>11039.156722806236</c:v>
                </c:pt>
                <c:pt idx="372">
                  <c:v>10106.417256844796</c:v>
                </c:pt>
                <c:pt idx="373">
                  <c:v>8665.2444857274422</c:v>
                </c:pt>
                <c:pt idx="374">
                  <c:v>6636.0782085171913</c:v>
                </c:pt>
                <c:pt idx="375">
                  <c:v>3920.0741104753151</c:v>
                </c:pt>
                <c:pt idx="376">
                  <c:v>455.70731957798921</c:v>
                </c:pt>
                <c:pt idx="377">
                  <c:v>-3584.9917235119337</c:v>
                </c:pt>
                <c:pt idx="378">
                  <c:v>-7667.8935030584325</c:v>
                </c:pt>
                <c:pt idx="379">
                  <c:v>-11323.098892544956</c:v>
                </c:pt>
                <c:pt idx="380">
                  <c:v>-14386.947074296193</c:v>
                </c:pt>
                <c:pt idx="381">
                  <c:v>-16850.864678246289</c:v>
                </c:pt>
                <c:pt idx="382">
                  <c:v>-18746.450294059159</c:v>
                </c:pt>
                <c:pt idx="383">
                  <c:v>-20107.991834812354</c:v>
                </c:pt>
                <c:pt idx="384">
                  <c:v>-20962.177663170176</c:v>
                </c:pt>
                <c:pt idx="385">
                  <c:v>-21324.740215719565</c:v>
                </c:pt>
                <c:pt idx="386">
                  <c:v>-21198.496329438531</c:v>
                </c:pt>
                <c:pt idx="387">
                  <c:v>-20570.618365695842</c:v>
                </c:pt>
                <c:pt idx="388">
                  <c:v>-19407.171859391015</c:v>
                </c:pt>
                <c:pt idx="389">
                  <c:v>-17641.338906833178</c:v>
                </c:pt>
                <c:pt idx="390">
                  <c:v>-15146.108070499526</c:v>
                </c:pt>
                <c:pt idx="391">
                  <c:v>-11662.813884400284</c:v>
                </c:pt>
                <c:pt idx="392">
                  <c:v>-6603.0977447690011</c:v>
                </c:pt>
                <c:pt idx="393">
                  <c:v>-39.25903822459577</c:v>
                </c:pt>
                <c:pt idx="394">
                  <c:v>4721.7639134687997</c:v>
                </c:pt>
                <c:pt idx="395">
                  <c:v>8541.5111940212337</c:v>
                </c:pt>
                <c:pt idx="396">
                  <c:v>11772.43143466917</c:v>
                </c:pt>
                <c:pt idx="397">
                  <c:v>14555.042910670389</c:v>
                </c:pt>
                <c:pt idx="398">
                  <c:v>16944.235923480326</c:v>
                </c:pt>
                <c:pt idx="399">
                  <c:v>18952.956662071239</c:v>
                </c:pt>
                <c:pt idx="400">
                  <c:v>20569.183820082751</c:v>
                </c:pt>
                <c:pt idx="401">
                  <c:v>21762.21123577547</c:v>
                </c:pt>
                <c:pt idx="402">
                  <c:v>22483.477051626465</c:v>
                </c:pt>
                <c:pt idx="403">
                  <c:v>22663.746908542176</c:v>
                </c:pt>
                <c:pt idx="404">
                  <c:v>22207.417522968008</c:v>
                </c:pt>
                <c:pt idx="405">
                  <c:v>20985.926809911125</c:v>
                </c:pt>
                <c:pt idx="406">
                  <c:v>18840.443281908701</c:v>
                </c:pt>
                <c:pt idx="407">
                  <c:v>15635.619665528218</c:v>
                </c:pt>
                <c:pt idx="408">
                  <c:v>11467.929543935759</c:v>
                </c:pt>
                <c:pt idx="409">
                  <c:v>6940.7790802281306</c:v>
                </c:pt>
                <c:pt idx="410">
                  <c:v>2775.0476136516886</c:v>
                </c:pt>
                <c:pt idx="411">
                  <c:v>-772.68145900172703</c:v>
                </c:pt>
                <c:pt idx="412">
                  <c:v>-3772.9814727452167</c:v>
                </c:pt>
                <c:pt idx="413">
                  <c:v>-6387.6855324270637</c:v>
                </c:pt>
                <c:pt idx="414">
                  <c:v>-8766.8102534572245</c:v>
                </c:pt>
                <c:pt idx="415">
                  <c:v>-10987.950906127786</c:v>
                </c:pt>
                <c:pt idx="416">
                  <c:v>-13014.272077350262</c:v>
                </c:pt>
                <c:pt idx="417">
                  <c:v>-14717.476205452978</c:v>
                </c:pt>
                <c:pt idx="418">
                  <c:v>-15934.305857917023</c:v>
                </c:pt>
                <c:pt idx="419">
                  <c:v>-16501.429873076188</c:v>
                </c:pt>
                <c:pt idx="420">
                  <c:v>-16284.700892506444</c:v>
                </c:pt>
                <c:pt idx="421">
                  <c:v>-15216.805042365257</c:v>
                </c:pt>
                <c:pt idx="422">
                  <c:v>-13329.43901892185</c:v>
                </c:pt>
                <c:pt idx="423">
                  <c:v>-10758.784407403115</c:v>
                </c:pt>
                <c:pt idx="424">
                  <c:v>-7718.0364540469845</c:v>
                </c:pt>
                <c:pt idx="425">
                  <c:v>-4452.2506906408462</c:v>
                </c:pt>
                <c:pt idx="426">
                  <c:v>-1197.2084890740111</c:v>
                </c:pt>
                <c:pt idx="427">
                  <c:v>1846.2207735606164</c:v>
                </c:pt>
                <c:pt idx="428">
                  <c:v>4522.862277312076</c:v>
                </c:pt>
                <c:pt idx="429">
                  <c:v>6724.8929197548077</c:v>
                </c:pt>
                <c:pt idx="430">
                  <c:v>8389.5099605789401</c:v>
                </c:pt>
                <c:pt idx="431">
                  <c:v>9495.3414545867217</c:v>
                </c:pt>
                <c:pt idx="432">
                  <c:v>10058.253712857551</c:v>
                </c:pt>
                <c:pt idx="433">
                  <c:v>10126.239858010416</c:v>
                </c:pt>
                <c:pt idx="434">
                  <c:v>9774.2442727257694</c:v>
                </c:pt>
                <c:pt idx="435">
                  <c:v>9108.7432389763453</c:v>
                </c:pt>
                <c:pt idx="436">
                  <c:v>8358.4830476006609</c:v>
                </c:pt>
                <c:pt idx="437">
                  <c:v>8645.0474834386077</c:v>
                </c:pt>
                <c:pt idx="438">
                  <c:v>9315.1239218012706</c:v>
                </c:pt>
                <c:pt idx="439">
                  <c:v>9964.0429817556269</c:v>
                </c:pt>
                <c:pt idx="440">
                  <c:v>10542.293694363454</c:v>
                </c:pt>
                <c:pt idx="441">
                  <c:v>11046.438898476848</c:v>
                </c:pt>
                <c:pt idx="442">
                  <c:v>11481.009765369492</c:v>
                </c:pt>
                <c:pt idx="443">
                  <c:v>11851.568028750609</c:v>
                </c:pt>
                <c:pt idx="444">
                  <c:v>12163.192604808539</c:v>
                </c:pt>
                <c:pt idx="445">
                  <c:v>12420.195996150871</c:v>
                </c:pt>
                <c:pt idx="446">
                  <c:v>12626.149849928792</c:v>
                </c:pt>
                <c:pt idx="447">
                  <c:v>12783.980276120374</c:v>
                </c:pt>
                <c:pt idx="448">
                  <c:v>12896.066311134766</c:v>
                </c:pt>
                <c:pt idx="449">
                  <c:v>12964.32419001448</c:v>
                </c:pt>
                <c:pt idx="450">
                  <c:v>12990.274824382435</c:v>
                </c:pt>
                <c:pt idx="451">
                  <c:v>12975.09607768461</c:v>
                </c:pt>
                <c:pt idx="452">
                  <c:v>12919.662295381178</c:v>
                </c:pt>
                <c:pt idx="453">
                  <c:v>12824.573411353995</c:v>
                </c:pt>
                <c:pt idx="454">
                  <c:v>12690.17559886462</c:v>
                </c:pt>
                <c:pt idx="455">
                  <c:v>12516.575150637678</c:v>
                </c:pt>
                <c:pt idx="456">
                  <c:v>12303.647203005861</c:v>
                </c:pt>
                <c:pt idx="457">
                  <c:v>12051.041225540594</c:v>
                </c:pt>
                <c:pt idx="458">
                  <c:v>11758.186188818223</c:v>
                </c:pt>
                <c:pt idx="459">
                  <c:v>11424.300670431243</c:v>
                </c:pt>
                <c:pt idx="460">
                  <c:v>11048.418389008188</c:v>
                </c:pt>
                <c:pt idx="461">
                  <c:v>10629.451395633234</c:v>
                </c:pt>
                <c:pt idx="462">
                  <c:v>10166.340551238995</c:v>
                </c:pt>
                <c:pt idx="463">
                  <c:v>9658.4108557326508</c:v>
                </c:pt>
                <c:pt idx="464">
                  <c:v>9106.2320379641551</c:v>
                </c:pt>
                <c:pt idx="465">
                  <c:v>8513.8333817378261</c:v>
                </c:pt>
                <c:pt idx="466">
                  <c:v>7895.025849230512</c:v>
                </c:pt>
                <c:pt idx="467">
                  <c:v>7294.656589957186</c:v>
                </c:pt>
                <c:pt idx="468">
                  <c:v>6880.3982774056585</c:v>
                </c:pt>
                <c:pt idx="469">
                  <c:v>7443.2251750591367</c:v>
                </c:pt>
                <c:pt idx="470">
                  <c:v>9260.9319724841989</c:v>
                </c:pt>
                <c:pt idx="471">
                  <c:v>10948.055156053901</c:v>
                </c:pt>
                <c:pt idx="472">
                  <c:v>12270.084650392453</c:v>
                </c:pt>
                <c:pt idx="473">
                  <c:v>13178.190961413024</c:v>
                </c:pt>
                <c:pt idx="474">
                  <c:v>13671.699444972748</c:v>
                </c:pt>
                <c:pt idx="475">
                  <c:v>13771.896801668459</c:v>
                </c:pt>
                <c:pt idx="476">
                  <c:v>13510.132464206048</c:v>
                </c:pt>
                <c:pt idx="477">
                  <c:v>12920.837781134458</c:v>
                </c:pt>
                <c:pt idx="478">
                  <c:v>12037.804597956812</c:v>
                </c:pt>
                <c:pt idx="479">
                  <c:v>10892.569800317351</c:v>
                </c:pt>
                <c:pt idx="480">
                  <c:v>9514.0155191016911</c:v>
                </c:pt>
                <c:pt idx="481">
                  <c:v>7928.6233757547116</c:v>
                </c:pt>
                <c:pt idx="482">
                  <c:v>6161.0869803899986</c:v>
                </c:pt>
                <c:pt idx="483">
                  <c:v>4235.1678511097834</c:v>
                </c:pt>
                <c:pt idx="484">
                  <c:v>2174.8067002554462</c:v>
                </c:pt>
                <c:pt idx="485">
                  <c:v>5.6154940356535121</c:v>
                </c:pt>
                <c:pt idx="486">
                  <c:v>-2242.9785292984475</c:v>
                </c:pt>
                <c:pt idx="487">
                  <c:v>-4534.4237632467848</c:v>
                </c:pt>
                <c:pt idx="488">
                  <c:v>-6819.6114616284731</c:v>
                </c:pt>
                <c:pt idx="489">
                  <c:v>-9027.5393704751714</c:v>
                </c:pt>
                <c:pt idx="490">
                  <c:v>-11048.983152696837</c:v>
                </c:pt>
                <c:pt idx="491">
                  <c:v>-12709.425098957216</c:v>
                </c:pt>
                <c:pt idx="492">
                  <c:v>-13736.441302729729</c:v>
                </c:pt>
                <c:pt idx="493">
                  <c:v>-13781.074305456626</c:v>
                </c:pt>
                <c:pt idx="494">
                  <c:v>-12648.269187065824</c:v>
                </c:pt>
                <c:pt idx="495">
                  <c:v>-10573.59002394733</c:v>
                </c:pt>
                <c:pt idx="496">
                  <c:v>-7969.6353422824404</c:v>
                </c:pt>
                <c:pt idx="497">
                  <c:v>-5078.6114740189196</c:v>
                </c:pt>
                <c:pt idx="498">
                  <c:v>-1909.7629949325915</c:v>
                </c:pt>
                <c:pt idx="499">
                  <c:v>1761.8265926753627</c:v>
                </c:pt>
                <c:pt idx="500">
                  <c:v>6484.0884958372262</c:v>
                </c:pt>
                <c:pt idx="501">
                  <c:v>12620.490701958603</c:v>
                </c:pt>
                <c:pt idx="502">
                  <c:v>17654.578340818454</c:v>
                </c:pt>
                <c:pt idx="503">
                  <c:v>21575.97734230656</c:v>
                </c:pt>
                <c:pt idx="504">
                  <c:v>24713.936737125696</c:v>
                </c:pt>
                <c:pt idx="505">
                  <c:v>27263.656087100571</c:v>
                </c:pt>
                <c:pt idx="506">
                  <c:v>29340.421832191907</c:v>
                </c:pt>
                <c:pt idx="507">
                  <c:v>31017.064194688894</c:v>
                </c:pt>
                <c:pt idx="508">
                  <c:v>32342.258833263248</c:v>
                </c:pt>
                <c:pt idx="509">
                  <c:v>33349.827887611282</c:v>
                </c:pt>
                <c:pt idx="510">
                  <c:v>34063.801346299413</c:v>
                </c:pt>
                <c:pt idx="511">
                  <c:v>34501.341658827099</c:v>
                </c:pt>
                <c:pt idx="512">
                  <c:v>34674.511619350225</c:v>
                </c:pt>
                <c:pt idx="513">
                  <c:v>34591.372460080282</c:v>
                </c:pt>
                <c:pt idx="514">
                  <c:v>34256.668086630569</c:v>
                </c:pt>
                <c:pt idx="515">
                  <c:v>33672.235898894251</c:v>
                </c:pt>
                <c:pt idx="516">
                  <c:v>32837.223375053276</c:v>
                </c:pt>
                <c:pt idx="517">
                  <c:v>31748.155568342794</c:v>
                </c:pt>
                <c:pt idx="518">
                  <c:v>30398.87982358423</c:v>
                </c:pt>
                <c:pt idx="519">
                  <c:v>28780.405876908768</c:v>
                </c:pt>
                <c:pt idx="520">
                  <c:v>26880.66298643835</c:v>
                </c:pt>
                <c:pt idx="521">
                  <c:v>24684.218098216195</c:v>
                </c:pt>
                <c:pt idx="522">
                  <c:v>22172.056723981834</c:v>
                </c:pt>
                <c:pt idx="523">
                  <c:v>19321.645857248834</c:v>
                </c:pt>
                <c:pt idx="524">
                  <c:v>16107.66873445196</c:v>
                </c:pt>
                <c:pt idx="525">
                  <c:v>12503.774547384581</c:v>
                </c:pt>
                <c:pt idx="526">
                  <c:v>8484.1498812574209</c:v>
                </c:pt>
                <c:pt idx="527">
                  <c:v>4019.4323741002518</c:v>
                </c:pt>
                <c:pt idx="528">
                  <c:v>-918.64014053759138</c:v>
                </c:pt>
                <c:pt idx="529">
                  <c:v>-6172.8490357960954</c:v>
                </c:pt>
                <c:pt idx="530">
                  <c:v>-11124.280649911541</c:v>
                </c:pt>
                <c:pt idx="531">
                  <c:v>-15365.930405277497</c:v>
                </c:pt>
                <c:pt idx="532">
                  <c:v>-18919.281043449515</c:v>
                </c:pt>
                <c:pt idx="533">
                  <c:v>-21901.795067170355</c:v>
                </c:pt>
                <c:pt idx="534">
                  <c:v>-24415.003023689373</c:v>
                </c:pt>
                <c:pt idx="535">
                  <c:v>-26534.090209953931</c:v>
                </c:pt>
                <c:pt idx="536">
                  <c:v>-28313.757052739744</c:v>
                </c:pt>
                <c:pt idx="537">
                  <c:v>-29794.184377144909</c:v>
                </c:pt>
                <c:pt idx="538">
                  <c:v>-31005.286720333203</c:v>
                </c:pt>
                <c:pt idx="539">
                  <c:v>-31969.563642876088</c:v>
                </c:pt>
                <c:pt idx="540">
                  <c:v>-32703.998088100892</c:v>
                </c:pt>
                <c:pt idx="541">
                  <c:v>-33221.32698916745</c:v>
                </c:pt>
                <c:pt idx="542">
                  <c:v>-33530.893544798389</c:v>
                </c:pt>
                <c:pt idx="543">
                  <c:v>-33639.211474627424</c:v>
                </c:pt>
                <c:pt idx="544">
                  <c:v>-33550.32043665291</c:v>
                </c:pt>
                <c:pt idx="545">
                  <c:v>-33265.977987618935</c:v>
                </c:pt>
                <c:pt idx="546">
                  <c:v>-32785.709101162109</c:v>
                </c:pt>
                <c:pt idx="547">
                  <c:v>-32106.713507850724</c:v>
                </c:pt>
                <c:pt idx="548">
                  <c:v>-31223.608700594086</c:v>
                </c:pt>
                <c:pt idx="549">
                  <c:v>-30127.955611360929</c:v>
                </c:pt>
                <c:pt idx="550">
                  <c:v>-28807.463076853928</c:v>
                </c:pt>
                <c:pt idx="551">
                  <c:v>-27244.672152945615</c:v>
                </c:pt>
                <c:pt idx="552">
                  <c:v>-25414.72587976119</c:v>
                </c:pt>
                <c:pt idx="553">
                  <c:v>-23281.389086509698</c:v>
                </c:pt>
                <c:pt idx="554">
                  <c:v>-20789.377198259775</c:v>
                </c:pt>
                <c:pt idx="555">
                  <c:v>-17847.898528292531</c:v>
                </c:pt>
                <c:pt idx="556">
                  <c:v>-14289.737217132522</c:v>
                </c:pt>
                <c:pt idx="557">
                  <c:v>-9748.3512498427317</c:v>
                </c:pt>
                <c:pt idx="558">
                  <c:v>-3335.4266894856974</c:v>
                </c:pt>
                <c:pt idx="559">
                  <c:v>1757.1464424366245</c:v>
                </c:pt>
                <c:pt idx="560">
                  <c:v>5640.9891851075445</c:v>
                </c:pt>
                <c:pt idx="561">
                  <c:v>8850.7367353921691</c:v>
                </c:pt>
                <c:pt idx="562">
                  <c:v>11593.513640207955</c:v>
                </c:pt>
                <c:pt idx="563">
                  <c:v>13929.873366550019</c:v>
                </c:pt>
                <c:pt idx="564">
                  <c:v>15830.208777343922</c:v>
                </c:pt>
                <c:pt idx="565">
                  <c:v>17181.172821510467</c:v>
                </c:pt>
                <c:pt idx="566">
                  <c:v>17763.233096613279</c:v>
                </c:pt>
                <c:pt idx="567">
                  <c:v>17220.550568696395</c:v>
                </c:pt>
                <c:pt idx="568">
                  <c:v>15162.070170495545</c:v>
                </c:pt>
                <c:pt idx="569">
                  <c:v>11735.249763032467</c:v>
                </c:pt>
                <c:pt idx="570">
                  <c:v>7844.1502067688352</c:v>
                </c:pt>
                <c:pt idx="571">
                  <c:v>4159.6632188310632</c:v>
                </c:pt>
                <c:pt idx="572">
                  <c:v>906.81701674539363</c:v>
                </c:pt>
                <c:pt idx="573">
                  <c:v>-1894.1242314908832</c:v>
                </c:pt>
                <c:pt idx="574">
                  <c:v>-4298.578524584831</c:v>
                </c:pt>
                <c:pt idx="575">
                  <c:v>-6394.0338118636018</c:v>
                </c:pt>
                <c:pt idx="576">
                  <c:v>-8281.5809903220052</c:v>
                </c:pt>
                <c:pt idx="577">
                  <c:v>-10049.209995785115</c:v>
                </c:pt>
                <c:pt idx="578">
                  <c:v>-11725.050767156512</c:v>
                </c:pt>
                <c:pt idx="579">
                  <c:v>-13248.779098608604</c:v>
                </c:pt>
                <c:pt idx="580">
                  <c:v>-14501.927674738217</c:v>
                </c:pt>
                <c:pt idx="581">
                  <c:v>-15347.38930274011</c:v>
                </c:pt>
                <c:pt idx="582">
                  <c:v>-15634.689621186957</c:v>
                </c:pt>
                <c:pt idx="583">
                  <c:v>-15186.665136653011</c:v>
                </c:pt>
                <c:pt idx="584">
                  <c:v>-13791.759362719029</c:v>
                </c:pt>
                <c:pt idx="585">
                  <c:v>-11244.407383492726</c:v>
                </c:pt>
                <c:pt idx="586">
                  <c:v>-7546.1434278533343</c:v>
                </c:pt>
                <c:pt idx="587">
                  <c:v>-3263.2749058706645</c:v>
                </c:pt>
                <c:pt idx="588">
                  <c:v>719.89626092982689</c:v>
                </c:pt>
                <c:pt idx="589">
                  <c:v>3931.0773096546227</c:v>
                </c:pt>
                <c:pt idx="590">
                  <c:v>6305.5744317765111</c:v>
                </c:pt>
                <c:pt idx="591">
                  <c:v>7930.5842736418317</c:v>
                </c:pt>
                <c:pt idx="592">
                  <c:v>8925.0698219678779</c:v>
                </c:pt>
                <c:pt idx="593">
                  <c:v>9405.6821552311994</c:v>
                </c:pt>
                <c:pt idx="594">
                  <c:v>9482.3062737256369</c:v>
                </c:pt>
                <c:pt idx="595">
                  <c:v>9268.4874822336242</c:v>
                </c:pt>
                <c:pt idx="596">
                  <c:v>8945.7183979935235</c:v>
                </c:pt>
                <c:pt idx="597">
                  <c:v>9245.2287558250628</c:v>
                </c:pt>
                <c:pt idx="598">
                  <c:v>9747.5408255775983</c:v>
                </c:pt>
                <c:pt idx="599">
                  <c:v>10188.33479352251</c:v>
                </c:pt>
                <c:pt idx="600">
                  <c:v>10545.179437416942</c:v>
                </c:pt>
                <c:pt idx="601">
                  <c:v>10821.938545506046</c:v>
                </c:pt>
                <c:pt idx="602">
                  <c:v>11025.494499520899</c:v>
                </c:pt>
                <c:pt idx="603">
                  <c:v>11162.146770927406</c:v>
                </c:pt>
                <c:pt idx="604">
                  <c:v>11237.084561616168</c:v>
                </c:pt>
                <c:pt idx="605">
                  <c:v>11254.451287660473</c:v>
                </c:pt>
                <c:pt idx="606">
                  <c:v>11217.509107331012</c:v>
                </c:pt>
                <c:pt idx="607">
                  <c:v>11128.796089083093</c:v>
                </c:pt>
                <c:pt idx="608">
                  <c:v>10990.257502557688</c:v>
                </c:pt>
                <c:pt idx="609">
                  <c:v>10803.355532694199</c:v>
                </c:pt>
                <c:pt idx="610">
                  <c:v>10569.169187772924</c:v>
                </c:pt>
                <c:pt idx="611">
                  <c:v>10288.502528560764</c:v>
                </c:pt>
                <c:pt idx="612">
                  <c:v>9962.0318778648398</c:v>
                </c:pt>
                <c:pt idx="613">
                  <c:v>9590.5518433419038</c:v>
                </c:pt>
                <c:pt idx="614">
                  <c:v>9175.4512757961165</c:v>
                </c:pt>
                <c:pt idx="615">
                  <c:v>8719.7371626133099</c:v>
                </c:pt>
                <c:pt idx="616">
                  <c:v>8230.467400170417</c:v>
                </c:pt>
                <c:pt idx="617">
                  <c:v>7725.2700486925987</c:v>
                </c:pt>
                <c:pt idx="618">
                  <c:v>7253.0009342387548</c:v>
                </c:pt>
                <c:pt idx="619">
                  <c:v>6977.3685783644569</c:v>
                </c:pt>
                <c:pt idx="620">
                  <c:v>7609.8338797588522</c:v>
                </c:pt>
                <c:pt idx="621">
                  <c:v>9597.8369365024118</c:v>
                </c:pt>
                <c:pt idx="622">
                  <c:v>11431.526653323479</c:v>
                </c:pt>
                <c:pt idx="623">
                  <c:v>12884.06699917987</c:v>
                </c:pt>
                <c:pt idx="624">
                  <c:v>13925.825826937122</c:v>
                </c:pt>
                <c:pt idx="625">
                  <c:v>14563.497114281559</c:v>
                </c:pt>
                <c:pt idx="626">
                  <c:v>14814.193476344275</c:v>
                </c:pt>
                <c:pt idx="627">
                  <c:v>14697.368698563017</c:v>
                </c:pt>
                <c:pt idx="628">
                  <c:v>14231.236802682684</c:v>
                </c:pt>
                <c:pt idx="629">
                  <c:v>13431.081781869456</c:v>
                </c:pt>
                <c:pt idx="630">
                  <c:v>12308.467245417776</c:v>
                </c:pt>
                <c:pt idx="631">
                  <c:v>10870.836210752244</c:v>
                </c:pt>
                <c:pt idx="632">
                  <c:v>9121.239322833364</c:v>
                </c:pt>
                <c:pt idx="633">
                  <c:v>7058.1165153916963</c:v>
                </c:pt>
                <c:pt idx="634">
                  <c:v>4675.3495819860709</c:v>
                </c:pt>
                <c:pt idx="635">
                  <c:v>1963.695467244914</c:v>
                </c:pt>
                <c:pt idx="636">
                  <c:v>-1081.7287229618512</c:v>
                </c:pt>
                <c:pt idx="637">
                  <c:v>-4426.6741266859763</c:v>
                </c:pt>
                <c:pt idx="638">
                  <c:v>-7830.1878946611087</c:v>
                </c:pt>
                <c:pt idx="639">
                  <c:v>-10232.853143409964</c:v>
                </c:pt>
                <c:pt idx="640">
                  <c:v>-10769.55604626805</c:v>
                </c:pt>
                <c:pt idx="641">
                  <c:v>-10304.566213552067</c:v>
                </c:pt>
                <c:pt idx="642">
                  <c:v>-9348.5904778899057</c:v>
                </c:pt>
                <c:pt idx="643">
                  <c:v>-8105.3228259915995</c:v>
                </c:pt>
                <c:pt idx="644">
                  <c:v>-6646.0824000745206</c:v>
                </c:pt>
                <c:pt idx="645">
                  <c:v>-4954.1906862374999</c:v>
                </c:pt>
                <c:pt idx="646">
                  <c:v>-2950.8437745774395</c:v>
                </c:pt>
                <c:pt idx="647">
                  <c:v>-553.07433261217534</c:v>
                </c:pt>
                <c:pt idx="648">
                  <c:v>2267.4573957897487</c:v>
                </c:pt>
                <c:pt idx="649">
                  <c:v>5452.9121453585794</c:v>
                </c:pt>
                <c:pt idx="650">
                  <c:v>8855.5986636888993</c:v>
                </c:pt>
                <c:pt idx="651">
                  <c:v>12257.949669911281</c:v>
                </c:pt>
                <c:pt idx="652">
                  <c:v>15409.538192430799</c:v>
                </c:pt>
                <c:pt idx="653">
                  <c:v>18069.616873116309</c:v>
                </c:pt>
                <c:pt idx="654">
                  <c:v>20042.732135955419</c:v>
                </c:pt>
                <c:pt idx="655">
                  <c:v>21199.997381619341</c:v>
                </c:pt>
                <c:pt idx="656">
                  <c:v>21485.429979606706</c:v>
                </c:pt>
                <c:pt idx="657">
                  <c:v>20910.858384146457</c:v>
                </c:pt>
                <c:pt idx="658">
                  <c:v>19543.337632783452</c:v>
                </c:pt>
                <c:pt idx="659">
                  <c:v>17487.411379200068</c:v>
                </c:pt>
                <c:pt idx="660">
                  <c:v>14862.773256470469</c:v>
                </c:pt>
                <c:pt idx="661">
                  <c:v>11776.785370109112</c:v>
                </c:pt>
                <c:pt idx="662">
                  <c:v>8290.4628267770568</c:v>
                </c:pt>
                <c:pt idx="663">
                  <c:v>4373.4818507632108</c:v>
                </c:pt>
                <c:pt idx="664">
                  <c:v>-165.2345841267304</c:v>
                </c:pt>
                <c:pt idx="665">
                  <c:v>-5715.33792191058</c:v>
                </c:pt>
                <c:pt idx="666">
                  <c:v>-10668.423934657505</c:v>
                </c:pt>
                <c:pt idx="667">
                  <c:v>-13878.626570260625</c:v>
                </c:pt>
                <c:pt idx="668">
                  <c:v>-16154.454093852641</c:v>
                </c:pt>
                <c:pt idx="669">
                  <c:v>-17840.133882743317</c:v>
                </c:pt>
                <c:pt idx="670">
                  <c:v>-19097.353810630342</c:v>
                </c:pt>
                <c:pt idx="671">
                  <c:v>-20014.346116249664</c:v>
                </c:pt>
                <c:pt idx="672">
                  <c:v>-20644.259170711608</c:v>
                </c:pt>
                <c:pt idx="673">
                  <c:v>-21020.991898875622</c:v>
                </c:pt>
                <c:pt idx="674">
                  <c:v>-21166.62416625363</c:v>
                </c:pt>
                <c:pt idx="675">
                  <c:v>-21095.208349541124</c:v>
                </c:pt>
                <c:pt idx="676">
                  <c:v>-20814.760378858056</c:v>
                </c:pt>
                <c:pt idx="677">
                  <c:v>-20328.221875670737</c:v>
                </c:pt>
                <c:pt idx="678">
                  <c:v>-19633.706813435278</c:v>
                </c:pt>
                <c:pt idx="679">
                  <c:v>-18724.091800473412</c:v>
                </c:pt>
                <c:pt idx="680">
                  <c:v>-17585.783811191195</c:v>
                </c:pt>
                <c:pt idx="681">
                  <c:v>-16196.153281585071</c:v>
                </c:pt>
                <c:pt idx="682">
                  <c:v>-14518.360240771626</c:v>
                </c:pt>
                <c:pt idx="683">
                  <c:v>-12490.259710502602</c:v>
                </c:pt>
                <c:pt idx="684">
                  <c:v>-9997.7582402585886</c:v>
                </c:pt>
                <c:pt idx="685">
                  <c:v>-6804.6672891014159</c:v>
                </c:pt>
                <c:pt idx="686">
                  <c:v>-2615.860835791555</c:v>
                </c:pt>
                <c:pt idx="687">
                  <c:v>180.12364074714492</c:v>
                </c:pt>
                <c:pt idx="688">
                  <c:v>2391.8369672793665</c:v>
                </c:pt>
                <c:pt idx="689">
                  <c:v>4475.0082776195459</c:v>
                </c:pt>
                <c:pt idx="690">
                  <c:v>6821.7480381542809</c:v>
                </c:pt>
                <c:pt idx="691">
                  <c:v>10160.539591227625</c:v>
                </c:pt>
                <c:pt idx="692">
                  <c:v>13227.251341265444</c:v>
                </c:pt>
                <c:pt idx="693">
                  <c:v>15421.286522541781</c:v>
                </c:pt>
                <c:pt idx="694">
                  <c:v>16986.838388908101</c:v>
                </c:pt>
                <c:pt idx="695">
                  <c:v>18050.463936642631</c:v>
                </c:pt>
                <c:pt idx="696">
                  <c:v>18671.921575545712</c:v>
                </c:pt>
                <c:pt idx="697">
                  <c:v>18872.801829406264</c:v>
                </c:pt>
                <c:pt idx="698">
                  <c:v>18645.587540976903</c:v>
                </c:pt>
                <c:pt idx="699">
                  <c:v>17950.995839789015</c:v>
                </c:pt>
                <c:pt idx="700">
                  <c:v>16700.788083281986</c:v>
                </c:pt>
                <c:pt idx="701">
                  <c:v>14705.612695126269</c:v>
                </c:pt>
                <c:pt idx="702">
                  <c:v>11514.811692870227</c:v>
                </c:pt>
                <c:pt idx="703">
                  <c:v>6855.9448294565227</c:v>
                </c:pt>
                <c:pt idx="704">
                  <c:v>3210.321139820077</c:v>
                </c:pt>
                <c:pt idx="705">
                  <c:v>-19.04180184508823</c:v>
                </c:pt>
                <c:pt idx="706">
                  <c:v>-3158.1103804835657</c:v>
                </c:pt>
                <c:pt idx="707">
                  <c:v>-6316.3897929138438</c:v>
                </c:pt>
                <c:pt idx="708">
                  <c:v>-8957.3071177567872</c:v>
                </c:pt>
                <c:pt idx="709">
                  <c:v>-9531.3230672373938</c:v>
                </c:pt>
                <c:pt idx="710">
                  <c:v>-9066.6711151399413</c:v>
                </c:pt>
                <c:pt idx="711">
                  <c:v>-8173.1395491995827</c:v>
                </c:pt>
                <c:pt idx="712">
                  <c:v>-7075.9276286714885</c:v>
                </c:pt>
                <c:pt idx="713">
                  <c:v>-5876.7715523633888</c:v>
                </c:pt>
                <c:pt idx="714">
                  <c:v>-4631.842261944762</c:v>
                </c:pt>
                <c:pt idx="715">
                  <c:v>-3378.1507541008968</c:v>
                </c:pt>
                <c:pt idx="716">
                  <c:v>-2144.5255018145563</c:v>
                </c:pt>
                <c:pt idx="717">
                  <c:v>-957.35846525251497</c:v>
                </c:pt>
                <c:pt idx="718">
                  <c:v>155.29880672323628</c:v>
                </c:pt>
                <c:pt idx="719">
                  <c:v>1159.4776918085374</c:v>
                </c:pt>
                <c:pt idx="720">
                  <c:v>2009.1545928358778</c:v>
                </c:pt>
                <c:pt idx="721">
                  <c:v>2635.2863015387697</c:v>
                </c:pt>
                <c:pt idx="722">
                  <c:v>2923.3339706176762</c:v>
                </c:pt>
                <c:pt idx="723">
                  <c:v>2663.158541619292</c:v>
                </c:pt>
                <c:pt idx="724">
                  <c:v>1447.7267090537493</c:v>
                </c:pt>
                <c:pt idx="725">
                  <c:v>-1270.5413700488461</c:v>
                </c:pt>
                <c:pt idx="726">
                  <c:v>-4890.9844259347237</c:v>
                </c:pt>
                <c:pt idx="727">
                  <c:v>-8378.3050026129204</c:v>
                </c:pt>
                <c:pt idx="728">
                  <c:v>-11505.19562736021</c:v>
                </c:pt>
                <c:pt idx="729">
                  <c:v>-14312.600225654631</c:v>
                </c:pt>
                <c:pt idx="730">
                  <c:v>-16892.111145965002</c:v>
                </c:pt>
                <c:pt idx="731">
                  <c:v>-19327.444572835051</c:v>
                </c:pt>
                <c:pt idx="732">
                  <c:v>-21589.641273691657</c:v>
                </c:pt>
                <c:pt idx="733">
                  <c:v>-22981.386248290204</c:v>
                </c:pt>
                <c:pt idx="734">
                  <c:v>-22910.847637595129</c:v>
                </c:pt>
                <c:pt idx="735">
                  <c:v>-22160.593889005006</c:v>
                </c:pt>
                <c:pt idx="736">
                  <c:v>-21066.694595899418</c:v>
                </c:pt>
                <c:pt idx="737">
                  <c:v>-19765.247964031358</c:v>
                </c:pt>
                <c:pt idx="738">
                  <c:v>-18325.592068724523</c:v>
                </c:pt>
                <c:pt idx="739">
                  <c:v>-16791.230310946903</c:v>
                </c:pt>
                <c:pt idx="740">
                  <c:v>-15194.397276035812</c:v>
                </c:pt>
                <c:pt idx="741">
                  <c:v>-13561.534395090839</c:v>
                </c:pt>
                <c:pt idx="742">
                  <c:v>-11913.910267260089</c:v>
                </c:pt>
                <c:pt idx="743">
                  <c:v>-10263.409094688479</c:v>
                </c:pt>
                <c:pt idx="744">
                  <c:v>-8602.1685902877653</c:v>
                </c:pt>
                <c:pt idx="745">
                  <c:v>-6886.7676171211178</c:v>
                </c:pt>
                <c:pt idx="746">
                  <c:v>-5023.5580364694406</c:v>
                </c:pt>
                <c:pt idx="747">
                  <c:v>-2865.3295700820277</c:v>
                </c:pt>
                <c:pt idx="748">
                  <c:v>-229.9194376709126</c:v>
                </c:pt>
                <c:pt idx="749">
                  <c:v>3015.7927170751714</c:v>
                </c:pt>
                <c:pt idx="750">
                  <c:v>6729.4299930484704</c:v>
                </c:pt>
                <c:pt idx="751">
                  <c:v>10449.492605801153</c:v>
                </c:pt>
                <c:pt idx="752">
                  <c:v>13835.326745294948</c:v>
                </c:pt>
                <c:pt idx="753">
                  <c:v>16784.52730445546</c:v>
                </c:pt>
                <c:pt idx="754">
                  <c:v>19299.249754045522</c:v>
                </c:pt>
                <c:pt idx="755">
                  <c:v>21408.228614647222</c:v>
                </c:pt>
                <c:pt idx="756">
                  <c:v>23141.257063062811</c:v>
                </c:pt>
                <c:pt idx="757">
                  <c:v>24522.566202499249</c:v>
                </c:pt>
                <c:pt idx="758">
                  <c:v>25569.738059937252</c:v>
                </c:pt>
                <c:pt idx="759">
                  <c:v>26293.975567249418</c:v>
                </c:pt>
                <c:pt idx="760">
                  <c:v>26700.477678013467</c:v>
                </c:pt>
                <c:pt idx="761">
                  <c:v>26788.526066008035</c:v>
                </c:pt>
                <c:pt idx="762">
                  <c:v>26551.102223888051</c:v>
                </c:pt>
                <c:pt idx="763">
                  <c:v>25973.830709703678</c:v>
                </c:pt>
                <c:pt idx="764">
                  <c:v>25032.861065842055</c:v>
                </c:pt>
                <c:pt idx="765">
                  <c:v>23690.851703159133</c:v>
                </c:pt>
                <c:pt idx="766">
                  <c:v>21889.093515330642</c:v>
                </c:pt>
                <c:pt idx="767">
                  <c:v>19530.634199000218</c:v>
                </c:pt>
                <c:pt idx="768">
                  <c:v>16439.023072651806</c:v>
                </c:pt>
                <c:pt idx="769">
                  <c:v>12246.192520830038</c:v>
                </c:pt>
                <c:pt idx="770">
                  <c:v>6549.151475321014</c:v>
                </c:pt>
                <c:pt idx="771">
                  <c:v>2554.2485463577705</c:v>
                </c:pt>
                <c:pt idx="772">
                  <c:v>-610.485440231231</c:v>
                </c:pt>
                <c:pt idx="773">
                  <c:v>-3348.527615185435</c:v>
                </c:pt>
                <c:pt idx="774">
                  <c:v>-5842.2369166913977</c:v>
                </c:pt>
                <c:pt idx="775">
                  <c:v>-8192.3853286846861</c:v>
                </c:pt>
                <c:pt idx="776">
                  <c:v>-10461.568675821401</c:v>
                </c:pt>
                <c:pt idx="777">
                  <c:v>-12690.265736265401</c:v>
                </c:pt>
                <c:pt idx="778">
                  <c:v>-14902.965618053715</c:v>
                </c:pt>
                <c:pt idx="779">
                  <c:v>-17108.073956400985</c:v>
                </c:pt>
                <c:pt idx="780">
                  <c:v>-19288.040474699206</c:v>
                </c:pt>
                <c:pt idx="781">
                  <c:v>-21361.181636186266</c:v>
                </c:pt>
                <c:pt idx="782">
                  <c:v>-23046.480980200209</c:v>
                </c:pt>
                <c:pt idx="783">
                  <c:v>-23593.227812663212</c:v>
                </c:pt>
                <c:pt idx="784">
                  <c:v>-22803.805697927208</c:v>
                </c:pt>
                <c:pt idx="785">
                  <c:v>-21354.228660383524</c:v>
                </c:pt>
                <c:pt idx="786">
                  <c:v>-19536.919754115439</c:v>
                </c:pt>
                <c:pt idx="787">
                  <c:v>-17409.843880253731</c:v>
                </c:pt>
                <c:pt idx="788">
                  <c:v>-14932.399187093954</c:v>
                </c:pt>
                <c:pt idx="789">
                  <c:v>-11995.308923351824</c:v>
                </c:pt>
                <c:pt idx="790">
                  <c:v>-8394.4108953327795</c:v>
                </c:pt>
                <c:pt idx="791">
                  <c:v>-3815.1407060531424</c:v>
                </c:pt>
                <c:pt idx="792">
                  <c:v>-209.99032180522852</c:v>
                </c:pt>
                <c:pt idx="793">
                  <c:v>2111.8141653332532</c:v>
                </c:pt>
                <c:pt idx="794">
                  <c:v>3811.3276342347699</c:v>
                </c:pt>
                <c:pt idx="795">
                  <c:v>5126.3836442359716</c:v>
                </c:pt>
                <c:pt idx="796">
                  <c:v>6163.0311566779119</c:v>
                </c:pt>
                <c:pt idx="797">
                  <c:v>6977.2801207448683</c:v>
                </c:pt>
                <c:pt idx="798">
                  <c:v>7601.830152026183</c:v>
                </c:pt>
                <c:pt idx="799">
                  <c:v>8056.7075133871431</c:v>
                </c:pt>
                <c:pt idx="800">
                  <c:v>8354.1107648746238</c:v>
                </c:pt>
                <c:pt idx="801">
                  <c:v>8500.7857292854387</c:v>
                </c:pt>
                <c:pt idx="802">
                  <c:v>8499.1672390657877</c:v>
                </c:pt>
                <c:pt idx="803">
                  <c:v>8347.7766685075367</c:v>
                </c:pt>
                <c:pt idx="804">
                  <c:v>8041.0299416940888</c:v>
                </c:pt>
                <c:pt idx="805">
                  <c:v>7568.3903030581669</c:v>
                </c:pt>
                <c:pt idx="806">
                  <c:v>6912.5357793052708</c:v>
                </c:pt>
                <c:pt idx="807">
                  <c:v>6045.6948366896459</c:v>
                </c:pt>
                <c:pt idx="808">
                  <c:v>4921.9927137889854</c:v>
                </c:pt>
                <c:pt idx="809">
                  <c:v>3459.6619261098763</c:v>
                </c:pt>
                <c:pt idx="810">
                  <c:v>1492.3518956977209</c:v>
                </c:pt>
                <c:pt idx="811">
                  <c:v>-1393.9423728915983</c:v>
                </c:pt>
                <c:pt idx="812">
                  <c:v>-6172.0696972375763</c:v>
                </c:pt>
                <c:pt idx="813">
                  <c:v>-10287.174397939287</c:v>
                </c:pt>
                <c:pt idx="814">
                  <c:v>-13642.574465163563</c:v>
                </c:pt>
                <c:pt idx="815">
                  <c:v>-16480.335639418368</c:v>
                </c:pt>
                <c:pt idx="816">
                  <c:v>-18939.838424965823</c:v>
                </c:pt>
                <c:pt idx="817">
                  <c:v>-21083.916433824033</c:v>
                </c:pt>
                <c:pt idx="818">
                  <c:v>-22882.731967555141</c:v>
                </c:pt>
                <c:pt idx="819">
                  <c:v>-24124.092902051223</c:v>
                </c:pt>
                <c:pt idx="820">
                  <c:v>-24310.887230679458</c:v>
                </c:pt>
                <c:pt idx="821">
                  <c:v>-23245.630216188609</c:v>
                </c:pt>
                <c:pt idx="822">
                  <c:v>-21471.399979250851</c:v>
                </c:pt>
                <c:pt idx="823">
                  <c:v>-19398.143534326915</c:v>
                </c:pt>
                <c:pt idx="824">
                  <c:v>-17201.925096615774</c:v>
                </c:pt>
                <c:pt idx="825">
                  <c:v>-14951.875891865708</c:v>
                </c:pt>
                <c:pt idx="826">
                  <c:v>-12670.766336029608</c:v>
                </c:pt>
                <c:pt idx="827">
                  <c:v>-10357.305869371423</c:v>
                </c:pt>
                <c:pt idx="828">
                  <c:v>-7993.3193960196477</c:v>
                </c:pt>
                <c:pt idx="829">
                  <c:v>-5543.9331468996816</c:v>
                </c:pt>
                <c:pt idx="830">
                  <c:v>-2952.1786467791558</c:v>
                </c:pt>
                <c:pt idx="831">
                  <c:v>-124.02272083022311</c:v>
                </c:pt>
                <c:pt idx="832">
                  <c:v>3112.9392807666031</c:v>
                </c:pt>
                <c:pt idx="833">
                  <c:v>7141.8735087068999</c:v>
                </c:pt>
                <c:pt idx="834">
                  <c:v>12701.23254514783</c:v>
                </c:pt>
                <c:pt idx="835">
                  <c:v>16640.60824423996</c:v>
                </c:pt>
                <c:pt idx="836">
                  <c:v>19580.858423016096</c:v>
                </c:pt>
                <c:pt idx="837">
                  <c:v>21871.230329339571</c:v>
                </c:pt>
                <c:pt idx="838">
                  <c:v>23673.439872109622</c:v>
                </c:pt>
                <c:pt idx="839">
                  <c:v>25076.979323269275</c:v>
                </c:pt>
                <c:pt idx="840">
                  <c:v>26137.705625667793</c:v>
                </c:pt>
                <c:pt idx="841">
                  <c:v>26893.159848459116</c:v>
                </c:pt>
                <c:pt idx="842">
                  <c:v>27369.678748464692</c:v>
                </c:pt>
                <c:pt idx="843">
                  <c:v>27586.098450412988</c:v>
                </c:pt>
                <c:pt idx="844">
                  <c:v>27555.842648976595</c:v>
                </c:pt>
                <c:pt idx="845">
                  <c:v>27288.15539757628</c:v>
                </c:pt>
                <c:pt idx="846">
                  <c:v>26788.832191015306</c:v>
                </c:pt>
                <c:pt idx="847">
                  <c:v>26060.622384689854</c:v>
                </c:pt>
                <c:pt idx="848">
                  <c:v>25103.384345384486</c:v>
                </c:pt>
                <c:pt idx="849">
                  <c:v>23914.018199649778</c:v>
                </c:pt>
                <c:pt idx="850">
                  <c:v>22486.152862384446</c:v>
                </c:pt>
                <c:pt idx="851">
                  <c:v>20809.502597540129</c:v>
                </c:pt>
                <c:pt idx="852">
                  <c:v>18868.700849971796</c:v>
                </c:pt>
                <c:pt idx="853">
                  <c:v>16641.191734953336</c:v>
                </c:pt>
                <c:pt idx="854">
                  <c:v>14093.21530308603</c:v>
                </c:pt>
                <c:pt idx="855">
                  <c:v>11171.47561921317</c:v>
                </c:pt>
                <c:pt idx="856">
                  <c:v>7783.8323206829009</c:v>
                </c:pt>
                <c:pt idx="857">
                  <c:v>3749.0264377989697</c:v>
                </c:pt>
                <c:pt idx="858">
                  <c:v>-1335.5523678929633</c:v>
                </c:pt>
                <c:pt idx="859">
                  <c:v>-7897.3359462451826</c:v>
                </c:pt>
                <c:pt idx="860">
                  <c:v>-13043.056125874782</c:v>
                </c:pt>
                <c:pt idx="861">
                  <c:v>-16980.212331342456</c:v>
                </c:pt>
                <c:pt idx="862">
                  <c:v>-20138.131702107381</c:v>
                </c:pt>
                <c:pt idx="863">
                  <c:v>-22733.36098839419</c:v>
                </c:pt>
                <c:pt idx="864">
                  <c:v>-24884.036096146523</c:v>
                </c:pt>
                <c:pt idx="865">
                  <c:v>-26661.430421386442</c:v>
                </c:pt>
                <c:pt idx="866">
                  <c:v>-28111.722990881801</c:v>
                </c:pt>
                <c:pt idx="867">
                  <c:v>-29266.151147976318</c:v>
                </c:pt>
                <c:pt idx="868">
                  <c:v>-30146.217603311004</c:v>
                </c:pt>
                <c:pt idx="869">
                  <c:v>-30766.558155333951</c:v>
                </c:pt>
                <c:pt idx="870">
                  <c:v>-31136.586628669371</c:v>
                </c:pt>
                <c:pt idx="871">
                  <c:v>-31261.433852044327</c:v>
                </c:pt>
                <c:pt idx="872">
                  <c:v>-31142.43029438769</c:v>
                </c:pt>
                <c:pt idx="873">
                  <c:v>-30777.247929258228</c:v>
                </c:pt>
                <c:pt idx="874">
                  <c:v>-30159.736596293544</c:v>
                </c:pt>
                <c:pt idx="875">
                  <c:v>-29279.425794552746</c:v>
                </c:pt>
                <c:pt idx="876">
                  <c:v>-28120.588246835297</c:v>
                </c:pt>
                <c:pt idx="877">
                  <c:v>-26660.644264154926</c:v>
                </c:pt>
                <c:pt idx="878">
                  <c:v>-24867.463989047294</c:v>
                </c:pt>
                <c:pt idx="879">
                  <c:v>-22694.655020982267</c:v>
                </c:pt>
                <c:pt idx="880">
                  <c:v>-20072.854669907603</c:v>
                </c:pt>
                <c:pt idx="881">
                  <c:v>-16892.599747125903</c:v>
                </c:pt>
                <c:pt idx="882">
                  <c:v>-12970.426632931019</c:v>
                </c:pt>
                <c:pt idx="883">
                  <c:v>-8012.440640697102</c:v>
                </c:pt>
                <c:pt idx="884">
                  <c:v>-2055.6335450299248</c:v>
                </c:pt>
                <c:pt idx="885">
                  <c:v>2964.3122568666299</c:v>
                </c:pt>
                <c:pt idx="886">
                  <c:v>6899.8625369307847</c:v>
                </c:pt>
                <c:pt idx="887">
                  <c:v>10122.006699931861</c:v>
                </c:pt>
                <c:pt idx="888">
                  <c:v>12836.355462813059</c:v>
                </c:pt>
                <c:pt idx="889">
                  <c:v>15153.971515581847</c:v>
                </c:pt>
                <c:pt idx="890">
                  <c:v>17140.792389163198</c:v>
                </c:pt>
                <c:pt idx="891">
                  <c:v>18839.147978395125</c:v>
                </c:pt>
                <c:pt idx="892">
                  <c:v>20277.628651461782</c:v>
                </c:pt>
                <c:pt idx="893">
                  <c:v>21476.053780765404</c:v>
                </c:pt>
                <c:pt idx="894">
                  <c:v>22448.182678903067</c:v>
                </c:pt>
                <c:pt idx="895">
                  <c:v>23203.279582005522</c:v>
                </c:pt>
                <c:pt idx="896">
                  <c:v>23747.041072646163</c:v>
                </c:pt>
                <c:pt idx="897">
                  <c:v>24082.13492790101</c:v>
                </c:pt>
                <c:pt idx="898">
                  <c:v>24208.477186833301</c:v>
                </c:pt>
                <c:pt idx="899">
                  <c:v>24123.310839562822</c:v>
                </c:pt>
                <c:pt idx="900">
                  <c:v>23821.112754396268</c:v>
                </c:pt>
                <c:pt idx="901">
                  <c:v>23293.331277339519</c:v>
                </c:pt>
                <c:pt idx="902">
                  <c:v>22527.940000067476</c:v>
                </c:pt>
                <c:pt idx="903">
                  <c:v>21508.785508873712</c:v>
                </c:pt>
                <c:pt idx="904">
                  <c:v>20214.725203499944</c:v>
                </c:pt>
                <c:pt idx="905">
                  <c:v>18618.655513893405</c:v>
                </c:pt>
                <c:pt idx="906">
                  <c:v>16686.92235942612</c:v>
                </c:pt>
                <c:pt idx="907">
                  <c:v>14380.965778583515</c:v>
                </c:pt>
                <c:pt idx="908">
                  <c:v>11667.692289937766</c:v>
                </c:pt>
                <c:pt idx="909">
                  <c:v>8560.1230298976698</c:v>
                </c:pt>
                <c:pt idx="910">
                  <c:v>5244.8128488244165</c:v>
                </c:pt>
                <c:pt idx="911">
                  <c:v>2284.7315767512309</c:v>
                </c:pt>
                <c:pt idx="912">
                  <c:v>238.58695768899076</c:v>
                </c:pt>
                <c:pt idx="913">
                  <c:v>-1003.8842048167777</c:v>
                </c:pt>
                <c:pt idx="914">
                  <c:v>-1750.2977151083926</c:v>
                </c:pt>
                <c:pt idx="915">
                  <c:v>-2203.5759722828743</c:v>
                </c:pt>
                <c:pt idx="916">
                  <c:v>-2472.4877483850355</c:v>
                </c:pt>
                <c:pt idx="917">
                  <c:v>-2615.1152619578329</c:v>
                </c:pt>
                <c:pt idx="918">
                  <c:v>-2664.3019982146866</c:v>
                </c:pt>
                <c:pt idx="919">
                  <c:v>-2639.9494465119219</c:v>
                </c:pt>
                <c:pt idx="920">
                  <c:v>-2554.8804005962643</c:v>
                </c:pt>
                <c:pt idx="921">
                  <c:v>-2417.7524409909311</c:v>
                </c:pt>
                <c:pt idx="922">
                  <c:v>-2234.5866247046365</c:v>
                </c:pt>
                <c:pt idx="923">
                  <c:v>-2009.6079502107566</c:v>
                </c:pt>
                <c:pt idx="924">
                  <c:v>-1745.7167915579182</c:v>
                </c:pt>
                <c:pt idx="925">
                  <c:v>-1444.7410277073113</c:v>
                </c:pt>
                <c:pt idx="926">
                  <c:v>-1107.5357007591244</c:v>
                </c:pt>
                <c:pt idx="927">
                  <c:v>-733.94836703880537</c:v>
                </c:pt>
                <c:pt idx="928">
                  <c:v>-322.62737922693907</c:v>
                </c:pt>
                <c:pt idx="929">
                  <c:v>129.40400672705061</c:v>
                </c:pt>
                <c:pt idx="930">
                  <c:v>627.5848195775776</c:v>
                </c:pt>
                <c:pt idx="931">
                  <c:v>1181.4609604068585</c:v>
                </c:pt>
                <c:pt idx="932">
                  <c:v>1808.0717306446572</c:v>
                </c:pt>
                <c:pt idx="933">
                  <c:v>2539.5013801452205</c:v>
                </c:pt>
                <c:pt idx="934">
                  <c:v>3441.7902862080709</c:v>
                </c:pt>
                <c:pt idx="935">
                  <c:v>4670.9802914261345</c:v>
                </c:pt>
                <c:pt idx="936">
                  <c:v>6678.2774735151843</c:v>
                </c:pt>
                <c:pt idx="937">
                  <c:v>10526.468067151876</c:v>
                </c:pt>
                <c:pt idx="938">
                  <c:v>13989.513025882718</c:v>
                </c:pt>
                <c:pt idx="939">
                  <c:v>16837.770954261276</c:v>
                </c:pt>
                <c:pt idx="940">
                  <c:v>19186.647107551336</c:v>
                </c:pt>
                <c:pt idx="941">
                  <c:v>21124.665487470029</c:v>
                </c:pt>
                <c:pt idx="942">
                  <c:v>22713.951126163978</c:v>
                </c:pt>
                <c:pt idx="943">
                  <c:v>23999.611861151698</c:v>
                </c:pt>
                <c:pt idx="944">
                  <c:v>25015.448499702019</c:v>
                </c:pt>
                <c:pt idx="945">
                  <c:v>25787.363176876312</c:v>
                </c:pt>
                <c:pt idx="946">
                  <c:v>26335.503553093895</c:v>
                </c:pt>
                <c:pt idx="947">
                  <c:v>26675.674480987549</c:v>
                </c:pt>
                <c:pt idx="948">
                  <c:v>26820.297388165214</c:v>
                </c:pt>
                <c:pt idx="949">
                  <c:v>26779.074709962239</c:v>
                </c:pt>
                <c:pt idx="950">
                  <c:v>26559.452271798698</c:v>
                </c:pt>
                <c:pt idx="951">
                  <c:v>26166.936022105598</c:v>
                </c:pt>
                <c:pt idx="952">
                  <c:v>25605.29713912123</c:v>
                </c:pt>
                <c:pt idx="953">
                  <c:v>24876.684419420446</c:v>
                </c:pt>
                <c:pt idx="954">
                  <c:v>23981.651095065434</c:v>
                </c:pt>
                <c:pt idx="955">
                  <c:v>22919.09201838732</c:v>
                </c:pt>
                <c:pt idx="956">
                  <c:v>21686.073648454854</c:v>
                </c:pt>
                <c:pt idx="957">
                  <c:v>20277.51932300724</c:v>
                </c:pt>
                <c:pt idx="958">
                  <c:v>18685.678244334042</c:v>
                </c:pt>
                <c:pt idx="959">
                  <c:v>16899.242247863498</c:v>
                </c:pt>
                <c:pt idx="960">
                  <c:v>14901.842066467283</c:v>
                </c:pt>
                <c:pt idx="961">
                  <c:v>12669.358385519023</c:v>
                </c:pt>
                <c:pt idx="962">
                  <c:v>10164.7510014728</c:v>
                </c:pt>
                <c:pt idx="963">
                  <c:v>7327.0724577623196</c:v>
                </c:pt>
                <c:pt idx="964">
                  <c:v>4044.7540065408389</c:v>
                </c:pt>
                <c:pt idx="965">
                  <c:v>78.223470223938307</c:v>
                </c:pt>
                <c:pt idx="966">
                  <c:v>-5174.781818016032</c:v>
                </c:pt>
                <c:pt idx="967">
                  <c:v>-10177.008896327765</c:v>
                </c:pt>
                <c:pt idx="968">
                  <c:v>-13818.65117155466</c:v>
                </c:pt>
                <c:pt idx="969">
                  <c:v>-16725.925711555803</c:v>
                </c:pt>
                <c:pt idx="970">
                  <c:v>-19152.54046255436</c:v>
                </c:pt>
                <c:pt idx="971">
                  <c:v>-21209.524668649876</c:v>
                </c:pt>
                <c:pt idx="972">
                  <c:v>-22918.83931422748</c:v>
                </c:pt>
                <c:pt idx="973">
                  <c:v>-24181.131041174598</c:v>
                </c:pt>
                <c:pt idx="974">
                  <c:v>-24664.171045918592</c:v>
                </c:pt>
                <c:pt idx="975">
                  <c:v>-23920.394440364038</c:v>
                </c:pt>
                <c:pt idx="976">
                  <c:v>-22246.246641475565</c:v>
                </c:pt>
                <c:pt idx="977">
                  <c:v>-20168.544979281425</c:v>
                </c:pt>
                <c:pt idx="978">
                  <c:v>-17926.033430216077</c:v>
                </c:pt>
                <c:pt idx="979">
                  <c:v>-15603.630964362377</c:v>
                </c:pt>
                <c:pt idx="980">
                  <c:v>-13227.567468408908</c:v>
                </c:pt>
                <c:pt idx="981">
                  <c:v>-10800.02689029248</c:v>
                </c:pt>
                <c:pt idx="982">
                  <c:v>-8311.1475002604529</c:v>
                </c:pt>
                <c:pt idx="983">
                  <c:v>-5742.8096145681902</c:v>
                </c:pt>
                <c:pt idx="984">
                  <c:v>-3068.8057610457554</c:v>
                </c:pt>
                <c:pt idx="985">
                  <c:v>-252.54961913712543</c:v>
                </c:pt>
                <c:pt idx="986">
                  <c:v>2757.9853433083654</c:v>
                </c:pt>
                <c:pt idx="987">
                  <c:v>6037.9071073022924</c:v>
                </c:pt>
                <c:pt idx="988">
                  <c:v>9672.6915220380088</c:v>
                </c:pt>
                <c:pt idx="989">
                  <c:v>13320.592832699112</c:v>
                </c:pt>
                <c:pt idx="990">
                  <c:v>14837.464726477792</c:v>
                </c:pt>
                <c:pt idx="991">
                  <c:v>15298.046995438428</c:v>
                </c:pt>
                <c:pt idx="992">
                  <c:v>15173.157554380388</c:v>
                </c:pt>
                <c:pt idx="993">
                  <c:v>14606.777110568839</c:v>
                </c:pt>
                <c:pt idx="994">
                  <c:v>13638.586686756538</c:v>
                </c:pt>
                <c:pt idx="995">
                  <c:v>12264.622596002344</c:v>
                </c:pt>
                <c:pt idx="996">
                  <c:v>10456.897971525985</c:v>
                </c:pt>
                <c:pt idx="997">
                  <c:v>8171.2082070150982</c:v>
                </c:pt>
                <c:pt idx="998">
                  <c:v>5353.6573900350431</c:v>
                </c:pt>
                <c:pt idx="999">
                  <c:v>1957.1643600962248</c:v>
                </c:pt>
                <c:pt idx="1000">
                  <c:v>-2005.2990963606287</c:v>
                </c:pt>
                <c:pt idx="1001">
                  <c:v>-6316.6078483296124</c:v>
                </c:pt>
                <c:pt idx="1002">
                  <c:v>-10367.449712802345</c:v>
                </c:pt>
                <c:pt idx="1003">
                  <c:v>-13452.134877371125</c:v>
                </c:pt>
                <c:pt idx="1004">
                  <c:v>-15396.157748590032</c:v>
                </c:pt>
                <c:pt idx="1005">
                  <c:v>-16396.116285790929</c:v>
                </c:pt>
                <c:pt idx="1006">
                  <c:v>-16689.09886988765</c:v>
                </c:pt>
                <c:pt idx="1007">
                  <c:v>-16460.974315963093</c:v>
                </c:pt>
                <c:pt idx="1008">
                  <c:v>-15857.703434328985</c:v>
                </c:pt>
                <c:pt idx="1009">
                  <c:v>-15032.220974877209</c:v>
                </c:pt>
                <c:pt idx="1010">
                  <c:v>-14237.172943990816</c:v>
                </c:pt>
                <c:pt idx="1011">
                  <c:v>-13859.073190050283</c:v>
                </c:pt>
                <c:pt idx="1012">
                  <c:v>-13958.324764493535</c:v>
                </c:pt>
                <c:pt idx="1013">
                  <c:v>-14270.650084593733</c:v>
                </c:pt>
                <c:pt idx="1014">
                  <c:v>-14623.713681638432</c:v>
                </c:pt>
                <c:pt idx="1015">
                  <c:v>-14943.699633109114</c:v>
                </c:pt>
                <c:pt idx="1016">
                  <c:v>-15200.966846504853</c:v>
                </c:pt>
                <c:pt idx="1017">
                  <c:v>-15383.948422473044</c:v>
                </c:pt>
                <c:pt idx="1018">
                  <c:v>-15488.576288834016</c:v>
                </c:pt>
                <c:pt idx="1019">
                  <c:v>-15513.912841042433</c:v>
                </c:pt>
                <c:pt idx="1020">
                  <c:v>-15460.264783781058</c:v>
                </c:pt>
                <c:pt idx="1021">
                  <c:v>-15328.347297009088</c:v>
                </c:pt>
                <c:pt idx="1022">
                  <c:v>-15118.929297577593</c:v>
                </c:pt>
                <c:pt idx="1023">
                  <c:v>-14832.731367626966</c:v>
                </c:pt>
                <c:pt idx="1024">
                  <c:v>-14470.500142515917</c:v>
                </c:pt>
                <c:pt idx="1025">
                  <c:v>-14033.273031865372</c:v>
                </c:pt>
                <c:pt idx="1026">
                  <c:v>-13522.934166486444</c:v>
                </c:pt>
                <c:pt idx="1027">
                  <c:v>-12943.28784695544</c:v>
                </c:pt>
                <c:pt idx="1028">
                  <c:v>-12302.066431551597</c:v>
                </c:pt>
                <c:pt idx="1029">
                  <c:v>-11614.44259715989</c:v>
                </c:pt>
                <c:pt idx="1030">
                  <c:v>-10907.865477228172</c:v>
                </c:pt>
                <c:pt idx="1031">
                  <c:v>-10222.728088092766</c:v>
                </c:pt>
                <c:pt idx="1032">
                  <c:v>-9588.8523112786897</c:v>
                </c:pt>
                <c:pt idx="1033">
                  <c:v>-8968.6016181529994</c:v>
                </c:pt>
                <c:pt idx="1034">
                  <c:v>-8250.0873493817908</c:v>
                </c:pt>
                <c:pt idx="1035">
                  <c:v>-7324.7772242348483</c:v>
                </c:pt>
                <c:pt idx="1036">
                  <c:v>-6133.5506246781506</c:v>
                </c:pt>
                <c:pt idx="1037">
                  <c:v>-4672.972839862181</c:v>
                </c:pt>
                <c:pt idx="1038">
                  <c:v>-3244.383097614606</c:v>
                </c:pt>
                <c:pt idx="1039">
                  <c:v>-3022.8948829621349</c:v>
                </c:pt>
                <c:pt idx="1040">
                  <c:v>-3144.3922472759923</c:v>
                </c:pt>
                <c:pt idx="1041">
                  <c:v>-3389.278233028364</c:v>
                </c:pt>
                <c:pt idx="1042">
                  <c:v>-3688.8863760893214</c:v>
                </c:pt>
                <c:pt idx="1043">
                  <c:v>-4013.6290964377167</c:v>
                </c:pt>
                <c:pt idx="1044">
                  <c:v>-4347.4600579090466</c:v>
                </c:pt>
                <c:pt idx="1045">
                  <c:v>-4679.7891043653444</c:v>
                </c:pt>
                <c:pt idx="1046">
                  <c:v>-5002.1266229192306</c:v>
                </c:pt>
                <c:pt idx="1047">
                  <c:v>-5306.1696966587442</c:v>
                </c:pt>
                <c:pt idx="1048">
                  <c:v>-5582.0625789076548</c:v>
                </c:pt>
                <c:pt idx="1049">
                  <c:v>-5815.7464091890797</c:v>
                </c:pt>
                <c:pt idx="1050">
                  <c:v>-5982.9772229243017</c:v>
                </c:pt>
                <c:pt idx="1051">
                  <c:v>-6030.7218754830483</c:v>
                </c:pt>
                <c:pt idx="1052">
                  <c:v>-5793.4817888091138</c:v>
                </c:pt>
                <c:pt idx="1053">
                  <c:v>-4744.7234643319098</c:v>
                </c:pt>
                <c:pt idx="1054">
                  <c:v>-3664.862758180836</c:v>
                </c:pt>
                <c:pt idx="1055">
                  <c:v>-2496.1536308996406</c:v>
                </c:pt>
                <c:pt idx="1056">
                  <c:v>-1055.4421939908782</c:v>
                </c:pt>
                <c:pt idx="1057">
                  <c:v>947.35192674402583</c:v>
                </c:pt>
                <c:pt idx="1058">
                  <c:v>3858.9014705616096</c:v>
                </c:pt>
                <c:pt idx="1059">
                  <c:v>7646.5720382203544</c:v>
                </c:pt>
                <c:pt idx="1060">
                  <c:v>11681.599598572828</c:v>
                </c:pt>
                <c:pt idx="1061">
                  <c:v>15462.304798852607</c:v>
                </c:pt>
                <c:pt idx="1062">
                  <c:v>18809.368378431132</c:v>
                </c:pt>
                <c:pt idx="1063">
                  <c:v>21690.168987686462</c:v>
                </c:pt>
                <c:pt idx="1064">
                  <c:v>24117.215229884234</c:v>
                </c:pt>
                <c:pt idx="1065">
                  <c:v>26112.660945404357</c:v>
                </c:pt>
                <c:pt idx="1066">
                  <c:v>27697.352213564234</c:v>
                </c:pt>
                <c:pt idx="1067">
                  <c:v>28887.814040054065</c:v>
                </c:pt>
                <c:pt idx="1068">
                  <c:v>29695.711106525068</c:v>
                </c:pt>
                <c:pt idx="1069">
                  <c:v>30128.012056516833</c:v>
                </c:pt>
                <c:pt idx="1070">
                  <c:v>30187.284641272097</c:v>
                </c:pt>
                <c:pt idx="1071">
                  <c:v>29871.951488699659</c:v>
                </c:pt>
                <c:pt idx="1072">
                  <c:v>29176.485239566333</c:v>
                </c:pt>
                <c:pt idx="1073">
                  <c:v>28091.599558564008</c:v>
                </c:pt>
                <c:pt idx="1074">
                  <c:v>26604.574537060733</c:v>
                </c:pt>
                <c:pt idx="1075">
                  <c:v>24699.992222463465</c:v>
                </c:pt>
                <c:pt idx="1076">
                  <c:v>22361.399913717887</c:v>
                </c:pt>
                <c:pt idx="1077">
                  <c:v>19574.769640756258</c:v>
                </c:pt>
                <c:pt idx="1078">
                  <c:v>16334.772984786217</c:v>
                </c:pt>
                <c:pt idx="1079">
                  <c:v>12653.316722583826</c:v>
                </c:pt>
                <c:pt idx="1080">
                  <c:v>8562.5502502856489</c:v>
                </c:pt>
                <c:pt idx="1081">
                  <c:v>4092.442050849455</c:v>
                </c:pt>
                <c:pt idx="1082">
                  <c:v>-768.36959888098386</c:v>
                </c:pt>
                <c:pt idx="1083">
                  <c:v>-5943.0332312650053</c:v>
                </c:pt>
                <c:pt idx="1084">
                  <c:v>-10827.620845409239</c:v>
                </c:pt>
                <c:pt idx="1085">
                  <c:v>-14816.966497720778</c:v>
                </c:pt>
                <c:pt idx="1086">
                  <c:v>-17924.596951795949</c:v>
                </c:pt>
                <c:pt idx="1087">
                  <c:v>-20333.260972387612</c:v>
                </c:pt>
                <c:pt idx="1088">
                  <c:v>-22193.764894703803</c:v>
                </c:pt>
                <c:pt idx="1089">
                  <c:v>-23610.802088012435</c:v>
                </c:pt>
                <c:pt idx="1090">
                  <c:v>-24656.294635614373</c:v>
                </c:pt>
                <c:pt idx="1091">
                  <c:v>-25380.641482710311</c:v>
                </c:pt>
                <c:pt idx="1092">
                  <c:v>-25819.919410241157</c:v>
                </c:pt>
                <c:pt idx="1093">
                  <c:v>-26000.323038625382</c:v>
                </c:pt>
                <c:pt idx="1094">
                  <c:v>-25940.923163243118</c:v>
                </c:pt>
                <c:pt idx="1095">
                  <c:v>-25655.399906571201</c:v>
                </c:pt>
                <c:pt idx="1096">
                  <c:v>-25153.126300050171</c:v>
                </c:pt>
                <c:pt idx="1097">
                  <c:v>-24439.812491028806</c:v>
                </c:pt>
                <c:pt idx="1098">
                  <c:v>-23517.82143507287</c:v>
                </c:pt>
                <c:pt idx="1099">
                  <c:v>-22386.200383722407</c:v>
                </c:pt>
                <c:pt idx="1100">
                  <c:v>-21040.416836747449</c:v>
                </c:pt>
                <c:pt idx="1101">
                  <c:v>-19471.724503032608</c:v>
                </c:pt>
              </c:numCache>
            </c:numRef>
          </c:xVal>
          <c:yVal>
            <c:numRef>
              <c:f>'Conditions initiales'!$C$43:$C$1144</c:f>
              <c:numCache>
                <c:formatCode>General</c:formatCode>
                <c:ptCount val="1102"/>
                <c:pt idx="0">
                  <c:v>0</c:v>
                </c:pt>
                <c:pt idx="1">
                  <c:v>10.499866015216298</c:v>
                </c:pt>
                <c:pt idx="2">
                  <c:v>59.613844669515629</c:v>
                </c:pt>
                <c:pt idx="3">
                  <c:v>209.86160171692302</c:v>
                </c:pt>
                <c:pt idx="4">
                  <c:v>572.59285216915555</c:v>
                </c:pt>
                <c:pt idx="5">
                  <c:v>1337.4452859714156</c:v>
                </c:pt>
                <c:pt idx="6">
                  <c:v>2840.7380968914085</c:v>
                </c:pt>
                <c:pt idx="7">
                  <c:v>5718.8992285848908</c:v>
                </c:pt>
                <c:pt idx="8">
                  <c:v>9995.8767806456435</c:v>
                </c:pt>
                <c:pt idx="9">
                  <c:v>12864.469568040638</c:v>
                </c:pt>
                <c:pt idx="10">
                  <c:v>14378.507685372491</c:v>
                </c:pt>
                <c:pt idx="11">
                  <c:v>14652.018017922015</c:v>
                </c:pt>
                <c:pt idx="12">
                  <c:v>13602.684053536388</c:v>
                </c:pt>
                <c:pt idx="13">
                  <c:v>10884.404503180675</c:v>
                </c:pt>
                <c:pt idx="14">
                  <c:v>6051.9714080254407</c:v>
                </c:pt>
                <c:pt idx="15">
                  <c:v>2104.0059636833685</c:v>
                </c:pt>
                <c:pt idx="16">
                  <c:v>-523.21804075579939</c:v>
                </c:pt>
                <c:pt idx="17">
                  <c:v>-2218.423026366745</c:v>
                </c:pt>
                <c:pt idx="18">
                  <c:v>-3204.539550075056</c:v>
                </c:pt>
                <c:pt idx="19">
                  <c:v>-3590.2934335424516</c:v>
                </c:pt>
                <c:pt idx="20">
                  <c:v>-3417.5667799057173</c:v>
                </c:pt>
                <c:pt idx="21">
                  <c:v>-2679.4525095843637</c:v>
                </c:pt>
                <c:pt idx="22">
                  <c:v>-1317.7764749852245</c:v>
                </c:pt>
                <c:pt idx="23">
                  <c:v>797.92946512859464</c:v>
                </c:pt>
                <c:pt idx="24">
                  <c:v>3899.8396819325953</c:v>
                </c:pt>
                <c:pt idx="25">
                  <c:v>8162.8612265416778</c:v>
                </c:pt>
                <c:pt idx="26">
                  <c:v>11776.950782160176</c:v>
                </c:pt>
                <c:pt idx="27">
                  <c:v>13310.279087710505</c:v>
                </c:pt>
                <c:pt idx="28">
                  <c:v>13312.970168196058</c:v>
                </c:pt>
                <c:pt idx="29">
                  <c:v>12101.910340450946</c:v>
                </c:pt>
                <c:pt idx="30">
                  <c:v>9804.2648961711166</c:v>
                </c:pt>
                <c:pt idx="31">
                  <c:v>6589.2624590640444</c:v>
                </c:pt>
                <c:pt idx="32">
                  <c:v>3923.9006718916899</c:v>
                </c:pt>
                <c:pt idx="33">
                  <c:v>2885.182507221542</c:v>
                </c:pt>
                <c:pt idx="34">
                  <c:v>2587.845605582248</c:v>
                </c:pt>
                <c:pt idx="35">
                  <c:v>2585.9677134717622</c:v>
                </c:pt>
                <c:pt idx="36">
                  <c:v>2672.3620499581593</c:v>
                </c:pt>
                <c:pt idx="37">
                  <c:v>2746.4253438697169</c:v>
                </c:pt>
                <c:pt idx="38">
                  <c:v>2760.6266320906357</c:v>
                </c:pt>
                <c:pt idx="39">
                  <c:v>2697.3550499165481</c:v>
                </c:pt>
                <c:pt idx="40">
                  <c:v>2560.5877927211886</c:v>
                </c:pt>
                <c:pt idx="41">
                  <c:v>2377.7711566178396</c:v>
                </c:pt>
                <c:pt idx="42">
                  <c:v>2212.5970806108198</c:v>
                </c:pt>
                <c:pt idx="43">
                  <c:v>2194.8185367817714</c:v>
                </c:pt>
                <c:pt idx="44">
                  <c:v>2584.9541055697978</c:v>
                </c:pt>
                <c:pt idx="45">
                  <c:v>3921.5334557112747</c:v>
                </c:pt>
                <c:pt idx="46">
                  <c:v>7066.896470538376</c:v>
                </c:pt>
                <c:pt idx="47">
                  <c:v>10380.191810996484</c:v>
                </c:pt>
                <c:pt idx="48">
                  <c:v>12663.021148446282</c:v>
                </c:pt>
                <c:pt idx="49">
                  <c:v>13773.552324300892</c:v>
                </c:pt>
                <c:pt idx="50">
                  <c:v>13578.562017457562</c:v>
                </c:pt>
                <c:pt idx="51">
                  <c:v>11760.38550609314</c:v>
                </c:pt>
                <c:pt idx="52">
                  <c:v>7878.96689818304</c:v>
                </c:pt>
                <c:pt idx="53">
                  <c:v>3579.9865248322112</c:v>
                </c:pt>
                <c:pt idx="54">
                  <c:v>494.62639702456931</c:v>
                </c:pt>
                <c:pt idx="55">
                  <c:v>-1559.2654947081714</c:v>
                </c:pt>
                <c:pt idx="56">
                  <c:v>-2813.9942767957127</c:v>
                </c:pt>
                <c:pt idx="57">
                  <c:v>-3394.62271777245</c:v>
                </c:pt>
                <c:pt idx="58">
                  <c:v>-3348.2430543750215</c:v>
                </c:pt>
                <c:pt idx="59">
                  <c:v>-2660.9645656772864</c:v>
                </c:pt>
                <c:pt idx="60">
                  <c:v>-1249.3348642467026</c:v>
                </c:pt>
                <c:pt idx="61">
                  <c:v>1084.9056126499584</c:v>
                </c:pt>
                <c:pt idx="62">
                  <c:v>4758.1957508713549</c:v>
                </c:pt>
                <c:pt idx="63">
                  <c:v>10030.218122873715</c:v>
                </c:pt>
                <c:pt idx="64">
                  <c:v>13391.976714815282</c:v>
                </c:pt>
                <c:pt idx="65">
                  <c:v>14968.722065584334</c:v>
                </c:pt>
                <c:pt idx="66">
                  <c:v>15108.841421564328</c:v>
                </c:pt>
                <c:pt idx="67">
                  <c:v>13876.3988804455</c:v>
                </c:pt>
                <c:pt idx="68">
                  <c:v>11079.682926425545</c:v>
                </c:pt>
                <c:pt idx="69">
                  <c:v>6347.220568306062</c:v>
                </c:pt>
                <c:pt idx="70">
                  <c:v>2576.8607469310864</c:v>
                </c:pt>
                <c:pt idx="71">
                  <c:v>408.2698052050614</c:v>
                </c:pt>
                <c:pt idx="72">
                  <c:v>-750.22201152895241</c:v>
                </c:pt>
                <c:pt idx="73">
                  <c:v>-1224.501691296728</c:v>
                </c:pt>
                <c:pt idx="74">
                  <c:v>-1199.6708078246452</c:v>
                </c:pt>
                <c:pt idx="75">
                  <c:v>-785.15297970233541</c:v>
                </c:pt>
                <c:pt idx="76">
                  <c:v>-37.642042589176924</c:v>
                </c:pt>
                <c:pt idx="77">
                  <c:v>1032.1327438144313</c:v>
                </c:pt>
                <c:pt idx="78">
                  <c:v>2459.1169592383003</c:v>
                </c:pt>
                <c:pt idx="79">
                  <c:v>4326.9176335346874</c:v>
                </c:pt>
                <c:pt idx="80">
                  <c:v>6751.4845388576387</c:v>
                </c:pt>
                <c:pt idx="81">
                  <c:v>9462.3272966597178</c:v>
                </c:pt>
                <c:pt idx="82">
                  <c:v>10465.596595279978</c:v>
                </c:pt>
                <c:pt idx="83">
                  <c:v>10316.395411613144</c:v>
                </c:pt>
                <c:pt idx="84">
                  <c:v>9407.87981574076</c:v>
                </c:pt>
                <c:pt idx="85">
                  <c:v>7929.9227730063885</c:v>
                </c:pt>
                <c:pt idx="86">
                  <c:v>6168.4790592403779</c:v>
                </c:pt>
                <c:pt idx="87">
                  <c:v>5455.2071133881409</c:v>
                </c:pt>
                <c:pt idx="88">
                  <c:v>5553.2198611680797</c:v>
                </c:pt>
                <c:pt idx="89">
                  <c:v>5854.3747845342887</c:v>
                </c:pt>
                <c:pt idx="90">
                  <c:v>6153.179510157006</c:v>
                </c:pt>
                <c:pt idx="91">
                  <c:v>6375.4816877159492</c:v>
                </c:pt>
                <c:pt idx="92">
                  <c:v>6501.7158334996911</c:v>
                </c:pt>
                <c:pt idx="93">
                  <c:v>6554.5607046362011</c:v>
                </c:pt>
                <c:pt idx="94">
                  <c:v>6635.2697983360231</c:v>
                </c:pt>
                <c:pt idx="95">
                  <c:v>7085.7120361863408</c:v>
                </c:pt>
                <c:pt idx="96">
                  <c:v>7758.8288598998197</c:v>
                </c:pt>
                <c:pt idx="97">
                  <c:v>8244.0029682204058</c:v>
                </c:pt>
                <c:pt idx="98">
                  <c:v>8469.0492425445391</c:v>
                </c:pt>
                <c:pt idx="99">
                  <c:v>8365.2095530358292</c:v>
                </c:pt>
                <c:pt idx="100">
                  <c:v>7781.726145454948</c:v>
                </c:pt>
                <c:pt idx="101">
                  <c:v>6774.4423887363419</c:v>
                </c:pt>
                <c:pt idx="102">
                  <c:v>5931.9787747997207</c:v>
                </c:pt>
                <c:pt idx="103">
                  <c:v>5197.1649695331407</c:v>
                </c:pt>
                <c:pt idx="104">
                  <c:v>4527.388451172229</c:v>
                </c:pt>
                <c:pt idx="105">
                  <c:v>3925.5762077952309</c:v>
                </c:pt>
                <c:pt idx="106">
                  <c:v>3444.4279210710474</c:v>
                </c:pt>
                <c:pt idx="107">
                  <c:v>3215.630840164712</c:v>
                </c:pt>
                <c:pt idx="108">
                  <c:v>3529.898038624608</c:v>
                </c:pt>
                <c:pt idx="109">
                  <c:v>5021.7034178958465</c:v>
                </c:pt>
                <c:pt idx="110">
                  <c:v>8226.385828401897</c:v>
                </c:pt>
                <c:pt idx="111">
                  <c:v>10918.517372439997</c:v>
                </c:pt>
                <c:pt idx="112">
                  <c:v>12529.770474966344</c:v>
                </c:pt>
                <c:pt idx="113">
                  <c:v>12923.717656646764</c:v>
                </c:pt>
                <c:pt idx="114">
                  <c:v>11823.594501044052</c:v>
                </c:pt>
                <c:pt idx="115">
                  <c:v>8689.7112493874138</c:v>
                </c:pt>
                <c:pt idx="116">
                  <c:v>4471.7049577201569</c:v>
                </c:pt>
                <c:pt idx="117">
                  <c:v>1378.5145991920804</c:v>
                </c:pt>
                <c:pt idx="118">
                  <c:v>-676.28720333131196</c:v>
                </c:pt>
                <c:pt idx="119">
                  <c:v>-1912.9165490415537</c:v>
                </c:pt>
                <c:pt idx="120">
                  <c:v>-2448.5581227243265</c:v>
                </c:pt>
                <c:pt idx="121">
                  <c:v>-2316.5696783099056</c:v>
                </c:pt>
                <c:pt idx="122">
                  <c:v>-1477.6135861146884</c:v>
                </c:pt>
                <c:pt idx="123">
                  <c:v>199.86031902727143</c:v>
                </c:pt>
                <c:pt idx="124">
                  <c:v>3009.9603841877874</c:v>
                </c:pt>
                <c:pt idx="125">
                  <c:v>7483.508228056884</c:v>
                </c:pt>
                <c:pt idx="126">
                  <c:v>11829.402818960598</c:v>
                </c:pt>
                <c:pt idx="127">
                  <c:v>14104.949096412398</c:v>
                </c:pt>
                <c:pt idx="128">
                  <c:v>14797.828597438614</c:v>
                </c:pt>
                <c:pt idx="129">
                  <c:v>14079.739331686706</c:v>
                </c:pt>
                <c:pt idx="130">
                  <c:v>11832.520486620182</c:v>
                </c:pt>
                <c:pt idx="131">
                  <c:v>7640.0507085619784</c:v>
                </c:pt>
                <c:pt idx="132">
                  <c:v>3167.6151147500141</c:v>
                </c:pt>
                <c:pt idx="133">
                  <c:v>380.51554439327333</c:v>
                </c:pt>
                <c:pt idx="134">
                  <c:v>-1361.6422699715035</c:v>
                </c:pt>
                <c:pt idx="135">
                  <c:v>-2429.0947408853845</c:v>
                </c:pt>
                <c:pt idx="136">
                  <c:v>-3037.5079264971087</c:v>
                </c:pt>
                <c:pt idx="137">
                  <c:v>-3336.1240650438422</c:v>
                </c:pt>
                <c:pt idx="138">
                  <c:v>-3445.5168178553026</c:v>
                </c:pt>
                <c:pt idx="139">
                  <c:v>-3474.5654709988103</c:v>
                </c:pt>
                <c:pt idx="140">
                  <c:v>-3528.1025334806795</c:v>
                </c:pt>
                <c:pt idx="141">
                  <c:v>-3711.0309681331782</c:v>
                </c:pt>
                <c:pt idx="142">
                  <c:v>-4133.4632610717736</c:v>
                </c:pt>
                <c:pt idx="143">
                  <c:v>-4921.5689932913319</c:v>
                </c:pt>
                <c:pt idx="144">
                  <c:v>-6241.044947705228</c:v>
                </c:pt>
                <c:pt idx="145">
                  <c:v>-8348.8704086759044</c:v>
                </c:pt>
                <c:pt idx="146">
                  <c:v>-11706.779715361639</c:v>
                </c:pt>
                <c:pt idx="147">
                  <c:v>-16839.377763307584</c:v>
                </c:pt>
                <c:pt idx="148">
                  <c:v>-20327.323028904935</c:v>
                </c:pt>
                <c:pt idx="149">
                  <c:v>-21919.05824983495</c:v>
                </c:pt>
                <c:pt idx="150">
                  <c:v>-21920.584247458253</c:v>
                </c:pt>
                <c:pt idx="151">
                  <c:v>-20339.482379531622</c:v>
                </c:pt>
                <c:pt idx="152">
                  <c:v>-16898.08271743805</c:v>
                </c:pt>
                <c:pt idx="153">
                  <c:v>-11839.239235157178</c:v>
                </c:pt>
                <c:pt idx="154">
                  <c:v>-8514.2339480099909</c:v>
                </c:pt>
                <c:pt idx="155">
                  <c:v>-6489.7534647629818</c:v>
                </c:pt>
                <c:pt idx="156">
                  <c:v>-5347.7110060940504</c:v>
                </c:pt>
                <c:pt idx="157">
                  <c:v>-4898.8921678995175</c:v>
                </c:pt>
                <c:pt idx="158">
                  <c:v>-5077.704007352796</c:v>
                </c:pt>
                <c:pt idx="159">
                  <c:v>-5907.3118048150573</c:v>
                </c:pt>
                <c:pt idx="160">
                  <c:v>-7512.4005602257475</c:v>
                </c:pt>
                <c:pt idx="161">
                  <c:v>-10191.505926616572</c:v>
                </c:pt>
                <c:pt idx="162">
                  <c:v>-14527.765297454625</c:v>
                </c:pt>
                <c:pt idx="163">
                  <c:v>-19118.19812959183</c:v>
                </c:pt>
                <c:pt idx="164">
                  <c:v>-21682.619415412028</c:v>
                </c:pt>
                <c:pt idx="165">
                  <c:v>-22629.877852495316</c:v>
                </c:pt>
                <c:pt idx="166">
                  <c:v>-22132.324034443289</c:v>
                </c:pt>
                <c:pt idx="167">
                  <c:v>-20089.732286511204</c:v>
                </c:pt>
                <c:pt idx="168">
                  <c:v>-16096.032788512133</c:v>
                </c:pt>
                <c:pt idx="169">
                  <c:v>-10911.271583521793</c:v>
                </c:pt>
                <c:pt idx="170">
                  <c:v>-7489.4775974926642</c:v>
                </c:pt>
                <c:pt idx="171">
                  <c:v>-5132.2552888661849</c:v>
                </c:pt>
                <c:pt idx="172">
                  <c:v>-3401.4819547928792</c:v>
                </c:pt>
                <c:pt idx="173">
                  <c:v>-2046.0722064388474</c:v>
                </c:pt>
                <c:pt idx="174">
                  <c:v>-888.2706362588001</c:v>
                </c:pt>
                <c:pt idx="175">
                  <c:v>232.05921280341403</c:v>
                </c:pt>
                <c:pt idx="176">
                  <c:v>1498.7715680182882</c:v>
                </c:pt>
                <c:pt idx="177">
                  <c:v>3178.5046049737425</c:v>
                </c:pt>
                <c:pt idx="178">
                  <c:v>5753.6818022914294</c:v>
                </c:pt>
                <c:pt idx="179">
                  <c:v>9613.4597493688707</c:v>
                </c:pt>
                <c:pt idx="180">
                  <c:v>12202.330170321697</c:v>
                </c:pt>
                <c:pt idx="181">
                  <c:v>13763.658397113279</c:v>
                </c:pt>
                <c:pt idx="182">
                  <c:v>14497.990145424823</c:v>
                </c:pt>
                <c:pt idx="183">
                  <c:v>14460.128541019893</c:v>
                </c:pt>
                <c:pt idx="184">
                  <c:v>13592.481469450668</c:v>
                </c:pt>
                <c:pt idx="185">
                  <c:v>11680.376719070884</c:v>
                </c:pt>
                <c:pt idx="186">
                  <c:v>8188.7460781899808</c:v>
                </c:pt>
                <c:pt idx="187">
                  <c:v>3862.7000593464331</c:v>
                </c:pt>
                <c:pt idx="188">
                  <c:v>683.24675175160769</c:v>
                </c:pt>
                <c:pt idx="189">
                  <c:v>-1904.072374074673</c:v>
                </c:pt>
                <c:pt idx="190">
                  <c:v>-4287.5457253664181</c:v>
                </c:pt>
                <c:pt idx="191">
                  <c:v>-6789.9940847355929</c:v>
                </c:pt>
                <c:pt idx="192">
                  <c:v>-9803.4192884742606</c:v>
                </c:pt>
                <c:pt idx="193">
                  <c:v>-13988.931205565759</c:v>
                </c:pt>
                <c:pt idx="194">
                  <c:v>-18968.066901933267</c:v>
                </c:pt>
                <c:pt idx="195">
                  <c:v>-22196.070386563712</c:v>
                </c:pt>
                <c:pt idx="196">
                  <c:v>-24291.372421643482</c:v>
                </c:pt>
                <c:pt idx="197">
                  <c:v>-25551.758333231715</c:v>
                </c:pt>
                <c:pt idx="198">
                  <c:v>-26107.507820593768</c:v>
                </c:pt>
                <c:pt idx="199">
                  <c:v>-26006.526882419912</c:v>
                </c:pt>
                <c:pt idx="200">
                  <c:v>-25239.354283001543</c:v>
                </c:pt>
                <c:pt idx="201">
                  <c:v>-23734.537365208522</c:v>
                </c:pt>
                <c:pt idx="202">
                  <c:v>-21318.819603279302</c:v>
                </c:pt>
                <c:pt idx="203">
                  <c:v>-17594.256282207687</c:v>
                </c:pt>
                <c:pt idx="204">
                  <c:v>-12032.664851616611</c:v>
                </c:pt>
                <c:pt idx="205">
                  <c:v>-8026.6052476225832</c:v>
                </c:pt>
                <c:pt idx="206">
                  <c:v>-4799.0735451787978</c:v>
                </c:pt>
                <c:pt idx="207">
                  <c:v>-1793.1164900118788</c:v>
                </c:pt>
                <c:pt idx="208">
                  <c:v>1389.2790758737929</c:v>
                </c:pt>
                <c:pt idx="209">
                  <c:v>5201.4753331313295</c:v>
                </c:pt>
                <c:pt idx="210">
                  <c:v>10045.680552860787</c:v>
                </c:pt>
                <c:pt idx="211">
                  <c:v>12951.471425228381</c:v>
                </c:pt>
                <c:pt idx="212">
                  <c:v>14573.1185500504</c:v>
                </c:pt>
                <c:pt idx="213">
                  <c:v>15350.555341148081</c:v>
                </c:pt>
                <c:pt idx="214">
                  <c:v>15464.889774894955</c:v>
                </c:pt>
                <c:pt idx="215">
                  <c:v>14987.684366618143</c:v>
                </c:pt>
                <c:pt idx="216">
                  <c:v>13925.460364006191</c:v>
                </c:pt>
                <c:pt idx="217">
                  <c:v>12222.931326252659</c:v>
                </c:pt>
                <c:pt idx="218">
                  <c:v>9736.0164227063506</c:v>
                </c:pt>
                <c:pt idx="219">
                  <c:v>6274.5019768622205</c:v>
                </c:pt>
                <c:pt idx="220">
                  <c:v>3845.5045436518731</c:v>
                </c:pt>
                <c:pt idx="221">
                  <c:v>2309.3421737951976</c:v>
                </c:pt>
                <c:pt idx="222">
                  <c:v>1076.6522696627844</c:v>
                </c:pt>
                <c:pt idx="223">
                  <c:v>-138.98592000736693</c:v>
                </c:pt>
                <c:pt idx="224">
                  <c:v>-1519.483123613423</c:v>
                </c:pt>
                <c:pt idx="225">
                  <c:v>-3214.4338162743497</c:v>
                </c:pt>
                <c:pt idx="226">
                  <c:v>-5380.0563988154972</c:v>
                </c:pt>
                <c:pt idx="227">
                  <c:v>-8211.4784680606135</c:v>
                </c:pt>
                <c:pt idx="228">
                  <c:v>-11948.913229215284</c:v>
                </c:pt>
                <c:pt idx="229">
                  <c:v>-16568.546656966439</c:v>
                </c:pt>
                <c:pt idx="230">
                  <c:v>-20099.727853345048</c:v>
                </c:pt>
                <c:pt idx="231">
                  <c:v>-21651.151652587327</c:v>
                </c:pt>
                <c:pt idx="232">
                  <c:v>-21812.130545900251</c:v>
                </c:pt>
                <c:pt idx="233">
                  <c:v>-20967.796879390167</c:v>
                </c:pt>
                <c:pt idx="234">
                  <c:v>-19336.725611776765</c:v>
                </c:pt>
                <c:pt idx="235">
                  <c:v>-17073.040514961715</c:v>
                </c:pt>
                <c:pt idx="236">
                  <c:v>-14349.265403358377</c:v>
                </c:pt>
                <c:pt idx="237">
                  <c:v>-11477.992526751388</c:v>
                </c:pt>
                <c:pt idx="238">
                  <c:v>-9066.8981250087054</c:v>
                </c:pt>
                <c:pt idx="239">
                  <c:v>-7768.4557148614867</c:v>
                </c:pt>
                <c:pt idx="240">
                  <c:v>-7601.3561834947595</c:v>
                </c:pt>
                <c:pt idx="241">
                  <c:v>-8212.8199913217686</c:v>
                </c:pt>
                <c:pt idx="242">
                  <c:v>-9297.1243672629171</c:v>
                </c:pt>
                <c:pt idx="243">
                  <c:v>-10658.777482107253</c:v>
                </c:pt>
                <c:pt idx="244">
                  <c:v>-12175.28323233513</c:v>
                </c:pt>
                <c:pt idx="245">
                  <c:v>-13757.67764664115</c:v>
                </c:pt>
                <c:pt idx="246">
                  <c:v>-15313.292213261642</c:v>
                </c:pt>
                <c:pt idx="247">
                  <c:v>-16675.001625937373</c:v>
                </c:pt>
                <c:pt idx="248">
                  <c:v>-17328.991917774401</c:v>
                </c:pt>
                <c:pt idx="249">
                  <c:v>-16012.124801670936</c:v>
                </c:pt>
                <c:pt idx="250">
                  <c:v>-14093.010646401553</c:v>
                </c:pt>
                <c:pt idx="251">
                  <c:v>-12061.258417303445</c:v>
                </c:pt>
                <c:pt idx="252">
                  <c:v>-9965.7727885286622</c:v>
                </c:pt>
                <c:pt idx="253">
                  <c:v>-7764.5674315257638</c:v>
                </c:pt>
                <c:pt idx="254">
                  <c:v>-5370.4974103016302</c:v>
                </c:pt>
                <c:pt idx="255">
                  <c:v>-2637.9127026295669</c:v>
                </c:pt>
                <c:pt idx="256">
                  <c:v>685.14698358880605</c:v>
                </c:pt>
                <c:pt idx="257">
                  <c:v>5042.9299292203987</c:v>
                </c:pt>
                <c:pt idx="258">
                  <c:v>10591.240684579567</c:v>
                </c:pt>
                <c:pt idx="259">
                  <c:v>14125.904516398756</c:v>
                </c:pt>
                <c:pt idx="260">
                  <c:v>16065.310843438683</c:v>
                </c:pt>
                <c:pt idx="261">
                  <c:v>16878.539839821609</c:v>
                </c:pt>
                <c:pt idx="262">
                  <c:v>16771.38231732088</c:v>
                </c:pt>
                <c:pt idx="263">
                  <c:v>15812.948977297621</c:v>
                </c:pt>
                <c:pt idx="264">
                  <c:v>13975.031612528337</c:v>
                </c:pt>
                <c:pt idx="265">
                  <c:v>11120.475554005199</c:v>
                </c:pt>
                <c:pt idx="266">
                  <c:v>7025.5413224971389</c:v>
                </c:pt>
                <c:pt idx="267">
                  <c:v>3218.8962438109406</c:v>
                </c:pt>
                <c:pt idx="268">
                  <c:v>857.70121402173822</c:v>
                </c:pt>
                <c:pt idx="269">
                  <c:v>-942.91340842266095</c:v>
                </c:pt>
                <c:pt idx="270">
                  <c:v>-2648.8049324045933</c:v>
                </c:pt>
                <c:pt idx="271">
                  <c:v>-4595.4418842485929</c:v>
                </c:pt>
                <c:pt idx="272">
                  <c:v>-7125.6078094775685</c:v>
                </c:pt>
                <c:pt idx="273">
                  <c:v>-10649.481541152527</c:v>
                </c:pt>
                <c:pt idx="274">
                  <c:v>-15344.442600434963</c:v>
                </c:pt>
                <c:pt idx="275">
                  <c:v>-19725.810091544459</c:v>
                </c:pt>
                <c:pt idx="276">
                  <c:v>-22575.339750981326</c:v>
                </c:pt>
                <c:pt idx="277">
                  <c:v>-24004.241598963654</c:v>
                </c:pt>
                <c:pt idx="278">
                  <c:v>-24247.770887816259</c:v>
                </c:pt>
                <c:pt idx="279">
                  <c:v>-23462.591473922264</c:v>
                </c:pt>
                <c:pt idx="280">
                  <c:v>-21744.035317226906</c:v>
                </c:pt>
                <c:pt idx="281">
                  <c:v>-19165.571119527125</c:v>
                </c:pt>
                <c:pt idx="282">
                  <c:v>-15852.030332277212</c:v>
                </c:pt>
                <c:pt idx="283">
                  <c:v>-12158.465416875157</c:v>
                </c:pt>
                <c:pt idx="284">
                  <c:v>-8879.9160767943013</c:v>
                </c:pt>
                <c:pt idx="285">
                  <c:v>-6654.5027881024198</c:v>
                </c:pt>
                <c:pt idx="286">
                  <c:v>-5359.8738009728177</c:v>
                </c:pt>
                <c:pt idx="287">
                  <c:v>-4681.1363720104855</c:v>
                </c:pt>
                <c:pt idx="288">
                  <c:v>-4380.7503298086194</c:v>
                </c:pt>
                <c:pt idx="289">
                  <c:v>-4301.9254700976689</c:v>
                </c:pt>
                <c:pt idx="290">
                  <c:v>-4344.589806549985</c:v>
                </c:pt>
                <c:pt idx="291">
                  <c:v>-4448.1085471410506</c:v>
                </c:pt>
                <c:pt idx="292">
                  <c:v>-4579.0841251247657</c:v>
                </c:pt>
                <c:pt idx="293">
                  <c:v>-4723.1490784430425</c:v>
                </c:pt>
                <c:pt idx="294">
                  <c:v>-4880.7157340685317</c:v>
                </c:pt>
                <c:pt idx="295">
                  <c:v>-5066.6253001232544</c:v>
                </c:pt>
                <c:pt idx="296">
                  <c:v>-5313.9167201443051</c:v>
                </c:pt>
                <c:pt idx="297">
                  <c:v>-5682.8741489804643</c:v>
                </c:pt>
                <c:pt idx="298">
                  <c:v>-6278.9761399861773</c:v>
                </c:pt>
                <c:pt idx="299">
                  <c:v>-7291.1882425519407</c:v>
                </c:pt>
                <c:pt idx="300">
                  <c:v>-9082.1033816885611</c:v>
                </c:pt>
                <c:pt idx="301">
                  <c:v>-12292.162495868322</c:v>
                </c:pt>
                <c:pt idx="302">
                  <c:v>-16551.613850968377</c:v>
                </c:pt>
                <c:pt idx="303">
                  <c:v>-20143.003007736817</c:v>
                </c:pt>
                <c:pt idx="304">
                  <c:v>-22780.262329223307</c:v>
                </c:pt>
                <c:pt idx="305">
                  <c:v>-24515.460229807704</c:v>
                </c:pt>
                <c:pt idx="306">
                  <c:v>-25393.125351942112</c:v>
                </c:pt>
                <c:pt idx="307">
                  <c:v>-25406.574755808306</c:v>
                </c:pt>
                <c:pt idx="308">
                  <c:v>-24481.960116629994</c:v>
                </c:pt>
                <c:pt idx="309">
                  <c:v>-22442.256352450771</c:v>
                </c:pt>
                <c:pt idx="310">
                  <c:v>-18928.607497980694</c:v>
                </c:pt>
                <c:pt idx="311">
                  <c:v>-13563.361641974436</c:v>
                </c:pt>
                <c:pt idx="312">
                  <c:v>-8949.4653591761708</c:v>
                </c:pt>
                <c:pt idx="313">
                  <c:v>-5668.2105716409824</c:v>
                </c:pt>
                <c:pt idx="314">
                  <c:v>-3146.4778415937526</c:v>
                </c:pt>
                <c:pt idx="315">
                  <c:v>-1002.8057496932367</c:v>
                </c:pt>
                <c:pt idx="316">
                  <c:v>1040.850962801846</c:v>
                </c:pt>
                <c:pt idx="317">
                  <c:v>3259.8405452702418</c:v>
                </c:pt>
                <c:pt idx="318">
                  <c:v>6041.7024071120431</c:v>
                </c:pt>
                <c:pt idx="319">
                  <c:v>9683.9011467627497</c:v>
                </c:pt>
                <c:pt idx="320">
                  <c:v>11963.830800516729</c:v>
                </c:pt>
                <c:pt idx="321">
                  <c:v>13378.853684634174</c:v>
                </c:pt>
                <c:pt idx="322">
                  <c:v>14195.459110560661</c:v>
                </c:pt>
                <c:pt idx="323">
                  <c:v>14527.790604140395</c:v>
                </c:pt>
                <c:pt idx="324">
                  <c:v>14422.476902283221</c:v>
                </c:pt>
                <c:pt idx="325">
                  <c:v>13884.734534673556</c:v>
                </c:pt>
                <c:pt idx="326">
                  <c:v>12880.726052814869</c:v>
                </c:pt>
                <c:pt idx="327">
                  <c:v>11319.48104954985</c:v>
                </c:pt>
                <c:pt idx="328">
                  <c:v>8997.3923958122559</c:v>
                </c:pt>
                <c:pt idx="329">
                  <c:v>5691.7993228931518</c:v>
                </c:pt>
                <c:pt idx="330">
                  <c:v>3454.7640726529407</c:v>
                </c:pt>
                <c:pt idx="331">
                  <c:v>1720.6874831707614</c:v>
                </c:pt>
                <c:pt idx="332">
                  <c:v>106.00823823012081</c:v>
                </c:pt>
                <c:pt idx="333">
                  <c:v>-1622.0116574761339</c:v>
                </c:pt>
                <c:pt idx="334">
                  <c:v>-3657.2751654651684</c:v>
                </c:pt>
                <c:pt idx="335">
                  <c:v>-6207.4012048439754</c:v>
                </c:pt>
                <c:pt idx="336">
                  <c:v>-9522.0443787297972</c:v>
                </c:pt>
                <c:pt idx="337">
                  <c:v>-13805.116955507508</c:v>
                </c:pt>
                <c:pt idx="338">
                  <c:v>-18409.546458814795</c:v>
                </c:pt>
                <c:pt idx="339">
                  <c:v>-21397.013211007656</c:v>
                </c:pt>
                <c:pt idx="340">
                  <c:v>-22681.372226141113</c:v>
                </c:pt>
                <c:pt idx="341">
                  <c:v>-22694.556869471246</c:v>
                </c:pt>
                <c:pt idx="342">
                  <c:v>-21731.996837089551</c:v>
                </c:pt>
                <c:pt idx="343">
                  <c:v>-19982.649122326573</c:v>
                </c:pt>
                <c:pt idx="344">
                  <c:v>-17592.696711701417</c:v>
                </c:pt>
                <c:pt idx="345">
                  <c:v>-14726.158007524426</c:v>
                </c:pt>
                <c:pt idx="346">
                  <c:v>-11646.45444724035</c:v>
                </c:pt>
                <c:pt idx="347">
                  <c:v>-8796.7865544190099</c:v>
                </c:pt>
                <c:pt idx="348">
                  <c:v>-6664.2643415761668</c:v>
                </c:pt>
                <c:pt idx="349">
                  <c:v>-5399.6586371271942</c:v>
                </c:pt>
                <c:pt idx="350">
                  <c:v>-4843.2062323827267</c:v>
                </c:pt>
                <c:pt idx="351">
                  <c:v>-4779.0935514420034</c:v>
                </c:pt>
                <c:pt idx="352">
                  <c:v>-5034.9946927220308</c:v>
                </c:pt>
                <c:pt idx="353">
                  <c:v>-5493.3338248477748</c:v>
                </c:pt>
                <c:pt idx="354">
                  <c:v>-6082.19411424788</c:v>
                </c:pt>
                <c:pt idx="355">
                  <c:v>-6763.0747526560262</c:v>
                </c:pt>
                <c:pt idx="356">
                  <c:v>-7521.0950867980619</c:v>
                </c:pt>
                <c:pt idx="357">
                  <c:v>-8360.0205051362245</c:v>
                </c:pt>
                <c:pt idx="358">
                  <c:v>-9303.1095505893045</c:v>
                </c:pt>
                <c:pt idx="359">
                  <c:v>-10402.595978709251</c:v>
                </c:pt>
                <c:pt idx="360">
                  <c:v>-11769.598735084241</c:v>
                </c:pt>
                <c:pt idx="361">
                  <c:v>-13669.290122932942</c:v>
                </c:pt>
                <c:pt idx="362">
                  <c:v>-16449.045295559685</c:v>
                </c:pt>
                <c:pt idx="363">
                  <c:v>-18345.349646933111</c:v>
                </c:pt>
                <c:pt idx="364">
                  <c:v>-19588.633269325273</c:v>
                </c:pt>
                <c:pt idx="365">
                  <c:v>-20345.575741151195</c:v>
                </c:pt>
                <c:pt idx="366">
                  <c:v>-20703.074610700591</c:v>
                </c:pt>
                <c:pt idx="367">
                  <c:v>-20711.087211634018</c:v>
                </c:pt>
                <c:pt idx="368">
                  <c:v>-20399.88488626519</c:v>
                </c:pt>
                <c:pt idx="369">
                  <c:v>-19787.713827119504</c:v>
                </c:pt>
                <c:pt idx="370">
                  <c:v>-18884.801105903727</c:v>
                </c:pt>
                <c:pt idx="371">
                  <c:v>-17696.118209454173</c:v>
                </c:pt>
                <c:pt idx="372">
                  <c:v>-16224.59519363152</c:v>
                </c:pt>
                <c:pt idx="373">
                  <c:v>-14477.468936514582</c:v>
                </c:pt>
                <c:pt idx="374">
                  <c:v>-12482.306274778844</c:v>
                </c:pt>
                <c:pt idx="375">
                  <c:v>-10329.034254371676</c:v>
                </c:pt>
                <c:pt idx="376">
                  <c:v>-8261.8679510901457</c:v>
                </c:pt>
                <c:pt idx="377">
                  <c:v>-6739.2539725846673</c:v>
                </c:pt>
                <c:pt idx="378">
                  <c:v>-6100.9395672335004</c:v>
                </c:pt>
                <c:pt idx="379">
                  <c:v>-6222.3970818505077</c:v>
                </c:pt>
                <c:pt idx="380">
                  <c:v>-6807.7269912933316</c:v>
                </c:pt>
                <c:pt idx="381">
                  <c:v>-7629.0914372561137</c:v>
                </c:pt>
                <c:pt idx="382">
                  <c:v>-8551.248476170651</c:v>
                </c:pt>
                <c:pt idx="383">
                  <c:v>-9500.1652223800666</c:v>
                </c:pt>
                <c:pt idx="384">
                  <c:v>-10435.127005903827</c:v>
                </c:pt>
                <c:pt idx="385">
                  <c:v>-11332.321258838305</c:v>
                </c:pt>
                <c:pt idx="386">
                  <c:v>-12176.289665450535</c:v>
                </c:pt>
                <c:pt idx="387">
                  <c:v>-12955.516618530404</c:v>
                </c:pt>
                <c:pt idx="388">
                  <c:v>-13659.937747682141</c:v>
                </c:pt>
                <c:pt idx="389">
                  <c:v>-14279.054476490637</c:v>
                </c:pt>
                <c:pt idx="390">
                  <c:v>-14799.250316782329</c:v>
                </c:pt>
                <c:pt idx="391">
                  <c:v>-15196.12880662436</c:v>
                </c:pt>
                <c:pt idx="392">
                  <c:v>-15397.018869063053</c:v>
                </c:pt>
                <c:pt idx="393">
                  <c:v>-15068.353031759065</c:v>
                </c:pt>
                <c:pt idx="394">
                  <c:v>-14495.91303803023</c:v>
                </c:pt>
                <c:pt idx="395">
                  <c:v>-13716.532279508257</c:v>
                </c:pt>
                <c:pt idx="396">
                  <c:v>-12705.42855901282</c:v>
                </c:pt>
                <c:pt idx="397">
                  <c:v>-11441.902679149189</c:v>
                </c:pt>
                <c:pt idx="398">
                  <c:v>-9913.5904334985862</c:v>
                </c:pt>
                <c:pt idx="399">
                  <c:v>-8115.431678693496</c:v>
                </c:pt>
                <c:pt idx="400">
                  <c:v>-6048.467646942634</c:v>
                </c:pt>
                <c:pt idx="401">
                  <c:v>-3719.5298912002308</c:v>
                </c:pt>
                <c:pt idx="402">
                  <c:v>-1142.5280718813829</c:v>
                </c:pt>
                <c:pt idx="403">
                  <c:v>1657.4579314888897</c:v>
                </c:pt>
                <c:pt idx="404">
                  <c:v>4634.6294153805484</c:v>
                </c:pt>
                <c:pt idx="405">
                  <c:v>7701.5282356836969</c:v>
                </c:pt>
                <c:pt idx="406">
                  <c:v>10684.795728713661</c:v>
                </c:pt>
                <c:pt idx="407">
                  <c:v>13246.051070011503</c:v>
                </c:pt>
                <c:pt idx="408">
                  <c:v>14836.158432254335</c:v>
                </c:pt>
                <c:pt idx="409">
                  <c:v>15006.164412917749</c:v>
                </c:pt>
                <c:pt idx="410">
                  <c:v>13915.504223952652</c:v>
                </c:pt>
                <c:pt idx="411">
                  <c:v>12023.596075445465</c:v>
                </c:pt>
                <c:pt idx="412">
                  <c:v>9666.6864245051001</c:v>
                </c:pt>
                <c:pt idx="413">
                  <c:v>7023.958739106246</c:v>
                </c:pt>
                <c:pt idx="414">
                  <c:v>4189.8076759213836</c:v>
                </c:pt>
                <c:pt idx="415">
                  <c:v>1222.336123775618</c:v>
                </c:pt>
                <c:pt idx="416">
                  <c:v>-1859.7840344960198</c:v>
                </c:pt>
                <c:pt idx="417">
                  <c:v>-5086.5892860102385</c:v>
                </c:pt>
                <c:pt idx="418">
                  <c:v>-8489.1872913936368</c:v>
                </c:pt>
                <c:pt idx="419">
                  <c:v>-12037.743704766341</c:v>
                </c:pt>
                <c:pt idx="420">
                  <c:v>-15612.38944454899</c:v>
                </c:pt>
                <c:pt idx="421">
                  <c:v>-19011.549988657418</c:v>
                </c:pt>
                <c:pt idx="422">
                  <c:v>-21992.359538081619</c:v>
                </c:pt>
                <c:pt idx="423">
                  <c:v>-24328.269888105435</c:v>
                </c:pt>
                <c:pt idx="424">
                  <c:v>-25858.330870932867</c:v>
                </c:pt>
                <c:pt idx="425">
                  <c:v>-26508.815687906426</c:v>
                </c:pt>
                <c:pt idx="426">
                  <c:v>-26287.177883118977</c:v>
                </c:pt>
                <c:pt idx="427">
                  <c:v>-25261.221624175432</c:v>
                </c:pt>
                <c:pt idx="428">
                  <c:v>-23535.831385745762</c:v>
                </c:pt>
                <c:pt idx="429">
                  <c:v>-21233.048545884008</c:v>
                </c:pt>
                <c:pt idx="430">
                  <c:v>-18475.877770047849</c:v>
                </c:pt>
                <c:pt idx="431">
                  <c:v>-15373.61710586164</c:v>
                </c:pt>
                <c:pt idx="432">
                  <c:v>-12005.583308575693</c:v>
                </c:pt>
                <c:pt idx="433">
                  <c:v>-8399.076437616648</c:v>
                </c:pt>
                <c:pt idx="434">
                  <c:v>-4493.0677254671973</c:v>
                </c:pt>
                <c:pt idx="435">
                  <c:v>-60.922938849452521</c:v>
                </c:pt>
                <c:pt idx="436">
                  <c:v>5489.4031447553998</c:v>
                </c:pt>
                <c:pt idx="437">
                  <c:v>12347.744937476624</c:v>
                </c:pt>
                <c:pt idx="438">
                  <c:v>17304.358546294075</c:v>
                </c:pt>
                <c:pt idx="439">
                  <c:v>21199.10175004237</c:v>
                </c:pt>
                <c:pt idx="440">
                  <c:v>24423.594524579603</c:v>
                </c:pt>
                <c:pt idx="441">
                  <c:v>27162.575932785046</c:v>
                </c:pt>
                <c:pt idx="442">
                  <c:v>29518.544755243882</c:v>
                </c:pt>
                <c:pt idx="443">
                  <c:v>31555.141658491582</c:v>
                </c:pt>
                <c:pt idx="444">
                  <c:v>33314.969628744235</c:v>
                </c:pt>
                <c:pt idx="445">
                  <c:v>34828.036270317483</c:v>
                </c:pt>
                <c:pt idx="446">
                  <c:v>36116.20532355507</c:v>
                </c:pt>
                <c:pt idx="447">
                  <c:v>37195.739601717389</c:v>
                </c:pt>
                <c:pt idx="448">
                  <c:v>38078.843067676535</c:v>
                </c:pt>
                <c:pt idx="449">
                  <c:v>38774.637059190136</c:v>
                </c:pt>
                <c:pt idx="450">
                  <c:v>39289.795176761261</c:v>
                </c:pt>
                <c:pt idx="451">
                  <c:v>39628.959420599291</c:v>
                </c:pt>
                <c:pt idx="452">
                  <c:v>39795.007048797124</c:v>
                </c:pt>
                <c:pt idx="453">
                  <c:v>39789.207896667649</c:v>
                </c:pt>
                <c:pt idx="454">
                  <c:v>39611.293804107241</c:v>
                </c:pt>
                <c:pt idx="455">
                  <c:v>39259.449421754718</c:v>
                </c:pt>
                <c:pt idx="456">
                  <c:v>38730.223611259491</c:v>
                </c:pt>
                <c:pt idx="457">
                  <c:v>38018.350475921252</c:v>
                </c:pt>
                <c:pt idx="458">
                  <c:v>37116.456280930637</c:v>
                </c:pt>
                <c:pt idx="459">
                  <c:v>36014.609651297527</c:v>
                </c:pt>
                <c:pt idx="460">
                  <c:v>34699.641348897188</c:v>
                </c:pt>
                <c:pt idx="461">
                  <c:v>33154.104535854036</c:v>
                </c:pt>
                <c:pt idx="462">
                  <c:v>31354.640768799036</c:v>
                </c:pt>
                <c:pt idx="463">
                  <c:v>29269.300848705294</c:v>
                </c:pt>
                <c:pt idx="464">
                  <c:v>26852.89145299932</c:v>
                </c:pt>
                <c:pt idx="465">
                  <c:v>24038.258937307259</c:v>
                </c:pt>
                <c:pt idx="466">
                  <c:v>20718.302159424748</c:v>
                </c:pt>
                <c:pt idx="467">
                  <c:v>16704.306283334656</c:v>
                </c:pt>
                <c:pt idx="468">
                  <c:v>11623.283990782542</c:v>
                </c:pt>
                <c:pt idx="469">
                  <c:v>4953.4387230949942</c:v>
                </c:pt>
                <c:pt idx="470">
                  <c:v>-472.38918327838746</c:v>
                </c:pt>
                <c:pt idx="471">
                  <c:v>-4848.5754970397711</c:v>
                </c:pt>
                <c:pt idx="472">
                  <c:v>-8707.794287670371</c:v>
                </c:pt>
                <c:pt idx="473">
                  <c:v>-12246.852300157208</c:v>
                </c:pt>
                <c:pt idx="474">
                  <c:v>-15527.541378390688</c:v>
                </c:pt>
                <c:pt idx="475">
                  <c:v>-18561.410991199573</c:v>
                </c:pt>
                <c:pt idx="476">
                  <c:v>-21342.925300383708</c:v>
                </c:pt>
                <c:pt idx="477">
                  <c:v>-23861.873347749384</c:v>
                </c:pt>
                <c:pt idx="478">
                  <c:v>-26107.403067710806</c:v>
                </c:pt>
                <c:pt idx="479">
                  <c:v>-28068.82843286157</c:v>
                </c:pt>
                <c:pt idx="480">
                  <c:v>-29735.29157050556</c:v>
                </c:pt>
                <c:pt idx="481">
                  <c:v>-31095.062860719976</c:v>
                </c:pt>
                <c:pt idx="482">
                  <c:v>-32134.731615353667</c:v>
                </c:pt>
                <c:pt idx="483">
                  <c:v>-32838.330229995663</c:v>
                </c:pt>
                <c:pt idx="484">
                  <c:v>-33186.352008184433</c:v>
                </c:pt>
                <c:pt idx="485">
                  <c:v>-33154.588714958183</c:v>
                </c:pt>
                <c:pt idx="486">
                  <c:v>-32712.704467555905</c:v>
                </c:pt>
                <c:pt idx="487">
                  <c:v>-31822.494520538952</c:v>
                </c:pt>
                <c:pt idx="488">
                  <c:v>-30435.942263067664</c:v>
                </c:pt>
                <c:pt idx="489">
                  <c:v>-28493.794094731289</c:v>
                </c:pt>
                <c:pt idx="490">
                  <c:v>-25927.404069954344</c:v>
                </c:pt>
                <c:pt idx="491">
                  <c:v>-22672.92980521865</c:v>
                </c:pt>
                <c:pt idx="492">
                  <c:v>-18723.086898339199</c:v>
                </c:pt>
                <c:pt idx="493">
                  <c:v>-14254.024072680606</c:v>
                </c:pt>
                <c:pt idx="494">
                  <c:v>-9729.3727907121647</c:v>
                </c:pt>
                <c:pt idx="495">
                  <c:v>-5607.8715703388352</c:v>
                </c:pt>
                <c:pt idx="496">
                  <c:v>-1975.1829480608462</c:v>
                </c:pt>
                <c:pt idx="497">
                  <c:v>1308.7737611520779</c:v>
                </c:pt>
                <c:pt idx="498">
                  <c:v>4397.498502088838</c:v>
                </c:pt>
                <c:pt idx="499">
                  <c:v>7389.7374508712428</c:v>
                </c:pt>
                <c:pt idx="500">
                  <c:v>10194.595234951244</c:v>
                </c:pt>
                <c:pt idx="501">
                  <c:v>11667.613934186664</c:v>
                </c:pt>
                <c:pt idx="502">
                  <c:v>11456.355352846213</c:v>
                </c:pt>
                <c:pt idx="503">
                  <c:v>10640.598800921411</c:v>
                </c:pt>
                <c:pt idx="504">
                  <c:v>9572.249291758455</c:v>
                </c:pt>
                <c:pt idx="505">
                  <c:v>8378.996435579531</c:v>
                </c:pt>
                <c:pt idx="506">
                  <c:v>7119.4178730667627</c:v>
                </c:pt>
                <c:pt idx="507">
                  <c:v>5825.603325193576</c:v>
                </c:pt>
                <c:pt idx="508">
                  <c:v>4517.6711510579798</c:v>
                </c:pt>
                <c:pt idx="509">
                  <c:v>3209.6912033852104</c:v>
                </c:pt>
                <c:pt idx="510">
                  <c:v>1912.4684141720306</c:v>
                </c:pt>
                <c:pt idx="511">
                  <c:v>635.01496464374566</c:v>
                </c:pt>
                <c:pt idx="512">
                  <c:v>-614.58032127585955</c:v>
                </c:pt>
                <c:pt idx="513">
                  <c:v>-1828.5752969677994</c:v>
                </c:pt>
                <c:pt idx="514">
                  <c:v>-2999.1386809848327</c:v>
                </c:pt>
                <c:pt idx="515">
                  <c:v>-4117.9707304399608</c:v>
                </c:pt>
                <c:pt idx="516">
                  <c:v>-5175.9251102108992</c:v>
                </c:pt>
                <c:pt idx="517">
                  <c:v>-6162.5874503737869</c:v>
                </c:pt>
                <c:pt idx="518">
                  <c:v>-7065.7668838611789</c:v>
                </c:pt>
                <c:pt idx="519">
                  <c:v>-7870.8520800838314</c:v>
                </c:pt>
                <c:pt idx="520">
                  <c:v>-8559.9784029917864</c:v>
                </c:pt>
                <c:pt idx="521">
                  <c:v>-9110.9625564775688</c:v>
                </c:pt>
                <c:pt idx="522">
                  <c:v>-9496.0317662903617</c:v>
                </c:pt>
                <c:pt idx="523">
                  <c:v>-9680.6507623583602</c:v>
                </c:pt>
                <c:pt idx="524">
                  <c:v>-9623.6691737970887</c:v>
                </c:pt>
                <c:pt idx="525">
                  <c:v>-9282.8079018694589</c:v>
                </c:pt>
                <c:pt idx="526">
                  <c:v>-8636.992174486566</c:v>
                </c:pt>
                <c:pt idx="527">
                  <c:v>-7751.5892825096789</c:v>
                </c:pt>
                <c:pt idx="528">
                  <c:v>-6913.3213490118897</c:v>
                </c:pt>
                <c:pt idx="529">
                  <c:v>-6700.4680905430168</c:v>
                </c:pt>
                <c:pt idx="530">
                  <c:v>-7413.0507925619559</c:v>
                </c:pt>
                <c:pt idx="531">
                  <c:v>-8673.7503202730768</c:v>
                </c:pt>
                <c:pt idx="532">
                  <c:v>-10113.291331514753</c:v>
                </c:pt>
                <c:pt idx="533">
                  <c:v>-11558.909957007163</c:v>
                </c:pt>
                <c:pt idx="534">
                  <c:v>-12943.11928727379</c:v>
                </c:pt>
                <c:pt idx="535">
                  <c:v>-14241.331913773109</c:v>
                </c:pt>
                <c:pt idx="536">
                  <c:v>-15445.620945051687</c:v>
                </c:pt>
                <c:pt idx="537">
                  <c:v>-16554.450334234698</c:v>
                </c:pt>
                <c:pt idx="538">
                  <c:v>-17568.59122191602</c:v>
                </c:pt>
                <c:pt idx="539">
                  <c:v>-18489.440564609173</c:v>
                </c:pt>
                <c:pt idx="540">
                  <c:v>-19318.305405379437</c:v>
                </c:pt>
                <c:pt idx="541">
                  <c:v>-20056.088047210007</c:v>
                </c:pt>
                <c:pt idx="542">
                  <c:v>-20703.138915624739</c:v>
                </c:pt>
                <c:pt idx="543">
                  <c:v>-21259.175358780129</c:v>
                </c:pt>
                <c:pt idx="544">
                  <c:v>-21723.218772570213</c:v>
                </c:pt>
                <c:pt idx="545">
                  <c:v>-22093.524957814989</c:v>
                </c:pt>
                <c:pt idx="546">
                  <c:v>-22367.491163803727</c:v>
                </c:pt>
                <c:pt idx="547">
                  <c:v>-22541.524686760375</c:v>
                </c:pt>
                <c:pt idx="548">
                  <c:v>-22610.854381851699</c:v>
                </c:pt>
                <c:pt idx="549">
                  <c:v>-22569.25761884691</c:v>
                </c:pt>
                <c:pt idx="550">
                  <c:v>-22408.658098516968</c:v>
                </c:pt>
                <c:pt idx="551">
                  <c:v>-22118.517137764691</c:v>
                </c:pt>
                <c:pt idx="552">
                  <c:v>-21684.874946415206</c:v>
                </c:pt>
                <c:pt idx="553">
                  <c:v>-21088.754777968665</c:v>
                </c:pt>
                <c:pt idx="554">
                  <c:v>-20303.299059301986</c:v>
                </c:pt>
                <c:pt idx="555">
                  <c:v>-19288.083259291459</c:v>
                </c:pt>
                <c:pt idx="556">
                  <c:v>-17976.250463637421</c:v>
                </c:pt>
                <c:pt idx="557">
                  <c:v>-16241.656950481909</c:v>
                </c:pt>
                <c:pt idx="558">
                  <c:v>-13881.488891126512</c:v>
                </c:pt>
                <c:pt idx="559">
                  <c:v>-12250.223306422618</c:v>
                </c:pt>
                <c:pt idx="560">
                  <c:v>-10863.193769599286</c:v>
                </c:pt>
                <c:pt idx="561">
                  <c:v>-9407.3862860707904</c:v>
                </c:pt>
                <c:pt idx="562">
                  <c:v>-7717.2296830330652</c:v>
                </c:pt>
                <c:pt idx="563">
                  <c:v>-5676.4710967346527</c:v>
                </c:pt>
                <c:pt idx="564">
                  <c:v>-3191.3701243996111</c:v>
                </c:pt>
                <c:pt idx="565">
                  <c:v>-187.91327313243869</c:v>
                </c:pt>
                <c:pt idx="566">
                  <c:v>3363.2085621014307</c:v>
                </c:pt>
                <c:pt idx="567">
                  <c:v>7350.2565347781319</c:v>
                </c:pt>
                <c:pt idx="568">
                  <c:v>11278.449137846743</c:v>
                </c:pt>
                <c:pt idx="569">
                  <c:v>14189.785247409414</c:v>
                </c:pt>
                <c:pt idx="570">
                  <c:v>15587.587930567019</c:v>
                </c:pt>
                <c:pt idx="571">
                  <c:v>15726.346048300302</c:v>
                </c:pt>
                <c:pt idx="572">
                  <c:v>14976.765185252894</c:v>
                </c:pt>
                <c:pt idx="573">
                  <c:v>13605.544820107114</c:v>
                </c:pt>
                <c:pt idx="574">
                  <c:v>11784.79684630629</c:v>
                </c:pt>
                <c:pt idx="575">
                  <c:v>9628.2237269633679</c:v>
                </c:pt>
                <c:pt idx="576">
                  <c:v>7221.4001552028858</c:v>
                </c:pt>
                <c:pt idx="577">
                  <c:v>4644.4803463183198</c:v>
                </c:pt>
                <c:pt idx="578">
                  <c:v>1971.9119217601421</c:v>
                </c:pt>
                <c:pt idx="579">
                  <c:v>-762.47275400428691</c:v>
                </c:pt>
                <c:pt idx="580">
                  <c:v>-3584.344718920684</c:v>
                </c:pt>
                <c:pt idx="581">
                  <c:v>-6545.2317960928249</c:v>
                </c:pt>
                <c:pt idx="582">
                  <c:v>-9677.2423564714318</c:v>
                </c:pt>
                <c:pt idx="583">
                  <c:v>-12956.966433935215</c:v>
                </c:pt>
                <c:pt idx="584">
                  <c:v>-16258.213795261872</c:v>
                </c:pt>
                <c:pt idx="585">
                  <c:v>-19266.188593090126</c:v>
                </c:pt>
                <c:pt idx="586">
                  <c:v>-21394.483998590687</c:v>
                </c:pt>
                <c:pt idx="587">
                  <c:v>-22032.472027225085</c:v>
                </c:pt>
                <c:pt idx="588">
                  <c:v>-21180.454256304405</c:v>
                </c:pt>
                <c:pt idx="589">
                  <c:v>-19309.264584257133</c:v>
                </c:pt>
                <c:pt idx="590">
                  <c:v>-16841.343343443656</c:v>
                </c:pt>
                <c:pt idx="591">
                  <c:v>-14026.603486856598</c:v>
                </c:pt>
                <c:pt idx="592">
                  <c:v>-10980.374969569833</c:v>
                </c:pt>
                <c:pt idx="593">
                  <c:v>-7716.6710790168299</c:v>
                </c:pt>
                <c:pt idx="594">
                  <c:v>-4147.4303662230213</c:v>
                </c:pt>
                <c:pt idx="595">
                  <c:v>-28.158528339406303</c:v>
                </c:pt>
                <c:pt idx="596">
                  <c:v>5224.6602301403464</c:v>
                </c:pt>
                <c:pt idx="597">
                  <c:v>12019.562446226622</c:v>
                </c:pt>
                <c:pt idx="598">
                  <c:v>16795.156122153112</c:v>
                </c:pt>
                <c:pt idx="599">
                  <c:v>20432.490349830183</c:v>
                </c:pt>
                <c:pt idx="600">
                  <c:v>23341.852219843266</c:v>
                </c:pt>
                <c:pt idx="601">
                  <c:v>25714.348029331719</c:v>
                </c:pt>
                <c:pt idx="602">
                  <c:v>27654.53497100282</c:v>
                </c:pt>
                <c:pt idx="603">
                  <c:v>29226.014179783739</c:v>
                </c:pt>
                <c:pt idx="604">
                  <c:v>30470.002517762834</c:v>
                </c:pt>
                <c:pt idx="605">
                  <c:v>31414.042123981941</c:v>
                </c:pt>
                <c:pt idx="606">
                  <c:v>32076.50700503587</c:v>
                </c:pt>
                <c:pt idx="607">
                  <c:v>32469.075338589024</c:v>
                </c:pt>
                <c:pt idx="608">
                  <c:v>32598.097511919772</c:v>
                </c:pt>
                <c:pt idx="609">
                  <c:v>32465.285528773384</c:v>
                </c:pt>
                <c:pt idx="610">
                  <c:v>32067.91317405858</c:v>
                </c:pt>
                <c:pt idx="611">
                  <c:v>31398.581403513293</c:v>
                </c:pt>
                <c:pt idx="612">
                  <c:v>30444.495973083693</c:v>
                </c:pt>
                <c:pt idx="613">
                  <c:v>29186.073404500228</c:v>
                </c:pt>
                <c:pt idx="614">
                  <c:v>27594.468559608456</c:v>
                </c:pt>
                <c:pt idx="615">
                  <c:v>25627.156062543825</c:v>
                </c:pt>
                <c:pt idx="616">
                  <c:v>23219.612792898821</c:v>
                </c:pt>
                <c:pt idx="617">
                  <c:v>20268.291634176752</c:v>
                </c:pt>
                <c:pt idx="618">
                  <c:v>16591.828040413031</c:v>
                </c:pt>
                <c:pt idx="619">
                  <c:v>11836.902762259639</c:v>
                </c:pt>
                <c:pt idx="620">
                  <c:v>5471.7017002770517</c:v>
                </c:pt>
                <c:pt idx="621">
                  <c:v>226.44942842876753</c:v>
                </c:pt>
                <c:pt idx="622">
                  <c:v>-3819.8760735746491</c:v>
                </c:pt>
                <c:pt idx="623">
                  <c:v>-7254.6791211158079</c:v>
                </c:pt>
                <c:pt idx="624">
                  <c:v>-10313.390719254294</c:v>
                </c:pt>
                <c:pt idx="625">
                  <c:v>-13088.118658144444</c:v>
                </c:pt>
                <c:pt idx="626">
                  <c:v>-15613.810820094495</c:v>
                </c:pt>
                <c:pt idx="627">
                  <c:v>-17900.742619857425</c:v>
                </c:pt>
                <c:pt idx="628">
                  <c:v>-19947.169411162758</c:v>
                </c:pt>
                <c:pt idx="629">
                  <c:v>-21744.10639227743</c:v>
                </c:pt>
                <c:pt idx="630">
                  <c:v>-23276.663624286815</c:v>
                </c:pt>
                <c:pt idx="631">
                  <c:v>-24523.543290226251</c:v>
                </c:pt>
                <c:pt idx="632">
                  <c:v>-25455.078561118011</c:v>
                </c:pt>
                <c:pt idx="633">
                  <c:v>-26029.422249360272</c:v>
                </c:pt>
                <c:pt idx="634">
                  <c:v>-26185.568217798318</c:v>
                </c:pt>
                <c:pt idx="635">
                  <c:v>-25830.084121536267</c:v>
                </c:pt>
                <c:pt idx="636">
                  <c:v>-24810.287660319933</c:v>
                </c:pt>
                <c:pt idx="637">
                  <c:v>-22858.453011538513</c:v>
                </c:pt>
                <c:pt idx="638">
                  <c:v>-19509.276033890794</c:v>
                </c:pt>
                <c:pt idx="639">
                  <c:v>-14504.378640379829</c:v>
                </c:pt>
                <c:pt idx="640">
                  <c:v>-9507.5555427267045</c:v>
                </c:pt>
                <c:pt idx="641">
                  <c:v>-5181.7948452845467</c:v>
                </c:pt>
                <c:pt idx="642">
                  <c:v>-1335.0701872817117</c:v>
                </c:pt>
                <c:pt idx="643">
                  <c:v>2237.4278376757929</c:v>
                </c:pt>
                <c:pt idx="644">
                  <c:v>5640.6970160007031</c:v>
                </c:pt>
                <c:pt idx="645">
                  <c:v>8874.5063103508</c:v>
                </c:pt>
                <c:pt idx="646">
                  <c:v>11861.209872402673</c:v>
                </c:pt>
                <c:pt idx="647">
                  <c:v>14476.111866214676</c:v>
                </c:pt>
                <c:pt idx="648">
                  <c:v>16564.318230821045</c:v>
                </c:pt>
                <c:pt idx="649">
                  <c:v>17962.359363760548</c:v>
                </c:pt>
                <c:pt idx="650">
                  <c:v>18532.118463798986</c:v>
                </c:pt>
                <c:pt idx="651">
                  <c:v>18196.836484985779</c:v>
                </c:pt>
                <c:pt idx="652">
                  <c:v>16965.009616974177</c:v>
                </c:pt>
                <c:pt idx="653">
                  <c:v>14933.752142190202</c:v>
                </c:pt>
                <c:pt idx="654">
                  <c:v>12272.771397580289</c:v>
                </c:pt>
                <c:pt idx="655">
                  <c:v>9197.0122305765944</c:v>
                </c:pt>
                <c:pt idx="656">
                  <c:v>5936.9373262473246</c:v>
                </c:pt>
                <c:pt idx="657">
                  <c:v>2712.1246877244075</c:v>
                </c:pt>
                <c:pt idx="658">
                  <c:v>-289.91423051818492</c:v>
                </c:pt>
                <c:pt idx="659">
                  <c:v>-2929.9058438129687</c:v>
                </c:pt>
                <c:pt idx="660">
                  <c:v>-5128.5723720089127</c:v>
                </c:pt>
                <c:pt idx="661">
                  <c:v>-6874.3962791869553</c:v>
                </c:pt>
                <c:pt idx="662">
                  <c:v>-8229.0952060090767</c:v>
                </c:pt>
                <c:pt idx="663">
                  <c:v>-9339.6374839475957</c:v>
                </c:pt>
                <c:pt idx="664">
                  <c:v>-10495.433296568388</c:v>
                </c:pt>
                <c:pt idx="665">
                  <c:v>-12403.737814761989</c:v>
                </c:pt>
                <c:pt idx="666">
                  <c:v>-15964.359079427388</c:v>
                </c:pt>
                <c:pt idx="667">
                  <c:v>-19088.727859921171</c:v>
                </c:pt>
                <c:pt idx="668">
                  <c:v>-21685.940935940936</c:v>
                </c:pt>
                <c:pt idx="669">
                  <c:v>-23854.647715857602</c:v>
                </c:pt>
                <c:pt idx="670">
                  <c:v>-25666.745654350085</c:v>
                </c:pt>
                <c:pt idx="671">
                  <c:v>-27169.316439788145</c:v>
                </c:pt>
                <c:pt idx="672">
                  <c:v>-28393.352071299509</c:v>
                </c:pt>
                <c:pt idx="673">
                  <c:v>-29359.169409385038</c:v>
                </c:pt>
                <c:pt idx="674">
                  <c:v>-30079.476383493362</c:v>
                </c:pt>
                <c:pt idx="675">
                  <c:v>-30561.058986044674</c:v>
                </c:pt>
                <c:pt idx="676">
                  <c:v>-30805.607808963228</c:v>
                </c:pt>
                <c:pt idx="677">
                  <c:v>-30809.917872823611</c:v>
                </c:pt>
                <c:pt idx="678">
                  <c:v>-30565.510609943914</c:v>
                </c:pt>
                <c:pt idx="679">
                  <c:v>-30057.558108090034</c:v>
                </c:pt>
                <c:pt idx="680">
                  <c:v>-29262.74616902924</c:v>
                </c:pt>
                <c:pt idx="681">
                  <c:v>-28145.222932838547</c:v>
                </c:pt>
                <c:pt idx="682">
                  <c:v>-26648.577862309259</c:v>
                </c:pt>
                <c:pt idx="683">
                  <c:v>-24678.328423535539</c:v>
                </c:pt>
                <c:pt idx="684">
                  <c:v>-22057.467223805463</c:v>
                </c:pt>
                <c:pt idx="685">
                  <c:v>-18389.726061964007</c:v>
                </c:pt>
                <c:pt idx="686">
                  <c:v>-12799.646815297634</c:v>
                </c:pt>
                <c:pt idx="687">
                  <c:v>-8344.8174530082888</c:v>
                </c:pt>
                <c:pt idx="688">
                  <c:v>-4486.221976003545</c:v>
                </c:pt>
                <c:pt idx="689">
                  <c:v>-658.84381945604287</c:v>
                </c:pt>
                <c:pt idx="690">
                  <c:v>3657.4481649177601</c:v>
                </c:pt>
                <c:pt idx="691">
                  <c:v>9205.1228166734581</c:v>
                </c:pt>
                <c:pt idx="692">
                  <c:v>13112.231235570052</c:v>
                </c:pt>
                <c:pt idx="693">
                  <c:v>15578.782552076047</c:v>
                </c:pt>
                <c:pt idx="694">
                  <c:v>17153.714229852976</c:v>
                </c:pt>
                <c:pt idx="695">
                  <c:v>18067.735785462955</c:v>
                </c:pt>
                <c:pt idx="696">
                  <c:v>18427.410335856373</c:v>
                </c:pt>
                <c:pt idx="697">
                  <c:v>18279.260575761178</c:v>
                </c:pt>
                <c:pt idx="698">
                  <c:v>17630.59435378373</c:v>
                </c:pt>
                <c:pt idx="699">
                  <c:v>16451.979437773156</c:v>
                </c:pt>
                <c:pt idx="700">
                  <c:v>14663.857764478003</c:v>
                </c:pt>
                <c:pt idx="701">
                  <c:v>12092.95672242715</c:v>
                </c:pt>
                <c:pt idx="702">
                  <c:v>8362.0239859283211</c:v>
                </c:pt>
                <c:pt idx="703">
                  <c:v>3748.5109717323749</c:v>
                </c:pt>
                <c:pt idx="704">
                  <c:v>372.83764086795304</c:v>
                </c:pt>
                <c:pt idx="705">
                  <c:v>-2620.7660111160853</c:v>
                </c:pt>
                <c:pt idx="706">
                  <c:v>-5747.5520480650239</c:v>
                </c:pt>
                <c:pt idx="707">
                  <c:v>-9573.5178950188019</c:v>
                </c:pt>
                <c:pt idx="708">
                  <c:v>-14865.013159748964</c:v>
                </c:pt>
                <c:pt idx="709">
                  <c:v>-20059.249145968613</c:v>
                </c:pt>
                <c:pt idx="710">
                  <c:v>-24017.808585632592</c:v>
                </c:pt>
                <c:pt idx="711">
                  <c:v>-26996.229693043377</c:v>
                </c:pt>
                <c:pt idx="712">
                  <c:v>-29216.489032356629</c:v>
                </c:pt>
                <c:pt idx="713">
                  <c:v>-30812.632837714093</c:v>
                </c:pt>
                <c:pt idx="714">
                  <c:v>-31865.55639770074</c:v>
                </c:pt>
                <c:pt idx="715">
                  <c:v>-32424.070474690267</c:v>
                </c:pt>
                <c:pt idx="716">
                  <c:v>-32515.720515137698</c:v>
                </c:pt>
                <c:pt idx="717">
                  <c:v>-32152.1580604952</c:v>
                </c:pt>
                <c:pt idx="718">
                  <c:v>-31331.408576059897</c:v>
                </c:pt>
                <c:pt idx="719">
                  <c:v>-30038.020309942778</c:v>
                </c:pt>
                <c:pt idx="720">
                  <c:v>-28241.395544344585</c:v>
                </c:pt>
                <c:pt idx="721">
                  <c:v>-25892.421229619104</c:v>
                </c:pt>
                <c:pt idx="722">
                  <c:v>-22919.817320952392</c:v>
                </c:pt>
                <c:pt idx="723">
                  <c:v>-19237.255394175543</c:v>
                </c:pt>
                <c:pt idx="724">
                  <c:v>-14831.609311778606</c:v>
                </c:pt>
                <c:pt idx="725">
                  <c:v>-10235.007991838595</c:v>
                </c:pt>
                <c:pt idx="726">
                  <c:v>-6655.4068373906803</c:v>
                </c:pt>
                <c:pt idx="727">
                  <c:v>-4002.700102529886</c:v>
                </c:pt>
                <c:pt idx="728">
                  <c:v>-1843.8090622324571</c:v>
                </c:pt>
                <c:pt idx="729">
                  <c:v>99.712582749501166</c:v>
                </c:pt>
                <c:pt idx="730">
                  <c:v>2044.3293977029307</c:v>
                </c:pt>
                <c:pt idx="731">
                  <c:v>4247.6243041920134</c:v>
                </c:pt>
                <c:pt idx="732">
                  <c:v>7129.1666476343062</c:v>
                </c:pt>
                <c:pt idx="733">
                  <c:v>11048.85113467999</c:v>
                </c:pt>
                <c:pt idx="734">
                  <c:v>14403.572661953467</c:v>
                </c:pt>
                <c:pt idx="735">
                  <c:v>16865.70162843521</c:v>
                </c:pt>
                <c:pt idx="736">
                  <c:v>18609.467010520366</c:v>
                </c:pt>
                <c:pt idx="737">
                  <c:v>19759.054489264148</c:v>
                </c:pt>
                <c:pt idx="738">
                  <c:v>20387.043702266528</c:v>
                </c:pt>
                <c:pt idx="739">
                  <c:v>20535.571901397063</c:v>
                </c:pt>
                <c:pt idx="740">
                  <c:v>20229.392460244271</c:v>
                </c:pt>
                <c:pt idx="741">
                  <c:v>19484.236546014075</c:v>
                </c:pt>
                <c:pt idx="742">
                  <c:v>18313.482712741621</c:v>
                </c:pt>
                <c:pt idx="743">
                  <c:v>16734.319007958085</c:v>
                </c:pt>
                <c:pt idx="744">
                  <c:v>14772.359267462492</c:v>
                </c:pt>
                <c:pt idx="745">
                  <c:v>12461.51020709859</c:v>
                </c:pt>
                <c:pt idx="746">
                  <c:v>9838.3611731743113</c:v>
                </c:pt>
                <c:pt idx="747">
                  <c:v>6942.653072033002</c:v>
                </c:pt>
                <c:pt idx="748">
                  <c:v>3850.5240068734774</c:v>
                </c:pt>
                <c:pt idx="749">
                  <c:v>762.7706437119914</c:v>
                </c:pt>
                <c:pt idx="750">
                  <c:v>-1953.1348980458147</c:v>
                </c:pt>
                <c:pt idx="751">
                  <c:v>-4044.6112207684382</c:v>
                </c:pt>
                <c:pt idx="752">
                  <c:v>-5552.9742138176734</c:v>
                </c:pt>
                <c:pt idx="753">
                  <c:v>-6608.6369484861389</c:v>
                </c:pt>
                <c:pt idx="754">
                  <c:v>-7317.7240907267214</c:v>
                </c:pt>
                <c:pt idx="755">
                  <c:v>-7752.470212552872</c:v>
                </c:pt>
                <c:pt idx="756">
                  <c:v>-7961.1057240711853</c:v>
                </c:pt>
                <c:pt idx="757">
                  <c:v>-7976.2883901847208</c:v>
                </c:pt>
                <c:pt idx="758">
                  <c:v>-7820.4114650317715</c:v>
                </c:pt>
                <c:pt idx="759">
                  <c:v>-7508.7591115975147</c:v>
                </c:pt>
                <c:pt idx="760">
                  <c:v>-7051.3359717718531</c:v>
                </c:pt>
                <c:pt idx="761">
                  <c:v>-6453.8468611083345</c:v>
                </c:pt>
                <c:pt idx="762">
                  <c:v>-5718.0487888757698</c:v>
                </c:pt>
                <c:pt idx="763">
                  <c:v>-4841.5042951269261</c:v>
                </c:pt>
                <c:pt idx="764">
                  <c:v>-3816.5470837751141</c:v>
                </c:pt>
                <c:pt idx="765">
                  <c:v>-2627.8771523411729</c:v>
                </c:pt>
                <c:pt idx="766">
                  <c:v>-1247.2341183652686</c:v>
                </c:pt>
                <c:pt idx="767">
                  <c:v>379.31521122042614</c:v>
                </c:pt>
                <c:pt idx="768">
                  <c:v>2366.5435048943968</c:v>
                </c:pt>
                <c:pt idx="769">
                  <c:v>5008.7158468334883</c:v>
                </c:pt>
                <c:pt idx="770">
                  <c:v>9016.4950645993922</c:v>
                </c:pt>
                <c:pt idx="771">
                  <c:v>12060.291587983225</c:v>
                </c:pt>
                <c:pt idx="772">
                  <c:v>14357.924604197455</c:v>
                </c:pt>
                <c:pt idx="773">
                  <c:v>16132.982631247834</c:v>
                </c:pt>
                <c:pt idx="774">
                  <c:v>17487.866577671917</c:v>
                </c:pt>
                <c:pt idx="775">
                  <c:v>18467.31243652408</c:v>
                </c:pt>
                <c:pt idx="776">
                  <c:v>19083.175362906077</c:v>
                </c:pt>
                <c:pt idx="777">
                  <c:v>19323.618958125702</c:v>
                </c:pt>
                <c:pt idx="778">
                  <c:v>19154.483414327955</c:v>
                </c:pt>
                <c:pt idx="779">
                  <c:v>18514.019571970639</c:v>
                </c:pt>
                <c:pt idx="780">
                  <c:v>17298.746535120688</c:v>
                </c:pt>
                <c:pt idx="781">
                  <c:v>15337.654391928379</c:v>
                </c:pt>
                <c:pt idx="782">
                  <c:v>12391.129945112865</c:v>
                </c:pt>
                <c:pt idx="783">
                  <c:v>8575.0609854504619</c:v>
                </c:pt>
                <c:pt idx="784">
                  <c:v>5097.1818561756945</c:v>
                </c:pt>
                <c:pt idx="785">
                  <c:v>2249.1078838013232</c:v>
                </c:pt>
                <c:pt idx="786">
                  <c:v>-190.98609115427826</c:v>
                </c:pt>
                <c:pt idx="787">
                  <c:v>-2431.6470098519303</c:v>
                </c:pt>
                <c:pt idx="788">
                  <c:v>-4643.8180754353352</c:v>
                </c:pt>
                <c:pt idx="789">
                  <c:v>-7007.3207160742413</c:v>
                </c:pt>
                <c:pt idx="790">
                  <c:v>-9809.7900992306604</c:v>
                </c:pt>
                <c:pt idx="791">
                  <c:v>-13752.433177226914</c:v>
                </c:pt>
                <c:pt idx="792">
                  <c:v>-18594.399706439941</c:v>
                </c:pt>
                <c:pt idx="793">
                  <c:v>-22267.279988164104</c:v>
                </c:pt>
                <c:pt idx="794">
                  <c:v>-25134.027658674269</c:v>
                </c:pt>
                <c:pt idx="795">
                  <c:v>-27416.801763374486</c:v>
                </c:pt>
                <c:pt idx="796">
                  <c:v>-29236.424582626692</c:v>
                </c:pt>
                <c:pt idx="797">
                  <c:v>-30664.692326756332</c:v>
                </c:pt>
                <c:pt idx="798">
                  <c:v>-31747.00355950329</c:v>
                </c:pt>
                <c:pt idx="799">
                  <c:v>-32512.831484864189</c:v>
                </c:pt>
                <c:pt idx="800">
                  <c:v>-32981.00484475305</c:v>
                </c:pt>
                <c:pt idx="801">
                  <c:v>-33162.497297864844</c:v>
                </c:pt>
                <c:pt idx="802">
                  <c:v>-33061.855883351942</c:v>
                </c:pt>
                <c:pt idx="803">
                  <c:v>-32677.755371284573</c:v>
                </c:pt>
                <c:pt idx="804">
                  <c:v>-32002.850077885279</c:v>
                </c:pt>
                <c:pt idx="805">
                  <c:v>-31022.881990875547</c:v>
                </c:pt>
                <c:pt idx="806">
                  <c:v>-29714.769809959907</c:v>
                </c:pt>
                <c:pt idx="807">
                  <c:v>-28043.006099359587</c:v>
                </c:pt>
                <c:pt idx="808">
                  <c:v>-25952.832828138875</c:v>
                </c:pt>
                <c:pt idx="809">
                  <c:v>-23356.591101541533</c:v>
                </c:pt>
                <c:pt idx="810">
                  <c:v>-20104.883663207918</c:v>
                </c:pt>
                <c:pt idx="811">
                  <c:v>-15940.845688327156</c:v>
                </c:pt>
                <c:pt idx="812">
                  <c:v>-11069.647525130029</c:v>
                </c:pt>
                <c:pt idx="813">
                  <c:v>-7890.0674199919595</c:v>
                </c:pt>
                <c:pt idx="814">
                  <c:v>-5387.8732720729413</c:v>
                </c:pt>
                <c:pt idx="815">
                  <c:v>-3135.878846591675</c:v>
                </c:pt>
                <c:pt idx="816">
                  <c:v>-916.20333062168413</c:v>
                </c:pt>
                <c:pt idx="817">
                  <c:v>1447.3479448440182</c:v>
                </c:pt>
                <c:pt idx="818">
                  <c:v>4146.6449345862566</c:v>
                </c:pt>
                <c:pt idx="819">
                  <c:v>7373.0510911702286</c:v>
                </c:pt>
                <c:pt idx="820">
                  <c:v>11032.249805536178</c:v>
                </c:pt>
                <c:pt idx="821">
                  <c:v>14326.681717499074</c:v>
                </c:pt>
                <c:pt idx="822">
                  <c:v>16782.14527206642</c:v>
                </c:pt>
                <c:pt idx="823">
                  <c:v>18467.773058916337</c:v>
                </c:pt>
                <c:pt idx="824">
                  <c:v>19529.488735788738</c:v>
                </c:pt>
                <c:pt idx="825">
                  <c:v>20077.894789300717</c:v>
                </c:pt>
                <c:pt idx="826">
                  <c:v>20186.987564595969</c:v>
                </c:pt>
                <c:pt idx="827">
                  <c:v>19903.747068194538</c:v>
                </c:pt>
                <c:pt idx="828">
                  <c:v>19254.049577764381</c:v>
                </c:pt>
                <c:pt idx="829">
                  <c:v>18243.929345033939</c:v>
                </c:pt>
                <c:pt idx="830">
                  <c:v>16855.719501730196</c:v>
                </c:pt>
                <c:pt idx="831">
                  <c:v>15035.875827455153</c:v>
                </c:pt>
                <c:pt idx="832">
                  <c:v>12662.522041847136</c:v>
                </c:pt>
                <c:pt idx="833">
                  <c:v>9450.2412598141982</c:v>
                </c:pt>
                <c:pt idx="834">
                  <c:v>4953.8784894919991</c:v>
                </c:pt>
                <c:pt idx="835">
                  <c:v>1713.1027559702641</c:v>
                </c:pt>
                <c:pt idx="836">
                  <c:v>-893.56736418989158</c:v>
                </c:pt>
                <c:pt idx="837">
                  <c:v>-3141.9010276511663</c:v>
                </c:pt>
                <c:pt idx="838">
                  <c:v>-5143.3756269160031</c:v>
                </c:pt>
                <c:pt idx="839">
                  <c:v>-6951.6495097101979</c:v>
                </c:pt>
                <c:pt idx="840">
                  <c:v>-8595.7436125697277</c:v>
                </c:pt>
                <c:pt idx="841">
                  <c:v>-10092.433823797463</c:v>
                </c:pt>
                <c:pt idx="842">
                  <c:v>-11451.613741489538</c:v>
                </c:pt>
                <c:pt idx="843">
                  <c:v>-12678.870566968506</c:v>
                </c:pt>
                <c:pt idx="844">
                  <c:v>-13776.80912725083</c:v>
                </c:pt>
                <c:pt idx="845">
                  <c:v>-14745.751260674331</c:v>
                </c:pt>
                <c:pt idx="846">
                  <c:v>-15584.090688703713</c:v>
                </c:pt>
                <c:pt idx="847">
                  <c:v>-16288.435797049307</c:v>
                </c:pt>
                <c:pt idx="848">
                  <c:v>-16853.60385122805</c:v>
                </c:pt>
                <c:pt idx="849">
                  <c:v>-17272.495478649598</c:v>
                </c:pt>
                <c:pt idx="850">
                  <c:v>-17535.86071354122</c:v>
                </c:pt>
                <c:pt idx="851">
                  <c:v>-17631.963226646636</c:v>
                </c:pt>
                <c:pt idx="852">
                  <c:v>-17546.164440924284</c:v>
                </c:pt>
                <c:pt idx="853">
                  <c:v>-17260.513043438517</c:v>
                </c:pt>
                <c:pt idx="854">
                  <c:v>-16753.631168504504</c:v>
                </c:pt>
                <c:pt idx="855">
                  <c:v>-16001.852387590936</c:v>
                </c:pt>
                <c:pt idx="856">
                  <c:v>-14984.934716637799</c:v>
                </c:pt>
                <c:pt idx="857">
                  <c:v>-13710.030748207737</c:v>
                </c:pt>
                <c:pt idx="858">
                  <c:v>-12330.161283128684</c:v>
                </c:pt>
                <c:pt idx="859">
                  <c:v>-11844.0205410453</c:v>
                </c:pt>
                <c:pt idx="860">
                  <c:v>-12612.679108304354</c:v>
                </c:pt>
                <c:pt idx="861">
                  <c:v>-13554.101424610511</c:v>
                </c:pt>
                <c:pt idx="862">
                  <c:v>-14437.368911742158</c:v>
                </c:pt>
                <c:pt idx="863">
                  <c:v>-15211.878340672634</c:v>
                </c:pt>
                <c:pt idx="864">
                  <c:v>-15868.561156745394</c:v>
                </c:pt>
                <c:pt idx="865">
                  <c:v>-16409.619029141177</c:v>
                </c:pt>
                <c:pt idx="866">
                  <c:v>-16840.115530262014</c:v>
                </c:pt>
                <c:pt idx="867">
                  <c:v>-17165.313456992233</c:v>
                </c:pt>
                <c:pt idx="868">
                  <c:v>-17389.807753272209</c:v>
                </c:pt>
                <c:pt idx="869">
                  <c:v>-17517.2726967536</c:v>
                </c:pt>
                <c:pt idx="870">
                  <c:v>-17550.42275564187</c:v>
                </c:pt>
                <c:pt idx="871">
                  <c:v>-17491.04108992968</c:v>
                </c:pt>
                <c:pt idx="872">
                  <c:v>-17340.021651540585</c:v>
                </c:pt>
                <c:pt idx="873">
                  <c:v>-17097.4076793739</c:v>
                </c:pt>
                <c:pt idx="874">
                  <c:v>-16762.427997918654</c:v>
                </c:pt>
                <c:pt idx="875">
                  <c:v>-16333.549260188907</c:v>
                </c:pt>
                <c:pt idx="876">
                  <c:v>-15808.590636652631</c:v>
                </c:pt>
                <c:pt idx="877">
                  <c:v>-15185.011106915777</c:v>
                </c:pt>
                <c:pt idx="878">
                  <c:v>-14460.63731860894</c:v>
                </c:pt>
                <c:pt idx="879">
                  <c:v>-13635.519227555302</c:v>
                </c:pt>
                <c:pt idx="880">
                  <c:v>-12716.807514073038</c:v>
                </c:pt>
                <c:pt idx="881">
                  <c:v>-11732.40622271732</c:v>
                </c:pt>
                <c:pt idx="882">
                  <c:v>-10773.321126330815</c:v>
                </c:pt>
                <c:pt idx="883">
                  <c:v>-10142.629960686823</c:v>
                </c:pt>
                <c:pt idx="884">
                  <c:v>-10759.887454329975</c:v>
                </c:pt>
                <c:pt idx="885">
                  <c:v>-12617.047325350462</c:v>
                </c:pt>
                <c:pt idx="886">
                  <c:v>-14535.047745055983</c:v>
                </c:pt>
                <c:pt idx="887">
                  <c:v>-16215.643226448674</c:v>
                </c:pt>
                <c:pt idx="888">
                  <c:v>-17620.889343138038</c:v>
                </c:pt>
                <c:pt idx="889">
                  <c:v>-18766.058817544632</c:v>
                </c:pt>
                <c:pt idx="890">
                  <c:v>-19674.826916212282</c:v>
                </c:pt>
                <c:pt idx="891">
                  <c:v>-20369.091085673088</c:v>
                </c:pt>
                <c:pt idx="892">
                  <c:v>-20866.982714400427</c:v>
                </c:pt>
                <c:pt idx="893">
                  <c:v>-21182.92002511222</c:v>
                </c:pt>
                <c:pt idx="894">
                  <c:v>-21328.100727275993</c:v>
                </c:pt>
                <c:pt idx="895">
                  <c:v>-21311.001541853348</c:v>
                </c:pt>
                <c:pt idx="896">
                  <c:v>-21137.777496425693</c:v>
                </c:pt>
                <c:pt idx="897">
                  <c:v>-20812.545522858018</c:v>
                </c:pt>
                <c:pt idx="898">
                  <c:v>-20337.558766218393</c:v>
                </c:pt>
                <c:pt idx="899">
                  <c:v>-19713.278062609857</c:v>
                </c:pt>
                <c:pt idx="900">
                  <c:v>-18938.339313586661</c:v>
                </c:pt>
                <c:pt idx="901">
                  <c:v>-18009.402932975612</c:v>
                </c:pt>
                <c:pt idx="902">
                  <c:v>-16920.852170413946</c:v>
                </c:pt>
                <c:pt idx="903">
                  <c:v>-15664.274127238808</c:v>
                </c:pt>
                <c:pt idx="904">
                  <c:v>-14227.594521653884</c:v>
                </c:pt>
                <c:pt idx="905">
                  <c:v>-12593.60517689156</c:v>
                </c:pt>
                <c:pt idx="906">
                  <c:v>-10737.318894376536</c:v>
                </c:pt>
                <c:pt idx="907">
                  <c:v>-8620.8374879203166</c:v>
                </c:pt>
                <c:pt idx="908">
                  <c:v>-6182.6297140883235</c:v>
                </c:pt>
                <c:pt idx="909">
                  <c:v>-3315.8181305642129</c:v>
                </c:pt>
                <c:pt idx="910">
                  <c:v>150.33822821640797</c:v>
                </c:pt>
                <c:pt idx="911">
                  <c:v>4286.2400819582062</c:v>
                </c:pt>
                <c:pt idx="912">
                  <c:v>8633.4364373600984</c:v>
                </c:pt>
                <c:pt idx="913">
                  <c:v>12672.136674855466</c:v>
                </c:pt>
                <c:pt idx="914">
                  <c:v>16238.609272890135</c:v>
                </c:pt>
                <c:pt idx="915">
                  <c:v>19332.013838433897</c:v>
                </c:pt>
                <c:pt idx="916">
                  <c:v>21991.013027914865</c:v>
                </c:pt>
                <c:pt idx="917">
                  <c:v>24257.787566535935</c:v>
                </c:pt>
                <c:pt idx="918">
                  <c:v>26168.977964678899</c:v>
                </c:pt>
                <c:pt idx="919">
                  <c:v>27754.127250976722</c:v>
                </c:pt>
                <c:pt idx="920">
                  <c:v>29036.198519427609</c:v>
                </c:pt>
                <c:pt idx="921">
                  <c:v>30032.519003540245</c:v>
                </c:pt>
                <c:pt idx="922">
                  <c:v>30755.647888314572</c:v>
                </c:pt>
                <c:pt idx="923">
                  <c:v>31214.036902949145</c:v>
                </c:pt>
                <c:pt idx="924">
                  <c:v>31412.467480261093</c:v>
                </c:pt>
                <c:pt idx="925">
                  <c:v>31352.273801787353</c:v>
                </c:pt>
                <c:pt idx="926">
                  <c:v>31031.354345113676</c:v>
                </c:pt>
                <c:pt idx="927">
                  <c:v>30443.952982701398</c:v>
                </c:pt>
                <c:pt idx="928">
                  <c:v>29580.155180242029</c:v>
                </c:pt>
                <c:pt idx="929">
                  <c:v>28424.985232495961</c:v>
                </c:pt>
                <c:pt idx="930">
                  <c:v>26956.880160800662</c:v>
                </c:pt>
                <c:pt idx="931">
                  <c:v>25145.090816577478</c:v>
                </c:pt>
                <c:pt idx="932">
                  <c:v>22945.057837001641</c:v>
                </c:pt>
                <c:pt idx="933">
                  <c:v>20289.586151562649</c:v>
                </c:pt>
                <c:pt idx="934">
                  <c:v>17070.468507866692</c:v>
                </c:pt>
                <c:pt idx="935">
                  <c:v>13097.776931005845</c:v>
                </c:pt>
                <c:pt idx="936">
                  <c:v>8042.4331293489904</c:v>
                </c:pt>
                <c:pt idx="937">
                  <c:v>2501.7109773024386</c:v>
                </c:pt>
                <c:pt idx="938">
                  <c:v>-1359.445371582827</c:v>
                </c:pt>
                <c:pt idx="939">
                  <c:v>-4451.5075375487431</c:v>
                </c:pt>
                <c:pt idx="940">
                  <c:v>-7126.4990333266933</c:v>
                </c:pt>
                <c:pt idx="941">
                  <c:v>-9521.6068785138741</c:v>
                </c:pt>
                <c:pt idx="942">
                  <c:v>-11700.652100190724</c:v>
                </c:pt>
                <c:pt idx="943">
                  <c:v>-13697.787787019681</c:v>
                </c:pt>
                <c:pt idx="944">
                  <c:v>-15533.251852332512</c:v>
                </c:pt>
                <c:pt idx="945">
                  <c:v>-17219.884531273983</c:v>
                </c:pt>
                <c:pt idx="946">
                  <c:v>-18766.139463198924</c:v>
                </c:pt>
                <c:pt idx="947">
                  <c:v>-20177.602156894129</c:v>
                </c:pt>
                <c:pt idx="948">
                  <c:v>-21457.807891464574</c:v>
                </c:pt>
                <c:pt idx="949">
                  <c:v>-22608.700219742404</c:v>
                </c:pt>
                <c:pt idx="950">
                  <c:v>-23630.888016537076</c:v>
                </c:pt>
                <c:pt idx="951">
                  <c:v>-24523.777919694385</c:v>
                </c:pt>
                <c:pt idx="952">
                  <c:v>-25285.619921126334</c:v>
                </c:pt>
                <c:pt idx="953">
                  <c:v>-25913.482928971087</c:v>
                </c:pt>
                <c:pt idx="954">
                  <c:v>-26403.163954311956</c:v>
                </c:pt>
                <c:pt idx="955">
                  <c:v>-26749.023957252728</c:v>
                </c:pt>
                <c:pt idx="956">
                  <c:v>-26943.731829044009</c:v>
                </c:pt>
                <c:pt idx="957">
                  <c:v>-26977.881809439794</c:v>
                </c:pt>
                <c:pt idx="958">
                  <c:v>-26839.422981184191</c:v>
                </c:pt>
                <c:pt idx="959">
                  <c:v>-26512.790599090578</c:v>
                </c:pt>
                <c:pt idx="960">
                  <c:v>-25977.531130286876</c:v>
                </c:pt>
                <c:pt idx="961">
                  <c:v>-25205.998327368241</c:v>
                </c:pt>
                <c:pt idx="962">
                  <c:v>-24159.175134055742</c:v>
                </c:pt>
                <c:pt idx="963">
                  <c:v>-22778.228344685071</c:v>
                </c:pt>
                <c:pt idx="964">
                  <c:v>-20964.6916910566</c:v>
                </c:pt>
                <c:pt idx="965">
                  <c:v>-18523.784462455398</c:v>
                </c:pt>
                <c:pt idx="966">
                  <c:v>-14984.851527432407</c:v>
                </c:pt>
                <c:pt idx="967">
                  <c:v>-11276.738206715005</c:v>
                </c:pt>
                <c:pt idx="968">
                  <c:v>-8300.9414883557492</c:v>
                </c:pt>
                <c:pt idx="969">
                  <c:v>-5620.6674163879698</c:v>
                </c:pt>
                <c:pt idx="970">
                  <c:v>-3026.9239544346051</c:v>
                </c:pt>
                <c:pt idx="971">
                  <c:v>-373.16989959985074</c:v>
                </c:pt>
                <c:pt idx="972">
                  <c:v>2488.5718715030594</c:v>
                </c:pt>
                <c:pt idx="973">
                  <c:v>5727.2539492541027</c:v>
                </c:pt>
                <c:pt idx="974">
                  <c:v>9433.6118961134835</c:v>
                </c:pt>
                <c:pt idx="975">
                  <c:v>13160.718889334279</c:v>
                </c:pt>
                <c:pt idx="976">
                  <c:v>16163.488981528038</c:v>
                </c:pt>
                <c:pt idx="977">
                  <c:v>18375.893371841907</c:v>
                </c:pt>
                <c:pt idx="978">
                  <c:v>19957.947598545063</c:v>
                </c:pt>
                <c:pt idx="979">
                  <c:v>21039.934729509856</c:v>
                </c:pt>
                <c:pt idx="980">
                  <c:v>21704.708399820069</c:v>
                </c:pt>
                <c:pt idx="981">
                  <c:v>22001.073558063355</c:v>
                </c:pt>
                <c:pt idx="982">
                  <c:v>21953.595562382303</c:v>
                </c:pt>
                <c:pt idx="983">
                  <c:v>21566.916531981049</c:v>
                </c:pt>
                <c:pt idx="984">
                  <c:v>20825.231756925677</c:v>
                </c:pt>
                <c:pt idx="985">
                  <c:v>19685.839592148419</c:v>
                </c:pt>
                <c:pt idx="986">
                  <c:v>18061.420228080449</c:v>
                </c:pt>
                <c:pt idx="987">
                  <c:v>15772.956831960077</c:v>
                </c:pt>
                <c:pt idx="988">
                  <c:v>12410.043524973957</c:v>
                </c:pt>
                <c:pt idx="989">
                  <c:v>7066.6805012880168</c:v>
                </c:pt>
                <c:pt idx="990">
                  <c:v>1869.994782733778</c:v>
                </c:pt>
                <c:pt idx="991">
                  <c:v>-2409.2221716789027</c:v>
                </c:pt>
                <c:pt idx="992">
                  <c:v>-6094.1019720540417</c:v>
                </c:pt>
                <c:pt idx="993">
                  <c:v>-9378.4156037635985</c:v>
                </c:pt>
                <c:pt idx="994">
                  <c:v>-12361.685168144479</c:v>
                </c:pt>
                <c:pt idx="995">
                  <c:v>-15087.805501766863</c:v>
                </c:pt>
                <c:pt idx="996">
                  <c:v>-17560.222547311361</c:v>
                </c:pt>
                <c:pt idx="997">
                  <c:v>-19743.149317538388</c:v>
                </c:pt>
                <c:pt idx="998">
                  <c:v>-21551.126905706689</c:v>
                </c:pt>
                <c:pt idx="999">
                  <c:v>-22824.832400586154</c:v>
                </c:pt>
                <c:pt idx="1000">
                  <c:v>-23295.396548681962</c:v>
                </c:pt>
                <c:pt idx="1001">
                  <c:v>-22588.744555659687</c:v>
                </c:pt>
                <c:pt idx="1002">
                  <c:v>-20471.37835512502</c:v>
                </c:pt>
                <c:pt idx="1003">
                  <c:v>-17292.618827475471</c:v>
                </c:pt>
                <c:pt idx="1004">
                  <c:v>-13687.98276944508</c:v>
                </c:pt>
                <c:pt idx="1005">
                  <c:v>-10045.614778863524</c:v>
                </c:pt>
                <c:pt idx="1006">
                  <c:v>-6501.6044631869236</c:v>
                </c:pt>
                <c:pt idx="1007">
                  <c:v>-3058.5366574417048</c:v>
                </c:pt>
                <c:pt idx="1008">
                  <c:v>354.05312271389226</c:v>
                </c:pt>
                <c:pt idx="1009">
                  <c:v>3859.4958410913209</c:v>
                </c:pt>
                <c:pt idx="1010">
                  <c:v>7586.5431928342341</c:v>
                </c:pt>
                <c:pt idx="1011">
                  <c:v>11416.594314706354</c:v>
                </c:pt>
                <c:pt idx="1012">
                  <c:v>14890.362955249253</c:v>
                </c:pt>
                <c:pt idx="1013">
                  <c:v>17827.809773814311</c:v>
                </c:pt>
                <c:pt idx="1014">
                  <c:v>20270.069427268463</c:v>
                </c:pt>
                <c:pt idx="1015">
                  <c:v>22286.077583119273</c:v>
                </c:pt>
                <c:pt idx="1016">
                  <c:v>23930.573545420757</c:v>
                </c:pt>
                <c:pt idx="1017">
                  <c:v>25242.751830221976</c:v>
                </c:pt>
                <c:pt idx="1018">
                  <c:v>26250.04868554767</c:v>
                </c:pt>
                <c:pt idx="1019">
                  <c:v>26971.298845426893</c:v>
                </c:pt>
                <c:pt idx="1020">
                  <c:v>27418.826112013987</c:v>
                </c:pt>
                <c:pt idx="1021">
                  <c:v>27599.733933656349</c:v>
                </c:pt>
                <c:pt idx="1022">
                  <c:v>27516.642256280273</c:v>
                </c:pt>
                <c:pt idx="1023">
                  <c:v>27168.026068922209</c:v>
                </c:pt>
                <c:pt idx="1024">
                  <c:v>26548.243257398532</c:v>
                </c:pt>
                <c:pt idx="1025">
                  <c:v>25647.302682025889</c:v>
                </c:pt>
                <c:pt idx="1026">
                  <c:v>24450.427508600758</c:v>
                </c:pt>
                <c:pt idx="1027">
                  <c:v>22937.560455989071</c:v>
                </c:pt>
                <c:pt idx="1028">
                  <c:v>21083.287246617772</c:v>
                </c:pt>
                <c:pt idx="1029">
                  <c:v>18858.637515035098</c:v>
                </c:pt>
                <c:pt idx="1030">
                  <c:v>16238.705714682859</c:v>
                </c:pt>
                <c:pt idx="1031">
                  <c:v>13223.656899422767</c:v>
                </c:pt>
                <c:pt idx="1032">
                  <c:v>9872.3397198235216</c:v>
                </c:pt>
                <c:pt idx="1033">
                  <c:v>6298.5411903120676</c:v>
                </c:pt>
                <c:pt idx="1034">
                  <c:v>2584.4684610439458</c:v>
                </c:pt>
                <c:pt idx="1035">
                  <c:v>-1289.8662378708209</c:v>
                </c:pt>
                <c:pt idx="1036">
                  <c:v>-5480.435158939752</c:v>
                </c:pt>
                <c:pt idx="1037">
                  <c:v>-10406.794402189058</c:v>
                </c:pt>
                <c:pt idx="1038">
                  <c:v>-17017.507713726121</c:v>
                </c:pt>
                <c:pt idx="1039">
                  <c:v>-22001.172235955626</c:v>
                </c:pt>
                <c:pt idx="1040">
                  <c:v>-25511.641033232994</c:v>
                </c:pt>
                <c:pt idx="1041">
                  <c:v>-28062.44495647775</c:v>
                </c:pt>
                <c:pt idx="1042">
                  <c:v>-29894.275184603142</c:v>
                </c:pt>
                <c:pt idx="1043">
                  <c:v>-31130.706429140206</c:v>
                </c:pt>
                <c:pt idx="1044">
                  <c:v>-31838.404722322568</c:v>
                </c:pt>
                <c:pt idx="1045">
                  <c:v>-32050.684317895888</c:v>
                </c:pt>
                <c:pt idx="1046">
                  <c:v>-31776.916172147918</c:v>
                </c:pt>
                <c:pt idx="1047">
                  <c:v>-31004.829797187344</c:v>
                </c:pt>
                <c:pt idx="1048">
                  <c:v>-29697.174862802069</c:v>
                </c:pt>
                <c:pt idx="1049">
                  <c:v>-27780.436233067405</c:v>
                </c:pt>
                <c:pt idx="1050">
                  <c:v>-25116.398674454511</c:v>
                </c:pt>
                <c:pt idx="1051">
                  <c:v>-21425.800297108966</c:v>
                </c:pt>
                <c:pt idx="1052">
                  <c:v>-16078.154231841851</c:v>
                </c:pt>
                <c:pt idx="1053">
                  <c:v>-9540.0491845475735</c:v>
                </c:pt>
                <c:pt idx="1054">
                  <c:v>-4522.7812231107619</c:v>
                </c:pt>
                <c:pt idx="1055">
                  <c:v>-70.829022613745565</c:v>
                </c:pt>
                <c:pt idx="1056">
                  <c:v>4220.4273840653996</c:v>
                </c:pt>
                <c:pt idx="1057">
                  <c:v>8456.7013506286148</c:v>
                </c:pt>
                <c:pt idx="1058">
                  <c:v>12384.856544956896</c:v>
                </c:pt>
                <c:pt idx="1059">
                  <c:v>15367.917770301525</c:v>
                </c:pt>
                <c:pt idx="1060">
                  <c:v>17073.780049137571</c:v>
                </c:pt>
                <c:pt idx="1061">
                  <c:v>17724.638522675596</c:v>
                </c:pt>
                <c:pt idx="1062">
                  <c:v>17630.496261362965</c:v>
                </c:pt>
                <c:pt idx="1063">
                  <c:v>17016.508687665868</c:v>
                </c:pt>
                <c:pt idx="1064">
                  <c:v>16030.768140189144</c:v>
                </c:pt>
                <c:pt idx="1065">
                  <c:v>14772.252923955102</c:v>
                </c:pt>
                <c:pt idx="1066">
                  <c:v>13310.243563267424</c:v>
                </c:pt>
                <c:pt idx="1067">
                  <c:v>11695.960887904266</c:v>
                </c:pt>
                <c:pt idx="1068">
                  <c:v>9969.5471484482168</c:v>
                </c:pt>
                <c:pt idx="1069">
                  <c:v>8164.4555348322911</c:v>
                </c:pt>
                <c:pt idx="1070">
                  <c:v>6310.4246779780678</c:v>
                </c:pt>
                <c:pt idx="1071">
                  <c:v>4435.711844266053</c:v>
                </c:pt>
                <c:pt idx="1072">
                  <c:v>2568.9974841081898</c:v>
                </c:pt>
                <c:pt idx="1073">
                  <c:v>741.24161346830863</c:v>
                </c:pt>
                <c:pt idx="1074">
                  <c:v>-1012.3031139030614</c:v>
                </c:pt>
                <c:pt idx="1075">
                  <c:v>-2649.8061709868512</c:v>
                </c:pt>
                <c:pt idx="1076">
                  <c:v>-4120.4223405475332</c:v>
                </c:pt>
                <c:pt idx="1077">
                  <c:v>-5362.5349899252287</c:v>
                </c:pt>
                <c:pt idx="1078">
                  <c:v>-6305.4635843011392</c:v>
                </c:pt>
                <c:pt idx="1079">
                  <c:v>-6881.8819906778044</c:v>
                </c:pt>
                <c:pt idx="1080">
                  <c:v>-7064.916962271056</c:v>
                </c:pt>
                <c:pt idx="1081">
                  <c:v>-6943.8105308773638</c:v>
                </c:pt>
                <c:pt idx="1082">
                  <c:v>-6829.0286229910253</c:v>
                </c:pt>
                <c:pt idx="1083">
                  <c:v>-7310.396328770632</c:v>
                </c:pt>
                <c:pt idx="1084">
                  <c:v>-8834.0172740528978</c:v>
                </c:pt>
                <c:pt idx="1085">
                  <c:v>-11005.096155977872</c:v>
                </c:pt>
                <c:pt idx="1086">
                  <c:v>-13332.957249168147</c:v>
                </c:pt>
                <c:pt idx="1087">
                  <c:v>-15599.67377092933</c:v>
                </c:pt>
                <c:pt idx="1088">
                  <c:v>-17727.922136367404</c:v>
                </c:pt>
                <c:pt idx="1089">
                  <c:v>-19692.368922780373</c:v>
                </c:pt>
                <c:pt idx="1090">
                  <c:v>-21486.10000809273</c:v>
                </c:pt>
                <c:pt idx="1091">
                  <c:v>-23108.442669210592</c:v>
                </c:pt>
                <c:pt idx="1092">
                  <c:v>-24560.344205621499</c:v>
                </c:pt>
                <c:pt idx="1093">
                  <c:v>-25842.503908146307</c:v>
                </c:pt>
                <c:pt idx="1094">
                  <c:v>-26954.545201641689</c:v>
                </c:pt>
                <c:pt idx="1095">
                  <c:v>-27894.572581436551</c:v>
                </c:pt>
                <c:pt idx="1096">
                  <c:v>-28658.836330190592</c:v>
                </c:pt>
                <c:pt idx="1097">
                  <c:v>-29241.364767680992</c:v>
                </c:pt>
                <c:pt idx="1098">
                  <c:v>-29633.463713687244</c:v>
                </c:pt>
                <c:pt idx="1099">
                  <c:v>-29822.971531831892</c:v>
                </c:pt>
                <c:pt idx="1100">
                  <c:v>-29793.099529312694</c:v>
                </c:pt>
                <c:pt idx="1101">
                  <c:v>-29520.552830684315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B-4509-947B-FDCD5231E0E5}"/>
            </c:ext>
          </c:extLst>
        </c:ser>
        <c:ser>
          <c:idx val="2"/>
          <c:order val="2"/>
          <c:tx>
            <c:v>Planete2</c:v>
          </c:tx>
          <c:spPr>
            <a:ln w="127000" cap="rnd">
              <a:solidFill>
                <a:srgbClr val="92D050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initiales'!$AA$43:$AA$403</c:f>
              <c:numCache>
                <c:formatCode>General</c:formatCode>
                <c:ptCount val="361"/>
                <c:pt idx="0">
                  <c:v>-16500</c:v>
                </c:pt>
                <c:pt idx="1">
                  <c:v>-16500.53306695263</c:v>
                </c:pt>
                <c:pt idx="2">
                  <c:v>-16502.132105433164</c:v>
                </c:pt>
                <c:pt idx="3">
                  <c:v>-16504.796628358992</c:v>
                </c:pt>
                <c:pt idx="4">
                  <c:v>-16508.525824090615</c:v>
                </c:pt>
                <c:pt idx="5">
                  <c:v>-16513.318556678889</c:v>
                </c:pt>
                <c:pt idx="6">
                  <c:v>-16519.173366211042</c:v>
                </c:pt>
                <c:pt idx="7">
                  <c:v>-16526.088469255374</c:v>
                </c:pt>
                <c:pt idx="8">
                  <c:v>-16534.061759404503</c:v>
                </c:pt>
                <c:pt idx="9">
                  <c:v>-16543.090807917019</c:v>
                </c:pt>
                <c:pt idx="10">
                  <c:v>-16553.172864457272</c:v>
                </c:pt>
                <c:pt idx="11">
                  <c:v>-16564.304857933177</c:v>
                </c:pt>
                <c:pt idx="12">
                  <c:v>-16576.483397431679</c:v>
                </c:pt>
                <c:pt idx="13">
                  <c:v>-16589.704773251677</c:v>
                </c:pt>
                <c:pt idx="14">
                  <c:v>-16603.964958034012</c:v>
                </c:pt>
                <c:pt idx="15">
                  <c:v>-16619.259607988261</c:v>
                </c:pt>
                <c:pt idx="16">
                  <c:v>-16635.584064215884</c:v>
                </c:pt>
                <c:pt idx="17">
                  <c:v>-16652.933354129374</c:v>
                </c:pt>
                <c:pt idx="18">
                  <c:v>-16671.302192966963</c:v>
                </c:pt>
                <c:pt idx="19">
                  <c:v>-16690.684985402389</c:v>
                </c:pt>
                <c:pt idx="20">
                  <c:v>-16711.075827249319</c:v>
                </c:pt>
                <c:pt idx="21">
                  <c:v>-16732.468507259793</c:v>
                </c:pt>
                <c:pt idx="22">
                  <c:v>-16754.856509016245</c:v>
                </c:pt>
                <c:pt idx="23">
                  <c:v>-16778.233012916458</c:v>
                </c:pt>
                <c:pt idx="24">
                  <c:v>-16802.590898250895</c:v>
                </c:pt>
                <c:pt idx="25">
                  <c:v>-16827.922745371725</c:v>
                </c:pt>
                <c:pt idx="26">
                  <c:v>-16854.220837952915</c:v>
                </c:pt>
                <c:pt idx="27">
                  <c:v>-16881.477165340712</c:v>
                </c:pt>
                <c:pt idx="28">
                  <c:v>-16909.683424993756</c:v>
                </c:pt>
                <c:pt idx="29">
                  <c:v>-16938.831025012114</c:v>
                </c:pt>
                <c:pt idx="30">
                  <c:v>-16968.911086754466</c:v>
                </c:pt>
                <c:pt idx="31">
                  <c:v>-16999.914447542607</c:v>
                </c:pt>
                <c:pt idx="32">
                  <c:v>-17031.831663452511</c:v>
                </c:pt>
                <c:pt idx="33">
                  <c:v>-17064.653012191015</c:v>
                </c:pt>
                <c:pt idx="34">
                  <c:v>-17098.368496057356</c:v>
                </c:pt>
                <c:pt idx="35">
                  <c:v>-17132.967844988529</c:v>
                </c:pt>
                <c:pt idx="36">
                  <c:v>-17168.440519687683</c:v>
                </c:pt>
                <c:pt idx="37">
                  <c:v>-17204.775714834475</c:v>
                </c:pt>
                <c:pt idx="38">
                  <c:v>-17241.962362376471</c:v>
                </c:pt>
                <c:pt idx="39">
                  <c:v>-17279.989134900603</c:v>
                </c:pt>
                <c:pt idx="40">
                  <c:v>-17318.844449083575</c:v>
                </c:pt>
                <c:pt idx="41">
                  <c:v>-17358.516469220296</c:v>
                </c:pt>
                <c:pt idx="42">
                  <c:v>-17398.99311082912</c:v>
                </c:pt>
                <c:pt idx="43">
                  <c:v>-17440.262044332903</c:v>
                </c:pt>
                <c:pt idx="44">
                  <c:v>-17482.310698814719</c:v>
                </c:pt>
                <c:pt idx="45">
                  <c:v>-17525.126265847084</c:v>
                </c:pt>
                <c:pt idx="46">
                  <c:v>-17568.69570339351</c:v>
                </c:pt>
                <c:pt idx="47">
                  <c:v>-17613.005739781256</c:v>
                </c:pt>
                <c:pt idx="48">
                  <c:v>-17658.042877743996</c:v>
                </c:pt>
                <c:pt idx="49">
                  <c:v>-17703.793398533224</c:v>
                </c:pt>
                <c:pt idx="50">
                  <c:v>-17750.243366097111</c:v>
                </c:pt>
                <c:pt idx="51">
                  <c:v>-17797.37863132557</c:v>
                </c:pt>
                <c:pt idx="52">
                  <c:v>-17845.184836360197</c:v>
                </c:pt>
                <c:pt idx="53">
                  <c:v>-17893.64741896783</c:v>
                </c:pt>
                <c:pt idx="54">
                  <c:v>-17942.751616976344</c:v>
                </c:pt>
                <c:pt idx="55">
                  <c:v>-17992.482472771339</c:v>
                </c:pt>
                <c:pt idx="56">
                  <c:v>-18042.824837852386</c:v>
                </c:pt>
                <c:pt idx="57">
                  <c:v>-18093.763377447405</c:v>
                </c:pt>
                <c:pt idx="58">
                  <c:v>-18145.282575183785</c:v>
                </c:pt>
                <c:pt idx="59">
                  <c:v>-18197.366737814809</c:v>
                </c:pt>
                <c:pt idx="60">
                  <c:v>-18250</c:v>
                </c:pt>
                <c:pt idx="61">
                  <c:v>-18303.166329137821</c:v>
                </c:pt>
                <c:pt idx="62">
                  <c:v>-18356.849530249383</c:v>
                </c:pt>
                <c:pt idx="63">
                  <c:v>-18411.033250911587</c:v>
                </c:pt>
                <c:pt idx="64">
                  <c:v>-18465.700986238229</c:v>
                </c:pt>
                <c:pt idx="65">
                  <c:v>-18520.83608390755</c:v>
                </c:pt>
                <c:pt idx="66">
                  <c:v>-18576.421749234698</c:v>
                </c:pt>
                <c:pt idx="67">
                  <c:v>-18632.44105028754</c:v>
                </c:pt>
                <c:pt idx="68">
                  <c:v>-18688.876923044307</c:v>
                </c:pt>
                <c:pt idx="69">
                  <c:v>-18745.712176591449</c:v>
                </c:pt>
                <c:pt idx="70">
                  <c:v>-18802.929498360158</c:v>
                </c:pt>
                <c:pt idx="71">
                  <c:v>-18860.51145939995</c:v>
                </c:pt>
                <c:pt idx="72">
                  <c:v>-18918.440519687683</c:v>
                </c:pt>
                <c:pt idx="73">
                  <c:v>-18976.699033470421</c:v>
                </c:pt>
                <c:pt idx="74">
                  <c:v>-19035.269254640501</c:v>
                </c:pt>
                <c:pt idx="75">
                  <c:v>-19094.133342141176</c:v>
                </c:pt>
                <c:pt idx="76">
                  <c:v>-19153.273365401161</c:v>
                </c:pt>
                <c:pt idx="77">
                  <c:v>-19212.671309796471</c:v>
                </c:pt>
                <c:pt idx="78">
                  <c:v>-19272.309082137843</c:v>
                </c:pt>
                <c:pt idx="79">
                  <c:v>-19332.168516182093</c:v>
                </c:pt>
                <c:pt idx="80">
                  <c:v>-19392.231378165743</c:v>
                </c:pt>
                <c:pt idx="81">
                  <c:v>-19452.47937235919</c:v>
                </c:pt>
                <c:pt idx="82">
                  <c:v>-19512.89414663977</c:v>
                </c:pt>
                <c:pt idx="83">
                  <c:v>-19573.457298081983</c:v>
                </c:pt>
                <c:pt idx="84">
                  <c:v>-19634.150378563212</c:v>
                </c:pt>
                <c:pt idx="85">
                  <c:v>-19694.954900383196</c:v>
                </c:pt>
                <c:pt idx="86">
                  <c:v>-19755.852341895559</c:v>
                </c:pt>
                <c:pt idx="87">
                  <c:v>-19816.824153149697</c:v>
                </c:pt>
                <c:pt idx="88">
                  <c:v>-19877.851761541246</c:v>
                </c:pt>
                <c:pt idx="89">
                  <c:v>-19938.916577469507</c:v>
                </c:pt>
                <c:pt idx="90">
                  <c:v>-20000</c:v>
                </c:pt>
                <c:pt idx="91">
                  <c:v>-20061.083422530493</c:v>
                </c:pt>
                <c:pt idx="92">
                  <c:v>-20122.148238458754</c:v>
                </c:pt>
                <c:pt idx="93">
                  <c:v>-20183.175846850303</c:v>
                </c:pt>
                <c:pt idx="94">
                  <c:v>-20244.147658104437</c:v>
                </c:pt>
                <c:pt idx="95">
                  <c:v>-20305.045099616804</c:v>
                </c:pt>
                <c:pt idx="96">
                  <c:v>-20365.849621436788</c:v>
                </c:pt>
                <c:pt idx="97">
                  <c:v>-20426.542701918017</c:v>
                </c:pt>
                <c:pt idx="98">
                  <c:v>-20487.10585336023</c:v>
                </c:pt>
                <c:pt idx="99">
                  <c:v>-20547.52062764081</c:v>
                </c:pt>
                <c:pt idx="100">
                  <c:v>-20607.768621834257</c:v>
                </c:pt>
                <c:pt idx="101">
                  <c:v>-20667.831483817907</c:v>
                </c:pt>
                <c:pt idx="102">
                  <c:v>-20727.690917862157</c:v>
                </c:pt>
                <c:pt idx="103">
                  <c:v>-20787.328690203525</c:v>
                </c:pt>
                <c:pt idx="104">
                  <c:v>-20846.726634598836</c:v>
                </c:pt>
                <c:pt idx="105">
                  <c:v>-20905.866657858824</c:v>
                </c:pt>
                <c:pt idx="106">
                  <c:v>-20964.730745359499</c:v>
                </c:pt>
                <c:pt idx="107">
                  <c:v>-21023.300966529579</c:v>
                </c:pt>
                <c:pt idx="108">
                  <c:v>-21081.559480312317</c:v>
                </c:pt>
                <c:pt idx="109">
                  <c:v>-21139.488540600047</c:v>
                </c:pt>
                <c:pt idx="110">
                  <c:v>-21197.070501639842</c:v>
                </c:pt>
                <c:pt idx="111">
                  <c:v>-21254.287823408551</c:v>
                </c:pt>
                <c:pt idx="112">
                  <c:v>-21311.123076955693</c:v>
                </c:pt>
                <c:pt idx="113">
                  <c:v>-21367.558949712457</c:v>
                </c:pt>
                <c:pt idx="114">
                  <c:v>-21423.578250765298</c:v>
                </c:pt>
                <c:pt idx="115">
                  <c:v>-21479.163916092446</c:v>
                </c:pt>
                <c:pt idx="116">
                  <c:v>-21534.299013761771</c:v>
                </c:pt>
                <c:pt idx="117">
                  <c:v>-21588.966749088413</c:v>
                </c:pt>
                <c:pt idx="118">
                  <c:v>-21643.150469750617</c:v>
                </c:pt>
                <c:pt idx="119">
                  <c:v>-21696.833670862179</c:v>
                </c:pt>
                <c:pt idx="120">
                  <c:v>-21750</c:v>
                </c:pt>
                <c:pt idx="121">
                  <c:v>-21802.633262185191</c:v>
                </c:pt>
                <c:pt idx="122">
                  <c:v>-21854.717424816215</c:v>
                </c:pt>
                <c:pt idx="123">
                  <c:v>-21906.236622552595</c:v>
                </c:pt>
                <c:pt idx="124">
                  <c:v>-21957.175162147614</c:v>
                </c:pt>
                <c:pt idx="125">
                  <c:v>-22007.517527228661</c:v>
                </c:pt>
                <c:pt idx="126">
                  <c:v>-22057.248383023656</c:v>
                </c:pt>
                <c:pt idx="127">
                  <c:v>-22106.35258103217</c:v>
                </c:pt>
                <c:pt idx="128">
                  <c:v>-22154.815163639803</c:v>
                </c:pt>
                <c:pt idx="129">
                  <c:v>-22202.62136867443</c:v>
                </c:pt>
                <c:pt idx="130">
                  <c:v>-22249.756633902889</c:v>
                </c:pt>
                <c:pt idx="131">
                  <c:v>-22296.206601466776</c:v>
                </c:pt>
                <c:pt idx="132">
                  <c:v>-22341.957122256004</c:v>
                </c:pt>
                <c:pt idx="133">
                  <c:v>-22386.994260218744</c:v>
                </c:pt>
                <c:pt idx="134">
                  <c:v>-22431.30429660649</c:v>
                </c:pt>
                <c:pt idx="135">
                  <c:v>-22474.873734152916</c:v>
                </c:pt>
                <c:pt idx="136">
                  <c:v>-22517.689301185281</c:v>
                </c:pt>
                <c:pt idx="137">
                  <c:v>-22559.737955667097</c:v>
                </c:pt>
                <c:pt idx="138">
                  <c:v>-22601.00688917088</c:v>
                </c:pt>
                <c:pt idx="139">
                  <c:v>-22641.483530779704</c:v>
                </c:pt>
                <c:pt idx="140">
                  <c:v>-22681.155550916425</c:v>
                </c:pt>
                <c:pt idx="141">
                  <c:v>-22720.010865099397</c:v>
                </c:pt>
                <c:pt idx="142">
                  <c:v>-22758.037637623525</c:v>
                </c:pt>
                <c:pt idx="143">
                  <c:v>-22795.224285165525</c:v>
                </c:pt>
                <c:pt idx="144">
                  <c:v>-22831.559480312317</c:v>
                </c:pt>
                <c:pt idx="145">
                  <c:v>-22867.032155011471</c:v>
                </c:pt>
                <c:pt idx="146">
                  <c:v>-22901.631503942644</c:v>
                </c:pt>
                <c:pt idx="147">
                  <c:v>-22935.346987808985</c:v>
                </c:pt>
                <c:pt idx="148">
                  <c:v>-22968.168336547489</c:v>
                </c:pt>
                <c:pt idx="149">
                  <c:v>-23000.085552457393</c:v>
                </c:pt>
                <c:pt idx="150">
                  <c:v>-23031.088913245534</c:v>
                </c:pt>
                <c:pt idx="151">
                  <c:v>-23061.168974987886</c:v>
                </c:pt>
                <c:pt idx="152">
                  <c:v>-23090.316575006244</c:v>
                </c:pt>
                <c:pt idx="153">
                  <c:v>-23118.522834659288</c:v>
                </c:pt>
                <c:pt idx="154">
                  <c:v>-23145.779162047085</c:v>
                </c:pt>
                <c:pt idx="155">
                  <c:v>-23172.077254628275</c:v>
                </c:pt>
                <c:pt idx="156">
                  <c:v>-23197.409101749101</c:v>
                </c:pt>
                <c:pt idx="157">
                  <c:v>-23221.766987083542</c:v>
                </c:pt>
                <c:pt idx="158">
                  <c:v>-23245.143490983755</c:v>
                </c:pt>
                <c:pt idx="159">
                  <c:v>-23267.531492740207</c:v>
                </c:pt>
                <c:pt idx="160">
                  <c:v>-23288.924172750678</c:v>
                </c:pt>
                <c:pt idx="161">
                  <c:v>-23309.315014597611</c:v>
                </c:pt>
                <c:pt idx="162">
                  <c:v>-23328.697807033037</c:v>
                </c:pt>
                <c:pt idx="163">
                  <c:v>-23347.066645870626</c:v>
                </c:pt>
                <c:pt idx="164">
                  <c:v>-23364.415935784116</c:v>
                </c:pt>
                <c:pt idx="165">
                  <c:v>-23380.740392011739</c:v>
                </c:pt>
                <c:pt idx="166">
                  <c:v>-23396.035041965988</c:v>
                </c:pt>
                <c:pt idx="167">
                  <c:v>-23410.295226748323</c:v>
                </c:pt>
                <c:pt idx="168">
                  <c:v>-23423.516602568321</c:v>
                </c:pt>
                <c:pt idx="169">
                  <c:v>-23435.695142066823</c:v>
                </c:pt>
                <c:pt idx="170">
                  <c:v>-23446.827135542728</c:v>
                </c:pt>
                <c:pt idx="171">
                  <c:v>-23456.909192082981</c:v>
                </c:pt>
                <c:pt idx="172">
                  <c:v>-23465.938240595497</c:v>
                </c:pt>
                <c:pt idx="173">
                  <c:v>-23473.911530744626</c:v>
                </c:pt>
                <c:pt idx="174">
                  <c:v>-23480.826633788958</c:v>
                </c:pt>
                <c:pt idx="175">
                  <c:v>-23486.681443321111</c:v>
                </c:pt>
                <c:pt idx="176">
                  <c:v>-23491.474175909385</c:v>
                </c:pt>
                <c:pt idx="177">
                  <c:v>-23495.203371641008</c:v>
                </c:pt>
                <c:pt idx="178">
                  <c:v>-23497.867894566836</c:v>
                </c:pt>
                <c:pt idx="179">
                  <c:v>-23499.46693304737</c:v>
                </c:pt>
                <c:pt idx="180">
                  <c:v>-23500</c:v>
                </c:pt>
                <c:pt idx="181">
                  <c:v>-23499.46693304737</c:v>
                </c:pt>
                <c:pt idx="182">
                  <c:v>-23497.867894566836</c:v>
                </c:pt>
                <c:pt idx="183">
                  <c:v>-23495.203371641008</c:v>
                </c:pt>
                <c:pt idx="184">
                  <c:v>-23491.474175909385</c:v>
                </c:pt>
                <c:pt idx="185">
                  <c:v>-23486.681443321111</c:v>
                </c:pt>
                <c:pt idx="186">
                  <c:v>-23480.826633788958</c:v>
                </c:pt>
                <c:pt idx="187">
                  <c:v>-23473.911530744626</c:v>
                </c:pt>
                <c:pt idx="188">
                  <c:v>-23465.938240595497</c:v>
                </c:pt>
                <c:pt idx="189">
                  <c:v>-23456.909192082981</c:v>
                </c:pt>
                <c:pt idx="190">
                  <c:v>-23446.827135542728</c:v>
                </c:pt>
                <c:pt idx="191">
                  <c:v>-23435.695142066823</c:v>
                </c:pt>
                <c:pt idx="192">
                  <c:v>-23423.516602568321</c:v>
                </c:pt>
                <c:pt idx="193">
                  <c:v>-23410.295226748323</c:v>
                </c:pt>
                <c:pt idx="194">
                  <c:v>-23396.035041965988</c:v>
                </c:pt>
                <c:pt idx="195">
                  <c:v>-23380.740392011739</c:v>
                </c:pt>
                <c:pt idx="196">
                  <c:v>-23364.415935784116</c:v>
                </c:pt>
                <c:pt idx="197">
                  <c:v>-23347.066645870626</c:v>
                </c:pt>
                <c:pt idx="198">
                  <c:v>-23328.697807033037</c:v>
                </c:pt>
                <c:pt idx="199">
                  <c:v>-23309.315014597611</c:v>
                </c:pt>
                <c:pt idx="200">
                  <c:v>-23288.924172750681</c:v>
                </c:pt>
                <c:pt idx="201">
                  <c:v>-23267.531492740207</c:v>
                </c:pt>
                <c:pt idx="202">
                  <c:v>-23245.143490983755</c:v>
                </c:pt>
                <c:pt idx="203">
                  <c:v>-23221.766987083542</c:v>
                </c:pt>
                <c:pt idx="204">
                  <c:v>-23197.409101749105</c:v>
                </c:pt>
                <c:pt idx="205">
                  <c:v>-23172.077254628275</c:v>
                </c:pt>
                <c:pt idx="206">
                  <c:v>-23145.779162047085</c:v>
                </c:pt>
                <c:pt idx="207">
                  <c:v>-23118.522834659288</c:v>
                </c:pt>
                <c:pt idx="208">
                  <c:v>-23090.316575006244</c:v>
                </c:pt>
                <c:pt idx="209">
                  <c:v>-23061.168974987886</c:v>
                </c:pt>
                <c:pt idx="210">
                  <c:v>-23031.088913245534</c:v>
                </c:pt>
                <c:pt idx="211">
                  <c:v>-23000.085552457393</c:v>
                </c:pt>
                <c:pt idx="212">
                  <c:v>-22968.168336547493</c:v>
                </c:pt>
                <c:pt idx="213">
                  <c:v>-22935.346987808985</c:v>
                </c:pt>
                <c:pt idx="214">
                  <c:v>-22901.631503942648</c:v>
                </c:pt>
                <c:pt idx="215">
                  <c:v>-22867.032155011471</c:v>
                </c:pt>
                <c:pt idx="216">
                  <c:v>-22831.559480312317</c:v>
                </c:pt>
                <c:pt idx="217">
                  <c:v>-22795.224285165525</c:v>
                </c:pt>
                <c:pt idx="218">
                  <c:v>-22758.037637623529</c:v>
                </c:pt>
                <c:pt idx="219">
                  <c:v>-22720.010865099397</c:v>
                </c:pt>
                <c:pt idx="220">
                  <c:v>-22681.155550916425</c:v>
                </c:pt>
                <c:pt idx="221">
                  <c:v>-22641.4835307797</c:v>
                </c:pt>
                <c:pt idx="222">
                  <c:v>-22601.00688917088</c:v>
                </c:pt>
                <c:pt idx="223">
                  <c:v>-22559.737955667097</c:v>
                </c:pt>
                <c:pt idx="224">
                  <c:v>-22517.689301185281</c:v>
                </c:pt>
                <c:pt idx="225">
                  <c:v>-22474.873734152916</c:v>
                </c:pt>
                <c:pt idx="226">
                  <c:v>-22431.30429660649</c:v>
                </c:pt>
                <c:pt idx="227">
                  <c:v>-22386.994260218748</c:v>
                </c:pt>
                <c:pt idx="228">
                  <c:v>-22341.957122256004</c:v>
                </c:pt>
                <c:pt idx="229">
                  <c:v>-22296.206601466776</c:v>
                </c:pt>
                <c:pt idx="230">
                  <c:v>-22249.756633902889</c:v>
                </c:pt>
                <c:pt idx="231">
                  <c:v>-22202.62136867443</c:v>
                </c:pt>
                <c:pt idx="232">
                  <c:v>-22154.815163639803</c:v>
                </c:pt>
                <c:pt idx="233">
                  <c:v>-22106.35258103217</c:v>
                </c:pt>
                <c:pt idx="234">
                  <c:v>-22057.248383023656</c:v>
                </c:pt>
                <c:pt idx="235">
                  <c:v>-22007.517527228661</c:v>
                </c:pt>
                <c:pt idx="236">
                  <c:v>-21957.175162147614</c:v>
                </c:pt>
                <c:pt idx="237">
                  <c:v>-21906.236622552595</c:v>
                </c:pt>
                <c:pt idx="238">
                  <c:v>-21854.717424816219</c:v>
                </c:pt>
                <c:pt idx="239">
                  <c:v>-21802.633262185191</c:v>
                </c:pt>
                <c:pt idx="240">
                  <c:v>-21750</c:v>
                </c:pt>
                <c:pt idx="241">
                  <c:v>-21696.833670862179</c:v>
                </c:pt>
                <c:pt idx="242">
                  <c:v>-21643.150469750617</c:v>
                </c:pt>
                <c:pt idx="243">
                  <c:v>-21588.966749088413</c:v>
                </c:pt>
                <c:pt idx="244">
                  <c:v>-21534.299013761771</c:v>
                </c:pt>
                <c:pt idx="245">
                  <c:v>-21479.16391609245</c:v>
                </c:pt>
                <c:pt idx="246">
                  <c:v>-21423.578250765298</c:v>
                </c:pt>
                <c:pt idx="247">
                  <c:v>-21367.55894971246</c:v>
                </c:pt>
                <c:pt idx="248">
                  <c:v>-21311.123076955693</c:v>
                </c:pt>
                <c:pt idx="249">
                  <c:v>-21254.287823408551</c:v>
                </c:pt>
                <c:pt idx="250">
                  <c:v>-21197.070501639842</c:v>
                </c:pt>
                <c:pt idx="251">
                  <c:v>-21139.488540600047</c:v>
                </c:pt>
                <c:pt idx="252">
                  <c:v>-21081.559480312317</c:v>
                </c:pt>
                <c:pt idx="253">
                  <c:v>-21023.300966529579</c:v>
                </c:pt>
                <c:pt idx="254">
                  <c:v>-20964.730745359495</c:v>
                </c:pt>
                <c:pt idx="255">
                  <c:v>-20905.866657858824</c:v>
                </c:pt>
                <c:pt idx="256">
                  <c:v>-20846.726634598836</c:v>
                </c:pt>
                <c:pt idx="257">
                  <c:v>-20787.328690203529</c:v>
                </c:pt>
                <c:pt idx="258">
                  <c:v>-20727.690917862161</c:v>
                </c:pt>
                <c:pt idx="259">
                  <c:v>-20667.83148381791</c:v>
                </c:pt>
                <c:pt idx="260">
                  <c:v>-20607.768621834257</c:v>
                </c:pt>
                <c:pt idx="261">
                  <c:v>-20547.52062764081</c:v>
                </c:pt>
                <c:pt idx="262">
                  <c:v>-20487.105853360226</c:v>
                </c:pt>
                <c:pt idx="263">
                  <c:v>-20426.542701918013</c:v>
                </c:pt>
                <c:pt idx="264">
                  <c:v>-20365.849621436788</c:v>
                </c:pt>
                <c:pt idx="265">
                  <c:v>-20305.045099616804</c:v>
                </c:pt>
                <c:pt idx="266">
                  <c:v>-20244.147658104441</c:v>
                </c:pt>
                <c:pt idx="267">
                  <c:v>-20183.175846850307</c:v>
                </c:pt>
                <c:pt idx="268">
                  <c:v>-20122.148238458754</c:v>
                </c:pt>
                <c:pt idx="269">
                  <c:v>-20061.083422530493</c:v>
                </c:pt>
                <c:pt idx="270">
                  <c:v>-20000</c:v>
                </c:pt>
                <c:pt idx="271">
                  <c:v>-19938.91657746951</c:v>
                </c:pt>
                <c:pt idx="272">
                  <c:v>-19877.851761541246</c:v>
                </c:pt>
                <c:pt idx="273">
                  <c:v>-19816.824153149697</c:v>
                </c:pt>
                <c:pt idx="274">
                  <c:v>-19755.852341895563</c:v>
                </c:pt>
                <c:pt idx="275">
                  <c:v>-19694.954900383196</c:v>
                </c:pt>
                <c:pt idx="276">
                  <c:v>-19634.150378563216</c:v>
                </c:pt>
                <c:pt idx="277">
                  <c:v>-19573.457298081983</c:v>
                </c:pt>
                <c:pt idx="278">
                  <c:v>-19512.89414663977</c:v>
                </c:pt>
                <c:pt idx="279">
                  <c:v>-19452.479372359194</c:v>
                </c:pt>
                <c:pt idx="280">
                  <c:v>-19392.231378165747</c:v>
                </c:pt>
                <c:pt idx="281">
                  <c:v>-19332.168516182093</c:v>
                </c:pt>
                <c:pt idx="282">
                  <c:v>-19272.309082137846</c:v>
                </c:pt>
                <c:pt idx="283">
                  <c:v>-19212.671309796471</c:v>
                </c:pt>
                <c:pt idx="284">
                  <c:v>-19153.273365401164</c:v>
                </c:pt>
                <c:pt idx="285">
                  <c:v>-19094.133342141176</c:v>
                </c:pt>
                <c:pt idx="286">
                  <c:v>-19035.269254640501</c:v>
                </c:pt>
                <c:pt idx="287">
                  <c:v>-18976.699033470421</c:v>
                </c:pt>
                <c:pt idx="288">
                  <c:v>-18918.440519687683</c:v>
                </c:pt>
                <c:pt idx="289">
                  <c:v>-18860.511459399953</c:v>
                </c:pt>
                <c:pt idx="290">
                  <c:v>-18802.929498360161</c:v>
                </c:pt>
                <c:pt idx="291">
                  <c:v>-18745.712176591453</c:v>
                </c:pt>
                <c:pt idx="292">
                  <c:v>-18688.876923044307</c:v>
                </c:pt>
                <c:pt idx="293">
                  <c:v>-18632.441050287543</c:v>
                </c:pt>
                <c:pt idx="294">
                  <c:v>-18576.421749234698</c:v>
                </c:pt>
                <c:pt idx="295">
                  <c:v>-18520.83608390755</c:v>
                </c:pt>
                <c:pt idx="296">
                  <c:v>-18465.700986238229</c:v>
                </c:pt>
                <c:pt idx="297">
                  <c:v>-18411.033250911587</c:v>
                </c:pt>
                <c:pt idx="298">
                  <c:v>-18356.849530249383</c:v>
                </c:pt>
                <c:pt idx="299">
                  <c:v>-18303.166329137821</c:v>
                </c:pt>
                <c:pt idx="300">
                  <c:v>-18250</c:v>
                </c:pt>
                <c:pt idx="301">
                  <c:v>-18197.366737814809</c:v>
                </c:pt>
                <c:pt idx="302">
                  <c:v>-18145.282575183785</c:v>
                </c:pt>
                <c:pt idx="303">
                  <c:v>-18093.763377447405</c:v>
                </c:pt>
                <c:pt idx="304">
                  <c:v>-18042.824837852389</c:v>
                </c:pt>
                <c:pt idx="305">
                  <c:v>-17992.482472771339</c:v>
                </c:pt>
                <c:pt idx="306">
                  <c:v>-17942.751616976344</c:v>
                </c:pt>
                <c:pt idx="307">
                  <c:v>-17893.647418967834</c:v>
                </c:pt>
                <c:pt idx="308">
                  <c:v>-17845.184836360197</c:v>
                </c:pt>
                <c:pt idx="309">
                  <c:v>-17797.37863132557</c:v>
                </c:pt>
                <c:pt idx="310">
                  <c:v>-17750.243366097115</c:v>
                </c:pt>
                <c:pt idx="311">
                  <c:v>-17703.793398533224</c:v>
                </c:pt>
                <c:pt idx="312">
                  <c:v>-17658.042877743999</c:v>
                </c:pt>
                <c:pt idx="313">
                  <c:v>-17613.005739781256</c:v>
                </c:pt>
                <c:pt idx="314">
                  <c:v>-17568.69570339351</c:v>
                </c:pt>
                <c:pt idx="315">
                  <c:v>-17525.126265847084</c:v>
                </c:pt>
                <c:pt idx="316">
                  <c:v>-17482.310698814723</c:v>
                </c:pt>
                <c:pt idx="317">
                  <c:v>-17440.262044332903</c:v>
                </c:pt>
                <c:pt idx="318">
                  <c:v>-17398.99311082912</c:v>
                </c:pt>
                <c:pt idx="319">
                  <c:v>-17358.5164692203</c:v>
                </c:pt>
                <c:pt idx="320">
                  <c:v>-17318.844449083579</c:v>
                </c:pt>
                <c:pt idx="321">
                  <c:v>-17279.989134900603</c:v>
                </c:pt>
                <c:pt idx="322">
                  <c:v>-17241.962362376475</c:v>
                </c:pt>
                <c:pt idx="323">
                  <c:v>-17204.775714834475</c:v>
                </c:pt>
                <c:pt idx="324">
                  <c:v>-17168.440519687683</c:v>
                </c:pt>
                <c:pt idx="325">
                  <c:v>-17132.967844988529</c:v>
                </c:pt>
                <c:pt idx="326">
                  <c:v>-17098.368496057356</c:v>
                </c:pt>
                <c:pt idx="327">
                  <c:v>-17064.653012191015</c:v>
                </c:pt>
                <c:pt idx="328">
                  <c:v>-17031.831663452511</c:v>
                </c:pt>
                <c:pt idx="329">
                  <c:v>-16999.914447542607</c:v>
                </c:pt>
                <c:pt idx="330">
                  <c:v>-16968.911086754466</c:v>
                </c:pt>
                <c:pt idx="331">
                  <c:v>-16938.831025012114</c:v>
                </c:pt>
                <c:pt idx="332">
                  <c:v>-16909.683424993756</c:v>
                </c:pt>
                <c:pt idx="333">
                  <c:v>-16881.477165340712</c:v>
                </c:pt>
                <c:pt idx="334">
                  <c:v>-16854.220837952915</c:v>
                </c:pt>
                <c:pt idx="335">
                  <c:v>-16827.922745371725</c:v>
                </c:pt>
                <c:pt idx="336">
                  <c:v>-16802.590898250895</c:v>
                </c:pt>
                <c:pt idx="337">
                  <c:v>-16778.233012916462</c:v>
                </c:pt>
                <c:pt idx="338">
                  <c:v>-16754.856509016245</c:v>
                </c:pt>
                <c:pt idx="339">
                  <c:v>-16732.468507259793</c:v>
                </c:pt>
                <c:pt idx="340">
                  <c:v>-16711.075827249319</c:v>
                </c:pt>
                <c:pt idx="341">
                  <c:v>-16690.684985402393</c:v>
                </c:pt>
                <c:pt idx="342">
                  <c:v>-16671.302192966963</c:v>
                </c:pt>
                <c:pt idx="343">
                  <c:v>-16652.933354129374</c:v>
                </c:pt>
                <c:pt idx="344">
                  <c:v>-16635.584064215884</c:v>
                </c:pt>
                <c:pt idx="345">
                  <c:v>-16619.259607988261</c:v>
                </c:pt>
                <c:pt idx="346">
                  <c:v>-16603.964958034012</c:v>
                </c:pt>
                <c:pt idx="347">
                  <c:v>-16589.704773251677</c:v>
                </c:pt>
                <c:pt idx="348">
                  <c:v>-16576.483397431679</c:v>
                </c:pt>
                <c:pt idx="349">
                  <c:v>-16564.304857933177</c:v>
                </c:pt>
                <c:pt idx="350">
                  <c:v>-16553.172864457272</c:v>
                </c:pt>
                <c:pt idx="351">
                  <c:v>-16543.090807917019</c:v>
                </c:pt>
                <c:pt idx="352">
                  <c:v>-16534.061759404503</c:v>
                </c:pt>
                <c:pt idx="353">
                  <c:v>-16526.088469255374</c:v>
                </c:pt>
                <c:pt idx="354">
                  <c:v>-16519.173366211042</c:v>
                </c:pt>
                <c:pt idx="355">
                  <c:v>-16513.318556678889</c:v>
                </c:pt>
                <c:pt idx="356">
                  <c:v>-16508.525824090615</c:v>
                </c:pt>
                <c:pt idx="357">
                  <c:v>-16504.796628358992</c:v>
                </c:pt>
                <c:pt idx="358">
                  <c:v>-16502.132105433164</c:v>
                </c:pt>
                <c:pt idx="359">
                  <c:v>-16500.53306695263</c:v>
                </c:pt>
                <c:pt idx="360">
                  <c:v>-16500</c:v>
                </c:pt>
              </c:numCache>
            </c:numRef>
          </c:xVal>
          <c:yVal>
            <c:numRef>
              <c:f>'Conditions initiales'!$AB$43:$AB$403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4B-4509-947B-FDCD5231E0E5}"/>
            </c:ext>
          </c:extLst>
        </c:ser>
        <c:ser>
          <c:idx val="3"/>
          <c:order val="3"/>
          <c:tx>
            <c:v>Planete3</c:v>
          </c:tx>
          <c:spPr>
            <a:ln w="127000" cap="rnd">
              <a:solidFill>
                <a:srgbClr val="00B0F0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initiales'!$AC$43:$AC$403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'Conditions initiales'!$AD$43:$AD$403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4B-4509-947B-FDCD5231E0E5}"/>
            </c:ext>
          </c:extLst>
        </c:ser>
        <c:ser>
          <c:idx val="4"/>
          <c:order val="4"/>
          <c:tx>
            <c:v>Étoile</c:v>
          </c:tx>
          <c:spPr>
            <a:ln w="19050" cap="rnd">
              <a:gradFill flip="none" rotWithShape="1">
                <a:gsLst>
                  <a:gs pos="86000">
                    <a:schemeClr val="accent2">
                      <a:lumMod val="0"/>
                      <a:lumOff val="100000"/>
                    </a:schemeClr>
                  </a:gs>
                  <a:gs pos="100000">
                    <a:schemeClr val="accent2">
                      <a:lumMod val="0"/>
                      <a:lumOff val="100000"/>
                    </a:schemeClr>
                  </a:gs>
                  <a:gs pos="45000">
                    <a:schemeClr val="accent2">
                      <a:lumMod val="100000"/>
                    </a:schemeClr>
                  </a:gs>
                </a:gsLst>
                <a:path path="shape">
                  <a:fillToRect l="50000" t="50000" r="50000" b="50000"/>
                </a:path>
                <a:tileRect/>
              </a:gradFill>
              <a:round/>
            </a:ln>
            <a:effectLst/>
          </c:spPr>
          <c:marker>
            <c:symbol val="none"/>
          </c:marker>
          <c:xVal>
            <c:numRef>
              <c:f>'Simulation mouvement'!$C$36:$M$36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3000</c:v>
                </c:pt>
                <c:pt idx="3">
                  <c:v>1000</c:v>
                </c:pt>
                <c:pt idx="4">
                  <c:v>2000</c:v>
                </c:pt>
                <c:pt idx="5">
                  <c:v>0</c:v>
                </c:pt>
                <c:pt idx="6">
                  <c:v>-2000</c:v>
                </c:pt>
                <c:pt idx="7">
                  <c:v>-1000</c:v>
                </c:pt>
                <c:pt idx="8">
                  <c:v>-3000</c:v>
                </c:pt>
                <c:pt idx="9">
                  <c:v>-1000</c:v>
                </c:pt>
                <c:pt idx="10">
                  <c:v>0</c:v>
                </c:pt>
              </c:numCache>
            </c:numRef>
          </c:xVal>
          <c:yVal>
            <c:numRef>
              <c:f>'Simulation mouvement'!$C$37:$M$37</c:f>
              <c:numCache>
                <c:formatCode>General</c:formatCode>
                <c:ptCount val="11"/>
                <c:pt idx="0">
                  <c:v>3000</c:v>
                </c:pt>
                <c:pt idx="1">
                  <c:v>750</c:v>
                </c:pt>
                <c:pt idx="2">
                  <c:v>500</c:v>
                </c:pt>
                <c:pt idx="3">
                  <c:v>-750</c:v>
                </c:pt>
                <c:pt idx="4">
                  <c:v>-3000</c:v>
                </c:pt>
                <c:pt idx="5">
                  <c:v>-1500</c:v>
                </c:pt>
                <c:pt idx="6">
                  <c:v>-3000</c:v>
                </c:pt>
                <c:pt idx="7">
                  <c:v>-750</c:v>
                </c:pt>
                <c:pt idx="8">
                  <c:v>500</c:v>
                </c:pt>
                <c:pt idx="9">
                  <c:v>750</c:v>
                </c:pt>
                <c:pt idx="10">
                  <c:v>3000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6C-443A-993A-262E46530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valAx>
        <c:axId val="1288773680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288763696"/>
        <c:crosses val="autoZero"/>
        <c:crossBetween val="midCat"/>
      </c:valAx>
      <c:valAx>
        <c:axId val="128876369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28877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sphere">
      <a:fgClr>
        <a:schemeClr val="accent1">
          <a:lumMod val="50000"/>
        </a:schemeClr>
      </a:fgClr>
      <a:bgClr>
        <a:schemeClr val="accent5">
          <a:lumMod val="50000"/>
        </a:schemeClr>
      </a:bgClr>
    </a:pattFill>
    <a:ln w="38100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374761608036396E-3"/>
          <c:y val="1.0624671916010499E-2"/>
          <c:w val="0.9897342994192847"/>
          <c:h val="0.98314119103171094"/>
        </c:manualLayout>
      </c:layout>
      <c:scatterChart>
        <c:scatterStyle val="smoothMarker"/>
        <c:varyColors val="0"/>
        <c:ser>
          <c:idx val="1"/>
          <c:order val="0"/>
          <c:tx>
            <c:v>Planete1</c:v>
          </c:tx>
          <c:spPr>
            <a:ln w="63500" cap="rnd">
              <a:solidFill>
                <a:srgbClr val="F42A7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initiales'!$Y$43:$Y$403</c:f>
              <c:numCache>
                <c:formatCode>General</c:formatCode>
                <c:ptCount val="361"/>
                <c:pt idx="0">
                  <c:v>15000</c:v>
                </c:pt>
                <c:pt idx="1">
                  <c:v>14999.238475781956</c:v>
                </c:pt>
                <c:pt idx="2">
                  <c:v>14996.954135095479</c:v>
                </c:pt>
                <c:pt idx="3">
                  <c:v>14993.14767377287</c:v>
                </c:pt>
                <c:pt idx="4">
                  <c:v>14987.820251299121</c:v>
                </c:pt>
                <c:pt idx="5">
                  <c:v>14980.973490458728</c:v>
                </c:pt>
                <c:pt idx="6">
                  <c:v>14972.609476841368</c:v>
                </c:pt>
                <c:pt idx="7">
                  <c:v>14962.73075820661</c:v>
                </c:pt>
                <c:pt idx="8">
                  <c:v>14951.340343707852</c:v>
                </c:pt>
                <c:pt idx="9">
                  <c:v>14938.441702975688</c:v>
                </c:pt>
                <c:pt idx="10">
                  <c:v>14924.038765061039</c:v>
                </c:pt>
                <c:pt idx="11">
                  <c:v>14908.13591723832</c:v>
                </c:pt>
                <c:pt idx="12">
                  <c:v>14890.738003669028</c:v>
                </c:pt>
                <c:pt idx="13">
                  <c:v>14871.850323926177</c:v>
                </c:pt>
                <c:pt idx="14">
                  <c:v>14851.478631379981</c:v>
                </c:pt>
                <c:pt idx="15">
                  <c:v>14829.629131445341</c:v>
                </c:pt>
                <c:pt idx="16">
                  <c:v>14806.308479691594</c:v>
                </c:pt>
                <c:pt idx="17">
                  <c:v>14781.523779815177</c:v>
                </c:pt>
                <c:pt idx="18">
                  <c:v>14755.282581475767</c:v>
                </c:pt>
                <c:pt idx="19">
                  <c:v>14727.592877996583</c:v>
                </c:pt>
                <c:pt idx="20">
                  <c:v>14698.463103929542</c:v>
                </c:pt>
                <c:pt idx="21">
                  <c:v>14667.902132486008</c:v>
                </c:pt>
                <c:pt idx="22">
                  <c:v>14635.919272833937</c:v>
                </c:pt>
                <c:pt idx="23">
                  <c:v>14602.524267262201</c:v>
                </c:pt>
                <c:pt idx="24">
                  <c:v>14567.727288213006</c:v>
                </c:pt>
                <c:pt idx="25">
                  <c:v>14531.538935183249</c:v>
                </c:pt>
                <c:pt idx="26">
                  <c:v>14493.970231495834</c:v>
                </c:pt>
                <c:pt idx="27">
                  <c:v>14455.03262094184</c:v>
                </c:pt>
                <c:pt idx="28">
                  <c:v>14414.737964294636</c:v>
                </c:pt>
                <c:pt idx="29">
                  <c:v>14373.09853569698</c:v>
                </c:pt>
                <c:pt idx="30">
                  <c:v>14330.127018922194</c:v>
                </c:pt>
                <c:pt idx="31">
                  <c:v>14285.836503510562</c:v>
                </c:pt>
                <c:pt idx="32">
                  <c:v>14240.240480782129</c:v>
                </c:pt>
                <c:pt idx="33">
                  <c:v>14193.35283972712</c:v>
                </c:pt>
                <c:pt idx="34">
                  <c:v>14145.187862775208</c:v>
                </c:pt>
                <c:pt idx="35">
                  <c:v>14095.760221444958</c:v>
                </c:pt>
                <c:pt idx="36">
                  <c:v>14045.084971874738</c:v>
                </c:pt>
                <c:pt idx="37">
                  <c:v>13993.177550236464</c:v>
                </c:pt>
                <c:pt idx="38">
                  <c:v>13940.053768033609</c:v>
                </c:pt>
                <c:pt idx="39">
                  <c:v>13885.729807284853</c:v>
                </c:pt>
                <c:pt idx="40">
                  <c:v>13830.222215594891</c:v>
                </c:pt>
                <c:pt idx="41">
                  <c:v>13773.54790111386</c:v>
                </c:pt>
                <c:pt idx="42">
                  <c:v>13715.724127386971</c:v>
                </c:pt>
                <c:pt idx="43">
                  <c:v>13656.768508095853</c:v>
                </c:pt>
                <c:pt idx="44">
                  <c:v>13596.699001693256</c:v>
                </c:pt>
                <c:pt idx="45">
                  <c:v>13535.533905932738</c:v>
                </c:pt>
                <c:pt idx="46">
                  <c:v>13473.291852294988</c:v>
                </c:pt>
                <c:pt idx="47">
                  <c:v>13409.991800312491</c:v>
                </c:pt>
                <c:pt idx="48">
                  <c:v>13345.653031794291</c:v>
                </c:pt>
                <c:pt idx="49">
                  <c:v>13280.295144952535</c:v>
                </c:pt>
                <c:pt idx="50">
                  <c:v>13213.938048432698</c:v>
                </c:pt>
                <c:pt idx="51">
                  <c:v>13146.601955249187</c:v>
                </c:pt>
                <c:pt idx="52">
                  <c:v>13078.307376628291</c:v>
                </c:pt>
                <c:pt idx="53">
                  <c:v>13009.075115760243</c:v>
                </c:pt>
                <c:pt idx="54">
                  <c:v>12938.926261462366</c:v>
                </c:pt>
                <c:pt idx="55">
                  <c:v>12867.882181755231</c:v>
                </c:pt>
                <c:pt idx="56">
                  <c:v>12795.964517353734</c:v>
                </c:pt>
                <c:pt idx="57">
                  <c:v>12723.195175075136</c:v>
                </c:pt>
                <c:pt idx="58">
                  <c:v>12649.596321166024</c:v>
                </c:pt>
                <c:pt idx="59">
                  <c:v>12575.190374550271</c:v>
                </c:pt>
                <c:pt idx="60">
                  <c:v>12500</c:v>
                </c:pt>
                <c:pt idx="61">
                  <c:v>12424.048101231685</c:v>
                </c:pt>
                <c:pt idx="62">
                  <c:v>12347.357813929455</c:v>
                </c:pt>
                <c:pt idx="63">
                  <c:v>12269.952498697734</c:v>
                </c:pt>
                <c:pt idx="64">
                  <c:v>12191.855733945387</c:v>
                </c:pt>
                <c:pt idx="65">
                  <c:v>12113.091308703497</c:v>
                </c:pt>
                <c:pt idx="66">
                  <c:v>12033.683215379002</c:v>
                </c:pt>
                <c:pt idx="67">
                  <c:v>11953.655642446371</c:v>
                </c:pt>
                <c:pt idx="68">
                  <c:v>11873.03296707956</c:v>
                </c:pt>
                <c:pt idx="69">
                  <c:v>11791.839747726503</c:v>
                </c:pt>
                <c:pt idx="70">
                  <c:v>11710.100716628343</c:v>
                </c:pt>
                <c:pt idx="71">
                  <c:v>11627.840772285785</c:v>
                </c:pt>
                <c:pt idx="72">
                  <c:v>11545.084971874738</c:v>
                </c:pt>
                <c:pt idx="73">
                  <c:v>11461.858523613684</c:v>
                </c:pt>
                <c:pt idx="74">
                  <c:v>11378.186779084996</c:v>
                </c:pt>
                <c:pt idx="75">
                  <c:v>11294.095225512603</c:v>
                </c:pt>
                <c:pt idx="76">
                  <c:v>11209.60947799834</c:v>
                </c:pt>
                <c:pt idx="77">
                  <c:v>11124.755271719325</c:v>
                </c:pt>
                <c:pt idx="78">
                  <c:v>11039.558454088798</c:v>
                </c:pt>
                <c:pt idx="79">
                  <c:v>10954.044976882724</c:v>
                </c:pt>
                <c:pt idx="80">
                  <c:v>10868.240888334652</c:v>
                </c:pt>
                <c:pt idx="81">
                  <c:v>10782.172325201154</c:v>
                </c:pt>
                <c:pt idx="82">
                  <c:v>10695.865504800329</c:v>
                </c:pt>
                <c:pt idx="83">
                  <c:v>10609.346717025737</c:v>
                </c:pt>
                <c:pt idx="84">
                  <c:v>10522.642316338268</c:v>
                </c:pt>
                <c:pt idx="85">
                  <c:v>10435.778713738291</c:v>
                </c:pt>
                <c:pt idx="86">
                  <c:v>10348.782368720627</c:v>
                </c:pt>
                <c:pt idx="87">
                  <c:v>10261.67978121472</c:v>
                </c:pt>
                <c:pt idx="88">
                  <c:v>10174.497483512505</c:v>
                </c:pt>
                <c:pt idx="89">
                  <c:v>10087.262032186416</c:v>
                </c:pt>
                <c:pt idx="90">
                  <c:v>10000</c:v>
                </c:pt>
                <c:pt idx="91">
                  <c:v>9912.7379678135821</c:v>
                </c:pt>
                <c:pt idx="92">
                  <c:v>9825.5025164874969</c:v>
                </c:pt>
                <c:pt idx="93">
                  <c:v>9738.3202187852821</c:v>
                </c:pt>
                <c:pt idx="94">
                  <c:v>9651.2176312793727</c:v>
                </c:pt>
                <c:pt idx="95">
                  <c:v>9564.2212862617089</c:v>
                </c:pt>
                <c:pt idx="96">
                  <c:v>9477.357683661734</c:v>
                </c:pt>
                <c:pt idx="97">
                  <c:v>9390.6532829742628</c:v>
                </c:pt>
                <c:pt idx="98">
                  <c:v>9304.1344951996725</c:v>
                </c:pt>
                <c:pt idx="99">
                  <c:v>9217.8276747988457</c:v>
                </c:pt>
                <c:pt idx="100">
                  <c:v>9131.7591116653493</c:v>
                </c:pt>
                <c:pt idx="101">
                  <c:v>9045.9550231172761</c:v>
                </c:pt>
                <c:pt idx="102">
                  <c:v>8960.4415459112042</c:v>
                </c:pt>
                <c:pt idx="103">
                  <c:v>8875.2447282806752</c:v>
                </c:pt>
                <c:pt idx="104">
                  <c:v>8790.3905220016604</c:v>
                </c:pt>
                <c:pt idx="105">
                  <c:v>8705.9047744873951</c:v>
                </c:pt>
                <c:pt idx="106">
                  <c:v>8621.8132209150044</c:v>
                </c:pt>
                <c:pt idx="107">
                  <c:v>8538.1414763863177</c:v>
                </c:pt>
                <c:pt idx="108">
                  <c:v>8454.9150281252623</c:v>
                </c:pt>
                <c:pt idx="109">
                  <c:v>8372.1592277142172</c:v>
                </c:pt>
                <c:pt idx="110">
                  <c:v>8289.8992833716566</c:v>
                </c:pt>
                <c:pt idx="111">
                  <c:v>8208.1602522734993</c:v>
                </c:pt>
                <c:pt idx="112">
                  <c:v>8126.96703292044</c:v>
                </c:pt>
                <c:pt idx="113">
                  <c:v>8046.3443575536321</c:v>
                </c:pt>
                <c:pt idx="114">
                  <c:v>7966.3167846209999</c:v>
                </c:pt>
                <c:pt idx="115">
                  <c:v>7886.9086912965031</c:v>
                </c:pt>
                <c:pt idx="116">
                  <c:v>7808.1442660546127</c:v>
                </c:pt>
                <c:pt idx="117">
                  <c:v>7730.047501302266</c:v>
                </c:pt>
                <c:pt idx="118">
                  <c:v>7652.6421860705468</c:v>
                </c:pt>
                <c:pt idx="119">
                  <c:v>7575.951898768315</c:v>
                </c:pt>
                <c:pt idx="120">
                  <c:v>7500.0000000000009</c:v>
                </c:pt>
                <c:pt idx="121">
                  <c:v>7424.8096254497286</c:v>
                </c:pt>
                <c:pt idx="122">
                  <c:v>7350.4036788339763</c:v>
                </c:pt>
                <c:pt idx="123">
                  <c:v>7276.8048249248641</c:v>
                </c:pt>
                <c:pt idx="124">
                  <c:v>7204.0354826462662</c:v>
                </c:pt>
                <c:pt idx="125">
                  <c:v>7132.1178182447711</c:v>
                </c:pt>
                <c:pt idx="126">
                  <c:v>7061.0737385376342</c:v>
                </c:pt>
                <c:pt idx="127">
                  <c:v>6990.9248842397583</c:v>
                </c:pt>
                <c:pt idx="128">
                  <c:v>6921.6926233717086</c:v>
                </c:pt>
                <c:pt idx="129">
                  <c:v>6853.3980447508138</c:v>
                </c:pt>
                <c:pt idx="130">
                  <c:v>6786.0619515673034</c:v>
                </c:pt>
                <c:pt idx="131">
                  <c:v>6719.7048550474628</c:v>
                </c:pt>
                <c:pt idx="132">
                  <c:v>6654.3469682057093</c:v>
                </c:pt>
                <c:pt idx="133">
                  <c:v>6590.0081996875087</c:v>
                </c:pt>
                <c:pt idx="134">
                  <c:v>6526.7081477050142</c:v>
                </c:pt>
                <c:pt idx="135">
                  <c:v>6464.466094067262</c:v>
                </c:pt>
                <c:pt idx="136">
                  <c:v>6403.3009983067441</c:v>
                </c:pt>
                <c:pt idx="137">
                  <c:v>6343.2314919041473</c:v>
                </c:pt>
                <c:pt idx="138">
                  <c:v>6284.2758726130305</c:v>
                </c:pt>
                <c:pt idx="139">
                  <c:v>6226.4520988861404</c:v>
                </c:pt>
                <c:pt idx="140">
                  <c:v>6169.7777844051107</c:v>
                </c:pt>
                <c:pt idx="141">
                  <c:v>6114.2701927151465</c:v>
                </c:pt>
                <c:pt idx="142">
                  <c:v>6059.9462319663908</c:v>
                </c:pt>
                <c:pt idx="143">
                  <c:v>6006.8224497635347</c:v>
                </c:pt>
                <c:pt idx="144">
                  <c:v>5954.9150281252632</c:v>
                </c:pt>
                <c:pt idx="145">
                  <c:v>5904.239778555042</c:v>
                </c:pt>
                <c:pt idx="146">
                  <c:v>5854.8121372247915</c:v>
                </c:pt>
                <c:pt idx="147">
                  <c:v>5806.6471602728789</c:v>
                </c:pt>
                <c:pt idx="148">
                  <c:v>5759.7595192178705</c:v>
                </c:pt>
                <c:pt idx="149">
                  <c:v>5714.1634964894392</c:v>
                </c:pt>
                <c:pt idx="150">
                  <c:v>5669.8729810778068</c:v>
                </c:pt>
                <c:pt idx="151">
                  <c:v>5626.9014643030214</c:v>
                </c:pt>
                <c:pt idx="152">
                  <c:v>5585.2620357053665</c:v>
                </c:pt>
                <c:pt idx="153">
                  <c:v>5544.967379058161</c:v>
                </c:pt>
                <c:pt idx="154">
                  <c:v>5506.0297685041651</c:v>
                </c:pt>
                <c:pt idx="155">
                  <c:v>5468.46106481675</c:v>
                </c:pt>
                <c:pt idx="156">
                  <c:v>5432.2727117869963</c:v>
                </c:pt>
                <c:pt idx="157">
                  <c:v>5397.4757327377993</c:v>
                </c:pt>
                <c:pt idx="158">
                  <c:v>5364.0807271660633</c:v>
                </c:pt>
                <c:pt idx="159">
                  <c:v>5332.0978675139913</c:v>
                </c:pt>
                <c:pt idx="160">
                  <c:v>5301.5368960704582</c:v>
                </c:pt>
                <c:pt idx="161">
                  <c:v>5272.4071220034166</c:v>
                </c:pt>
                <c:pt idx="162">
                  <c:v>5244.717418524232</c:v>
                </c:pt>
                <c:pt idx="163">
                  <c:v>5218.4762201848225</c:v>
                </c:pt>
                <c:pt idx="164">
                  <c:v>5193.6915203084063</c:v>
                </c:pt>
                <c:pt idx="165">
                  <c:v>5170.370868554659</c:v>
                </c:pt>
                <c:pt idx="166">
                  <c:v>5148.5213686200177</c:v>
                </c:pt>
                <c:pt idx="167">
                  <c:v>5128.1496760738237</c:v>
                </c:pt>
                <c:pt idx="168">
                  <c:v>5109.2619963309717</c:v>
                </c:pt>
                <c:pt idx="169">
                  <c:v>5091.86408276168</c:v>
                </c:pt>
                <c:pt idx="170">
                  <c:v>5075.9612349389599</c:v>
                </c:pt>
                <c:pt idx="171">
                  <c:v>5061.5582970243113</c:v>
                </c:pt>
                <c:pt idx="172">
                  <c:v>5048.6596562921486</c:v>
                </c:pt>
                <c:pt idx="173">
                  <c:v>5037.2692417933904</c:v>
                </c:pt>
                <c:pt idx="174">
                  <c:v>5027.3905231586332</c:v>
                </c:pt>
                <c:pt idx="175">
                  <c:v>5019.0265095412724</c:v>
                </c:pt>
                <c:pt idx="176">
                  <c:v>5012.1797487008789</c:v>
                </c:pt>
                <c:pt idx="177">
                  <c:v>5006.852326227131</c:v>
                </c:pt>
                <c:pt idx="178">
                  <c:v>5003.0458649045213</c:v>
                </c:pt>
                <c:pt idx="179">
                  <c:v>5000.7615242180436</c:v>
                </c:pt>
                <c:pt idx="180">
                  <c:v>5000</c:v>
                </c:pt>
                <c:pt idx="181">
                  <c:v>5000.7615242180436</c:v>
                </c:pt>
                <c:pt idx="182">
                  <c:v>5003.0458649045213</c:v>
                </c:pt>
                <c:pt idx="183">
                  <c:v>5006.852326227131</c:v>
                </c:pt>
                <c:pt idx="184">
                  <c:v>5012.179748700878</c:v>
                </c:pt>
                <c:pt idx="185">
                  <c:v>5019.0265095412724</c:v>
                </c:pt>
                <c:pt idx="186">
                  <c:v>5027.3905231586332</c:v>
                </c:pt>
                <c:pt idx="187">
                  <c:v>5037.2692417933904</c:v>
                </c:pt>
                <c:pt idx="188">
                  <c:v>5048.6596562921486</c:v>
                </c:pt>
                <c:pt idx="189">
                  <c:v>5061.5582970243113</c:v>
                </c:pt>
                <c:pt idx="190">
                  <c:v>5075.9612349389599</c:v>
                </c:pt>
                <c:pt idx="191">
                  <c:v>5091.86408276168</c:v>
                </c:pt>
                <c:pt idx="192">
                  <c:v>5109.2619963309717</c:v>
                </c:pt>
                <c:pt idx="193">
                  <c:v>5128.1496760738237</c:v>
                </c:pt>
                <c:pt idx="194">
                  <c:v>5148.5213686200177</c:v>
                </c:pt>
                <c:pt idx="195">
                  <c:v>5170.370868554658</c:v>
                </c:pt>
                <c:pt idx="196">
                  <c:v>5193.6915203084054</c:v>
                </c:pt>
                <c:pt idx="197">
                  <c:v>5218.4762201848225</c:v>
                </c:pt>
                <c:pt idx="198">
                  <c:v>5244.717418524232</c:v>
                </c:pt>
                <c:pt idx="199">
                  <c:v>5272.4071220034166</c:v>
                </c:pt>
                <c:pt idx="200">
                  <c:v>5301.5368960704582</c:v>
                </c:pt>
                <c:pt idx="201">
                  <c:v>5332.0978675139913</c:v>
                </c:pt>
                <c:pt idx="202">
                  <c:v>5364.0807271660633</c:v>
                </c:pt>
                <c:pt idx="203">
                  <c:v>5397.4757327377984</c:v>
                </c:pt>
                <c:pt idx="204">
                  <c:v>5432.2727117869945</c:v>
                </c:pt>
                <c:pt idx="205">
                  <c:v>5468.46106481675</c:v>
                </c:pt>
                <c:pt idx="206">
                  <c:v>5506.0297685041642</c:v>
                </c:pt>
                <c:pt idx="207">
                  <c:v>5544.9673790581592</c:v>
                </c:pt>
                <c:pt idx="208">
                  <c:v>5585.2620357053656</c:v>
                </c:pt>
                <c:pt idx="209">
                  <c:v>5626.9014643030205</c:v>
                </c:pt>
                <c:pt idx="210">
                  <c:v>5669.8729810778068</c:v>
                </c:pt>
                <c:pt idx="211">
                  <c:v>5714.1634964894383</c:v>
                </c:pt>
                <c:pt idx="212">
                  <c:v>5759.7595192178696</c:v>
                </c:pt>
                <c:pt idx="213">
                  <c:v>5806.6471602728798</c:v>
                </c:pt>
                <c:pt idx="214">
                  <c:v>5854.8121372247906</c:v>
                </c:pt>
                <c:pt idx="215">
                  <c:v>5904.2397785550402</c:v>
                </c:pt>
                <c:pt idx="216">
                  <c:v>5954.9150281252623</c:v>
                </c:pt>
                <c:pt idx="217">
                  <c:v>6006.8224497635347</c:v>
                </c:pt>
                <c:pt idx="218">
                  <c:v>6059.946231966389</c:v>
                </c:pt>
                <c:pt idx="219">
                  <c:v>6114.2701927151465</c:v>
                </c:pt>
                <c:pt idx="220">
                  <c:v>6169.7777844051097</c:v>
                </c:pt>
                <c:pt idx="221">
                  <c:v>6226.4520988861404</c:v>
                </c:pt>
                <c:pt idx="222">
                  <c:v>6284.2758726130287</c:v>
                </c:pt>
                <c:pt idx="223">
                  <c:v>6343.2314919041473</c:v>
                </c:pt>
                <c:pt idx="224">
                  <c:v>6403.3009983067441</c:v>
                </c:pt>
                <c:pt idx="225">
                  <c:v>6464.466094067262</c:v>
                </c:pt>
                <c:pt idx="226">
                  <c:v>6526.7081477050124</c:v>
                </c:pt>
                <c:pt idx="227">
                  <c:v>6590.0081996875051</c:v>
                </c:pt>
                <c:pt idx="228">
                  <c:v>6654.3469682057075</c:v>
                </c:pt>
                <c:pt idx="229">
                  <c:v>6719.7048550474619</c:v>
                </c:pt>
                <c:pt idx="230">
                  <c:v>6786.0619515673025</c:v>
                </c:pt>
                <c:pt idx="231">
                  <c:v>6853.3980447508147</c:v>
                </c:pt>
                <c:pt idx="232">
                  <c:v>6921.6926233717095</c:v>
                </c:pt>
                <c:pt idx="233">
                  <c:v>6990.9248842397592</c:v>
                </c:pt>
                <c:pt idx="234">
                  <c:v>7061.0737385376342</c:v>
                </c:pt>
                <c:pt idx="235">
                  <c:v>7132.1178182447675</c:v>
                </c:pt>
                <c:pt idx="236">
                  <c:v>7204.0354826462644</c:v>
                </c:pt>
                <c:pt idx="237">
                  <c:v>7276.804824924865</c:v>
                </c:pt>
                <c:pt idx="238">
                  <c:v>7350.4036788339745</c:v>
                </c:pt>
                <c:pt idx="239">
                  <c:v>7424.8096254497277</c:v>
                </c:pt>
                <c:pt idx="240">
                  <c:v>7499.9999999999982</c:v>
                </c:pt>
                <c:pt idx="241">
                  <c:v>7575.9518987683159</c:v>
                </c:pt>
                <c:pt idx="242">
                  <c:v>7652.6421860705468</c:v>
                </c:pt>
                <c:pt idx="243">
                  <c:v>7730.047501302266</c:v>
                </c:pt>
                <c:pt idx="244">
                  <c:v>7808.1442660546109</c:v>
                </c:pt>
                <c:pt idx="245">
                  <c:v>7886.9086912965004</c:v>
                </c:pt>
                <c:pt idx="246">
                  <c:v>7966.3167846209999</c:v>
                </c:pt>
                <c:pt idx="247">
                  <c:v>8046.3443575536312</c:v>
                </c:pt>
                <c:pt idx="248">
                  <c:v>8126.9670329204382</c:v>
                </c:pt>
                <c:pt idx="249">
                  <c:v>8208.1602522734956</c:v>
                </c:pt>
                <c:pt idx="250">
                  <c:v>8289.8992833716529</c:v>
                </c:pt>
                <c:pt idx="251">
                  <c:v>8372.1592277142172</c:v>
                </c:pt>
                <c:pt idx="252">
                  <c:v>8454.9150281252623</c:v>
                </c:pt>
                <c:pt idx="253">
                  <c:v>8538.141476386314</c:v>
                </c:pt>
                <c:pt idx="254">
                  <c:v>8621.8132209150062</c:v>
                </c:pt>
                <c:pt idx="255">
                  <c:v>8705.9047744873969</c:v>
                </c:pt>
                <c:pt idx="256">
                  <c:v>8790.3905220016604</c:v>
                </c:pt>
                <c:pt idx="257">
                  <c:v>8875.2447282806734</c:v>
                </c:pt>
                <c:pt idx="258">
                  <c:v>8960.4415459112006</c:v>
                </c:pt>
                <c:pt idx="259">
                  <c:v>9045.9550231172725</c:v>
                </c:pt>
                <c:pt idx="260">
                  <c:v>9131.7591116653475</c:v>
                </c:pt>
                <c:pt idx="261">
                  <c:v>9217.8276747988457</c:v>
                </c:pt>
                <c:pt idx="262">
                  <c:v>9304.1344951996762</c:v>
                </c:pt>
                <c:pt idx="263">
                  <c:v>9390.6532829742646</c:v>
                </c:pt>
                <c:pt idx="264">
                  <c:v>9477.357683661734</c:v>
                </c:pt>
                <c:pt idx="265">
                  <c:v>9564.2212862617089</c:v>
                </c:pt>
                <c:pt idx="266">
                  <c:v>9651.2176312793727</c:v>
                </c:pt>
                <c:pt idx="267">
                  <c:v>9738.3202187852785</c:v>
                </c:pt>
                <c:pt idx="268">
                  <c:v>9825.5025164874914</c:v>
                </c:pt>
                <c:pt idx="269">
                  <c:v>9912.7379678135821</c:v>
                </c:pt>
                <c:pt idx="270">
                  <c:v>9999.9999999999982</c:v>
                </c:pt>
                <c:pt idx="271">
                  <c:v>10087.262032186416</c:v>
                </c:pt>
                <c:pt idx="272">
                  <c:v>10174.497483512507</c:v>
                </c:pt>
                <c:pt idx="273">
                  <c:v>10261.67978121472</c:v>
                </c:pt>
                <c:pt idx="274">
                  <c:v>10348.782368720626</c:v>
                </c:pt>
                <c:pt idx="275">
                  <c:v>10435.778713738289</c:v>
                </c:pt>
                <c:pt idx="276">
                  <c:v>10522.642316338264</c:v>
                </c:pt>
                <c:pt idx="277">
                  <c:v>10609.346717025739</c:v>
                </c:pt>
                <c:pt idx="278">
                  <c:v>10695.865504800327</c:v>
                </c:pt>
                <c:pt idx="279">
                  <c:v>10782.172325201154</c:v>
                </c:pt>
                <c:pt idx="280">
                  <c:v>10868.240888334651</c:v>
                </c:pt>
                <c:pt idx="281">
                  <c:v>10954.044976882722</c:v>
                </c:pt>
                <c:pt idx="282">
                  <c:v>11039.558454088792</c:v>
                </c:pt>
                <c:pt idx="283">
                  <c:v>11124.755271719325</c:v>
                </c:pt>
                <c:pt idx="284">
                  <c:v>11209.609477998338</c:v>
                </c:pt>
                <c:pt idx="285">
                  <c:v>11294.095225512605</c:v>
                </c:pt>
                <c:pt idx="286">
                  <c:v>11378.186779084997</c:v>
                </c:pt>
                <c:pt idx="287">
                  <c:v>11461.858523613684</c:v>
                </c:pt>
                <c:pt idx="288">
                  <c:v>11545.084971874736</c:v>
                </c:pt>
                <c:pt idx="289">
                  <c:v>11627.840772285781</c:v>
                </c:pt>
                <c:pt idx="290">
                  <c:v>11710.100716628342</c:v>
                </c:pt>
                <c:pt idx="291">
                  <c:v>11791.839747726497</c:v>
                </c:pt>
                <c:pt idx="292">
                  <c:v>11873.03296707956</c:v>
                </c:pt>
                <c:pt idx="293">
                  <c:v>11953.655642446367</c:v>
                </c:pt>
                <c:pt idx="294">
                  <c:v>12033.683215379002</c:v>
                </c:pt>
                <c:pt idx="295">
                  <c:v>12113.091308703497</c:v>
                </c:pt>
                <c:pt idx="296">
                  <c:v>12191.855733945387</c:v>
                </c:pt>
                <c:pt idx="297">
                  <c:v>12269.952498697734</c:v>
                </c:pt>
                <c:pt idx="298">
                  <c:v>12347.357813929451</c:v>
                </c:pt>
                <c:pt idx="299">
                  <c:v>12424.048101231683</c:v>
                </c:pt>
                <c:pt idx="300">
                  <c:v>12500</c:v>
                </c:pt>
                <c:pt idx="301">
                  <c:v>12575.190374550271</c:v>
                </c:pt>
                <c:pt idx="302">
                  <c:v>12649.596321166024</c:v>
                </c:pt>
                <c:pt idx="303">
                  <c:v>12723.195175075132</c:v>
                </c:pt>
                <c:pt idx="304">
                  <c:v>12795.964517353732</c:v>
                </c:pt>
                <c:pt idx="305">
                  <c:v>12867.882181755231</c:v>
                </c:pt>
                <c:pt idx="306">
                  <c:v>12938.926261462364</c:v>
                </c:pt>
                <c:pt idx="307">
                  <c:v>13009.075115760239</c:v>
                </c:pt>
                <c:pt idx="308">
                  <c:v>13078.307376628292</c:v>
                </c:pt>
                <c:pt idx="309">
                  <c:v>13146.601955249187</c:v>
                </c:pt>
                <c:pt idx="310">
                  <c:v>13213.938048432696</c:v>
                </c:pt>
                <c:pt idx="311">
                  <c:v>13280.295144952535</c:v>
                </c:pt>
                <c:pt idx="312">
                  <c:v>13345.653031794289</c:v>
                </c:pt>
                <c:pt idx="313">
                  <c:v>13409.991800312491</c:v>
                </c:pt>
                <c:pt idx="314">
                  <c:v>13473.291852294984</c:v>
                </c:pt>
                <c:pt idx="315">
                  <c:v>13535.533905932736</c:v>
                </c:pt>
                <c:pt idx="316">
                  <c:v>13596.699001693254</c:v>
                </c:pt>
                <c:pt idx="317">
                  <c:v>13656.768508095854</c:v>
                </c:pt>
                <c:pt idx="318">
                  <c:v>13715.724127386971</c:v>
                </c:pt>
                <c:pt idx="319">
                  <c:v>13773.54790111386</c:v>
                </c:pt>
                <c:pt idx="320">
                  <c:v>13830.222215594889</c:v>
                </c:pt>
                <c:pt idx="321">
                  <c:v>13885.729807284853</c:v>
                </c:pt>
                <c:pt idx="322">
                  <c:v>13940.053768033607</c:v>
                </c:pt>
                <c:pt idx="323">
                  <c:v>13993.177550236464</c:v>
                </c:pt>
                <c:pt idx="324">
                  <c:v>14045.084971874738</c:v>
                </c:pt>
                <c:pt idx="325">
                  <c:v>14095.760221444958</c:v>
                </c:pt>
                <c:pt idx="326">
                  <c:v>14145.187862775207</c:v>
                </c:pt>
                <c:pt idx="327">
                  <c:v>14193.35283972712</c:v>
                </c:pt>
                <c:pt idx="328">
                  <c:v>14240.240480782126</c:v>
                </c:pt>
                <c:pt idx="329">
                  <c:v>14285.83650351056</c:v>
                </c:pt>
                <c:pt idx="330">
                  <c:v>14330.127018922192</c:v>
                </c:pt>
                <c:pt idx="331">
                  <c:v>14373.09853569698</c:v>
                </c:pt>
                <c:pt idx="332">
                  <c:v>14414.737964294634</c:v>
                </c:pt>
                <c:pt idx="333">
                  <c:v>14455.032620941838</c:v>
                </c:pt>
                <c:pt idx="334">
                  <c:v>14493.970231495836</c:v>
                </c:pt>
                <c:pt idx="335">
                  <c:v>14531.538935183249</c:v>
                </c:pt>
                <c:pt idx="336">
                  <c:v>14567.727288213006</c:v>
                </c:pt>
                <c:pt idx="337">
                  <c:v>14602.524267262201</c:v>
                </c:pt>
                <c:pt idx="338">
                  <c:v>14635.919272833937</c:v>
                </c:pt>
                <c:pt idx="339">
                  <c:v>14667.902132486008</c:v>
                </c:pt>
                <c:pt idx="340">
                  <c:v>14698.463103929542</c:v>
                </c:pt>
                <c:pt idx="341">
                  <c:v>14727.592877996583</c:v>
                </c:pt>
                <c:pt idx="342">
                  <c:v>14755.282581475767</c:v>
                </c:pt>
                <c:pt idx="343">
                  <c:v>14781.523779815179</c:v>
                </c:pt>
                <c:pt idx="344">
                  <c:v>14806.308479691594</c:v>
                </c:pt>
                <c:pt idx="345">
                  <c:v>14829.629131445341</c:v>
                </c:pt>
                <c:pt idx="346">
                  <c:v>14851.478631379981</c:v>
                </c:pt>
                <c:pt idx="347">
                  <c:v>14871.850323926175</c:v>
                </c:pt>
                <c:pt idx="348">
                  <c:v>14890.738003669028</c:v>
                </c:pt>
                <c:pt idx="349">
                  <c:v>14908.13591723832</c:v>
                </c:pt>
                <c:pt idx="350">
                  <c:v>14924.038765061039</c:v>
                </c:pt>
                <c:pt idx="351">
                  <c:v>14938.441702975688</c:v>
                </c:pt>
                <c:pt idx="352">
                  <c:v>14951.340343707852</c:v>
                </c:pt>
                <c:pt idx="353">
                  <c:v>14962.73075820661</c:v>
                </c:pt>
                <c:pt idx="354">
                  <c:v>14972.609476841368</c:v>
                </c:pt>
                <c:pt idx="355">
                  <c:v>14980.973490458728</c:v>
                </c:pt>
                <c:pt idx="356">
                  <c:v>14987.820251299123</c:v>
                </c:pt>
                <c:pt idx="357">
                  <c:v>14993.14767377287</c:v>
                </c:pt>
                <c:pt idx="358">
                  <c:v>14996.954135095479</c:v>
                </c:pt>
                <c:pt idx="359">
                  <c:v>14999.238475781956</c:v>
                </c:pt>
                <c:pt idx="360">
                  <c:v>15000</c:v>
                </c:pt>
              </c:numCache>
            </c:numRef>
          </c:xVal>
          <c:yVal>
            <c:numRef>
              <c:f>'Conditions initiales'!$Z$43:$Z$403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D2-44C5-A25D-CDF3BBA8BBB6}"/>
            </c:ext>
          </c:extLst>
        </c:ser>
        <c:ser>
          <c:idx val="2"/>
          <c:order val="1"/>
          <c:tx>
            <c:v>Planete2</c:v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initiales'!$AA$43:$AA$403</c:f>
              <c:numCache>
                <c:formatCode>General</c:formatCode>
                <c:ptCount val="361"/>
                <c:pt idx="0">
                  <c:v>-16500</c:v>
                </c:pt>
                <c:pt idx="1">
                  <c:v>-16500.53306695263</c:v>
                </c:pt>
                <c:pt idx="2">
                  <c:v>-16502.132105433164</c:v>
                </c:pt>
                <c:pt idx="3">
                  <c:v>-16504.796628358992</c:v>
                </c:pt>
                <c:pt idx="4">
                  <c:v>-16508.525824090615</c:v>
                </c:pt>
                <c:pt idx="5">
                  <c:v>-16513.318556678889</c:v>
                </c:pt>
                <c:pt idx="6">
                  <c:v>-16519.173366211042</c:v>
                </c:pt>
                <c:pt idx="7">
                  <c:v>-16526.088469255374</c:v>
                </c:pt>
                <c:pt idx="8">
                  <c:v>-16534.061759404503</c:v>
                </c:pt>
                <c:pt idx="9">
                  <c:v>-16543.090807917019</c:v>
                </c:pt>
                <c:pt idx="10">
                  <c:v>-16553.172864457272</c:v>
                </c:pt>
                <c:pt idx="11">
                  <c:v>-16564.304857933177</c:v>
                </c:pt>
                <c:pt idx="12">
                  <c:v>-16576.483397431679</c:v>
                </c:pt>
                <c:pt idx="13">
                  <c:v>-16589.704773251677</c:v>
                </c:pt>
                <c:pt idx="14">
                  <c:v>-16603.964958034012</c:v>
                </c:pt>
                <c:pt idx="15">
                  <c:v>-16619.259607988261</c:v>
                </c:pt>
                <c:pt idx="16">
                  <c:v>-16635.584064215884</c:v>
                </c:pt>
                <c:pt idx="17">
                  <c:v>-16652.933354129374</c:v>
                </c:pt>
                <c:pt idx="18">
                  <c:v>-16671.302192966963</c:v>
                </c:pt>
                <c:pt idx="19">
                  <c:v>-16690.684985402389</c:v>
                </c:pt>
                <c:pt idx="20">
                  <c:v>-16711.075827249319</c:v>
                </c:pt>
                <c:pt idx="21">
                  <c:v>-16732.468507259793</c:v>
                </c:pt>
                <c:pt idx="22">
                  <c:v>-16754.856509016245</c:v>
                </c:pt>
                <c:pt idx="23">
                  <c:v>-16778.233012916458</c:v>
                </c:pt>
                <c:pt idx="24">
                  <c:v>-16802.590898250895</c:v>
                </c:pt>
                <c:pt idx="25">
                  <c:v>-16827.922745371725</c:v>
                </c:pt>
                <c:pt idx="26">
                  <c:v>-16854.220837952915</c:v>
                </c:pt>
                <c:pt idx="27">
                  <c:v>-16881.477165340712</c:v>
                </c:pt>
                <c:pt idx="28">
                  <c:v>-16909.683424993756</c:v>
                </c:pt>
                <c:pt idx="29">
                  <c:v>-16938.831025012114</c:v>
                </c:pt>
                <c:pt idx="30">
                  <c:v>-16968.911086754466</c:v>
                </c:pt>
                <c:pt idx="31">
                  <c:v>-16999.914447542607</c:v>
                </c:pt>
                <c:pt idx="32">
                  <c:v>-17031.831663452511</c:v>
                </c:pt>
                <c:pt idx="33">
                  <c:v>-17064.653012191015</c:v>
                </c:pt>
                <c:pt idx="34">
                  <c:v>-17098.368496057356</c:v>
                </c:pt>
                <c:pt idx="35">
                  <c:v>-17132.967844988529</c:v>
                </c:pt>
                <c:pt idx="36">
                  <c:v>-17168.440519687683</c:v>
                </c:pt>
                <c:pt idx="37">
                  <c:v>-17204.775714834475</c:v>
                </c:pt>
                <c:pt idx="38">
                  <c:v>-17241.962362376471</c:v>
                </c:pt>
                <c:pt idx="39">
                  <c:v>-17279.989134900603</c:v>
                </c:pt>
                <c:pt idx="40">
                  <c:v>-17318.844449083575</c:v>
                </c:pt>
                <c:pt idx="41">
                  <c:v>-17358.516469220296</c:v>
                </c:pt>
                <c:pt idx="42">
                  <c:v>-17398.99311082912</c:v>
                </c:pt>
                <c:pt idx="43">
                  <c:v>-17440.262044332903</c:v>
                </c:pt>
                <c:pt idx="44">
                  <c:v>-17482.310698814719</c:v>
                </c:pt>
                <c:pt idx="45">
                  <c:v>-17525.126265847084</c:v>
                </c:pt>
                <c:pt idx="46">
                  <c:v>-17568.69570339351</c:v>
                </c:pt>
                <c:pt idx="47">
                  <c:v>-17613.005739781256</c:v>
                </c:pt>
                <c:pt idx="48">
                  <c:v>-17658.042877743996</c:v>
                </c:pt>
                <c:pt idx="49">
                  <c:v>-17703.793398533224</c:v>
                </c:pt>
                <c:pt idx="50">
                  <c:v>-17750.243366097111</c:v>
                </c:pt>
                <c:pt idx="51">
                  <c:v>-17797.37863132557</c:v>
                </c:pt>
                <c:pt idx="52">
                  <c:v>-17845.184836360197</c:v>
                </c:pt>
                <c:pt idx="53">
                  <c:v>-17893.64741896783</c:v>
                </c:pt>
                <c:pt idx="54">
                  <c:v>-17942.751616976344</c:v>
                </c:pt>
                <c:pt idx="55">
                  <c:v>-17992.482472771339</c:v>
                </c:pt>
                <c:pt idx="56">
                  <c:v>-18042.824837852386</c:v>
                </c:pt>
                <c:pt idx="57">
                  <c:v>-18093.763377447405</c:v>
                </c:pt>
                <c:pt idx="58">
                  <c:v>-18145.282575183785</c:v>
                </c:pt>
                <c:pt idx="59">
                  <c:v>-18197.366737814809</c:v>
                </c:pt>
                <c:pt idx="60">
                  <c:v>-18250</c:v>
                </c:pt>
                <c:pt idx="61">
                  <c:v>-18303.166329137821</c:v>
                </c:pt>
                <c:pt idx="62">
                  <c:v>-18356.849530249383</c:v>
                </c:pt>
                <c:pt idx="63">
                  <c:v>-18411.033250911587</c:v>
                </c:pt>
                <c:pt idx="64">
                  <c:v>-18465.700986238229</c:v>
                </c:pt>
                <c:pt idx="65">
                  <c:v>-18520.83608390755</c:v>
                </c:pt>
                <c:pt idx="66">
                  <c:v>-18576.421749234698</c:v>
                </c:pt>
                <c:pt idx="67">
                  <c:v>-18632.44105028754</c:v>
                </c:pt>
                <c:pt idx="68">
                  <c:v>-18688.876923044307</c:v>
                </c:pt>
                <c:pt idx="69">
                  <c:v>-18745.712176591449</c:v>
                </c:pt>
                <c:pt idx="70">
                  <c:v>-18802.929498360158</c:v>
                </c:pt>
                <c:pt idx="71">
                  <c:v>-18860.51145939995</c:v>
                </c:pt>
                <c:pt idx="72">
                  <c:v>-18918.440519687683</c:v>
                </c:pt>
                <c:pt idx="73">
                  <c:v>-18976.699033470421</c:v>
                </c:pt>
                <c:pt idx="74">
                  <c:v>-19035.269254640501</c:v>
                </c:pt>
                <c:pt idx="75">
                  <c:v>-19094.133342141176</c:v>
                </c:pt>
                <c:pt idx="76">
                  <c:v>-19153.273365401161</c:v>
                </c:pt>
                <c:pt idx="77">
                  <c:v>-19212.671309796471</c:v>
                </c:pt>
                <c:pt idx="78">
                  <c:v>-19272.309082137843</c:v>
                </c:pt>
                <c:pt idx="79">
                  <c:v>-19332.168516182093</c:v>
                </c:pt>
                <c:pt idx="80">
                  <c:v>-19392.231378165743</c:v>
                </c:pt>
                <c:pt idx="81">
                  <c:v>-19452.47937235919</c:v>
                </c:pt>
                <c:pt idx="82">
                  <c:v>-19512.89414663977</c:v>
                </c:pt>
                <c:pt idx="83">
                  <c:v>-19573.457298081983</c:v>
                </c:pt>
                <c:pt idx="84">
                  <c:v>-19634.150378563212</c:v>
                </c:pt>
                <c:pt idx="85">
                  <c:v>-19694.954900383196</c:v>
                </c:pt>
                <c:pt idx="86">
                  <c:v>-19755.852341895559</c:v>
                </c:pt>
                <c:pt idx="87">
                  <c:v>-19816.824153149697</c:v>
                </c:pt>
                <c:pt idx="88">
                  <c:v>-19877.851761541246</c:v>
                </c:pt>
                <c:pt idx="89">
                  <c:v>-19938.916577469507</c:v>
                </c:pt>
                <c:pt idx="90">
                  <c:v>-20000</c:v>
                </c:pt>
                <c:pt idx="91">
                  <c:v>-20061.083422530493</c:v>
                </c:pt>
                <c:pt idx="92">
                  <c:v>-20122.148238458754</c:v>
                </c:pt>
                <c:pt idx="93">
                  <c:v>-20183.175846850303</c:v>
                </c:pt>
                <c:pt idx="94">
                  <c:v>-20244.147658104437</c:v>
                </c:pt>
                <c:pt idx="95">
                  <c:v>-20305.045099616804</c:v>
                </c:pt>
                <c:pt idx="96">
                  <c:v>-20365.849621436788</c:v>
                </c:pt>
                <c:pt idx="97">
                  <c:v>-20426.542701918017</c:v>
                </c:pt>
                <c:pt idx="98">
                  <c:v>-20487.10585336023</c:v>
                </c:pt>
                <c:pt idx="99">
                  <c:v>-20547.52062764081</c:v>
                </c:pt>
                <c:pt idx="100">
                  <c:v>-20607.768621834257</c:v>
                </c:pt>
                <c:pt idx="101">
                  <c:v>-20667.831483817907</c:v>
                </c:pt>
                <c:pt idx="102">
                  <c:v>-20727.690917862157</c:v>
                </c:pt>
                <c:pt idx="103">
                  <c:v>-20787.328690203525</c:v>
                </c:pt>
                <c:pt idx="104">
                  <c:v>-20846.726634598836</c:v>
                </c:pt>
                <c:pt idx="105">
                  <c:v>-20905.866657858824</c:v>
                </c:pt>
                <c:pt idx="106">
                  <c:v>-20964.730745359499</c:v>
                </c:pt>
                <c:pt idx="107">
                  <c:v>-21023.300966529579</c:v>
                </c:pt>
                <c:pt idx="108">
                  <c:v>-21081.559480312317</c:v>
                </c:pt>
                <c:pt idx="109">
                  <c:v>-21139.488540600047</c:v>
                </c:pt>
                <c:pt idx="110">
                  <c:v>-21197.070501639842</c:v>
                </c:pt>
                <c:pt idx="111">
                  <c:v>-21254.287823408551</c:v>
                </c:pt>
                <c:pt idx="112">
                  <c:v>-21311.123076955693</c:v>
                </c:pt>
                <c:pt idx="113">
                  <c:v>-21367.558949712457</c:v>
                </c:pt>
                <c:pt idx="114">
                  <c:v>-21423.578250765298</c:v>
                </c:pt>
                <c:pt idx="115">
                  <c:v>-21479.163916092446</c:v>
                </c:pt>
                <c:pt idx="116">
                  <c:v>-21534.299013761771</c:v>
                </c:pt>
                <c:pt idx="117">
                  <c:v>-21588.966749088413</c:v>
                </c:pt>
                <c:pt idx="118">
                  <c:v>-21643.150469750617</c:v>
                </c:pt>
                <c:pt idx="119">
                  <c:v>-21696.833670862179</c:v>
                </c:pt>
                <c:pt idx="120">
                  <c:v>-21750</c:v>
                </c:pt>
                <c:pt idx="121">
                  <c:v>-21802.633262185191</c:v>
                </c:pt>
                <c:pt idx="122">
                  <c:v>-21854.717424816215</c:v>
                </c:pt>
                <c:pt idx="123">
                  <c:v>-21906.236622552595</c:v>
                </c:pt>
                <c:pt idx="124">
                  <c:v>-21957.175162147614</c:v>
                </c:pt>
                <c:pt idx="125">
                  <c:v>-22007.517527228661</c:v>
                </c:pt>
                <c:pt idx="126">
                  <c:v>-22057.248383023656</c:v>
                </c:pt>
                <c:pt idx="127">
                  <c:v>-22106.35258103217</c:v>
                </c:pt>
                <c:pt idx="128">
                  <c:v>-22154.815163639803</c:v>
                </c:pt>
                <c:pt idx="129">
                  <c:v>-22202.62136867443</c:v>
                </c:pt>
                <c:pt idx="130">
                  <c:v>-22249.756633902889</c:v>
                </c:pt>
                <c:pt idx="131">
                  <c:v>-22296.206601466776</c:v>
                </c:pt>
                <c:pt idx="132">
                  <c:v>-22341.957122256004</c:v>
                </c:pt>
                <c:pt idx="133">
                  <c:v>-22386.994260218744</c:v>
                </c:pt>
                <c:pt idx="134">
                  <c:v>-22431.30429660649</c:v>
                </c:pt>
                <c:pt idx="135">
                  <c:v>-22474.873734152916</c:v>
                </c:pt>
                <c:pt idx="136">
                  <c:v>-22517.689301185281</c:v>
                </c:pt>
                <c:pt idx="137">
                  <c:v>-22559.737955667097</c:v>
                </c:pt>
                <c:pt idx="138">
                  <c:v>-22601.00688917088</c:v>
                </c:pt>
                <c:pt idx="139">
                  <c:v>-22641.483530779704</c:v>
                </c:pt>
                <c:pt idx="140">
                  <c:v>-22681.155550916425</c:v>
                </c:pt>
                <c:pt idx="141">
                  <c:v>-22720.010865099397</c:v>
                </c:pt>
                <c:pt idx="142">
                  <c:v>-22758.037637623525</c:v>
                </c:pt>
                <c:pt idx="143">
                  <c:v>-22795.224285165525</c:v>
                </c:pt>
                <c:pt idx="144">
                  <c:v>-22831.559480312317</c:v>
                </c:pt>
                <c:pt idx="145">
                  <c:v>-22867.032155011471</c:v>
                </c:pt>
                <c:pt idx="146">
                  <c:v>-22901.631503942644</c:v>
                </c:pt>
                <c:pt idx="147">
                  <c:v>-22935.346987808985</c:v>
                </c:pt>
                <c:pt idx="148">
                  <c:v>-22968.168336547489</c:v>
                </c:pt>
                <c:pt idx="149">
                  <c:v>-23000.085552457393</c:v>
                </c:pt>
                <c:pt idx="150">
                  <c:v>-23031.088913245534</c:v>
                </c:pt>
                <c:pt idx="151">
                  <c:v>-23061.168974987886</c:v>
                </c:pt>
                <c:pt idx="152">
                  <c:v>-23090.316575006244</c:v>
                </c:pt>
                <c:pt idx="153">
                  <c:v>-23118.522834659288</c:v>
                </c:pt>
                <c:pt idx="154">
                  <c:v>-23145.779162047085</c:v>
                </c:pt>
                <c:pt idx="155">
                  <c:v>-23172.077254628275</c:v>
                </c:pt>
                <c:pt idx="156">
                  <c:v>-23197.409101749101</c:v>
                </c:pt>
                <c:pt idx="157">
                  <c:v>-23221.766987083542</c:v>
                </c:pt>
                <c:pt idx="158">
                  <c:v>-23245.143490983755</c:v>
                </c:pt>
                <c:pt idx="159">
                  <c:v>-23267.531492740207</c:v>
                </c:pt>
                <c:pt idx="160">
                  <c:v>-23288.924172750678</c:v>
                </c:pt>
                <c:pt idx="161">
                  <c:v>-23309.315014597611</c:v>
                </c:pt>
                <c:pt idx="162">
                  <c:v>-23328.697807033037</c:v>
                </c:pt>
                <c:pt idx="163">
                  <c:v>-23347.066645870626</c:v>
                </c:pt>
                <c:pt idx="164">
                  <c:v>-23364.415935784116</c:v>
                </c:pt>
                <c:pt idx="165">
                  <c:v>-23380.740392011739</c:v>
                </c:pt>
                <c:pt idx="166">
                  <c:v>-23396.035041965988</c:v>
                </c:pt>
                <c:pt idx="167">
                  <c:v>-23410.295226748323</c:v>
                </c:pt>
                <c:pt idx="168">
                  <c:v>-23423.516602568321</c:v>
                </c:pt>
                <c:pt idx="169">
                  <c:v>-23435.695142066823</c:v>
                </c:pt>
                <c:pt idx="170">
                  <c:v>-23446.827135542728</c:v>
                </c:pt>
                <c:pt idx="171">
                  <c:v>-23456.909192082981</c:v>
                </c:pt>
                <c:pt idx="172">
                  <c:v>-23465.938240595497</c:v>
                </c:pt>
                <c:pt idx="173">
                  <c:v>-23473.911530744626</c:v>
                </c:pt>
                <c:pt idx="174">
                  <c:v>-23480.826633788958</c:v>
                </c:pt>
                <c:pt idx="175">
                  <c:v>-23486.681443321111</c:v>
                </c:pt>
                <c:pt idx="176">
                  <c:v>-23491.474175909385</c:v>
                </c:pt>
                <c:pt idx="177">
                  <c:v>-23495.203371641008</c:v>
                </c:pt>
                <c:pt idx="178">
                  <c:v>-23497.867894566836</c:v>
                </c:pt>
                <c:pt idx="179">
                  <c:v>-23499.46693304737</c:v>
                </c:pt>
                <c:pt idx="180">
                  <c:v>-23500</c:v>
                </c:pt>
                <c:pt idx="181">
                  <c:v>-23499.46693304737</c:v>
                </c:pt>
                <c:pt idx="182">
                  <c:v>-23497.867894566836</c:v>
                </c:pt>
                <c:pt idx="183">
                  <c:v>-23495.203371641008</c:v>
                </c:pt>
                <c:pt idx="184">
                  <c:v>-23491.474175909385</c:v>
                </c:pt>
                <c:pt idx="185">
                  <c:v>-23486.681443321111</c:v>
                </c:pt>
                <c:pt idx="186">
                  <c:v>-23480.826633788958</c:v>
                </c:pt>
                <c:pt idx="187">
                  <c:v>-23473.911530744626</c:v>
                </c:pt>
                <c:pt idx="188">
                  <c:v>-23465.938240595497</c:v>
                </c:pt>
                <c:pt idx="189">
                  <c:v>-23456.909192082981</c:v>
                </c:pt>
                <c:pt idx="190">
                  <c:v>-23446.827135542728</c:v>
                </c:pt>
                <c:pt idx="191">
                  <c:v>-23435.695142066823</c:v>
                </c:pt>
                <c:pt idx="192">
                  <c:v>-23423.516602568321</c:v>
                </c:pt>
                <c:pt idx="193">
                  <c:v>-23410.295226748323</c:v>
                </c:pt>
                <c:pt idx="194">
                  <c:v>-23396.035041965988</c:v>
                </c:pt>
                <c:pt idx="195">
                  <c:v>-23380.740392011739</c:v>
                </c:pt>
                <c:pt idx="196">
                  <c:v>-23364.415935784116</c:v>
                </c:pt>
                <c:pt idx="197">
                  <c:v>-23347.066645870626</c:v>
                </c:pt>
                <c:pt idx="198">
                  <c:v>-23328.697807033037</c:v>
                </c:pt>
                <c:pt idx="199">
                  <c:v>-23309.315014597611</c:v>
                </c:pt>
                <c:pt idx="200">
                  <c:v>-23288.924172750681</c:v>
                </c:pt>
                <c:pt idx="201">
                  <c:v>-23267.531492740207</c:v>
                </c:pt>
                <c:pt idx="202">
                  <c:v>-23245.143490983755</c:v>
                </c:pt>
                <c:pt idx="203">
                  <c:v>-23221.766987083542</c:v>
                </c:pt>
                <c:pt idx="204">
                  <c:v>-23197.409101749105</c:v>
                </c:pt>
                <c:pt idx="205">
                  <c:v>-23172.077254628275</c:v>
                </c:pt>
                <c:pt idx="206">
                  <c:v>-23145.779162047085</c:v>
                </c:pt>
                <c:pt idx="207">
                  <c:v>-23118.522834659288</c:v>
                </c:pt>
                <c:pt idx="208">
                  <c:v>-23090.316575006244</c:v>
                </c:pt>
                <c:pt idx="209">
                  <c:v>-23061.168974987886</c:v>
                </c:pt>
                <c:pt idx="210">
                  <c:v>-23031.088913245534</c:v>
                </c:pt>
                <c:pt idx="211">
                  <c:v>-23000.085552457393</c:v>
                </c:pt>
                <c:pt idx="212">
                  <c:v>-22968.168336547493</c:v>
                </c:pt>
                <c:pt idx="213">
                  <c:v>-22935.346987808985</c:v>
                </c:pt>
                <c:pt idx="214">
                  <c:v>-22901.631503942648</c:v>
                </c:pt>
                <c:pt idx="215">
                  <c:v>-22867.032155011471</c:v>
                </c:pt>
                <c:pt idx="216">
                  <c:v>-22831.559480312317</c:v>
                </c:pt>
                <c:pt idx="217">
                  <c:v>-22795.224285165525</c:v>
                </c:pt>
                <c:pt idx="218">
                  <c:v>-22758.037637623529</c:v>
                </c:pt>
                <c:pt idx="219">
                  <c:v>-22720.010865099397</c:v>
                </c:pt>
                <c:pt idx="220">
                  <c:v>-22681.155550916425</c:v>
                </c:pt>
                <c:pt idx="221">
                  <c:v>-22641.4835307797</c:v>
                </c:pt>
                <c:pt idx="222">
                  <c:v>-22601.00688917088</c:v>
                </c:pt>
                <c:pt idx="223">
                  <c:v>-22559.737955667097</c:v>
                </c:pt>
                <c:pt idx="224">
                  <c:v>-22517.689301185281</c:v>
                </c:pt>
                <c:pt idx="225">
                  <c:v>-22474.873734152916</c:v>
                </c:pt>
                <c:pt idx="226">
                  <c:v>-22431.30429660649</c:v>
                </c:pt>
                <c:pt idx="227">
                  <c:v>-22386.994260218748</c:v>
                </c:pt>
                <c:pt idx="228">
                  <c:v>-22341.957122256004</c:v>
                </c:pt>
                <c:pt idx="229">
                  <c:v>-22296.206601466776</c:v>
                </c:pt>
                <c:pt idx="230">
                  <c:v>-22249.756633902889</c:v>
                </c:pt>
                <c:pt idx="231">
                  <c:v>-22202.62136867443</c:v>
                </c:pt>
                <c:pt idx="232">
                  <c:v>-22154.815163639803</c:v>
                </c:pt>
                <c:pt idx="233">
                  <c:v>-22106.35258103217</c:v>
                </c:pt>
                <c:pt idx="234">
                  <c:v>-22057.248383023656</c:v>
                </c:pt>
                <c:pt idx="235">
                  <c:v>-22007.517527228661</c:v>
                </c:pt>
                <c:pt idx="236">
                  <c:v>-21957.175162147614</c:v>
                </c:pt>
                <c:pt idx="237">
                  <c:v>-21906.236622552595</c:v>
                </c:pt>
                <c:pt idx="238">
                  <c:v>-21854.717424816219</c:v>
                </c:pt>
                <c:pt idx="239">
                  <c:v>-21802.633262185191</c:v>
                </c:pt>
                <c:pt idx="240">
                  <c:v>-21750</c:v>
                </c:pt>
                <c:pt idx="241">
                  <c:v>-21696.833670862179</c:v>
                </c:pt>
                <c:pt idx="242">
                  <c:v>-21643.150469750617</c:v>
                </c:pt>
                <c:pt idx="243">
                  <c:v>-21588.966749088413</c:v>
                </c:pt>
                <c:pt idx="244">
                  <c:v>-21534.299013761771</c:v>
                </c:pt>
                <c:pt idx="245">
                  <c:v>-21479.16391609245</c:v>
                </c:pt>
                <c:pt idx="246">
                  <c:v>-21423.578250765298</c:v>
                </c:pt>
                <c:pt idx="247">
                  <c:v>-21367.55894971246</c:v>
                </c:pt>
                <c:pt idx="248">
                  <c:v>-21311.123076955693</c:v>
                </c:pt>
                <c:pt idx="249">
                  <c:v>-21254.287823408551</c:v>
                </c:pt>
                <c:pt idx="250">
                  <c:v>-21197.070501639842</c:v>
                </c:pt>
                <c:pt idx="251">
                  <c:v>-21139.488540600047</c:v>
                </c:pt>
                <c:pt idx="252">
                  <c:v>-21081.559480312317</c:v>
                </c:pt>
                <c:pt idx="253">
                  <c:v>-21023.300966529579</c:v>
                </c:pt>
                <c:pt idx="254">
                  <c:v>-20964.730745359495</c:v>
                </c:pt>
                <c:pt idx="255">
                  <c:v>-20905.866657858824</c:v>
                </c:pt>
                <c:pt idx="256">
                  <c:v>-20846.726634598836</c:v>
                </c:pt>
                <c:pt idx="257">
                  <c:v>-20787.328690203529</c:v>
                </c:pt>
                <c:pt idx="258">
                  <c:v>-20727.690917862161</c:v>
                </c:pt>
                <c:pt idx="259">
                  <c:v>-20667.83148381791</c:v>
                </c:pt>
                <c:pt idx="260">
                  <c:v>-20607.768621834257</c:v>
                </c:pt>
                <c:pt idx="261">
                  <c:v>-20547.52062764081</c:v>
                </c:pt>
                <c:pt idx="262">
                  <c:v>-20487.105853360226</c:v>
                </c:pt>
                <c:pt idx="263">
                  <c:v>-20426.542701918013</c:v>
                </c:pt>
                <c:pt idx="264">
                  <c:v>-20365.849621436788</c:v>
                </c:pt>
                <c:pt idx="265">
                  <c:v>-20305.045099616804</c:v>
                </c:pt>
                <c:pt idx="266">
                  <c:v>-20244.147658104441</c:v>
                </c:pt>
                <c:pt idx="267">
                  <c:v>-20183.175846850307</c:v>
                </c:pt>
                <c:pt idx="268">
                  <c:v>-20122.148238458754</c:v>
                </c:pt>
                <c:pt idx="269">
                  <c:v>-20061.083422530493</c:v>
                </c:pt>
                <c:pt idx="270">
                  <c:v>-20000</c:v>
                </c:pt>
                <c:pt idx="271">
                  <c:v>-19938.91657746951</c:v>
                </c:pt>
                <c:pt idx="272">
                  <c:v>-19877.851761541246</c:v>
                </c:pt>
                <c:pt idx="273">
                  <c:v>-19816.824153149697</c:v>
                </c:pt>
                <c:pt idx="274">
                  <c:v>-19755.852341895563</c:v>
                </c:pt>
                <c:pt idx="275">
                  <c:v>-19694.954900383196</c:v>
                </c:pt>
                <c:pt idx="276">
                  <c:v>-19634.150378563216</c:v>
                </c:pt>
                <c:pt idx="277">
                  <c:v>-19573.457298081983</c:v>
                </c:pt>
                <c:pt idx="278">
                  <c:v>-19512.89414663977</c:v>
                </c:pt>
                <c:pt idx="279">
                  <c:v>-19452.479372359194</c:v>
                </c:pt>
                <c:pt idx="280">
                  <c:v>-19392.231378165747</c:v>
                </c:pt>
                <c:pt idx="281">
                  <c:v>-19332.168516182093</c:v>
                </c:pt>
                <c:pt idx="282">
                  <c:v>-19272.309082137846</c:v>
                </c:pt>
                <c:pt idx="283">
                  <c:v>-19212.671309796471</c:v>
                </c:pt>
                <c:pt idx="284">
                  <c:v>-19153.273365401164</c:v>
                </c:pt>
                <c:pt idx="285">
                  <c:v>-19094.133342141176</c:v>
                </c:pt>
                <c:pt idx="286">
                  <c:v>-19035.269254640501</c:v>
                </c:pt>
                <c:pt idx="287">
                  <c:v>-18976.699033470421</c:v>
                </c:pt>
                <c:pt idx="288">
                  <c:v>-18918.440519687683</c:v>
                </c:pt>
                <c:pt idx="289">
                  <c:v>-18860.511459399953</c:v>
                </c:pt>
                <c:pt idx="290">
                  <c:v>-18802.929498360161</c:v>
                </c:pt>
                <c:pt idx="291">
                  <c:v>-18745.712176591453</c:v>
                </c:pt>
                <c:pt idx="292">
                  <c:v>-18688.876923044307</c:v>
                </c:pt>
                <c:pt idx="293">
                  <c:v>-18632.441050287543</c:v>
                </c:pt>
                <c:pt idx="294">
                  <c:v>-18576.421749234698</c:v>
                </c:pt>
                <c:pt idx="295">
                  <c:v>-18520.83608390755</c:v>
                </c:pt>
                <c:pt idx="296">
                  <c:v>-18465.700986238229</c:v>
                </c:pt>
                <c:pt idx="297">
                  <c:v>-18411.033250911587</c:v>
                </c:pt>
                <c:pt idx="298">
                  <c:v>-18356.849530249383</c:v>
                </c:pt>
                <c:pt idx="299">
                  <c:v>-18303.166329137821</c:v>
                </c:pt>
                <c:pt idx="300">
                  <c:v>-18250</c:v>
                </c:pt>
                <c:pt idx="301">
                  <c:v>-18197.366737814809</c:v>
                </c:pt>
                <c:pt idx="302">
                  <c:v>-18145.282575183785</c:v>
                </c:pt>
                <c:pt idx="303">
                  <c:v>-18093.763377447405</c:v>
                </c:pt>
                <c:pt idx="304">
                  <c:v>-18042.824837852389</c:v>
                </c:pt>
                <c:pt idx="305">
                  <c:v>-17992.482472771339</c:v>
                </c:pt>
                <c:pt idx="306">
                  <c:v>-17942.751616976344</c:v>
                </c:pt>
                <c:pt idx="307">
                  <c:v>-17893.647418967834</c:v>
                </c:pt>
                <c:pt idx="308">
                  <c:v>-17845.184836360197</c:v>
                </c:pt>
                <c:pt idx="309">
                  <c:v>-17797.37863132557</c:v>
                </c:pt>
                <c:pt idx="310">
                  <c:v>-17750.243366097115</c:v>
                </c:pt>
                <c:pt idx="311">
                  <c:v>-17703.793398533224</c:v>
                </c:pt>
                <c:pt idx="312">
                  <c:v>-17658.042877743999</c:v>
                </c:pt>
                <c:pt idx="313">
                  <c:v>-17613.005739781256</c:v>
                </c:pt>
                <c:pt idx="314">
                  <c:v>-17568.69570339351</c:v>
                </c:pt>
                <c:pt idx="315">
                  <c:v>-17525.126265847084</c:v>
                </c:pt>
                <c:pt idx="316">
                  <c:v>-17482.310698814723</c:v>
                </c:pt>
                <c:pt idx="317">
                  <c:v>-17440.262044332903</c:v>
                </c:pt>
                <c:pt idx="318">
                  <c:v>-17398.99311082912</c:v>
                </c:pt>
                <c:pt idx="319">
                  <c:v>-17358.5164692203</c:v>
                </c:pt>
                <c:pt idx="320">
                  <c:v>-17318.844449083579</c:v>
                </c:pt>
                <c:pt idx="321">
                  <c:v>-17279.989134900603</c:v>
                </c:pt>
                <c:pt idx="322">
                  <c:v>-17241.962362376475</c:v>
                </c:pt>
                <c:pt idx="323">
                  <c:v>-17204.775714834475</c:v>
                </c:pt>
                <c:pt idx="324">
                  <c:v>-17168.440519687683</c:v>
                </c:pt>
                <c:pt idx="325">
                  <c:v>-17132.967844988529</c:v>
                </c:pt>
                <c:pt idx="326">
                  <c:v>-17098.368496057356</c:v>
                </c:pt>
                <c:pt idx="327">
                  <c:v>-17064.653012191015</c:v>
                </c:pt>
                <c:pt idx="328">
                  <c:v>-17031.831663452511</c:v>
                </c:pt>
                <c:pt idx="329">
                  <c:v>-16999.914447542607</c:v>
                </c:pt>
                <c:pt idx="330">
                  <c:v>-16968.911086754466</c:v>
                </c:pt>
                <c:pt idx="331">
                  <c:v>-16938.831025012114</c:v>
                </c:pt>
                <c:pt idx="332">
                  <c:v>-16909.683424993756</c:v>
                </c:pt>
                <c:pt idx="333">
                  <c:v>-16881.477165340712</c:v>
                </c:pt>
                <c:pt idx="334">
                  <c:v>-16854.220837952915</c:v>
                </c:pt>
                <c:pt idx="335">
                  <c:v>-16827.922745371725</c:v>
                </c:pt>
                <c:pt idx="336">
                  <c:v>-16802.590898250895</c:v>
                </c:pt>
                <c:pt idx="337">
                  <c:v>-16778.233012916462</c:v>
                </c:pt>
                <c:pt idx="338">
                  <c:v>-16754.856509016245</c:v>
                </c:pt>
                <c:pt idx="339">
                  <c:v>-16732.468507259793</c:v>
                </c:pt>
                <c:pt idx="340">
                  <c:v>-16711.075827249319</c:v>
                </c:pt>
                <c:pt idx="341">
                  <c:v>-16690.684985402393</c:v>
                </c:pt>
                <c:pt idx="342">
                  <c:v>-16671.302192966963</c:v>
                </c:pt>
                <c:pt idx="343">
                  <c:v>-16652.933354129374</c:v>
                </c:pt>
                <c:pt idx="344">
                  <c:v>-16635.584064215884</c:v>
                </c:pt>
                <c:pt idx="345">
                  <c:v>-16619.259607988261</c:v>
                </c:pt>
                <c:pt idx="346">
                  <c:v>-16603.964958034012</c:v>
                </c:pt>
                <c:pt idx="347">
                  <c:v>-16589.704773251677</c:v>
                </c:pt>
                <c:pt idx="348">
                  <c:v>-16576.483397431679</c:v>
                </c:pt>
                <c:pt idx="349">
                  <c:v>-16564.304857933177</c:v>
                </c:pt>
                <c:pt idx="350">
                  <c:v>-16553.172864457272</c:v>
                </c:pt>
                <c:pt idx="351">
                  <c:v>-16543.090807917019</c:v>
                </c:pt>
                <c:pt idx="352">
                  <c:v>-16534.061759404503</c:v>
                </c:pt>
                <c:pt idx="353">
                  <c:v>-16526.088469255374</c:v>
                </c:pt>
                <c:pt idx="354">
                  <c:v>-16519.173366211042</c:v>
                </c:pt>
                <c:pt idx="355">
                  <c:v>-16513.318556678889</c:v>
                </c:pt>
                <c:pt idx="356">
                  <c:v>-16508.525824090615</c:v>
                </c:pt>
                <c:pt idx="357">
                  <c:v>-16504.796628358992</c:v>
                </c:pt>
                <c:pt idx="358">
                  <c:v>-16502.132105433164</c:v>
                </c:pt>
                <c:pt idx="359">
                  <c:v>-16500.53306695263</c:v>
                </c:pt>
                <c:pt idx="360">
                  <c:v>-16500</c:v>
                </c:pt>
              </c:numCache>
            </c:numRef>
          </c:xVal>
          <c:yVal>
            <c:numRef>
              <c:f>'Conditions initiales'!$AB$43:$AB$403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D2-44C5-A25D-CDF3BBA8BBB6}"/>
            </c:ext>
          </c:extLst>
        </c:ser>
        <c:ser>
          <c:idx val="3"/>
          <c:order val="2"/>
          <c:tx>
            <c:v>Planete3</c:v>
          </c:tx>
          <c:spPr>
            <a:ln w="381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initiales'!$AC$43:$AC$403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'Conditions initiales'!$AD$43:$AD$403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D2-44C5-A25D-CDF3BBA8BBB6}"/>
            </c:ext>
          </c:extLst>
        </c:ser>
        <c:ser>
          <c:idx val="0"/>
          <c:order val="3"/>
          <c:tx>
            <c:v>Onion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448-400C-A962-E08004249CCF}"/>
              </c:ext>
            </c:extLst>
          </c:dPt>
          <c:xVal>
            <c:numRef>
              <c:f>'Simulation mouvement'!$D$31</c:f>
              <c:numCache>
                <c:formatCode>General</c:formatCode>
                <c:ptCount val="1"/>
                <c:pt idx="0">
                  <c:v>9449.2119245732538</c:v>
                </c:pt>
              </c:numCache>
            </c:numRef>
          </c:xVal>
          <c:yVal>
            <c:numRef>
              <c:f>'Simulation mouvement'!$D$32</c:f>
              <c:numCache>
                <c:formatCode>General</c:formatCode>
                <c:ptCount val="1"/>
                <c:pt idx="0">
                  <c:v>10884.404503180675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D2-44C5-A25D-CDF3BBA8BBB6}"/>
            </c:ext>
          </c:extLst>
        </c:ser>
        <c:ser>
          <c:idx val="4"/>
          <c:order val="4"/>
          <c:tx>
            <c:v>Onion1</c:v>
          </c:tx>
          <c:spPr>
            <a:ln w="38100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25000">
                    <a:schemeClr val="accent4">
                      <a:lumMod val="20000"/>
                      <a:lumOff val="80000"/>
                    </a:schemeClr>
                  </a:gs>
                  <a:gs pos="70000">
                    <a:srgbClr val="FFC000"/>
                  </a:gs>
                  <a:gs pos="100000">
                    <a:schemeClr val="accent2">
                      <a:lumMod val="75000"/>
                      <a:alpha val="44000"/>
                    </a:schemeClr>
                  </a:gs>
                </a:gsLst>
                <a:lin ang="5400000" scaled="1"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7448-400C-A962-E08004249CCF}"/>
              </c:ext>
            </c:extLst>
          </c:dPt>
          <c:xVal>
            <c:numRef>
              <c:f>'Simulation mouvement'!$E$31:$J$31</c:f>
              <c:numCache>
                <c:formatCode>General</c:formatCode>
                <c:ptCount val="6"/>
                <c:pt idx="0">
                  <c:v>11302.328970634506</c:v>
                </c:pt>
                <c:pt idx="1">
                  <c:v>12720.110744977088</c:v>
                </c:pt>
                <c:pt idx="2">
                  <c:v>13577.086592155174</c:v>
                </c:pt>
                <c:pt idx="3">
                  <c:v>13743.344584876046</c:v>
                </c:pt>
                <c:pt idx="4">
                  <c:v>12930.613810896073</c:v>
                </c:pt>
                <c:pt idx="5">
                  <c:v>10472.84425775564</c:v>
                </c:pt>
              </c:numCache>
            </c:numRef>
          </c:xVal>
          <c:yVal>
            <c:numRef>
              <c:f>'Simulation mouvement'!$E$32:$J$32</c:f>
              <c:numCache>
                <c:formatCode>General</c:formatCode>
                <c:ptCount val="6"/>
                <c:pt idx="0">
                  <c:v>13602.684053536388</c:v>
                </c:pt>
                <c:pt idx="1">
                  <c:v>14652.018017922015</c:v>
                </c:pt>
                <c:pt idx="2">
                  <c:v>14378.507685372491</c:v>
                </c:pt>
                <c:pt idx="3">
                  <c:v>12864.469568040638</c:v>
                </c:pt>
                <c:pt idx="4">
                  <c:v>9995.8767806456435</c:v>
                </c:pt>
                <c:pt idx="5">
                  <c:v>5718.8992285848908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D2-44C5-A25D-CDF3BBA8B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scatterChart>
        <c:scatterStyle val="lineMarker"/>
        <c:varyColors val="0"/>
        <c:ser>
          <c:idx val="5"/>
          <c:order val="5"/>
          <c:tx>
            <c:v>Vaisseau</c:v>
          </c:tx>
          <c:spPr>
            <a:ln w="19050" cap="rnd">
              <a:gradFill flip="none" rotWithShape="1"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46000">
                    <a:schemeClr val="accent2">
                      <a:lumMod val="95000"/>
                      <a:lumOff val="5000"/>
                    </a:schemeClr>
                  </a:gs>
                  <a:gs pos="100000">
                    <a:schemeClr val="accent2">
                      <a:lumMod val="60000"/>
                    </a:schemeClr>
                  </a:gs>
                </a:gsLst>
                <a:path path="shape">
                  <a:fillToRect l="50000" t="50000" r="50000" b="50000"/>
                </a:path>
                <a:tileRect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'Simulation mouvement'!$C$34:$M$34</c:f>
              <c:numCache>
                <c:formatCode>General</c:formatCode>
                <c:ptCount val="11"/>
                <c:pt idx="0">
                  <c:v>9449.2119245732538</c:v>
                </c:pt>
                <c:pt idx="1">
                  <c:v>10449.211924573254</c:v>
                </c:pt>
                <c:pt idx="2">
                  <c:v>12449.211924573254</c:v>
                </c:pt>
                <c:pt idx="3">
                  <c:v>10449.211924573254</c:v>
                </c:pt>
                <c:pt idx="4">
                  <c:v>11449.211924573254</c:v>
                </c:pt>
                <c:pt idx="5">
                  <c:v>9449.2119245732538</c:v>
                </c:pt>
                <c:pt idx="6">
                  <c:v>7449.2119245732538</c:v>
                </c:pt>
                <c:pt idx="7">
                  <c:v>8449.2119245732538</c:v>
                </c:pt>
                <c:pt idx="8">
                  <c:v>6449.2119245732538</c:v>
                </c:pt>
                <c:pt idx="9">
                  <c:v>8449.2119245732538</c:v>
                </c:pt>
                <c:pt idx="10">
                  <c:v>9449.2119245732538</c:v>
                </c:pt>
              </c:numCache>
            </c:numRef>
          </c:xVal>
          <c:yVal>
            <c:numRef>
              <c:f>'Simulation mouvement'!$C$35:$M$35</c:f>
              <c:numCache>
                <c:formatCode>General</c:formatCode>
                <c:ptCount val="11"/>
                <c:pt idx="0">
                  <c:v>13884.404503180675</c:v>
                </c:pt>
                <c:pt idx="1">
                  <c:v>11634.404503180675</c:v>
                </c:pt>
                <c:pt idx="2">
                  <c:v>11634.404503180675</c:v>
                </c:pt>
                <c:pt idx="3">
                  <c:v>10134.404503180675</c:v>
                </c:pt>
                <c:pt idx="4">
                  <c:v>7884.4045031806745</c:v>
                </c:pt>
                <c:pt idx="5">
                  <c:v>9384.4045031806745</c:v>
                </c:pt>
                <c:pt idx="6">
                  <c:v>7884.4045031806745</c:v>
                </c:pt>
                <c:pt idx="7">
                  <c:v>10134.404503180675</c:v>
                </c:pt>
                <c:pt idx="8">
                  <c:v>11634.404503180675</c:v>
                </c:pt>
                <c:pt idx="9">
                  <c:v>11634.404503180675</c:v>
                </c:pt>
                <c:pt idx="10">
                  <c:v>13884.404503180675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48-400C-A962-E0800424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valAx>
        <c:axId val="1288773680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out"/>
        <c:minorTickMark val="none"/>
        <c:tickLblPos val="nextTo"/>
        <c:crossAx val="1288763696"/>
        <c:crosses val="autoZero"/>
        <c:crossBetween val="midCat"/>
      </c:valAx>
      <c:valAx>
        <c:axId val="128876369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out"/>
        <c:minorTickMark val="none"/>
        <c:tickLblPos val="nextTo"/>
        <c:crossAx val="1288773680"/>
        <c:crosses val="autoZero"/>
        <c:crossBetween val="midCat"/>
      </c:valAx>
      <c:spPr>
        <a:pattFill prst="pct60">
          <a:fgClr>
            <a:schemeClr val="accent5">
              <a:lumMod val="75000"/>
            </a:schemeClr>
          </a:fgClr>
          <a:bgClr>
            <a:srgbClr val="6A3C84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5400">
      <a:gradFill flip="none" rotWithShape="1">
        <a:gsLst>
          <a:gs pos="0">
            <a:schemeClr val="accent1">
              <a:lumMod val="89000"/>
            </a:schemeClr>
          </a:gs>
          <a:gs pos="23000">
            <a:schemeClr val="accent1">
              <a:lumMod val="89000"/>
            </a:schemeClr>
          </a:gs>
          <a:gs pos="69000">
            <a:schemeClr val="accent1">
              <a:lumMod val="75000"/>
            </a:schemeClr>
          </a:gs>
          <a:gs pos="97000">
            <a:schemeClr val="accent1">
              <a:lumMod val="70000"/>
            </a:schemeClr>
          </a:gs>
        </a:gsLst>
        <a:path path="circle">
          <a:fillToRect l="50000" t="50000" r="50000" b="50000"/>
        </a:path>
        <a:tileRect/>
      </a:gra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16</xdr:col>
      <xdr:colOff>11206</xdr:colOff>
      <xdr:row>40</xdr:row>
      <xdr:rowOff>8964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24</xdr:row>
          <xdr:rowOff>95250</xdr:rowOff>
        </xdr:from>
        <xdr:to>
          <xdr:col>10</xdr:col>
          <xdr:colOff>666750</xdr:colOff>
          <xdr:row>28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Bahnschrift SemiBold SemiConden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57151</xdr:colOff>
      <xdr:row>1</xdr:row>
      <xdr:rowOff>38100</xdr:rowOff>
    </xdr:from>
    <xdr:to>
      <xdr:col>8</xdr:col>
      <xdr:colOff>19051</xdr:colOff>
      <xdr:row>28</xdr:row>
      <xdr:rowOff>133350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238125</xdr:rowOff>
    </xdr:from>
    <xdr:to>
      <xdr:col>13</xdr:col>
      <xdr:colOff>171450</xdr:colOff>
      <xdr:row>39</xdr:row>
      <xdr:rowOff>161925</xdr:rowOff>
    </xdr:to>
    <xdr:sp macro="" textlink="">
      <xdr:nvSpPr>
        <xdr:cNvPr id="2" name="Rectangle 1"/>
        <xdr:cNvSpPr/>
      </xdr:nvSpPr>
      <xdr:spPr>
        <a:xfrm>
          <a:off x="0" y="5657850"/>
          <a:ext cx="9420225" cy="1943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AD1144"/>
  <sheetViews>
    <sheetView tabSelected="1" topLeftCell="B1" zoomScale="75" zoomScaleNormal="75" workbookViewId="0">
      <selection activeCell="D8" sqref="D8"/>
    </sheetView>
  </sheetViews>
  <sheetFormatPr baseColWidth="10" defaultRowHeight="15" x14ac:dyDescent="0.25"/>
  <cols>
    <col min="1" max="1" width="6.140625" customWidth="1"/>
    <col min="2" max="2" width="41.28515625" customWidth="1"/>
    <col min="3" max="3" width="22.140625" customWidth="1"/>
    <col min="4" max="4" width="14.5703125" customWidth="1"/>
    <col min="5" max="5" width="14.140625" customWidth="1"/>
    <col min="6" max="6" width="25.7109375" customWidth="1"/>
    <col min="7" max="7" width="15" customWidth="1"/>
    <col min="8" max="8" width="12.7109375" customWidth="1"/>
    <col min="17" max="17" width="16.7109375" customWidth="1"/>
    <col min="18" max="19" width="12.28515625" bestFit="1" customWidth="1"/>
    <col min="23" max="23" width="12.28515625" bestFit="1" customWidth="1"/>
  </cols>
  <sheetData>
    <row r="2" spans="2:6" ht="21" thickBot="1" x14ac:dyDescent="0.35">
      <c r="B2" s="147" t="s">
        <v>0</v>
      </c>
      <c r="C2" s="147"/>
      <c r="D2" s="147"/>
      <c r="E2" s="147"/>
      <c r="F2" s="147"/>
    </row>
    <row r="3" spans="2:6" x14ac:dyDescent="0.25">
      <c r="B3" s="1"/>
      <c r="C3" s="1"/>
      <c r="D3" s="1"/>
      <c r="E3" s="1"/>
      <c r="F3" s="1"/>
    </row>
    <row r="4" spans="2:6" x14ac:dyDescent="0.25">
      <c r="B4" s="111" t="s">
        <v>1</v>
      </c>
      <c r="C4" s="113"/>
      <c r="D4" s="113"/>
      <c r="E4" s="113"/>
      <c r="F4" s="113"/>
    </row>
    <row r="5" spans="2:6" x14ac:dyDescent="0.25">
      <c r="B5" s="2" t="s">
        <v>2</v>
      </c>
      <c r="C5" s="7" t="s">
        <v>5</v>
      </c>
      <c r="D5" s="148">
        <v>0.5</v>
      </c>
      <c r="E5" s="149"/>
      <c r="F5" s="3" t="s">
        <v>6</v>
      </c>
    </row>
    <row r="6" spans="2:6" x14ac:dyDescent="0.25">
      <c r="B6" s="4" t="s">
        <v>3</v>
      </c>
      <c r="C6" s="5"/>
      <c r="D6" s="150">
        <v>0</v>
      </c>
      <c r="E6" s="151"/>
      <c r="F6" s="6" t="s">
        <v>7</v>
      </c>
    </row>
    <row r="7" spans="2:6" x14ac:dyDescent="0.25">
      <c r="B7" s="2" t="s">
        <v>4</v>
      </c>
      <c r="C7" s="7" t="s">
        <v>9</v>
      </c>
      <c r="D7" s="152">
        <v>1</v>
      </c>
      <c r="E7" s="149"/>
      <c r="F7" s="8" t="s">
        <v>8</v>
      </c>
    </row>
    <row r="8" spans="2:6" x14ac:dyDescent="0.25">
      <c r="B8" s="9"/>
      <c r="C8" s="10"/>
      <c r="D8" s="1"/>
      <c r="E8" s="1"/>
      <c r="F8" s="1"/>
    </row>
    <row r="9" spans="2:6" x14ac:dyDescent="0.25">
      <c r="B9" s="111" t="s">
        <v>10</v>
      </c>
      <c r="C9" s="112"/>
      <c r="D9" s="113"/>
      <c r="E9" s="113"/>
      <c r="F9" s="113"/>
    </row>
    <row r="10" spans="2:6" x14ac:dyDescent="0.25">
      <c r="B10" s="11" t="s">
        <v>11</v>
      </c>
      <c r="C10" s="12" t="s">
        <v>29</v>
      </c>
      <c r="D10" s="145">
        <v>1</v>
      </c>
      <c r="E10" s="146"/>
      <c r="F10" s="13" t="s">
        <v>16</v>
      </c>
    </row>
    <row r="11" spans="2:6" ht="16.5" x14ac:dyDescent="0.3">
      <c r="B11" s="14" t="s">
        <v>12</v>
      </c>
      <c r="C11" s="15" t="s">
        <v>33</v>
      </c>
      <c r="D11" s="16">
        <v>0</v>
      </c>
      <c r="E11" s="17">
        <v>0</v>
      </c>
      <c r="F11" s="18" t="s">
        <v>16</v>
      </c>
    </row>
    <row r="12" spans="2:6" ht="16.5" x14ac:dyDescent="0.3">
      <c r="B12" s="11" t="s">
        <v>13</v>
      </c>
      <c r="C12" s="12" t="s">
        <v>34</v>
      </c>
      <c r="D12" s="19">
        <v>0</v>
      </c>
      <c r="E12" s="20">
        <v>0</v>
      </c>
      <c r="F12" s="13" t="s">
        <v>17</v>
      </c>
    </row>
    <row r="13" spans="2:6" ht="17.25" x14ac:dyDescent="0.3">
      <c r="B13" s="14" t="s">
        <v>14</v>
      </c>
      <c r="C13" s="15" t="s">
        <v>35</v>
      </c>
      <c r="D13" s="16">
        <v>0</v>
      </c>
      <c r="E13" s="17">
        <v>0</v>
      </c>
      <c r="F13" s="18" t="s">
        <v>36</v>
      </c>
    </row>
    <row r="14" spans="2:6" x14ac:dyDescent="0.25">
      <c r="B14" s="11" t="s">
        <v>15</v>
      </c>
      <c r="C14" s="12" t="s">
        <v>30</v>
      </c>
      <c r="D14" s="145">
        <v>2500</v>
      </c>
      <c r="E14" s="146"/>
      <c r="F14" s="13" t="s">
        <v>16</v>
      </c>
    </row>
    <row r="15" spans="2:6" x14ac:dyDescent="0.25">
      <c r="B15" s="9"/>
      <c r="C15" s="10"/>
      <c r="D15" s="1"/>
      <c r="E15" s="1"/>
      <c r="F15" s="21"/>
    </row>
    <row r="16" spans="2:6" ht="15.75" thickBot="1" x14ac:dyDescent="0.3">
      <c r="B16" s="111" t="s">
        <v>18</v>
      </c>
      <c r="C16" s="112"/>
      <c r="D16" s="113"/>
      <c r="E16" s="113"/>
      <c r="F16" s="114"/>
    </row>
    <row r="17" spans="2:6" ht="15.75" thickBot="1" x14ac:dyDescent="0.3">
      <c r="B17" s="103" t="s">
        <v>19</v>
      </c>
      <c r="C17" s="104"/>
      <c r="D17" s="105"/>
      <c r="E17" s="105"/>
      <c r="F17" s="106"/>
    </row>
    <row r="18" spans="2:6" ht="16.5" x14ac:dyDescent="0.3">
      <c r="B18" s="22" t="s">
        <v>20</v>
      </c>
      <c r="C18" s="23" t="s">
        <v>37</v>
      </c>
      <c r="D18" s="24">
        <v>10000</v>
      </c>
      <c r="E18" s="25">
        <v>7500</v>
      </c>
      <c r="F18" s="26" t="s">
        <v>16</v>
      </c>
    </row>
    <row r="19" spans="2:6" ht="16.5" x14ac:dyDescent="0.3">
      <c r="B19" s="27" t="s">
        <v>21</v>
      </c>
      <c r="C19" s="28" t="s">
        <v>38</v>
      </c>
      <c r="D19" s="134">
        <v>5000</v>
      </c>
      <c r="E19" s="135"/>
      <c r="F19" s="29" t="s">
        <v>16</v>
      </c>
    </row>
    <row r="20" spans="2:6" ht="17.25" x14ac:dyDescent="0.3">
      <c r="B20" s="30" t="s">
        <v>22</v>
      </c>
      <c r="C20" s="31" t="s">
        <v>39</v>
      </c>
      <c r="D20" s="136">
        <v>1</v>
      </c>
      <c r="E20" s="137"/>
      <c r="F20" s="32" t="s">
        <v>40</v>
      </c>
    </row>
    <row r="21" spans="2:6" ht="17.25" x14ac:dyDescent="0.3">
      <c r="B21" s="33" t="s">
        <v>23</v>
      </c>
      <c r="C21" s="34" t="s">
        <v>41</v>
      </c>
      <c r="D21" s="138">
        <f>((4*PI()*D19^3)/3)</f>
        <v>523598775598.29883</v>
      </c>
      <c r="E21" s="139"/>
      <c r="F21" s="35" t="s">
        <v>42</v>
      </c>
    </row>
    <row r="22" spans="2:6" ht="16.5" x14ac:dyDescent="0.3">
      <c r="B22" s="36" t="s">
        <v>24</v>
      </c>
      <c r="C22" s="37" t="s">
        <v>43</v>
      </c>
      <c r="D22" s="140">
        <f>D20*D21</f>
        <v>523598775598.29883</v>
      </c>
      <c r="E22" s="141"/>
      <c r="F22" s="38" t="s">
        <v>28</v>
      </c>
    </row>
    <row r="23" spans="2:6" ht="16.5" x14ac:dyDescent="0.3">
      <c r="B23" s="33" t="s">
        <v>25</v>
      </c>
      <c r="C23" s="34" t="s">
        <v>44</v>
      </c>
      <c r="D23" s="144">
        <f>D19*D7</f>
        <v>5000</v>
      </c>
      <c r="E23" s="139"/>
      <c r="F23" s="35" t="s">
        <v>16</v>
      </c>
    </row>
    <row r="24" spans="2:6" ht="17.25" thickBot="1" x14ac:dyDescent="0.35">
      <c r="B24" s="39" t="s">
        <v>26</v>
      </c>
      <c r="C24" s="40" t="s">
        <v>45</v>
      </c>
      <c r="D24" s="142" t="s">
        <v>27</v>
      </c>
      <c r="E24" s="143"/>
      <c r="F24" s="41" t="s">
        <v>8</v>
      </c>
    </row>
    <row r="25" spans="2:6" ht="15.75" thickBot="1" x14ac:dyDescent="0.3">
      <c r="B25" s="42" t="s">
        <v>31</v>
      </c>
      <c r="C25" s="43"/>
      <c r="D25" s="44"/>
      <c r="E25" s="44"/>
      <c r="F25" s="45"/>
    </row>
    <row r="26" spans="2:6" ht="16.5" x14ac:dyDescent="0.3">
      <c r="B26" s="46" t="s">
        <v>20</v>
      </c>
      <c r="C26" s="47" t="s">
        <v>37</v>
      </c>
      <c r="D26" s="48">
        <v>-20000</v>
      </c>
      <c r="E26" s="49">
        <v>10000</v>
      </c>
      <c r="F26" s="50" t="s">
        <v>16</v>
      </c>
    </row>
    <row r="27" spans="2:6" ht="16.5" x14ac:dyDescent="0.3">
      <c r="B27" s="51" t="s">
        <v>21</v>
      </c>
      <c r="C27" s="52" t="s">
        <v>46</v>
      </c>
      <c r="D27" s="117">
        <v>3500</v>
      </c>
      <c r="E27" s="118"/>
      <c r="F27" s="53" t="s">
        <v>16</v>
      </c>
    </row>
    <row r="28" spans="2:6" ht="17.25" x14ac:dyDescent="0.3">
      <c r="B28" s="54" t="s">
        <v>22</v>
      </c>
      <c r="C28" s="55" t="s">
        <v>47</v>
      </c>
      <c r="D28" s="119">
        <v>1</v>
      </c>
      <c r="E28" s="120"/>
      <c r="F28" s="56" t="s">
        <v>40</v>
      </c>
    </row>
    <row r="29" spans="2:6" ht="17.25" x14ac:dyDescent="0.3">
      <c r="B29" s="57" t="s">
        <v>23</v>
      </c>
      <c r="C29" s="58" t="s">
        <v>48</v>
      </c>
      <c r="D29" s="121">
        <f>((4*PI()*D27^3)/3)</f>
        <v>179594380030.21652</v>
      </c>
      <c r="E29" s="122"/>
      <c r="F29" s="59" t="s">
        <v>42</v>
      </c>
    </row>
    <row r="30" spans="2:6" ht="16.5" x14ac:dyDescent="0.3">
      <c r="B30" s="60" t="s">
        <v>24</v>
      </c>
      <c r="C30" s="61" t="s">
        <v>49</v>
      </c>
      <c r="D30" s="123">
        <f>D28*D29</f>
        <v>179594380030.21652</v>
      </c>
      <c r="E30" s="124"/>
      <c r="F30" s="62" t="s">
        <v>28</v>
      </c>
    </row>
    <row r="31" spans="2:6" ht="16.5" x14ac:dyDescent="0.3">
      <c r="B31" s="57" t="s">
        <v>25</v>
      </c>
      <c r="C31" s="58" t="s">
        <v>50</v>
      </c>
      <c r="D31" s="125">
        <f>D27*D7</f>
        <v>3500</v>
      </c>
      <c r="E31" s="122"/>
      <c r="F31" s="59" t="s">
        <v>16</v>
      </c>
    </row>
    <row r="32" spans="2:6" ht="17.25" thickBot="1" x14ac:dyDescent="0.35">
      <c r="B32" s="63" t="s">
        <v>26</v>
      </c>
      <c r="C32" s="64" t="s">
        <v>51</v>
      </c>
      <c r="D32" s="126" t="s">
        <v>27</v>
      </c>
      <c r="E32" s="127"/>
      <c r="F32" s="65" t="s">
        <v>8</v>
      </c>
    </row>
    <row r="33" spans="1:30" ht="15.75" thickBot="1" x14ac:dyDescent="0.3">
      <c r="B33" s="107" t="s">
        <v>32</v>
      </c>
      <c r="C33" s="108"/>
      <c r="D33" s="109"/>
      <c r="E33" s="109"/>
      <c r="F33" s="110"/>
    </row>
    <row r="34" spans="1:30" ht="16.5" x14ac:dyDescent="0.3">
      <c r="B34" s="66" t="s">
        <v>20</v>
      </c>
      <c r="C34" s="67" t="s">
        <v>37</v>
      </c>
      <c r="D34" s="68">
        <v>-5000</v>
      </c>
      <c r="E34" s="69">
        <v>-15000</v>
      </c>
      <c r="F34" s="70" t="s">
        <v>16</v>
      </c>
    </row>
    <row r="35" spans="1:30" ht="16.5" x14ac:dyDescent="0.3">
      <c r="B35" s="71" t="s">
        <v>21</v>
      </c>
      <c r="C35" s="72" t="s">
        <v>52</v>
      </c>
      <c r="D35" s="128">
        <v>5000</v>
      </c>
      <c r="E35" s="129"/>
      <c r="F35" s="73" t="s">
        <v>16</v>
      </c>
      <c r="Q35" s="98"/>
    </row>
    <row r="36" spans="1:30" ht="17.25" x14ac:dyDescent="0.3">
      <c r="B36" s="74" t="s">
        <v>22</v>
      </c>
      <c r="C36" s="75" t="s">
        <v>53</v>
      </c>
      <c r="D36" s="115">
        <v>1</v>
      </c>
      <c r="E36" s="116"/>
      <c r="F36" s="76" t="s">
        <v>40</v>
      </c>
    </row>
    <row r="37" spans="1:30" ht="17.25" x14ac:dyDescent="0.3">
      <c r="B37" s="77" t="s">
        <v>23</v>
      </c>
      <c r="C37" s="78" t="s">
        <v>54</v>
      </c>
      <c r="D37" s="130">
        <f>((4*PI()*D35^3)/3)</f>
        <v>523598775598.29883</v>
      </c>
      <c r="E37" s="131"/>
      <c r="F37" s="79" t="s">
        <v>42</v>
      </c>
    </row>
    <row r="38" spans="1:30" ht="16.5" x14ac:dyDescent="0.3">
      <c r="B38" s="80" t="s">
        <v>24</v>
      </c>
      <c r="C38" s="81" t="s">
        <v>55</v>
      </c>
      <c r="D38" s="132">
        <f>D36*D37</f>
        <v>523598775598.29883</v>
      </c>
      <c r="E38" s="133"/>
      <c r="F38" s="82" t="s">
        <v>28</v>
      </c>
    </row>
    <row r="39" spans="1:30" ht="16.5" x14ac:dyDescent="0.3">
      <c r="B39" s="77" t="s">
        <v>25</v>
      </c>
      <c r="C39" s="78" t="s">
        <v>56</v>
      </c>
      <c r="D39" s="130">
        <f>D35*D7</f>
        <v>5000</v>
      </c>
      <c r="E39" s="131"/>
      <c r="F39" s="79" t="s">
        <v>16</v>
      </c>
    </row>
    <row r="40" spans="1:30" ht="16.5" x14ac:dyDescent="0.3">
      <c r="B40" s="74" t="s">
        <v>26</v>
      </c>
      <c r="C40" s="83" t="s">
        <v>57</v>
      </c>
      <c r="D40" s="115" t="s">
        <v>27</v>
      </c>
      <c r="E40" s="116"/>
      <c r="F40" s="76" t="s">
        <v>8</v>
      </c>
    </row>
    <row r="41" spans="1:30" ht="15.75" thickBot="1" x14ac:dyDescent="0.3">
      <c r="B41" s="84"/>
      <c r="C41" s="85"/>
      <c r="D41" s="86"/>
      <c r="E41" s="86"/>
      <c r="F41" s="87"/>
    </row>
    <row r="42" spans="1:30" ht="15.75" thickBot="1" x14ac:dyDescent="0.3">
      <c r="B42" s="88" t="s">
        <v>58</v>
      </c>
      <c r="C42" s="89" t="s">
        <v>59</v>
      </c>
      <c r="D42" s="89" t="s">
        <v>72</v>
      </c>
      <c r="E42" s="89" t="s">
        <v>73</v>
      </c>
      <c r="F42" s="89" t="s">
        <v>74</v>
      </c>
      <c r="G42" s="91" t="s">
        <v>75</v>
      </c>
      <c r="H42" s="89" t="s">
        <v>60</v>
      </c>
      <c r="I42" s="89" t="s">
        <v>61</v>
      </c>
      <c r="J42" s="89" t="s">
        <v>62</v>
      </c>
      <c r="K42" s="89" t="s">
        <v>63</v>
      </c>
      <c r="L42" s="89" t="s">
        <v>64</v>
      </c>
      <c r="M42" s="89" t="s">
        <v>65</v>
      </c>
      <c r="N42" s="89" t="s">
        <v>66</v>
      </c>
      <c r="O42" s="89" t="s">
        <v>67</v>
      </c>
      <c r="P42" s="89" t="s">
        <v>68</v>
      </c>
      <c r="Q42" s="89" t="s">
        <v>69</v>
      </c>
      <c r="R42" s="89" t="s">
        <v>70</v>
      </c>
      <c r="S42" s="90" t="s">
        <v>71</v>
      </c>
      <c r="T42" s="92" t="s">
        <v>76</v>
      </c>
      <c r="V42" s="99"/>
      <c r="W42" s="99"/>
      <c r="X42" s="99"/>
      <c r="Y42" s="99" t="s">
        <v>77</v>
      </c>
      <c r="Z42" s="99" t="s">
        <v>78</v>
      </c>
      <c r="AA42" t="s">
        <v>79</v>
      </c>
      <c r="AB42" t="s">
        <v>80</v>
      </c>
      <c r="AC42" t="s">
        <v>81</v>
      </c>
      <c r="AD42" t="s">
        <v>82</v>
      </c>
    </row>
    <row r="43" spans="1:30" x14ac:dyDescent="0.25">
      <c r="A43">
        <v>0</v>
      </c>
      <c r="B43" s="93">
        <v>0</v>
      </c>
      <c r="C43" s="93">
        <v>0</v>
      </c>
      <c r="D43" s="93">
        <v>0</v>
      </c>
      <c r="E43" s="93">
        <v>0</v>
      </c>
      <c r="F43" s="96">
        <f>SUM(H43,J43,L43)</f>
        <v>1261.8728796709815</v>
      </c>
      <c r="G43" s="94">
        <f>SUM(I43,K43,M43)</f>
        <v>41.999464060865193</v>
      </c>
      <c r="H43" s="97">
        <f>$D$22*(($D$18-$B43)/$Q43)</f>
        <v>2145.7622444980257</v>
      </c>
      <c r="I43" s="94">
        <f>$D$22*(($E$18-$C43)/$Q43)</f>
        <v>1609.3216833735194</v>
      </c>
      <c r="J43" s="95">
        <f>$D$30*(($D$26-$B43)/$R43)</f>
        <v>-309.81310719099378</v>
      </c>
      <c r="K43" s="94">
        <f>$D$30*(($E$26-$C43)/$R43)</f>
        <v>154.90655359549689</v>
      </c>
      <c r="L43" s="94">
        <f>$D$38*(($D$34-$B43)/$S43)</f>
        <v>-574.07625763605029</v>
      </c>
      <c r="M43" s="93">
        <f>$D$38*(($E$34-$C43)/$S43)</f>
        <v>-1722.2287729081511</v>
      </c>
      <c r="N43" s="93">
        <f>SQRT(($D$18-$B43)^2+($E$18-$C43)^2)</f>
        <v>12500</v>
      </c>
      <c r="O43" s="93">
        <f>SQRT(($D$26-$B43)^2+($E$26-$C43)^2)</f>
        <v>22360.679774997898</v>
      </c>
      <c r="P43" s="93">
        <f>SQRT(($D$34-$B43)^2+($E$34-$C43)^2)</f>
        <v>15811.388300841896</v>
      </c>
      <c r="Q43" s="93">
        <f>($N43^2+$D$39^2)^(3/2)</f>
        <v>2440152803232.812</v>
      </c>
      <c r="R43" s="93">
        <f>($O43^2+$D$31^2)^(3/2)</f>
        <v>11593723820051.299</v>
      </c>
      <c r="S43" s="93">
        <f>($P43^2+$D$23^2)^(3/2)</f>
        <v>4560359086738.6738</v>
      </c>
      <c r="T43">
        <f>A44-A43</f>
        <v>0.5</v>
      </c>
      <c r="V43" s="99"/>
      <c r="W43" s="99"/>
      <c r="X43" s="99">
        <v>0</v>
      </c>
      <c r="Y43" s="99">
        <f>$D$19*COS(X43*PI()/180)+$D$18</f>
        <v>15000</v>
      </c>
      <c r="Z43" s="99">
        <f>$D$19*SIN(X43*PI()/180)+$E$18</f>
        <v>7500</v>
      </c>
      <c r="AA43" s="99">
        <f>$D$27*COS(X43*PI()/180)+$D$26</f>
        <v>-16500</v>
      </c>
      <c r="AB43" s="99">
        <f>$D$27*SIN($X43*PI()/180)+$E$26</f>
        <v>10000</v>
      </c>
      <c r="AC43" s="99">
        <f>$D$35*COS(X43*PI()/180)+$D$34</f>
        <v>0</v>
      </c>
      <c r="AD43" s="99">
        <f>$D$35*SIN(X43*PI()/180)+$E$34</f>
        <v>-15000</v>
      </c>
    </row>
    <row r="44" spans="1:30" x14ac:dyDescent="0.25">
      <c r="A44">
        <v>0.5</v>
      </c>
      <c r="B44" s="95">
        <f>B43+(D43*$T43)+(F43*($T43)^2)</f>
        <v>315.46821991774539</v>
      </c>
      <c r="C44" s="95">
        <f>C43+(E43*$T43)+(G43*($T43)^2)</f>
        <v>10.499866015216298</v>
      </c>
      <c r="D44" s="95">
        <f>D43+(F43*$T43)</f>
        <v>630.93643983549077</v>
      </c>
      <c r="E44" s="95">
        <f>E43+(G43*$T43)</f>
        <v>20.999732030432597</v>
      </c>
      <c r="F44" s="96">
        <f t="shared" ref="F44:F107" si="0">SUM(H44,J44,L44)</f>
        <v>1290.46630381256</v>
      </c>
      <c r="G44" s="94">
        <f t="shared" ref="G44:G107" si="1">SUM(I44,K44,M44)</f>
        <v>154.45645055633213</v>
      </c>
      <c r="H44" s="97">
        <f t="shared" ref="H44:H107" si="2">$D$22*(($D$18-$B44)/$Q44)</f>
        <v>2192.5864349700541</v>
      </c>
      <c r="I44" s="94">
        <f t="shared" ref="I44:I107" si="3">$D$22*(($E$18-$C44)/$Q44)</f>
        <v>1695.6293573484425</v>
      </c>
      <c r="J44" s="95">
        <f t="shared" ref="J44:J107" si="4">$D$30*(($D$26-$B44)/$R44)</f>
        <v>-303.51525702109956</v>
      </c>
      <c r="K44" s="94">
        <f t="shared" ref="K44:K107" si="5">$D$30*(($E$26-$C44)/$R44)</f>
        <v>149.24419500733401</v>
      </c>
      <c r="L44" s="94">
        <f t="shared" ref="L44:L107" si="6">$D$38*(($D$34-$B44)/$S44)</f>
        <v>-598.60487413639441</v>
      </c>
      <c r="M44" s="93">
        <f t="shared" ref="M44:M107" si="7">$D$38*(($E$34-$C44)/$S44)</f>
        <v>-1690.4171017994443</v>
      </c>
      <c r="N44" s="93">
        <f t="shared" ref="N44:N107" si="8">SQRT(($D$18-$B44)^2+($E$18-$C44)^2)</f>
        <v>12242.661804378215</v>
      </c>
      <c r="O44" s="93">
        <f t="shared" ref="O44:O107" si="9">SQRT(($D$26-$B44)^2+($E$26-$C44)^2)</f>
        <v>22638.647528537782</v>
      </c>
      <c r="P44" s="93">
        <f t="shared" ref="P44:P107" si="10">SQRT(($D$34-$B44)^2+($E$34-$C44)^2)</f>
        <v>15923.859727609959</v>
      </c>
      <c r="Q44" s="93">
        <f t="shared" ref="Q44:Q107" si="11">($N44^2+$D$39^2)^(3/2)</f>
        <v>2312706537547.8062</v>
      </c>
      <c r="R44" s="93">
        <f t="shared" ref="R44:R107" si="12">($O44^2+$D$31^2)^(3/2)</f>
        <v>12020957219050.299</v>
      </c>
      <c r="S44" s="93">
        <f t="shared" ref="S44:S107" si="13">($P44^2+$D$23^2)^(3/2)</f>
        <v>4649431990836.8193</v>
      </c>
      <c r="T44">
        <f t="shared" ref="T44:T107" si="14">A45-A44</f>
        <v>0.5</v>
      </c>
      <c r="V44" s="99"/>
      <c r="W44" s="99"/>
      <c r="X44" s="99">
        <v>1</v>
      </c>
      <c r="Y44" s="99">
        <f t="shared" ref="Y44:Y107" si="15">$D$19*COS(X44*PI()/180)+$D$18</f>
        <v>14999.238475781956</v>
      </c>
      <c r="Z44" s="99">
        <f t="shared" ref="Z44:Z107" si="16">$D$19*SIN(X44*PI()/180)+$E$18</f>
        <v>7587.2620321864179</v>
      </c>
      <c r="AA44" s="99">
        <f t="shared" ref="AA44:AA107" si="17">$D$27*COS(X44*PI()/180)+$D$26</f>
        <v>-16500.53306695263</v>
      </c>
      <c r="AB44" s="99">
        <f t="shared" ref="AB44:AB107" si="18">$D$27*SIN($X44*PI()/180)+$E$26</f>
        <v>10061.083422530492</v>
      </c>
      <c r="AC44" s="99">
        <f t="shared" ref="AC44:AC107" si="19">$D$35*COS(X44*PI()/180)+$D$34</f>
        <v>-0.76152421804363257</v>
      </c>
      <c r="AD44" s="99">
        <f t="shared" ref="AD44:AD107" si="20">$D$35*SIN(X44*PI()/180)+$E$34</f>
        <v>-14912.737967813582</v>
      </c>
    </row>
    <row r="45" spans="1:30" x14ac:dyDescent="0.25">
      <c r="A45">
        <v>1</v>
      </c>
      <c r="B45" s="95">
        <f t="shared" ref="B45:B108" si="21">B44+(D44*$T44)+(F44*($T44)^2)</f>
        <v>953.55301578863077</v>
      </c>
      <c r="C45" s="95">
        <f t="shared" ref="C45:C108" si="22">C44+(E44*$T44)+(G44*($T44)^2)</f>
        <v>59.613844669515629</v>
      </c>
      <c r="D45" s="95">
        <f t="shared" ref="D45:D108" si="23">D44+(F44*$T44)</f>
        <v>1276.1695917417708</v>
      </c>
      <c r="E45" s="95">
        <f t="shared" ref="E45:E108" si="24">E44+(G44*$T44)</f>
        <v>98.227957308598661</v>
      </c>
      <c r="F45" s="96">
        <f t="shared" si="0"/>
        <v>1361.0290854970058</v>
      </c>
      <c r="G45" s="94">
        <f t="shared" si="1"/>
        <v>404.53511357243224</v>
      </c>
      <c r="H45" s="97">
        <f t="shared" si="2"/>
        <v>2293.0326213256631</v>
      </c>
      <c r="I45" s="94">
        <f t="shared" si="3"/>
        <v>1885.9391094878497</v>
      </c>
      <c r="J45" s="95">
        <f t="shared" si="4"/>
        <v>-291.65737116832088</v>
      </c>
      <c r="K45" s="94">
        <f t="shared" si="5"/>
        <v>138.36254368302627</v>
      </c>
      <c r="L45" s="94">
        <f t="shared" si="6"/>
        <v>-640.34616466033651</v>
      </c>
      <c r="M45" s="93">
        <f t="shared" si="7"/>
        <v>-1619.7665395984436</v>
      </c>
      <c r="N45" s="93">
        <f t="shared" si="8"/>
        <v>11713.135753442819</v>
      </c>
      <c r="O45" s="93">
        <f t="shared" si="9"/>
        <v>23191.866266054374</v>
      </c>
      <c r="P45" s="93">
        <f t="shared" si="10"/>
        <v>16193.726027766668</v>
      </c>
      <c r="Q45" s="93">
        <f t="shared" si="11"/>
        <v>2065696109333.8389</v>
      </c>
      <c r="R45" s="93">
        <f t="shared" si="12"/>
        <v>12902606741007.258</v>
      </c>
      <c r="S45" s="93">
        <f t="shared" si="13"/>
        <v>4868106098800.4893</v>
      </c>
      <c r="T45">
        <f t="shared" si="14"/>
        <v>0.5</v>
      </c>
      <c r="V45" s="99"/>
      <c r="W45" s="99"/>
      <c r="X45" s="99">
        <v>2</v>
      </c>
      <c r="Y45" s="99">
        <f t="shared" si="15"/>
        <v>14996.954135095479</v>
      </c>
      <c r="Z45" s="99">
        <f t="shared" si="16"/>
        <v>7674.4974835125049</v>
      </c>
      <c r="AA45" s="99">
        <f t="shared" si="17"/>
        <v>-16502.132105433164</v>
      </c>
      <c r="AB45" s="99">
        <f t="shared" si="18"/>
        <v>10122.148238458753</v>
      </c>
      <c r="AC45" s="99">
        <f t="shared" si="19"/>
        <v>-3.0458649045212951</v>
      </c>
      <c r="AD45" s="99">
        <f t="shared" si="20"/>
        <v>-14825.502516487495</v>
      </c>
    </row>
    <row r="46" spans="1:30" x14ac:dyDescent="0.25">
      <c r="A46">
        <v>1.5</v>
      </c>
      <c r="B46" s="95">
        <f t="shared" si="21"/>
        <v>1931.8950830337676</v>
      </c>
      <c r="C46" s="95">
        <f t="shared" si="22"/>
        <v>209.86160171692302</v>
      </c>
      <c r="D46" s="95">
        <f t="shared" si="23"/>
        <v>1956.6841344902737</v>
      </c>
      <c r="E46" s="95">
        <f t="shared" si="24"/>
        <v>300.49551409481478</v>
      </c>
      <c r="F46" s="96">
        <f t="shared" si="0"/>
        <v>1505.2585854624294</v>
      </c>
      <c r="G46" s="94">
        <f t="shared" si="1"/>
        <v>849.93397361930056</v>
      </c>
      <c r="H46" s="97">
        <f t="shared" si="2"/>
        <v>2464.1759431715436</v>
      </c>
      <c r="I46" s="94">
        <f t="shared" si="3"/>
        <v>2226.5679299315775</v>
      </c>
      <c r="J46" s="95">
        <f t="shared" si="4"/>
        <v>-275.47362551122626</v>
      </c>
      <c r="K46" s="94">
        <f t="shared" si="5"/>
        <v>122.96816616262294</v>
      </c>
      <c r="L46" s="94">
        <f t="shared" si="6"/>
        <v>-683.44373219788793</v>
      </c>
      <c r="M46" s="93">
        <f t="shared" si="7"/>
        <v>-1499.6021224748997</v>
      </c>
      <c r="N46" s="93">
        <f t="shared" si="8"/>
        <v>10873.841769002162</v>
      </c>
      <c r="O46" s="93">
        <f t="shared" si="9"/>
        <v>24017.802393032081</v>
      </c>
      <c r="P46" s="93">
        <f t="shared" si="10"/>
        <v>16714.995045933174</v>
      </c>
      <c r="Q46" s="93">
        <f t="shared" si="11"/>
        <v>1714345871944.9275</v>
      </c>
      <c r="R46" s="93">
        <f t="shared" si="12"/>
        <v>14298447239787.336</v>
      </c>
      <c r="S46" s="93">
        <f t="shared" si="13"/>
        <v>5310651933817.7715</v>
      </c>
      <c r="T46">
        <f t="shared" si="14"/>
        <v>0.5</v>
      </c>
      <c r="V46" s="99"/>
      <c r="W46" s="99"/>
      <c r="X46" s="99">
        <v>3</v>
      </c>
      <c r="Y46" s="99">
        <f t="shared" si="15"/>
        <v>14993.14767377287</v>
      </c>
      <c r="Z46" s="99">
        <f t="shared" si="16"/>
        <v>7761.6797812147188</v>
      </c>
      <c r="AA46" s="99">
        <f t="shared" si="17"/>
        <v>-16504.796628358992</v>
      </c>
      <c r="AB46" s="99">
        <f t="shared" si="18"/>
        <v>10183.175846850303</v>
      </c>
      <c r="AC46" s="99">
        <f t="shared" si="19"/>
        <v>-6.8523262271310159</v>
      </c>
      <c r="AD46" s="99">
        <f t="shared" si="20"/>
        <v>-14738.32021878528</v>
      </c>
    </row>
    <row r="47" spans="1:30" x14ac:dyDescent="0.25">
      <c r="A47">
        <v>2</v>
      </c>
      <c r="B47" s="95">
        <f t="shared" si="21"/>
        <v>3286.5517966445123</v>
      </c>
      <c r="C47" s="95">
        <f t="shared" si="22"/>
        <v>572.59285216915555</v>
      </c>
      <c r="D47" s="95">
        <f t="shared" si="23"/>
        <v>2709.3134272214884</v>
      </c>
      <c r="E47" s="95">
        <f t="shared" si="24"/>
        <v>725.46250090446506</v>
      </c>
      <c r="F47" s="96">
        <f t="shared" si="0"/>
        <v>1780.0789351656476</v>
      </c>
      <c r="G47" s="94">
        <f t="shared" si="1"/>
        <v>1608.4847334001104</v>
      </c>
      <c r="H47" s="97">
        <f t="shared" si="2"/>
        <v>2740.2718344630516</v>
      </c>
      <c r="I47" s="94">
        <f t="shared" si="3"/>
        <v>2827.6048489613568</v>
      </c>
      <c r="J47" s="95">
        <f t="shared" si="4"/>
        <v>-256.2636295865176</v>
      </c>
      <c r="K47" s="94">
        <f t="shared" si="5"/>
        <v>103.74664288600825</v>
      </c>
      <c r="L47" s="94">
        <f t="shared" si="6"/>
        <v>-703.92926971088639</v>
      </c>
      <c r="M47" s="93">
        <f t="shared" si="7"/>
        <v>-1322.8667584472548</v>
      </c>
      <c r="N47" s="93">
        <f t="shared" si="8"/>
        <v>9646.7277649446951</v>
      </c>
      <c r="O47" s="93">
        <f t="shared" si="9"/>
        <v>25122.489926533552</v>
      </c>
      <c r="P47" s="93">
        <f t="shared" si="10"/>
        <v>17640.084716857295</v>
      </c>
      <c r="Q47" s="93">
        <f t="shared" si="11"/>
        <v>1282775385679.325</v>
      </c>
      <c r="R47" s="93">
        <f t="shared" si="12"/>
        <v>16319654254908.453</v>
      </c>
      <c r="S47" s="93">
        <f t="shared" si="13"/>
        <v>6163727751279.5674</v>
      </c>
      <c r="T47">
        <f t="shared" si="14"/>
        <v>0.5</v>
      </c>
      <c r="V47" s="99"/>
      <c r="W47" s="99"/>
      <c r="X47" s="99">
        <v>4</v>
      </c>
      <c r="Y47" s="99">
        <f t="shared" si="15"/>
        <v>14987.820251299121</v>
      </c>
      <c r="Z47" s="99">
        <f t="shared" si="16"/>
        <v>7848.7823687206264</v>
      </c>
      <c r="AA47" s="99">
        <f t="shared" si="17"/>
        <v>-16508.525824090615</v>
      </c>
      <c r="AB47" s="99">
        <f t="shared" si="18"/>
        <v>10244.147658104439</v>
      </c>
      <c r="AC47" s="99">
        <f t="shared" si="19"/>
        <v>-12.179748700878918</v>
      </c>
      <c r="AD47" s="99">
        <f t="shared" si="20"/>
        <v>-14651.217631279373</v>
      </c>
    </row>
    <row r="48" spans="1:30" x14ac:dyDescent="0.25">
      <c r="A48">
        <v>2.5</v>
      </c>
      <c r="B48" s="95">
        <f t="shared" si="21"/>
        <v>5086.2282440466679</v>
      </c>
      <c r="C48" s="95">
        <f t="shared" si="22"/>
        <v>1337.4452859714156</v>
      </c>
      <c r="D48" s="95">
        <f t="shared" si="23"/>
        <v>3599.3528948043122</v>
      </c>
      <c r="E48" s="95">
        <f t="shared" si="24"/>
        <v>1529.7048676045201</v>
      </c>
      <c r="F48" s="96">
        <f t="shared" si="0"/>
        <v>2252.8282093591483</v>
      </c>
      <c r="G48" s="94">
        <f t="shared" si="1"/>
        <v>2953.7615084709314</v>
      </c>
      <c r="H48" s="97">
        <f t="shared" si="2"/>
        <v>3163.8807145463697</v>
      </c>
      <c r="I48" s="94">
        <f t="shared" si="3"/>
        <v>3967.947430286998</v>
      </c>
      <c r="J48" s="95">
        <f t="shared" si="4"/>
        <v>-234.85780386625962</v>
      </c>
      <c r="K48" s="94">
        <f t="shared" si="5"/>
        <v>81.099021989919009</v>
      </c>
      <c r="L48" s="94">
        <f t="shared" si="6"/>
        <v>-676.19470132096205</v>
      </c>
      <c r="M48" s="93">
        <f t="shared" si="7"/>
        <v>-1095.2849438059854</v>
      </c>
      <c r="N48" s="93">
        <f t="shared" si="8"/>
        <v>7881.7658854472847</v>
      </c>
      <c r="O48" s="93">
        <f t="shared" si="9"/>
        <v>26539.75700126027</v>
      </c>
      <c r="P48" s="93">
        <f t="shared" si="10"/>
        <v>19200.107256552354</v>
      </c>
      <c r="Q48" s="93">
        <f t="shared" si="11"/>
        <v>813192755073.75012</v>
      </c>
      <c r="R48" s="93">
        <f t="shared" si="12"/>
        <v>19183291057901.781</v>
      </c>
      <c r="S48" s="93">
        <f t="shared" si="13"/>
        <v>7810083025896.2275</v>
      </c>
      <c r="T48">
        <f t="shared" si="14"/>
        <v>0.5</v>
      </c>
      <c r="V48" s="99"/>
      <c r="W48" s="99"/>
      <c r="X48" s="99">
        <v>5</v>
      </c>
      <c r="Y48" s="99">
        <f t="shared" si="15"/>
        <v>14980.973490458728</v>
      </c>
      <c r="Z48" s="99">
        <f t="shared" si="16"/>
        <v>7935.7787137382911</v>
      </c>
      <c r="AA48" s="99">
        <f t="shared" si="17"/>
        <v>-16513.318556678889</v>
      </c>
      <c r="AB48" s="99">
        <f t="shared" si="18"/>
        <v>10305.045099616804</v>
      </c>
      <c r="AC48" s="99">
        <f t="shared" si="19"/>
        <v>-19.026509541272389</v>
      </c>
      <c r="AD48" s="99">
        <f t="shared" si="20"/>
        <v>-14564.221286261709</v>
      </c>
    </row>
    <row r="49" spans="1:30" x14ac:dyDescent="0.25">
      <c r="A49">
        <v>3</v>
      </c>
      <c r="B49" s="95">
        <f t="shared" si="21"/>
        <v>7449.1117437886114</v>
      </c>
      <c r="C49" s="95">
        <f t="shared" si="22"/>
        <v>2840.7380968914085</v>
      </c>
      <c r="D49" s="95">
        <f t="shared" si="23"/>
        <v>4725.7669994838861</v>
      </c>
      <c r="E49" s="95">
        <f t="shared" si="24"/>
        <v>3006.5856218399858</v>
      </c>
      <c r="F49" s="96">
        <f t="shared" si="0"/>
        <v>2643.3960569003402</v>
      </c>
      <c r="G49" s="94">
        <f t="shared" si="1"/>
        <v>5499.4732830939574</v>
      </c>
      <c r="H49" s="97">
        <f t="shared" si="2"/>
        <v>3440.5648384445267</v>
      </c>
      <c r="I49" s="94">
        <f t="shared" si="3"/>
        <v>6284.2786774000979</v>
      </c>
      <c r="J49" s="95">
        <f t="shared" si="4"/>
        <v>-211.11584575437755</v>
      </c>
      <c r="K49" s="94">
        <f t="shared" si="5"/>
        <v>55.063116277118993</v>
      </c>
      <c r="L49" s="94">
        <f t="shared" si="6"/>
        <v>-586.05293578980877</v>
      </c>
      <c r="M49" s="93">
        <f t="shared" si="7"/>
        <v>-839.86851058325874</v>
      </c>
      <c r="N49" s="93">
        <f t="shared" si="8"/>
        <v>5311.8501840165136</v>
      </c>
      <c r="O49" s="93">
        <f t="shared" si="9"/>
        <v>28367.389138239283</v>
      </c>
      <c r="P49" s="93">
        <f t="shared" si="10"/>
        <v>21754.822891745363</v>
      </c>
      <c r="Q49" s="93">
        <f t="shared" si="11"/>
        <v>388204271785.85132</v>
      </c>
      <c r="R49" s="93">
        <f t="shared" si="12"/>
        <v>23350716230658.082</v>
      </c>
      <c r="S49" s="93">
        <f t="shared" si="13"/>
        <v>11122441793674.35</v>
      </c>
      <c r="T49">
        <f t="shared" si="14"/>
        <v>0.5</v>
      </c>
      <c r="V49" s="99"/>
      <c r="W49" s="99"/>
      <c r="X49" s="99">
        <v>6</v>
      </c>
      <c r="Y49" s="99">
        <f t="shared" si="15"/>
        <v>14972.609476841368</v>
      </c>
      <c r="Z49" s="99">
        <f t="shared" si="16"/>
        <v>8022.6423163382669</v>
      </c>
      <c r="AA49" s="99">
        <f t="shared" si="17"/>
        <v>-16519.173366211042</v>
      </c>
      <c r="AB49" s="99">
        <f t="shared" si="18"/>
        <v>10365.849621436788</v>
      </c>
      <c r="AC49" s="99">
        <f t="shared" si="19"/>
        <v>-27.390523158633187</v>
      </c>
      <c r="AD49" s="99">
        <f t="shared" si="20"/>
        <v>-14477.357683661732</v>
      </c>
    </row>
    <row r="50" spans="1:30" x14ac:dyDescent="0.25">
      <c r="A50">
        <v>3.5</v>
      </c>
      <c r="B50" s="95">
        <f t="shared" si="21"/>
        <v>10472.84425775564</v>
      </c>
      <c r="C50" s="95">
        <f t="shared" si="22"/>
        <v>5718.8992285848908</v>
      </c>
      <c r="D50" s="95">
        <f t="shared" si="23"/>
        <v>6047.4650279340567</v>
      </c>
      <c r="E50" s="95">
        <f t="shared" si="24"/>
        <v>5756.3222633869646</v>
      </c>
      <c r="F50" s="96">
        <f t="shared" si="0"/>
        <v>-2263.8518433063809</v>
      </c>
      <c r="G50" s="94">
        <f t="shared" si="1"/>
        <v>5595.2656814690799</v>
      </c>
      <c r="H50" s="97">
        <f t="shared" si="2"/>
        <v>-1636.188163812631</v>
      </c>
      <c r="I50" s="94">
        <f t="shared" si="3"/>
        <v>6163.1625063595038</v>
      </c>
      <c r="J50" s="95">
        <f t="shared" si="4"/>
        <v>-184.23025548589902</v>
      </c>
      <c r="K50" s="94">
        <f t="shared" si="5"/>
        <v>25.88233255180802</v>
      </c>
      <c r="L50" s="94">
        <f t="shared" si="6"/>
        <v>-443.43342400785099</v>
      </c>
      <c r="M50" s="93">
        <f t="shared" si="7"/>
        <v>-593.77915744223196</v>
      </c>
      <c r="N50" s="93">
        <f t="shared" si="8"/>
        <v>1842.7972351911046</v>
      </c>
      <c r="O50" s="93">
        <f t="shared" si="9"/>
        <v>30772.098741756989</v>
      </c>
      <c r="P50" s="93">
        <f t="shared" si="10"/>
        <v>25858.880383129843</v>
      </c>
      <c r="Q50" s="93">
        <f t="shared" si="11"/>
        <v>151315527080.1062</v>
      </c>
      <c r="R50" s="93">
        <f t="shared" si="12"/>
        <v>29706041267732.23</v>
      </c>
      <c r="S50" s="93">
        <f t="shared" si="13"/>
        <v>18270075889093.52</v>
      </c>
      <c r="T50">
        <f t="shared" si="14"/>
        <v>0.5</v>
      </c>
      <c r="V50" s="99"/>
      <c r="W50" s="99"/>
      <c r="X50" s="99">
        <v>7</v>
      </c>
      <c r="Y50" s="99">
        <f t="shared" si="15"/>
        <v>14962.73075820661</v>
      </c>
      <c r="Z50" s="99">
        <f t="shared" si="16"/>
        <v>8109.3467170257372</v>
      </c>
      <c r="AA50" s="99">
        <f t="shared" si="17"/>
        <v>-16526.088469255374</v>
      </c>
      <c r="AB50" s="99">
        <f t="shared" si="18"/>
        <v>10426.542701918017</v>
      </c>
      <c r="AC50" s="99">
        <f t="shared" si="19"/>
        <v>-37.269241793390393</v>
      </c>
      <c r="AD50" s="99">
        <f t="shared" si="20"/>
        <v>-14390.653282974263</v>
      </c>
    </row>
    <row r="51" spans="1:30" x14ac:dyDescent="0.25">
      <c r="A51">
        <v>4</v>
      </c>
      <c r="B51" s="95">
        <f t="shared" si="21"/>
        <v>12930.613810896073</v>
      </c>
      <c r="C51" s="95">
        <f t="shared" si="22"/>
        <v>9995.8767806456435</v>
      </c>
      <c r="D51" s="95">
        <f t="shared" si="23"/>
        <v>4915.5391062808667</v>
      </c>
      <c r="E51" s="95">
        <f t="shared" si="24"/>
        <v>8553.9551041215054</v>
      </c>
      <c r="F51" s="96">
        <f t="shared" si="0"/>
        <v>-6580.1551166418412</v>
      </c>
      <c r="G51" s="94">
        <f t="shared" si="1"/>
        <v>-5633.5390586630292</v>
      </c>
      <c r="H51" s="97">
        <f t="shared" si="2"/>
        <v>-6107.1658785138115</v>
      </c>
      <c r="I51" s="94">
        <f t="shared" si="3"/>
        <v>-5201.2085164757045</v>
      </c>
      <c r="J51" s="95">
        <f t="shared" si="4"/>
        <v>-162.84538282271663</v>
      </c>
      <c r="K51" s="94">
        <f t="shared" si="5"/>
        <v>2.0389757630331417E-2</v>
      </c>
      <c r="L51" s="94">
        <f t="shared" si="6"/>
        <v>-310.14385530531274</v>
      </c>
      <c r="M51" s="93">
        <f t="shared" si="7"/>
        <v>-432.35093194495454</v>
      </c>
      <c r="N51" s="93">
        <f t="shared" si="8"/>
        <v>3849.4023189036589</v>
      </c>
      <c r="O51" s="93">
        <f t="shared" si="9"/>
        <v>32930.614069028794</v>
      </c>
      <c r="P51" s="93">
        <f t="shared" si="10"/>
        <v>30762.002010088956</v>
      </c>
      <c r="Q51" s="93">
        <f t="shared" si="11"/>
        <v>251256611276.13959</v>
      </c>
      <c r="R51" s="93">
        <f t="shared" si="12"/>
        <v>36317598134304.32</v>
      </c>
      <c r="S51" s="93">
        <f t="shared" si="13"/>
        <v>30271266950844.238</v>
      </c>
      <c r="T51">
        <f t="shared" si="14"/>
        <v>0.5</v>
      </c>
      <c r="V51" s="99"/>
      <c r="W51" s="99"/>
      <c r="X51" s="99">
        <v>8</v>
      </c>
      <c r="Y51" s="99">
        <f t="shared" si="15"/>
        <v>14951.340343707852</v>
      </c>
      <c r="Z51" s="99">
        <f t="shared" si="16"/>
        <v>8195.8655048003275</v>
      </c>
      <c r="AA51" s="99">
        <f t="shared" si="17"/>
        <v>-16534.061759404503</v>
      </c>
      <c r="AB51" s="99">
        <f t="shared" si="18"/>
        <v>10487.10585336023</v>
      </c>
      <c r="AC51" s="99">
        <f t="shared" si="19"/>
        <v>-48.659656292148611</v>
      </c>
      <c r="AD51" s="99">
        <f t="shared" si="20"/>
        <v>-14304.134495199673</v>
      </c>
    </row>
    <row r="52" spans="1:30" x14ac:dyDescent="0.25">
      <c r="A52">
        <v>4.5</v>
      </c>
      <c r="B52" s="95">
        <f t="shared" si="21"/>
        <v>13743.344584876046</v>
      </c>
      <c r="C52" s="95">
        <f t="shared" si="22"/>
        <v>12864.469568040638</v>
      </c>
      <c r="D52" s="95">
        <f t="shared" si="23"/>
        <v>1625.4615479599461</v>
      </c>
      <c r="E52" s="95">
        <f t="shared" si="24"/>
        <v>5737.1855747899908</v>
      </c>
      <c r="F52" s="96">
        <f t="shared" si="0"/>
        <v>-3915.9550668033744</v>
      </c>
      <c r="G52" s="94">
        <f t="shared" si="1"/>
        <v>-5418.2186802525675</v>
      </c>
      <c r="H52" s="97">
        <f t="shared" si="2"/>
        <v>-3511.6273068210453</v>
      </c>
      <c r="I52" s="94">
        <f t="shared" si="3"/>
        <v>-5032.4028137435789</v>
      </c>
      <c r="J52" s="95">
        <f t="shared" si="4"/>
        <v>-153.57383176871468</v>
      </c>
      <c r="K52" s="94">
        <f t="shared" si="5"/>
        <v>-13.036869135552285</v>
      </c>
      <c r="L52" s="94">
        <f t="shared" si="6"/>
        <v>-250.75392821361467</v>
      </c>
      <c r="M52" s="93">
        <f t="shared" si="7"/>
        <v>-372.77899737343591</v>
      </c>
      <c r="N52" s="93">
        <f t="shared" si="8"/>
        <v>6541.4189918973179</v>
      </c>
      <c r="O52" s="93">
        <f t="shared" si="9"/>
        <v>33864.708616492106</v>
      </c>
      <c r="P52" s="93">
        <f t="shared" si="10"/>
        <v>33581.86460778593</v>
      </c>
      <c r="Q52" s="93">
        <f t="shared" si="11"/>
        <v>558148821054.11963</v>
      </c>
      <c r="R52" s="93">
        <f t="shared" si="12"/>
        <v>39460596776626.852</v>
      </c>
      <c r="S52" s="93">
        <f t="shared" si="13"/>
        <v>39137940311338.469</v>
      </c>
      <c r="T52">
        <f t="shared" si="14"/>
        <v>0.5</v>
      </c>
      <c r="V52" s="99"/>
      <c r="W52" s="99"/>
      <c r="X52" s="99">
        <v>9</v>
      </c>
      <c r="Y52" s="99">
        <f t="shared" si="15"/>
        <v>14938.441702975688</v>
      </c>
      <c r="Z52" s="99">
        <f t="shared" si="16"/>
        <v>8282.1723252011543</v>
      </c>
      <c r="AA52" s="99">
        <f t="shared" si="17"/>
        <v>-16543.090807917019</v>
      </c>
      <c r="AB52" s="99">
        <f t="shared" si="18"/>
        <v>10547.520627640808</v>
      </c>
      <c r="AC52" s="99">
        <f t="shared" si="19"/>
        <v>-61.558297024311287</v>
      </c>
      <c r="AD52" s="99">
        <f t="shared" si="20"/>
        <v>-14217.827674798846</v>
      </c>
    </row>
    <row r="53" spans="1:30" x14ac:dyDescent="0.25">
      <c r="A53">
        <v>5</v>
      </c>
      <c r="B53" s="95">
        <f t="shared" si="21"/>
        <v>13577.086592155174</v>
      </c>
      <c r="C53" s="95">
        <f t="shared" si="22"/>
        <v>14378.507685372491</v>
      </c>
      <c r="D53" s="95">
        <f t="shared" si="23"/>
        <v>-332.51598544174112</v>
      </c>
      <c r="E53" s="95">
        <f t="shared" si="24"/>
        <v>3028.0762346637071</v>
      </c>
      <c r="F53" s="96">
        <f t="shared" si="0"/>
        <v>-2762.8714178288674</v>
      </c>
      <c r="G53" s="94">
        <f t="shared" si="1"/>
        <v>-4962.111139129318</v>
      </c>
      <c r="H53" s="97">
        <f t="shared" si="2"/>
        <v>-2385.402425056539</v>
      </c>
      <c r="I53" s="94">
        <f t="shared" si="3"/>
        <v>-4586.9755989250034</v>
      </c>
      <c r="J53" s="95">
        <f t="shared" si="4"/>
        <v>-152.86194148117769</v>
      </c>
      <c r="K53" s="94">
        <f t="shared" si="5"/>
        <v>-19.933450263450524</v>
      </c>
      <c r="L53" s="94">
        <f t="shared" si="6"/>
        <v>-224.60705129115055</v>
      </c>
      <c r="M53" s="93">
        <f t="shared" si="7"/>
        <v>-355.20208994086397</v>
      </c>
      <c r="N53" s="93">
        <f t="shared" si="8"/>
        <v>7753.0262778804472</v>
      </c>
      <c r="O53" s="93">
        <f t="shared" si="9"/>
        <v>33861.365500640291</v>
      </c>
      <c r="P53" s="93">
        <f t="shared" si="10"/>
        <v>34759.241362146007</v>
      </c>
      <c r="Q53" s="93">
        <f t="shared" si="11"/>
        <v>785174920670.73242</v>
      </c>
      <c r="R53" s="93">
        <f t="shared" si="12"/>
        <v>39449034804268.305</v>
      </c>
      <c r="S53" s="93">
        <f t="shared" si="13"/>
        <v>43306475633426.656</v>
      </c>
      <c r="T53">
        <f t="shared" si="14"/>
        <v>0.5</v>
      </c>
      <c r="V53" s="99"/>
      <c r="W53" s="99"/>
      <c r="X53" s="99">
        <v>10</v>
      </c>
      <c r="Y53" s="99">
        <f t="shared" si="15"/>
        <v>14924.038765061039</v>
      </c>
      <c r="Z53" s="99">
        <f t="shared" si="16"/>
        <v>8368.2408883346525</v>
      </c>
      <c r="AA53" s="99">
        <f t="shared" si="17"/>
        <v>-16553.172864457272</v>
      </c>
      <c r="AB53" s="99">
        <f t="shared" si="18"/>
        <v>10607.768621834257</v>
      </c>
      <c r="AC53" s="99">
        <f t="shared" si="19"/>
        <v>-75.961234938959933</v>
      </c>
      <c r="AD53" s="99">
        <f t="shared" si="20"/>
        <v>-14131.759111665348</v>
      </c>
    </row>
    <row r="54" spans="1:30" x14ac:dyDescent="0.25">
      <c r="A54">
        <v>5.5</v>
      </c>
      <c r="B54" s="95">
        <f t="shared" si="21"/>
        <v>12720.110744977088</v>
      </c>
      <c r="C54" s="95">
        <f t="shared" si="22"/>
        <v>14652.018017922015</v>
      </c>
      <c r="D54" s="95">
        <f t="shared" si="23"/>
        <v>-1713.9516943561748</v>
      </c>
      <c r="E54" s="95">
        <f t="shared" si="24"/>
        <v>547.02066509904807</v>
      </c>
      <c r="F54" s="96">
        <f t="shared" si="0"/>
        <v>-2243.2237086579789</v>
      </c>
      <c r="G54" s="94">
        <f t="shared" si="1"/>
        <v>-5291.3771877406061</v>
      </c>
      <c r="H54" s="97">
        <f t="shared" si="2"/>
        <v>-1864.930653164575</v>
      </c>
      <c r="I54" s="94">
        <f t="shared" si="3"/>
        <v>-4903.4833078902684</v>
      </c>
      <c r="J54" s="95">
        <f t="shared" si="4"/>
        <v>-160.08872445031511</v>
      </c>
      <c r="K54" s="94">
        <f t="shared" si="5"/>
        <v>-22.760791869365665</v>
      </c>
      <c r="L54" s="94">
        <f t="shared" si="6"/>
        <v>-218.20433104308876</v>
      </c>
      <c r="M54" s="93">
        <f t="shared" si="7"/>
        <v>-365.13308798097211</v>
      </c>
      <c r="N54" s="93">
        <f t="shared" si="8"/>
        <v>7651.8209723974178</v>
      </c>
      <c r="O54" s="93">
        <f t="shared" si="9"/>
        <v>33049.159123987345</v>
      </c>
      <c r="P54" s="93">
        <f t="shared" si="10"/>
        <v>34543.371250493554</v>
      </c>
      <c r="Q54" s="93">
        <f t="shared" si="11"/>
        <v>763699525848.31787</v>
      </c>
      <c r="R54" s="93">
        <f t="shared" si="12"/>
        <v>36706820070816.172</v>
      </c>
      <c r="S54" s="93">
        <f t="shared" si="13"/>
        <v>42520825527079.438</v>
      </c>
      <c r="T54">
        <f t="shared" si="14"/>
        <v>0.5</v>
      </c>
      <c r="V54" s="99"/>
      <c r="W54" s="99"/>
      <c r="X54" s="99">
        <v>11</v>
      </c>
      <c r="Y54" s="99">
        <f t="shared" si="15"/>
        <v>14908.13591723832</v>
      </c>
      <c r="Z54" s="99">
        <f t="shared" si="16"/>
        <v>8454.0449768827239</v>
      </c>
      <c r="AA54" s="99">
        <f t="shared" si="17"/>
        <v>-16564.304857933177</v>
      </c>
      <c r="AB54" s="99">
        <f t="shared" si="18"/>
        <v>10667.831483817907</v>
      </c>
      <c r="AC54" s="99">
        <f t="shared" si="19"/>
        <v>-91.864082761680038</v>
      </c>
      <c r="AD54" s="99">
        <f t="shared" si="20"/>
        <v>-14045.955023117276</v>
      </c>
    </row>
    <row r="55" spans="1:30" x14ac:dyDescent="0.25">
      <c r="A55">
        <v>6</v>
      </c>
      <c r="B55" s="95">
        <f t="shared" si="21"/>
        <v>11302.328970634506</v>
      </c>
      <c r="C55" s="95">
        <f t="shared" si="22"/>
        <v>13602.684053536388</v>
      </c>
      <c r="D55" s="95">
        <f t="shared" si="23"/>
        <v>-2835.5635486851643</v>
      </c>
      <c r="E55" s="95">
        <f t="shared" si="24"/>
        <v>-2098.667928771255</v>
      </c>
      <c r="F55" s="96">
        <f t="shared" si="0"/>
        <v>-1741.3410868746803</v>
      </c>
      <c r="G55" s="94">
        <f t="shared" si="1"/>
        <v>-6675.7823438803471</v>
      </c>
      <c r="H55" s="97">
        <f t="shared" si="2"/>
        <v>-1333.7439597087591</v>
      </c>
      <c r="I55" s="94">
        <f t="shared" si="3"/>
        <v>-6249.8939806656763</v>
      </c>
      <c r="J55" s="95">
        <f t="shared" si="4"/>
        <v>-176.43229533692636</v>
      </c>
      <c r="K55" s="94">
        <f t="shared" si="5"/>
        <v>-20.306150942808991</v>
      </c>
      <c r="L55" s="94">
        <f t="shared" si="6"/>
        <v>-231.16483182899469</v>
      </c>
      <c r="M55" s="93">
        <f t="shared" si="7"/>
        <v>-405.58221227186186</v>
      </c>
      <c r="N55" s="93">
        <f t="shared" si="8"/>
        <v>6240.0972272105873</v>
      </c>
      <c r="O55" s="93">
        <f t="shared" si="9"/>
        <v>31508.969062402368</v>
      </c>
      <c r="P55" s="93">
        <f t="shared" si="10"/>
        <v>32922.324719454635</v>
      </c>
      <c r="Q55" s="93">
        <f t="shared" si="11"/>
        <v>511265936379.06458</v>
      </c>
      <c r="R55" s="93">
        <f t="shared" si="12"/>
        <v>31863340859718.402</v>
      </c>
      <c r="S55" s="93">
        <f t="shared" si="13"/>
        <v>36925510774663.859</v>
      </c>
      <c r="T55">
        <f t="shared" si="14"/>
        <v>0.5</v>
      </c>
      <c r="V55" s="99"/>
      <c r="W55" s="99"/>
      <c r="X55" s="99">
        <v>12</v>
      </c>
      <c r="Y55" s="99">
        <f t="shared" si="15"/>
        <v>14890.738003669028</v>
      </c>
      <c r="Z55" s="99">
        <f t="shared" si="16"/>
        <v>8539.5584540887976</v>
      </c>
      <c r="AA55" s="99">
        <f t="shared" si="17"/>
        <v>-16576.483397431679</v>
      </c>
      <c r="AB55" s="99">
        <f t="shared" si="18"/>
        <v>10727.690917862157</v>
      </c>
      <c r="AC55" s="99">
        <f t="shared" si="19"/>
        <v>-109.26199633097167</v>
      </c>
      <c r="AD55" s="99">
        <f t="shared" si="20"/>
        <v>-13960.441545911202</v>
      </c>
    </row>
    <row r="56" spans="1:30" x14ac:dyDescent="0.25">
      <c r="A56">
        <v>6.5</v>
      </c>
      <c r="B56" s="95">
        <f t="shared" si="21"/>
        <v>9449.2119245732538</v>
      </c>
      <c r="C56" s="95">
        <f t="shared" si="22"/>
        <v>10884.404503180675</v>
      </c>
      <c r="D56" s="95">
        <f t="shared" si="23"/>
        <v>-3706.2340921225045</v>
      </c>
      <c r="E56" s="95">
        <f t="shared" si="24"/>
        <v>-5436.559100711429</v>
      </c>
      <c r="F56" s="96">
        <f t="shared" si="0"/>
        <v>813.13408778725125</v>
      </c>
      <c r="G56" s="94">
        <f t="shared" si="1"/>
        <v>-8456.6141791980772</v>
      </c>
      <c r="H56" s="97">
        <f t="shared" si="2"/>
        <v>1294.0859303203656</v>
      </c>
      <c r="I56" s="94">
        <f t="shared" si="3"/>
        <v>-7951.7158149904271</v>
      </c>
      <c r="J56" s="95">
        <f t="shared" si="4"/>
        <v>-202.50187978970723</v>
      </c>
      <c r="K56" s="94">
        <f t="shared" si="5"/>
        <v>-6.0814386085193659</v>
      </c>
      <c r="L56" s="94">
        <f t="shared" si="6"/>
        <v>-278.44996274340707</v>
      </c>
      <c r="M56" s="93">
        <f t="shared" si="7"/>
        <v>-498.81692559913131</v>
      </c>
      <c r="N56" s="93">
        <f t="shared" si="8"/>
        <v>3428.930058368343</v>
      </c>
      <c r="O56" s="93">
        <f t="shared" si="9"/>
        <v>29462.488935995782</v>
      </c>
      <c r="P56" s="93">
        <f t="shared" si="10"/>
        <v>29644.259507120598</v>
      </c>
      <c r="Q56" s="93">
        <f t="shared" si="11"/>
        <v>222853795988.79736</v>
      </c>
      <c r="R56" s="93">
        <f t="shared" si="12"/>
        <v>26117846231672.453</v>
      </c>
      <c r="S56" s="93">
        <f t="shared" si="13"/>
        <v>27170374158170.098</v>
      </c>
      <c r="T56">
        <f t="shared" si="14"/>
        <v>0.5</v>
      </c>
      <c r="X56" s="99">
        <v>13</v>
      </c>
      <c r="Y56" s="99">
        <f t="shared" si="15"/>
        <v>14871.850323926177</v>
      </c>
      <c r="Z56" s="99">
        <f t="shared" si="16"/>
        <v>8624.7552717193248</v>
      </c>
      <c r="AA56" s="99">
        <f t="shared" si="17"/>
        <v>-16589.704773251677</v>
      </c>
      <c r="AB56" s="99">
        <f t="shared" si="18"/>
        <v>10787.328690203527</v>
      </c>
      <c r="AC56" s="99">
        <f t="shared" si="19"/>
        <v>-128.14967607382368</v>
      </c>
      <c r="AD56" s="99">
        <f t="shared" si="20"/>
        <v>-13875.244728280675</v>
      </c>
    </row>
    <row r="57" spans="1:30" x14ac:dyDescent="0.25">
      <c r="A57">
        <v>7</v>
      </c>
      <c r="B57" s="95">
        <f t="shared" si="21"/>
        <v>7799.3784004588142</v>
      </c>
      <c r="C57" s="95">
        <f t="shared" si="22"/>
        <v>6051.9714080254407</v>
      </c>
      <c r="D57" s="95">
        <f t="shared" si="23"/>
        <v>-3299.6670482288791</v>
      </c>
      <c r="E57" s="95">
        <f t="shared" si="24"/>
        <v>-9664.8661903104676</v>
      </c>
      <c r="F57" s="96">
        <f t="shared" si="0"/>
        <v>5741.2154383607167</v>
      </c>
      <c r="G57" s="94">
        <f t="shared" si="1"/>
        <v>3537.8706032526452</v>
      </c>
      <c r="H57" s="97">
        <f t="shared" si="2"/>
        <v>6383.3898770792748</v>
      </c>
      <c r="I57" s="94">
        <f t="shared" si="3"/>
        <v>4200.327333721948</v>
      </c>
      <c r="J57" s="95">
        <f t="shared" si="4"/>
        <v>-220.37888135009464</v>
      </c>
      <c r="K57" s="94">
        <f t="shared" si="5"/>
        <v>31.297898539457368</v>
      </c>
      <c r="L57" s="94">
        <f t="shared" si="6"/>
        <v>-421.79555736846316</v>
      </c>
      <c r="M57" s="93">
        <f t="shared" si="7"/>
        <v>-693.75462900876005</v>
      </c>
      <c r="N57" s="93">
        <f t="shared" si="8"/>
        <v>2634.297292930893</v>
      </c>
      <c r="O57" s="93">
        <f t="shared" si="9"/>
        <v>28078.325612738106</v>
      </c>
      <c r="P57" s="93">
        <f t="shared" si="10"/>
        <v>24637.56456313108</v>
      </c>
      <c r="Q57" s="93">
        <f t="shared" si="11"/>
        <v>180506407608.3262</v>
      </c>
      <c r="R57" s="93">
        <f t="shared" si="12"/>
        <v>22654675885773.793</v>
      </c>
      <c r="S57" s="93">
        <f t="shared" si="13"/>
        <v>15888595177983.787</v>
      </c>
      <c r="T57">
        <f t="shared" si="14"/>
        <v>0.5</v>
      </c>
      <c r="X57" s="99">
        <v>14</v>
      </c>
      <c r="Y57" s="99">
        <f t="shared" si="15"/>
        <v>14851.478631379981</v>
      </c>
      <c r="Z57" s="99">
        <f t="shared" si="16"/>
        <v>8709.6094779983396</v>
      </c>
      <c r="AA57" s="99">
        <f t="shared" si="17"/>
        <v>-16603.964958034012</v>
      </c>
      <c r="AB57" s="99">
        <f t="shared" si="18"/>
        <v>10846.726634598837</v>
      </c>
      <c r="AC57" s="99">
        <f t="shared" si="19"/>
        <v>-148.52136862001771</v>
      </c>
      <c r="AD57" s="99">
        <f t="shared" si="20"/>
        <v>-13790.39052200166</v>
      </c>
    </row>
    <row r="58" spans="1:30" x14ac:dyDescent="0.25">
      <c r="A58">
        <v>7.5</v>
      </c>
      <c r="B58" s="95">
        <f t="shared" si="21"/>
        <v>7584.8487359345536</v>
      </c>
      <c r="C58" s="95">
        <f t="shared" si="22"/>
        <v>2104.0059636833685</v>
      </c>
      <c r="D58" s="95">
        <f t="shared" si="23"/>
        <v>-429.05932904852079</v>
      </c>
      <c r="E58" s="95">
        <f t="shared" si="24"/>
        <v>-7895.9308886841445</v>
      </c>
      <c r="F58" s="96">
        <f t="shared" si="0"/>
        <v>1884.56155213275</v>
      </c>
      <c r="G58" s="94">
        <f t="shared" si="1"/>
        <v>5282.9657596116176</v>
      </c>
      <c r="H58" s="97">
        <f t="shared" si="2"/>
        <v>2724.3465962611122</v>
      </c>
      <c r="I58" s="94">
        <f t="shared" si="3"/>
        <v>6086.8063234842248</v>
      </c>
      <c r="J58" s="95">
        <f t="shared" si="4"/>
        <v>-205.12925601536878</v>
      </c>
      <c r="K58" s="94">
        <f t="shared" si="5"/>
        <v>58.716993436380541</v>
      </c>
      <c r="L58" s="94">
        <f t="shared" si="6"/>
        <v>-634.65578811299326</v>
      </c>
      <c r="M58" s="93">
        <f t="shared" si="7"/>
        <v>-862.5575573089875</v>
      </c>
      <c r="N58" s="93">
        <f t="shared" si="8"/>
        <v>5911.8277434547754</v>
      </c>
      <c r="O58" s="93">
        <f t="shared" si="9"/>
        <v>28692.692477457356</v>
      </c>
      <c r="P58" s="93">
        <f t="shared" si="10"/>
        <v>21235.005008524717</v>
      </c>
      <c r="Q58" s="93">
        <f t="shared" si="11"/>
        <v>464173775276.92145</v>
      </c>
      <c r="R58" s="93">
        <f t="shared" si="12"/>
        <v>24151034831356.754</v>
      </c>
      <c r="S58" s="93">
        <f t="shared" si="13"/>
        <v>10382653893092.613</v>
      </c>
      <c r="T58">
        <f t="shared" si="14"/>
        <v>0.5</v>
      </c>
      <c r="X58" s="99">
        <v>15</v>
      </c>
      <c r="Y58" s="99">
        <f t="shared" si="15"/>
        <v>14829.629131445341</v>
      </c>
      <c r="Z58" s="99">
        <f t="shared" si="16"/>
        <v>8794.0952255126031</v>
      </c>
      <c r="AA58" s="99">
        <f t="shared" si="17"/>
        <v>-16619.259607988261</v>
      </c>
      <c r="AB58" s="99">
        <f t="shared" si="18"/>
        <v>10905.866657858822</v>
      </c>
      <c r="AC58" s="99">
        <f t="shared" si="19"/>
        <v>-170.37086855465805</v>
      </c>
      <c r="AD58" s="99">
        <f t="shared" si="20"/>
        <v>-13705.904774487397</v>
      </c>
    </row>
    <row r="59" spans="1:30" x14ac:dyDescent="0.25">
      <c r="A59">
        <v>8</v>
      </c>
      <c r="B59" s="95">
        <f t="shared" si="21"/>
        <v>7841.4594594434802</v>
      </c>
      <c r="C59" s="95">
        <f t="shared" si="22"/>
        <v>-523.21804075579939</v>
      </c>
      <c r="D59" s="95">
        <f t="shared" si="23"/>
        <v>513.22144701785419</v>
      </c>
      <c r="E59" s="95">
        <f t="shared" si="24"/>
        <v>-5254.4480088783357</v>
      </c>
      <c r="F59" s="96">
        <f t="shared" si="0"/>
        <v>211.62908633815618</v>
      </c>
      <c r="G59" s="94">
        <f t="shared" si="1"/>
        <v>3728.076075312888</v>
      </c>
      <c r="H59" s="97">
        <f t="shared" si="2"/>
        <v>1239.5098958290873</v>
      </c>
      <c r="I59" s="94">
        <f t="shared" si="3"/>
        <v>4607.2139814187913</v>
      </c>
      <c r="J59" s="95">
        <f t="shared" si="4"/>
        <v>-185.76860538091086</v>
      </c>
      <c r="K59" s="94">
        <f t="shared" si="5"/>
        <v>70.214837063341278</v>
      </c>
      <c r="L59" s="94">
        <f t="shared" si="6"/>
        <v>-842.11220411002023</v>
      </c>
      <c r="M59" s="93">
        <f t="shared" si="7"/>
        <v>-949.3527431692446</v>
      </c>
      <c r="N59" s="93">
        <f t="shared" si="8"/>
        <v>8308.509192071424</v>
      </c>
      <c r="O59" s="93">
        <f t="shared" si="9"/>
        <v>29763.820029779836</v>
      </c>
      <c r="P59" s="93">
        <f t="shared" si="10"/>
        <v>19351.493403456716</v>
      </c>
      <c r="Q59" s="93">
        <f t="shared" si="11"/>
        <v>911819411783.48242</v>
      </c>
      <c r="R59" s="93">
        <f t="shared" si="12"/>
        <v>26916117718074.688</v>
      </c>
      <c r="S59" s="93">
        <f t="shared" si="13"/>
        <v>7984413973629.2803</v>
      </c>
      <c r="T59">
        <f t="shared" si="14"/>
        <v>0.5</v>
      </c>
      <c r="X59" s="99">
        <v>16</v>
      </c>
      <c r="Y59" s="99">
        <f t="shared" si="15"/>
        <v>14806.308479691594</v>
      </c>
      <c r="Z59" s="99">
        <f t="shared" si="16"/>
        <v>8878.1867790849956</v>
      </c>
      <c r="AA59" s="99">
        <f t="shared" si="17"/>
        <v>-16635.584064215884</v>
      </c>
      <c r="AB59" s="99">
        <f t="shared" si="18"/>
        <v>10964.730745359497</v>
      </c>
      <c r="AC59" s="99">
        <f t="shared" si="19"/>
        <v>-193.69152030840542</v>
      </c>
      <c r="AD59" s="99">
        <f t="shared" si="20"/>
        <v>-13621.813220915004</v>
      </c>
    </row>
    <row r="60" spans="1:30" x14ac:dyDescent="0.25">
      <c r="A60">
        <v>8.5</v>
      </c>
      <c r="B60" s="95">
        <f t="shared" si="21"/>
        <v>8150.9774545369464</v>
      </c>
      <c r="C60" s="95">
        <f t="shared" si="22"/>
        <v>-2218.423026366745</v>
      </c>
      <c r="D60" s="95">
        <f t="shared" si="23"/>
        <v>619.03599018693228</v>
      </c>
      <c r="E60" s="95">
        <f t="shared" si="24"/>
        <v>-3390.4099712218917</v>
      </c>
      <c r="F60" s="96">
        <f t="shared" si="0"/>
        <v>-463.29652202148338</v>
      </c>
      <c r="G60" s="94">
        <f t="shared" si="1"/>
        <v>2836.3538476105405</v>
      </c>
      <c r="H60" s="97">
        <f t="shared" si="2"/>
        <v>710.86954148634231</v>
      </c>
      <c r="I60" s="94">
        <f t="shared" si="3"/>
        <v>3736.3151345423562</v>
      </c>
      <c r="J60" s="95">
        <f t="shared" si="4"/>
        <v>-171.57412098682798</v>
      </c>
      <c r="K60" s="94">
        <f t="shared" si="5"/>
        <v>74.468646567589516</v>
      </c>
      <c r="L60" s="94">
        <f t="shared" si="6"/>
        <v>-1002.5919425209977</v>
      </c>
      <c r="M60" s="93">
        <f t="shared" si="7"/>
        <v>-974.42993349940548</v>
      </c>
      <c r="N60" s="93">
        <f t="shared" si="8"/>
        <v>9892.7564658716856</v>
      </c>
      <c r="O60" s="93">
        <f t="shared" si="9"/>
        <v>30688.22889801718</v>
      </c>
      <c r="P60" s="93">
        <f t="shared" si="10"/>
        <v>18338.94538796195</v>
      </c>
      <c r="Q60" s="93">
        <f t="shared" si="11"/>
        <v>1361917882757.8245</v>
      </c>
      <c r="R60" s="93">
        <f t="shared" si="12"/>
        <v>29466899285937.793</v>
      </c>
      <c r="S60" s="93">
        <f t="shared" si="13"/>
        <v>6868034143384.4766</v>
      </c>
      <c r="T60">
        <f t="shared" si="14"/>
        <v>0.5</v>
      </c>
      <c r="X60" s="99">
        <v>17</v>
      </c>
      <c r="Y60" s="99">
        <f t="shared" si="15"/>
        <v>14781.523779815177</v>
      </c>
      <c r="Z60" s="99">
        <f t="shared" si="16"/>
        <v>8961.8585236136842</v>
      </c>
      <c r="AA60" s="99">
        <f t="shared" si="17"/>
        <v>-16652.933354129374</v>
      </c>
      <c r="AB60" s="99">
        <f t="shared" si="18"/>
        <v>11023.300966529579</v>
      </c>
      <c r="AC60" s="99">
        <f t="shared" si="19"/>
        <v>-218.47622018482252</v>
      </c>
      <c r="AD60" s="99">
        <f t="shared" si="20"/>
        <v>-13538.141476386316</v>
      </c>
    </row>
    <row r="61" spans="1:30" x14ac:dyDescent="0.25">
      <c r="A61">
        <v>9</v>
      </c>
      <c r="B61" s="95">
        <f t="shared" si="21"/>
        <v>8344.6713191250419</v>
      </c>
      <c r="C61" s="95">
        <f t="shared" si="22"/>
        <v>-3204.539550075056</v>
      </c>
      <c r="D61" s="95">
        <f t="shared" si="23"/>
        <v>387.38772917619059</v>
      </c>
      <c r="E61" s="95">
        <f t="shared" si="24"/>
        <v>-1972.2330474166215</v>
      </c>
      <c r="F61" s="96">
        <f t="shared" si="0"/>
        <v>-756.69438298507839</v>
      </c>
      <c r="G61" s="94">
        <f t="shared" si="1"/>
        <v>2401.4505609636617</v>
      </c>
      <c r="H61" s="97">
        <f t="shared" si="2"/>
        <v>510.4469786577402</v>
      </c>
      <c r="I61" s="94">
        <f t="shared" si="3"/>
        <v>3300.9153616367807</v>
      </c>
      <c r="J61" s="95">
        <f t="shared" si="4"/>
        <v>-163.4148299610315</v>
      </c>
      <c r="K61" s="94">
        <f t="shared" si="5"/>
        <v>76.12780409393153</v>
      </c>
      <c r="L61" s="94">
        <f t="shared" si="6"/>
        <v>-1103.726531681787</v>
      </c>
      <c r="M61" s="93">
        <f t="shared" si="7"/>
        <v>-975.59260476705049</v>
      </c>
      <c r="N61" s="93">
        <f t="shared" si="8"/>
        <v>10831.77178585518</v>
      </c>
      <c r="O61" s="93">
        <f t="shared" si="9"/>
        <v>31269.478040394697</v>
      </c>
      <c r="P61" s="93">
        <f t="shared" si="10"/>
        <v>17810.47837204891</v>
      </c>
      <c r="Q61" s="93">
        <f t="shared" si="11"/>
        <v>1697978647651.1306</v>
      </c>
      <c r="R61" s="93">
        <f t="shared" si="12"/>
        <v>31151050819148</v>
      </c>
      <c r="S61" s="93">
        <f t="shared" si="13"/>
        <v>6330602158135.0244</v>
      </c>
      <c r="T61">
        <f t="shared" si="14"/>
        <v>0.5</v>
      </c>
      <c r="X61" s="99">
        <v>18</v>
      </c>
      <c r="Y61" s="99">
        <f t="shared" si="15"/>
        <v>14755.282581475767</v>
      </c>
      <c r="Z61" s="99">
        <f t="shared" si="16"/>
        <v>9045.0849718747377</v>
      </c>
      <c r="AA61" s="99">
        <f t="shared" si="17"/>
        <v>-16671.302192966963</v>
      </c>
      <c r="AB61" s="99">
        <f t="shared" si="18"/>
        <v>11081.559480312317</v>
      </c>
      <c r="AC61" s="99">
        <f t="shared" si="19"/>
        <v>-244.71741852423202</v>
      </c>
      <c r="AD61" s="99">
        <f t="shared" si="20"/>
        <v>-13454.915028125262</v>
      </c>
    </row>
    <row r="62" spans="1:30" x14ac:dyDescent="0.25">
      <c r="A62">
        <v>9.5</v>
      </c>
      <c r="B62" s="95">
        <f t="shared" si="21"/>
        <v>8349.1915879668668</v>
      </c>
      <c r="C62" s="95">
        <f t="shared" si="22"/>
        <v>-3590.2934335424516</v>
      </c>
      <c r="D62" s="95">
        <f t="shared" si="23"/>
        <v>9.0405376836513938</v>
      </c>
      <c r="E62" s="95">
        <f t="shared" si="24"/>
        <v>-771.50776693479065</v>
      </c>
      <c r="F62" s="96">
        <f t="shared" si="0"/>
        <v>-841.97887557924514</v>
      </c>
      <c r="G62" s="94">
        <f t="shared" si="1"/>
        <v>2233.9221484165182</v>
      </c>
      <c r="H62" s="97">
        <f t="shared" si="2"/>
        <v>467.13233669538158</v>
      </c>
      <c r="I62" s="94">
        <f t="shared" si="3"/>
        <v>3138.2410269327797</v>
      </c>
      <c r="J62" s="95">
        <f t="shared" si="4"/>
        <v>-160.85252001545882</v>
      </c>
      <c r="K62" s="94">
        <f t="shared" si="5"/>
        <v>77.110944760157892</v>
      </c>
      <c r="L62" s="94">
        <f t="shared" si="6"/>
        <v>-1148.2586922591679</v>
      </c>
      <c r="M62" s="93">
        <f t="shared" si="7"/>
        <v>-981.42982327641937</v>
      </c>
      <c r="N62" s="93">
        <f t="shared" si="8"/>
        <v>11212.483081606597</v>
      </c>
      <c r="O62" s="93">
        <f t="shared" si="9"/>
        <v>31438.395940331284</v>
      </c>
      <c r="P62" s="93">
        <f t="shared" si="10"/>
        <v>17560.817748183308</v>
      </c>
      <c r="Q62" s="93">
        <f t="shared" si="11"/>
        <v>1850356302461.6152</v>
      </c>
      <c r="R62" s="93">
        <f t="shared" si="12"/>
        <v>31652320318695.855</v>
      </c>
      <c r="S62" s="93">
        <f t="shared" si="13"/>
        <v>6087147798493.624</v>
      </c>
      <c r="T62">
        <f t="shared" si="14"/>
        <v>0.5</v>
      </c>
      <c r="X62" s="99">
        <v>19</v>
      </c>
      <c r="Y62" s="99">
        <f t="shared" si="15"/>
        <v>14727.592877996583</v>
      </c>
      <c r="Z62" s="99">
        <f t="shared" si="16"/>
        <v>9127.8407722857828</v>
      </c>
      <c r="AA62" s="99">
        <f t="shared" si="17"/>
        <v>-16690.684985402389</v>
      </c>
      <c r="AB62" s="99">
        <f t="shared" si="18"/>
        <v>11139.488540600049</v>
      </c>
      <c r="AC62" s="99">
        <f t="shared" si="19"/>
        <v>-272.40712200341568</v>
      </c>
      <c r="AD62" s="99">
        <f t="shared" si="20"/>
        <v>-13372.159227714217</v>
      </c>
    </row>
    <row r="63" spans="1:30" x14ac:dyDescent="0.25">
      <c r="A63">
        <v>10</v>
      </c>
      <c r="B63" s="95">
        <f t="shared" si="21"/>
        <v>8143.2171379138799</v>
      </c>
      <c r="C63" s="95">
        <f t="shared" si="22"/>
        <v>-3417.5667799057173</v>
      </c>
      <c r="D63" s="95">
        <f t="shared" si="23"/>
        <v>-411.94890010597118</v>
      </c>
      <c r="E63" s="95">
        <f t="shared" si="24"/>
        <v>345.45330727346845</v>
      </c>
      <c r="F63" s="96">
        <f t="shared" si="0"/>
        <v>-759.86825391826244</v>
      </c>
      <c r="G63" s="94">
        <f t="shared" si="1"/>
        <v>2261.5504667384785</v>
      </c>
      <c r="H63" s="97">
        <f t="shared" si="2"/>
        <v>541.93810018019826</v>
      </c>
      <c r="I63" s="94">
        <f t="shared" si="3"/>
        <v>3186.5036672328611</v>
      </c>
      <c r="J63" s="95">
        <f t="shared" si="4"/>
        <v>-163.66689707217293</v>
      </c>
      <c r="K63" s="94">
        <f t="shared" si="5"/>
        <v>78.029868098037042</v>
      </c>
      <c r="L63" s="94">
        <f t="shared" si="6"/>
        <v>-1138.1394570262878</v>
      </c>
      <c r="M63" s="93">
        <f t="shared" si="7"/>
        <v>-1002.9830685924198</v>
      </c>
      <c r="N63" s="93">
        <f t="shared" si="8"/>
        <v>11074.335510116967</v>
      </c>
      <c r="O63" s="93">
        <f t="shared" si="9"/>
        <v>31178.065513514452</v>
      </c>
      <c r="P63" s="93">
        <f t="shared" si="10"/>
        <v>17518.473564563115</v>
      </c>
      <c r="Q63" s="93">
        <f t="shared" si="11"/>
        <v>1793948852861.4817</v>
      </c>
      <c r="R63" s="93">
        <f t="shared" si="12"/>
        <v>30882015388307.648</v>
      </c>
      <c r="S63" s="93">
        <f t="shared" si="13"/>
        <v>6046510696338.4502</v>
      </c>
      <c r="T63">
        <f t="shared" si="14"/>
        <v>0.5</v>
      </c>
      <c r="X63" s="99">
        <v>20</v>
      </c>
      <c r="Y63" s="99">
        <f t="shared" si="15"/>
        <v>14698.463103929542</v>
      </c>
      <c r="Z63" s="99">
        <f t="shared" si="16"/>
        <v>9210.1007166283434</v>
      </c>
      <c r="AA63" s="99">
        <f t="shared" si="17"/>
        <v>-16711.075827249319</v>
      </c>
      <c r="AB63" s="99">
        <f t="shared" si="18"/>
        <v>11197.070501639841</v>
      </c>
      <c r="AC63" s="99">
        <f t="shared" si="19"/>
        <v>-301.53689607045817</v>
      </c>
      <c r="AD63" s="99">
        <f t="shared" si="20"/>
        <v>-13289.899283371657</v>
      </c>
    </row>
    <row r="64" spans="1:30" x14ac:dyDescent="0.25">
      <c r="A64">
        <v>10.5</v>
      </c>
      <c r="B64" s="95">
        <f t="shared" si="21"/>
        <v>7747.2756243813283</v>
      </c>
      <c r="C64" s="95">
        <f t="shared" si="22"/>
        <v>-2679.4525095843637</v>
      </c>
      <c r="D64" s="95">
        <f t="shared" si="23"/>
        <v>-791.8830270651024</v>
      </c>
      <c r="E64" s="95">
        <f t="shared" si="24"/>
        <v>1476.2285406427077</v>
      </c>
      <c r="F64" s="96">
        <f t="shared" si="0"/>
        <v>-477.07339243419347</v>
      </c>
      <c r="G64" s="94">
        <f t="shared" si="1"/>
        <v>2494.2470571111421</v>
      </c>
      <c r="H64" s="97">
        <f t="shared" si="2"/>
        <v>763.00776865721809</v>
      </c>
      <c r="I64" s="94">
        <f t="shared" si="3"/>
        <v>3447.8258545753124</v>
      </c>
      <c r="J64" s="95">
        <f t="shared" si="4"/>
        <v>-172.10521672132859</v>
      </c>
      <c r="K64" s="94">
        <f t="shared" si="5"/>
        <v>78.645556111906259</v>
      </c>
      <c r="L64" s="94">
        <f t="shared" si="6"/>
        <v>-1067.975944370083</v>
      </c>
      <c r="M64" s="93">
        <f t="shared" si="7"/>
        <v>-1032.2243535760767</v>
      </c>
      <c r="N64" s="93">
        <f t="shared" si="8"/>
        <v>10425.738367491769</v>
      </c>
      <c r="O64" s="93">
        <f t="shared" si="9"/>
        <v>30507.04542426538</v>
      </c>
      <c r="P64" s="93">
        <f t="shared" si="10"/>
        <v>17728.195799559904</v>
      </c>
      <c r="Q64" s="93">
        <f t="shared" si="11"/>
        <v>1545886913982.7603</v>
      </c>
      <c r="R64" s="93">
        <f t="shared" si="12"/>
        <v>28954699097570.941</v>
      </c>
      <c r="S64" s="93">
        <f t="shared" si="13"/>
        <v>6249633191014.292</v>
      </c>
      <c r="T64">
        <f t="shared" si="14"/>
        <v>0.5</v>
      </c>
      <c r="X64" s="99">
        <v>21</v>
      </c>
      <c r="Y64" s="99">
        <f t="shared" si="15"/>
        <v>14667.902132486008</v>
      </c>
      <c r="Z64" s="99">
        <f t="shared" si="16"/>
        <v>9291.8397477265007</v>
      </c>
      <c r="AA64" s="99">
        <f t="shared" si="17"/>
        <v>-16732.468507259793</v>
      </c>
      <c r="AB64" s="99">
        <f t="shared" si="18"/>
        <v>11254.287823408551</v>
      </c>
      <c r="AC64" s="99">
        <f t="shared" si="19"/>
        <v>-332.09786751399133</v>
      </c>
      <c r="AD64" s="99">
        <f t="shared" si="20"/>
        <v>-13208.160252273499</v>
      </c>
    </row>
    <row r="65" spans="1:30" x14ac:dyDescent="0.25">
      <c r="A65">
        <v>11</v>
      </c>
      <c r="B65" s="95">
        <f t="shared" si="21"/>
        <v>7232.0657627402279</v>
      </c>
      <c r="C65" s="95">
        <f t="shared" si="22"/>
        <v>-1317.7764749852245</v>
      </c>
      <c r="D65" s="95">
        <f t="shared" si="23"/>
        <v>-1030.4197232821991</v>
      </c>
      <c r="E65" s="95">
        <f t="shared" si="24"/>
        <v>2723.3520691982785</v>
      </c>
      <c r="F65" s="96">
        <f t="shared" si="0"/>
        <v>131.84832856787716</v>
      </c>
      <c r="G65" s="94">
        <f t="shared" si="1"/>
        <v>3016.1196220587194</v>
      </c>
      <c r="H65" s="97">
        <f t="shared" si="2"/>
        <v>1249.1494108477057</v>
      </c>
      <c r="I65" s="94">
        <f t="shared" si="3"/>
        <v>3979.4010061521612</v>
      </c>
      <c r="J65" s="95">
        <f t="shared" si="4"/>
        <v>-186.73426835309021</v>
      </c>
      <c r="K65" s="94">
        <f t="shared" si="5"/>
        <v>77.607652972541871</v>
      </c>
      <c r="L65" s="94">
        <f t="shared" si="6"/>
        <v>-930.56681392673818</v>
      </c>
      <c r="M65" s="93">
        <f t="shared" si="7"/>
        <v>-1040.8890370659838</v>
      </c>
      <c r="N65" s="93">
        <f t="shared" si="8"/>
        <v>9242.0042147035238</v>
      </c>
      <c r="O65" s="93">
        <f t="shared" si="9"/>
        <v>29490.294505886806</v>
      </c>
      <c r="P65" s="93">
        <f t="shared" si="10"/>
        <v>18352.838293094326</v>
      </c>
      <c r="Q65" s="93">
        <f t="shared" si="11"/>
        <v>1160219077862.1938</v>
      </c>
      <c r="R65" s="93">
        <f t="shared" si="12"/>
        <v>26190832624002.844</v>
      </c>
      <c r="S65" s="93">
        <f t="shared" si="13"/>
        <v>6882573675051.4346</v>
      </c>
      <c r="T65">
        <f t="shared" si="14"/>
        <v>0.5</v>
      </c>
      <c r="X65" s="99">
        <v>22</v>
      </c>
      <c r="Y65" s="99">
        <f t="shared" si="15"/>
        <v>14635.919272833937</v>
      </c>
      <c r="Z65" s="99">
        <f t="shared" si="16"/>
        <v>9373.03296707956</v>
      </c>
      <c r="AA65" s="99">
        <f t="shared" si="17"/>
        <v>-16754.856509016245</v>
      </c>
      <c r="AB65" s="99">
        <f t="shared" si="18"/>
        <v>11311.123076955691</v>
      </c>
      <c r="AC65" s="99">
        <f t="shared" si="19"/>
        <v>-364.0807271660633</v>
      </c>
      <c r="AD65" s="99">
        <f t="shared" si="20"/>
        <v>-13126.96703292044</v>
      </c>
    </row>
    <row r="66" spans="1:30" x14ac:dyDescent="0.25">
      <c r="A66">
        <v>11.5</v>
      </c>
      <c r="B66" s="95">
        <f t="shared" si="21"/>
        <v>6749.8179832410979</v>
      </c>
      <c r="C66" s="95">
        <f t="shared" si="22"/>
        <v>797.92946512859464</v>
      </c>
      <c r="D66" s="95">
        <f t="shared" si="23"/>
        <v>-964.49555899826055</v>
      </c>
      <c r="E66" s="95">
        <f t="shared" si="24"/>
        <v>4231.411880227638</v>
      </c>
      <c r="F66" s="96">
        <f t="shared" si="0"/>
        <v>1415.5967227661658</v>
      </c>
      <c r="G66" s="94">
        <f t="shared" si="1"/>
        <v>3944.8171067607273</v>
      </c>
      <c r="H66" s="97">
        <f t="shared" si="2"/>
        <v>2357.0172328261647</v>
      </c>
      <c r="I66" s="94">
        <f t="shared" si="3"/>
        <v>4860.3111040719859</v>
      </c>
      <c r="J66" s="95">
        <f t="shared" si="4"/>
        <v>-207.4406486894388</v>
      </c>
      <c r="K66" s="94">
        <f t="shared" si="5"/>
        <v>71.360615695987946</v>
      </c>
      <c r="L66" s="94">
        <f t="shared" si="6"/>
        <v>-733.97986137056023</v>
      </c>
      <c r="M66" s="93">
        <f t="shared" si="7"/>
        <v>-986.85461300724626</v>
      </c>
      <c r="N66" s="93">
        <f t="shared" si="8"/>
        <v>7448.585946101075</v>
      </c>
      <c r="O66" s="93">
        <f t="shared" si="9"/>
        <v>28288.352095257815</v>
      </c>
      <c r="P66" s="93">
        <f t="shared" si="10"/>
        <v>19688.392469281847</v>
      </c>
      <c r="Q66" s="93">
        <f t="shared" si="11"/>
        <v>722010556709.44336</v>
      </c>
      <c r="R66" s="93">
        <f t="shared" si="12"/>
        <v>23158995148600.828</v>
      </c>
      <c r="S66" s="93">
        <f t="shared" si="13"/>
        <v>8381960641317.7734</v>
      </c>
      <c r="T66">
        <f t="shared" si="14"/>
        <v>0.5</v>
      </c>
      <c r="X66" s="99">
        <v>23</v>
      </c>
      <c r="Y66" s="99">
        <f t="shared" si="15"/>
        <v>14602.524267262201</v>
      </c>
      <c r="Z66" s="99">
        <f t="shared" si="16"/>
        <v>9453.6556424463688</v>
      </c>
      <c r="AA66" s="99">
        <f t="shared" si="17"/>
        <v>-16778.233012916458</v>
      </c>
      <c r="AB66" s="99">
        <f t="shared" si="18"/>
        <v>11367.558949712458</v>
      </c>
      <c r="AC66" s="99">
        <f t="shared" si="19"/>
        <v>-397.47573273779835</v>
      </c>
      <c r="AD66" s="99">
        <f t="shared" si="20"/>
        <v>-13046.344357553631</v>
      </c>
    </row>
    <row r="67" spans="1:30" x14ac:dyDescent="0.25">
      <c r="A67">
        <v>12</v>
      </c>
      <c r="B67" s="95">
        <f t="shared" si="21"/>
        <v>6621.4693844335088</v>
      </c>
      <c r="C67" s="95">
        <f t="shared" si="22"/>
        <v>3899.8396819325953</v>
      </c>
      <c r="D67" s="95">
        <f t="shared" si="23"/>
        <v>-256.69719761517763</v>
      </c>
      <c r="E67" s="95">
        <f t="shared" si="24"/>
        <v>6203.8204336080016</v>
      </c>
      <c r="F67" s="96">
        <f t="shared" si="0"/>
        <v>4352.4135729053714</v>
      </c>
      <c r="G67" s="94">
        <f t="shared" si="1"/>
        <v>4644.4453112203273</v>
      </c>
      <c r="H67" s="97">
        <f t="shared" si="2"/>
        <v>5098.678083968558</v>
      </c>
      <c r="I67" s="94">
        <f t="shared" si="3"/>
        <v>5433.1484900354289</v>
      </c>
      <c r="J67" s="95">
        <f t="shared" si="4"/>
        <v>-229.02322270130185</v>
      </c>
      <c r="K67" s="94">
        <f t="shared" si="5"/>
        <v>52.479386275173653</v>
      </c>
      <c r="L67" s="94">
        <f t="shared" si="6"/>
        <v>-517.24128836188436</v>
      </c>
      <c r="M67" s="93">
        <f t="shared" si="7"/>
        <v>-841.18256509027526</v>
      </c>
      <c r="N67" s="93">
        <f t="shared" si="8"/>
        <v>4937.167551958034</v>
      </c>
      <c r="O67" s="93">
        <f t="shared" si="9"/>
        <v>27311.436946679591</v>
      </c>
      <c r="P67" s="93">
        <f t="shared" si="10"/>
        <v>22186.989220173145</v>
      </c>
      <c r="Q67" s="93">
        <f t="shared" si="11"/>
        <v>346951595001.4801</v>
      </c>
      <c r="R67" s="93">
        <f t="shared" si="12"/>
        <v>20875901723845.355</v>
      </c>
      <c r="S67" s="93">
        <f t="shared" si="13"/>
        <v>11764310539890.971</v>
      </c>
      <c r="T67">
        <f t="shared" si="14"/>
        <v>0.5</v>
      </c>
      <c r="X67" s="99">
        <v>24</v>
      </c>
      <c r="Y67" s="99">
        <f t="shared" si="15"/>
        <v>14567.727288213006</v>
      </c>
      <c r="Z67" s="99">
        <f t="shared" si="16"/>
        <v>9533.6832153790001</v>
      </c>
      <c r="AA67" s="99">
        <f t="shared" si="17"/>
        <v>-16802.590898250895</v>
      </c>
      <c r="AB67" s="99">
        <f t="shared" si="18"/>
        <v>11423.5782507653</v>
      </c>
      <c r="AC67" s="99">
        <f t="shared" si="19"/>
        <v>-432.27271178699539</v>
      </c>
      <c r="AD67" s="99">
        <f t="shared" si="20"/>
        <v>-12966.316784621</v>
      </c>
    </row>
    <row r="68" spans="1:30" x14ac:dyDescent="0.25">
      <c r="A68">
        <v>12.5</v>
      </c>
      <c r="B68" s="95">
        <f t="shared" si="21"/>
        <v>7581.2241788522624</v>
      </c>
      <c r="C68" s="95">
        <f t="shared" si="22"/>
        <v>8162.8612265416778</v>
      </c>
      <c r="D68" s="95">
        <f t="shared" si="23"/>
        <v>1919.5095888375081</v>
      </c>
      <c r="E68" s="95">
        <f t="shared" si="24"/>
        <v>8526.0430892181648</v>
      </c>
      <c r="F68" s="96">
        <f t="shared" si="0"/>
        <v>6665.7313242976661</v>
      </c>
      <c r="G68" s="94">
        <f t="shared" si="1"/>
        <v>-2595.7279559623353</v>
      </c>
      <c r="H68" s="97">
        <f t="shared" si="2"/>
        <v>7235.8370850244255</v>
      </c>
      <c r="I68" s="94">
        <f t="shared" si="3"/>
        <v>-1982.968327738253</v>
      </c>
      <c r="J68" s="95">
        <f t="shared" si="4"/>
        <v>-228.99224694758055</v>
      </c>
      <c r="K68" s="94">
        <f t="shared" si="5"/>
        <v>15.25278693073041</v>
      </c>
      <c r="L68" s="94">
        <f t="shared" si="6"/>
        <v>-341.1135137791789</v>
      </c>
      <c r="M68" s="93">
        <f t="shared" si="7"/>
        <v>-628.01241515481263</v>
      </c>
      <c r="N68" s="93">
        <f t="shared" si="8"/>
        <v>2507.9596245994971</v>
      </c>
      <c r="O68" s="93">
        <f t="shared" si="9"/>
        <v>27642.340821230184</v>
      </c>
      <c r="P68" s="93">
        <f t="shared" si="10"/>
        <v>26359.160495709355</v>
      </c>
      <c r="Q68" s="93">
        <f t="shared" si="11"/>
        <v>175027165968.24127</v>
      </c>
      <c r="R68" s="93">
        <f t="shared" si="12"/>
        <v>21631443522231.117</v>
      </c>
      <c r="S68" s="93">
        <f t="shared" si="13"/>
        <v>19311793023360.57</v>
      </c>
      <c r="T68">
        <f t="shared" si="14"/>
        <v>0.5</v>
      </c>
      <c r="X68" s="99">
        <v>25</v>
      </c>
      <c r="Y68" s="99">
        <f t="shared" si="15"/>
        <v>14531.538935183249</v>
      </c>
      <c r="Z68" s="99">
        <f t="shared" si="16"/>
        <v>9613.0913087034969</v>
      </c>
      <c r="AA68" s="99">
        <f t="shared" si="17"/>
        <v>-16827.922745371725</v>
      </c>
      <c r="AB68" s="99">
        <f t="shared" si="18"/>
        <v>11479.163916092448</v>
      </c>
      <c r="AC68" s="99">
        <f t="shared" si="19"/>
        <v>-468.46106481674997</v>
      </c>
      <c r="AD68" s="99">
        <f t="shared" si="20"/>
        <v>-12886.908691296503</v>
      </c>
    </row>
    <row r="69" spans="1:30" x14ac:dyDescent="0.25">
      <c r="A69">
        <v>13</v>
      </c>
      <c r="B69" s="95">
        <f t="shared" si="21"/>
        <v>10207.411804345433</v>
      </c>
      <c r="C69" s="95">
        <f t="shared" si="22"/>
        <v>11776.950782160176</v>
      </c>
      <c r="D69" s="95">
        <f t="shared" si="23"/>
        <v>5252.3752509863407</v>
      </c>
      <c r="E69" s="95">
        <f t="shared" si="24"/>
        <v>7228.1791112369974</v>
      </c>
      <c r="F69" s="96">
        <f t="shared" si="0"/>
        <v>-834.86723297996423</v>
      </c>
      <c r="G69" s="94">
        <f t="shared" si="1"/>
        <v>-8323.0450002726793</v>
      </c>
      <c r="H69" s="97">
        <f t="shared" si="2"/>
        <v>-380.68780527579452</v>
      </c>
      <c r="I69" s="94">
        <f t="shared" si="3"/>
        <v>-7850.0016509258212</v>
      </c>
      <c r="J69" s="95">
        <f t="shared" si="4"/>
        <v>-191.93660503658643</v>
      </c>
      <c r="K69" s="94">
        <f t="shared" si="5"/>
        <v>-11.290669411004231</v>
      </c>
      <c r="L69" s="94">
        <f t="shared" si="6"/>
        <v>-262.24282266758325</v>
      </c>
      <c r="M69" s="93">
        <f t="shared" si="7"/>
        <v>-461.75267993585345</v>
      </c>
      <c r="N69" s="93">
        <f t="shared" si="8"/>
        <v>4281.9770725218013</v>
      </c>
      <c r="O69" s="93">
        <f t="shared" si="9"/>
        <v>30259.63122709078</v>
      </c>
      <c r="P69" s="93">
        <f t="shared" si="10"/>
        <v>30794.00050297417</v>
      </c>
      <c r="Q69" s="93">
        <f t="shared" si="11"/>
        <v>285274614250.44946</v>
      </c>
      <c r="R69" s="93">
        <f t="shared" si="12"/>
        <v>28264964852768.695</v>
      </c>
      <c r="S69" s="93">
        <f t="shared" si="13"/>
        <v>30363394199991.836</v>
      </c>
      <c r="T69">
        <f t="shared" si="14"/>
        <v>0.5</v>
      </c>
      <c r="X69" s="99">
        <v>26</v>
      </c>
      <c r="Y69" s="99">
        <f t="shared" si="15"/>
        <v>14493.970231495834</v>
      </c>
      <c r="Z69" s="99">
        <f t="shared" si="16"/>
        <v>9691.8557339453873</v>
      </c>
      <c r="AA69" s="99">
        <f t="shared" si="17"/>
        <v>-16854.220837952915</v>
      </c>
      <c r="AB69" s="99">
        <f t="shared" si="18"/>
        <v>11534.299013761771</v>
      </c>
      <c r="AC69" s="99">
        <f t="shared" si="19"/>
        <v>-506.02976850416508</v>
      </c>
      <c r="AD69" s="99">
        <f t="shared" si="20"/>
        <v>-12808.144266054613</v>
      </c>
    </row>
    <row r="70" spans="1:30" x14ac:dyDescent="0.25">
      <c r="A70">
        <v>13.5</v>
      </c>
      <c r="B70" s="95">
        <f t="shared" si="21"/>
        <v>12624.882621593611</v>
      </c>
      <c r="C70" s="95">
        <f t="shared" si="22"/>
        <v>13310.279087710505</v>
      </c>
      <c r="D70" s="95">
        <f t="shared" si="23"/>
        <v>4834.9416344963583</v>
      </c>
      <c r="E70" s="95">
        <f t="shared" si="24"/>
        <v>3066.6566111006578</v>
      </c>
      <c r="F70" s="96">
        <f t="shared" si="0"/>
        <v>-2987.852672802816</v>
      </c>
      <c r="G70" s="94">
        <f t="shared" si="1"/>
        <v>-6122.5489002591084</v>
      </c>
      <c r="H70" s="97">
        <f t="shared" si="2"/>
        <v>-2583.8235116240653</v>
      </c>
      <c r="I70" s="94">
        <f t="shared" si="3"/>
        <v>-5719.393161591941</v>
      </c>
      <c r="J70" s="95">
        <f t="shared" si="4"/>
        <v>-163.3591045868325</v>
      </c>
      <c r="K70" s="94">
        <f t="shared" si="5"/>
        <v>-16.575208376167037</v>
      </c>
      <c r="L70" s="94">
        <f t="shared" si="6"/>
        <v>-240.67005659191838</v>
      </c>
      <c r="M70" s="93">
        <f t="shared" si="7"/>
        <v>-386.58053029100017</v>
      </c>
      <c r="N70" s="93">
        <f t="shared" si="8"/>
        <v>6375.6844224153829</v>
      </c>
      <c r="O70" s="93">
        <f t="shared" si="9"/>
        <v>32792.39109475389</v>
      </c>
      <c r="P70" s="93">
        <f t="shared" si="10"/>
        <v>33348.289153253594</v>
      </c>
      <c r="Q70" s="93">
        <f t="shared" si="11"/>
        <v>531919196714.71533</v>
      </c>
      <c r="R70" s="93">
        <f t="shared" si="12"/>
        <v>35867272796351.828</v>
      </c>
      <c r="S70" s="93">
        <f t="shared" si="13"/>
        <v>38344474968806.883</v>
      </c>
      <c r="T70">
        <f t="shared" si="14"/>
        <v>0.5</v>
      </c>
      <c r="X70" s="99">
        <v>27</v>
      </c>
      <c r="Y70" s="99">
        <f t="shared" si="15"/>
        <v>14455.03262094184</v>
      </c>
      <c r="Z70" s="99">
        <f t="shared" si="16"/>
        <v>9769.952498697734</v>
      </c>
      <c r="AA70" s="99">
        <f t="shared" si="17"/>
        <v>-16881.477165340712</v>
      </c>
      <c r="AB70" s="99">
        <f t="shared" si="18"/>
        <v>11588.966749088413</v>
      </c>
      <c r="AC70" s="99">
        <f t="shared" si="19"/>
        <v>-544.96737905816008</v>
      </c>
      <c r="AD70" s="99">
        <f t="shared" si="20"/>
        <v>-12730.047501302266</v>
      </c>
    </row>
    <row r="71" spans="1:30" x14ac:dyDescent="0.25">
      <c r="A71">
        <v>14</v>
      </c>
      <c r="B71" s="95">
        <f t="shared" si="21"/>
        <v>14295.390270641086</v>
      </c>
      <c r="C71" s="95">
        <f t="shared" si="22"/>
        <v>13312.970168196058</v>
      </c>
      <c r="D71" s="95">
        <f t="shared" si="23"/>
        <v>3341.0152980949506</v>
      </c>
      <c r="E71" s="95">
        <f t="shared" si="24"/>
        <v>5.3821609711035308</v>
      </c>
      <c r="F71" s="96">
        <f t="shared" si="0"/>
        <v>-3704.7058773355047</v>
      </c>
      <c r="G71" s="94">
        <f t="shared" si="1"/>
        <v>-4855.0036329226587</v>
      </c>
      <c r="H71" s="97">
        <f t="shared" si="2"/>
        <v>-3313.0609214947926</v>
      </c>
      <c r="I71" s="94">
        <f t="shared" si="3"/>
        <v>-4483.5796257439979</v>
      </c>
      <c r="J71" s="95">
        <f t="shared" si="4"/>
        <v>-148.28002860570908</v>
      </c>
      <c r="K71" s="94">
        <f t="shared" si="5"/>
        <v>-14.324004113477297</v>
      </c>
      <c r="L71" s="94">
        <f t="shared" si="6"/>
        <v>-243.36492723500285</v>
      </c>
      <c r="M71" s="93">
        <f t="shared" si="7"/>
        <v>-357.10000306518327</v>
      </c>
      <c r="N71" s="93">
        <f t="shared" si="8"/>
        <v>7227.7935605173043</v>
      </c>
      <c r="O71" s="93">
        <f t="shared" si="9"/>
        <v>34455.036861842716</v>
      </c>
      <c r="P71" s="93">
        <f t="shared" si="10"/>
        <v>34262.754784773373</v>
      </c>
      <c r="Q71" s="93">
        <f t="shared" si="11"/>
        <v>678846885015.86108</v>
      </c>
      <c r="R71" s="93">
        <f t="shared" si="12"/>
        <v>41538023774787.445</v>
      </c>
      <c r="S71" s="93">
        <f t="shared" si="13"/>
        <v>41513963557464.883</v>
      </c>
      <c r="T71">
        <f t="shared" si="14"/>
        <v>0.5</v>
      </c>
      <c r="X71" s="99">
        <v>28</v>
      </c>
      <c r="Y71" s="99">
        <f t="shared" si="15"/>
        <v>14414.737964294636</v>
      </c>
      <c r="Z71" s="99">
        <f t="shared" si="16"/>
        <v>9847.357813929455</v>
      </c>
      <c r="AA71" s="99">
        <f t="shared" si="17"/>
        <v>-16909.683424993756</v>
      </c>
      <c r="AB71" s="99">
        <f t="shared" si="18"/>
        <v>11643.150469750617</v>
      </c>
      <c r="AC71" s="99">
        <f t="shared" si="19"/>
        <v>-585.26203570536472</v>
      </c>
      <c r="AD71" s="99">
        <f t="shared" si="20"/>
        <v>-12652.642186070545</v>
      </c>
    </row>
    <row r="72" spans="1:30" x14ac:dyDescent="0.25">
      <c r="A72">
        <v>14.5</v>
      </c>
      <c r="B72" s="95">
        <f t="shared" si="21"/>
        <v>15039.721450354686</v>
      </c>
      <c r="C72" s="95">
        <f t="shared" si="22"/>
        <v>12101.910340450946</v>
      </c>
      <c r="D72" s="95">
        <f t="shared" si="23"/>
        <v>1488.6623594271982</v>
      </c>
      <c r="E72" s="95">
        <f t="shared" si="24"/>
        <v>-2422.1196554902258</v>
      </c>
      <c r="F72" s="96">
        <f t="shared" si="0"/>
        <v>-4766.1856009846524</v>
      </c>
      <c r="G72" s="94">
        <f t="shared" si="1"/>
        <v>-4346.3424661388672</v>
      </c>
      <c r="H72" s="97">
        <f t="shared" si="2"/>
        <v>-4357.6329058236461</v>
      </c>
      <c r="I72" s="94">
        <f t="shared" si="3"/>
        <v>-3979.0762498962758</v>
      </c>
      <c r="J72" s="95">
        <f t="shared" si="4"/>
        <v>-143.34651985110722</v>
      </c>
      <c r="K72" s="94">
        <f t="shared" si="5"/>
        <v>-8.5988563798828128</v>
      </c>
      <c r="L72" s="94">
        <f t="shared" si="6"/>
        <v>-265.20617530989904</v>
      </c>
      <c r="M72" s="93">
        <f t="shared" si="7"/>
        <v>-358.66735986270834</v>
      </c>
      <c r="N72" s="93">
        <f t="shared" si="8"/>
        <v>6824.6883502995561</v>
      </c>
      <c r="O72" s="93">
        <f t="shared" si="9"/>
        <v>35102.707963884226</v>
      </c>
      <c r="P72" s="93">
        <f t="shared" si="10"/>
        <v>33706.141575529633</v>
      </c>
      <c r="Q72" s="93">
        <f t="shared" si="11"/>
        <v>605556281997.88245</v>
      </c>
      <c r="R72" s="93">
        <f t="shared" si="12"/>
        <v>43900173208560.266</v>
      </c>
      <c r="S72" s="93">
        <f t="shared" si="13"/>
        <v>39564590087224.211</v>
      </c>
      <c r="T72">
        <f t="shared" si="14"/>
        <v>0.5</v>
      </c>
      <c r="X72" s="99">
        <v>29</v>
      </c>
      <c r="Y72" s="99">
        <f t="shared" si="15"/>
        <v>14373.09853569698</v>
      </c>
      <c r="Z72" s="99">
        <f t="shared" si="16"/>
        <v>9924.048101231685</v>
      </c>
      <c r="AA72" s="99">
        <f t="shared" si="17"/>
        <v>-16938.831025012114</v>
      </c>
      <c r="AB72" s="99">
        <f t="shared" si="18"/>
        <v>11696.833670862179</v>
      </c>
      <c r="AC72" s="99">
        <f t="shared" si="19"/>
        <v>-626.90146430302138</v>
      </c>
      <c r="AD72" s="99">
        <f t="shared" si="20"/>
        <v>-12575.951898768315</v>
      </c>
    </row>
    <row r="73" spans="1:30" x14ac:dyDescent="0.25">
      <c r="A73">
        <v>15</v>
      </c>
      <c r="B73" s="95">
        <f t="shared" si="21"/>
        <v>14592.506229822122</v>
      </c>
      <c r="C73" s="95">
        <f t="shared" si="22"/>
        <v>9804.2648961711166</v>
      </c>
      <c r="D73" s="95">
        <f t="shared" si="23"/>
        <v>-894.43044106512798</v>
      </c>
      <c r="E73" s="95">
        <f t="shared" si="24"/>
        <v>-4595.2908885596589</v>
      </c>
      <c r="F73" s="96">
        <f t="shared" si="0"/>
        <v>-6986.018971358767</v>
      </c>
      <c r="G73" s="94">
        <f t="shared" si="1"/>
        <v>-3669.4279713089727</v>
      </c>
      <c r="H73" s="97">
        <f t="shared" si="2"/>
        <v>-6525.2054493791666</v>
      </c>
      <c r="I73" s="94">
        <f t="shared" si="3"/>
        <v>-3273.986164606958</v>
      </c>
      <c r="J73" s="95">
        <f t="shared" si="4"/>
        <v>-147.79956161409774</v>
      </c>
      <c r="K73" s="94">
        <f t="shared" si="5"/>
        <v>0.83629565161308739</v>
      </c>
      <c r="L73" s="94">
        <f t="shared" si="6"/>
        <v>-313.0139603655029</v>
      </c>
      <c r="M73" s="93">
        <f t="shared" si="7"/>
        <v>-396.27810235362773</v>
      </c>
      <c r="N73" s="93">
        <f t="shared" si="8"/>
        <v>5138.1660330006353</v>
      </c>
      <c r="O73" s="93">
        <f t="shared" si="9"/>
        <v>34593.059990280613</v>
      </c>
      <c r="P73" s="93">
        <f t="shared" si="10"/>
        <v>31608.82562521179</v>
      </c>
      <c r="Q73" s="93">
        <f t="shared" si="11"/>
        <v>368514165188.65448</v>
      </c>
      <c r="R73" s="93">
        <f t="shared" si="12"/>
        <v>42034087531716.477</v>
      </c>
      <c r="S73" s="93">
        <f t="shared" si="13"/>
        <v>32773657318216.859</v>
      </c>
      <c r="T73">
        <f t="shared" si="14"/>
        <v>0.5</v>
      </c>
      <c r="X73" s="99">
        <v>30</v>
      </c>
      <c r="Y73" s="99">
        <f t="shared" si="15"/>
        <v>14330.127018922194</v>
      </c>
      <c r="Z73" s="99">
        <f t="shared" si="16"/>
        <v>10000</v>
      </c>
      <c r="AA73" s="99">
        <f t="shared" si="17"/>
        <v>-16968.911086754466</v>
      </c>
      <c r="AB73" s="99">
        <f t="shared" si="18"/>
        <v>11750</v>
      </c>
      <c r="AC73" s="99">
        <f t="shared" si="19"/>
        <v>-669.8729810778068</v>
      </c>
      <c r="AD73" s="99">
        <f t="shared" si="20"/>
        <v>-12500</v>
      </c>
    </row>
    <row r="74" spans="1:30" x14ac:dyDescent="0.25">
      <c r="A74">
        <v>15.5</v>
      </c>
      <c r="B74" s="95">
        <f t="shared" si="21"/>
        <v>12398.786266449866</v>
      </c>
      <c r="C74" s="95">
        <f t="shared" si="22"/>
        <v>6589.2624590640444</v>
      </c>
      <c r="D74" s="95">
        <f t="shared" si="23"/>
        <v>-4387.4399267445115</v>
      </c>
      <c r="E74" s="95">
        <f t="shared" si="24"/>
        <v>-6430.0048742141453</v>
      </c>
      <c r="F74" s="96">
        <f t="shared" si="0"/>
        <v>-7648.8953436406591</v>
      </c>
      <c r="G74" s="94">
        <f t="shared" si="1"/>
        <v>2198.5625997388715</v>
      </c>
      <c r="H74" s="97">
        <f t="shared" si="2"/>
        <v>-7076.1552051469025</v>
      </c>
      <c r="I74" s="94">
        <f t="shared" si="3"/>
        <v>2686.5754073014414</v>
      </c>
      <c r="J74" s="95">
        <f t="shared" si="4"/>
        <v>-165.41667271860783</v>
      </c>
      <c r="K74" s="94">
        <f t="shared" si="5"/>
        <v>17.414012083604337</v>
      </c>
      <c r="L74" s="94">
        <f t="shared" si="6"/>
        <v>-407.32346577514903</v>
      </c>
      <c r="M74" s="93">
        <f t="shared" si="7"/>
        <v>-505.42681964617378</v>
      </c>
      <c r="N74" s="93">
        <f t="shared" si="8"/>
        <v>2565.8562743416787</v>
      </c>
      <c r="O74" s="93">
        <f t="shared" si="9"/>
        <v>32577.821936284359</v>
      </c>
      <c r="P74" s="93">
        <f t="shared" si="10"/>
        <v>27727.495686988332</v>
      </c>
      <c r="Q74" s="93">
        <f t="shared" si="11"/>
        <v>177497739326.23764</v>
      </c>
      <c r="R74" s="93">
        <f t="shared" si="12"/>
        <v>35175655740293.551</v>
      </c>
      <c r="S74" s="93">
        <f t="shared" si="13"/>
        <v>22365475970487.168</v>
      </c>
      <c r="T74">
        <f t="shared" si="14"/>
        <v>0.5</v>
      </c>
      <c r="X74" s="99">
        <v>31</v>
      </c>
      <c r="Y74" s="99">
        <f t="shared" si="15"/>
        <v>14285.836503510562</v>
      </c>
      <c r="Z74" s="99">
        <f t="shared" si="16"/>
        <v>10075.190374550271</v>
      </c>
      <c r="AA74" s="99">
        <f t="shared" si="17"/>
        <v>-16999.914447542607</v>
      </c>
      <c r="AB74" s="99">
        <f t="shared" si="18"/>
        <v>11802.633262185189</v>
      </c>
      <c r="AC74" s="99">
        <f t="shared" si="19"/>
        <v>-714.16349648943833</v>
      </c>
      <c r="AD74" s="99">
        <f t="shared" si="20"/>
        <v>-12424.809625449729</v>
      </c>
    </row>
    <row r="75" spans="1:30" x14ac:dyDescent="0.25">
      <c r="A75">
        <v>16</v>
      </c>
      <c r="B75" s="95">
        <f t="shared" si="21"/>
        <v>8292.8424671674456</v>
      </c>
      <c r="C75" s="95">
        <f t="shared" si="22"/>
        <v>3923.9006718916899</v>
      </c>
      <c r="D75" s="95">
        <f t="shared" si="23"/>
        <v>-8211.887598564841</v>
      </c>
      <c r="E75" s="95">
        <f t="shared" si="24"/>
        <v>-5330.723574344709</v>
      </c>
      <c r="F75" s="96">
        <f t="shared" si="0"/>
        <v>2711.5478828174223</v>
      </c>
      <c r="G75" s="94">
        <f t="shared" si="1"/>
        <v>6506.5744900088266</v>
      </c>
      <c r="H75" s="97">
        <f t="shared" si="2"/>
        <v>3442.1882660284382</v>
      </c>
      <c r="I75" s="94">
        <f t="shared" si="3"/>
        <v>7210.5865502302122</v>
      </c>
      <c r="J75" s="95">
        <f t="shared" si="4"/>
        <v>-205.16639489189518</v>
      </c>
      <c r="K75" s="94">
        <f t="shared" si="5"/>
        <v>44.061016336541101</v>
      </c>
      <c r="L75" s="94">
        <f t="shared" si="6"/>
        <v>-525.47398831912051</v>
      </c>
      <c r="M75" s="93">
        <f t="shared" si="7"/>
        <v>-748.07307655792647</v>
      </c>
      <c r="N75" s="93">
        <f t="shared" si="8"/>
        <v>3962.6851056327505</v>
      </c>
      <c r="O75" s="93">
        <f t="shared" si="9"/>
        <v>28937.932163805206</v>
      </c>
      <c r="P75" s="93">
        <f t="shared" si="10"/>
        <v>23126.038949559716</v>
      </c>
      <c r="Q75" s="93">
        <f t="shared" si="11"/>
        <v>259679461105.09262</v>
      </c>
      <c r="R75" s="93">
        <f t="shared" si="12"/>
        <v>24766412183929.477</v>
      </c>
      <c r="S75" s="93">
        <f t="shared" si="13"/>
        <v>13245405471532.236</v>
      </c>
      <c r="T75">
        <f t="shared" si="14"/>
        <v>0.5</v>
      </c>
      <c r="X75" s="99">
        <v>32</v>
      </c>
      <c r="Y75" s="99">
        <f t="shared" si="15"/>
        <v>14240.240480782129</v>
      </c>
      <c r="Z75" s="99">
        <f t="shared" si="16"/>
        <v>10149.596321166024</v>
      </c>
      <c r="AA75" s="99">
        <f t="shared" si="17"/>
        <v>-17031.831663452511</v>
      </c>
      <c r="AB75" s="99">
        <f t="shared" si="18"/>
        <v>11854.717424816217</v>
      </c>
      <c r="AC75" s="99">
        <f t="shared" si="19"/>
        <v>-759.75951921787055</v>
      </c>
      <c r="AD75" s="99">
        <f t="shared" si="20"/>
        <v>-12350.403678833976</v>
      </c>
    </row>
    <row r="76" spans="1:30" x14ac:dyDescent="0.25">
      <c r="A76">
        <v>16.5</v>
      </c>
      <c r="B76" s="95">
        <f t="shared" si="21"/>
        <v>4864.7856385893811</v>
      </c>
      <c r="C76" s="95">
        <f t="shared" si="22"/>
        <v>2885.182507221542</v>
      </c>
      <c r="D76" s="95">
        <f t="shared" si="23"/>
        <v>-6856.1136571561301</v>
      </c>
      <c r="E76" s="95">
        <f t="shared" si="24"/>
        <v>-2077.4363293402957</v>
      </c>
      <c r="F76" s="96">
        <f t="shared" si="0"/>
        <v>3533.9317469885464</v>
      </c>
      <c r="G76" s="94">
        <f t="shared" si="1"/>
        <v>2965.5250521234166</v>
      </c>
      <c r="H76" s="97">
        <f t="shared" si="2"/>
        <v>4340.6188146149507</v>
      </c>
      <c r="I76" s="94">
        <f t="shared" si="3"/>
        <v>3900.7453682353989</v>
      </c>
      <c r="J76" s="95">
        <f t="shared" si="4"/>
        <v>-251.20841122849978</v>
      </c>
      <c r="K76" s="94">
        <f t="shared" si="5"/>
        <v>71.880852886492491</v>
      </c>
      <c r="L76" s="94">
        <f t="shared" si="6"/>
        <v>-555.47865639790484</v>
      </c>
      <c r="M76" s="93">
        <f t="shared" si="7"/>
        <v>-1007.101168998475</v>
      </c>
      <c r="N76" s="93">
        <f t="shared" si="8"/>
        <v>6904.126811501359</v>
      </c>
      <c r="O76" s="93">
        <f t="shared" si="9"/>
        <v>25862.679536516462</v>
      </c>
      <c r="P76" s="93">
        <f t="shared" si="10"/>
        <v>20425.321270715493</v>
      </c>
      <c r="Q76" s="93">
        <f t="shared" si="11"/>
        <v>619448992622.01587</v>
      </c>
      <c r="R76" s="93">
        <f t="shared" si="12"/>
        <v>17776378344612.008</v>
      </c>
      <c r="S76" s="93">
        <f t="shared" si="13"/>
        <v>9298628529491.3535</v>
      </c>
      <c r="T76">
        <f t="shared" si="14"/>
        <v>0.5</v>
      </c>
      <c r="X76" s="99">
        <v>33</v>
      </c>
      <c r="Y76" s="99">
        <f t="shared" si="15"/>
        <v>14193.35283972712</v>
      </c>
      <c r="Z76" s="99">
        <f t="shared" si="16"/>
        <v>10223.195175075136</v>
      </c>
      <c r="AA76" s="99">
        <f t="shared" si="17"/>
        <v>-17064.653012191015</v>
      </c>
      <c r="AB76" s="99">
        <f t="shared" si="18"/>
        <v>11906.236622552595</v>
      </c>
      <c r="AC76" s="99">
        <f t="shared" si="19"/>
        <v>-806.64716027287977</v>
      </c>
      <c r="AD76" s="99">
        <f t="shared" si="20"/>
        <v>-12276.804824924864</v>
      </c>
    </row>
    <row r="77" spans="1:30" x14ac:dyDescent="0.25">
      <c r="A77">
        <v>17</v>
      </c>
      <c r="B77" s="95">
        <f t="shared" si="21"/>
        <v>2320.2117467584526</v>
      </c>
      <c r="C77" s="95">
        <f t="shared" si="22"/>
        <v>2587.845605582248</v>
      </c>
      <c r="D77" s="95">
        <f t="shared" si="23"/>
        <v>-5089.1477836618569</v>
      </c>
      <c r="E77" s="95">
        <f t="shared" si="24"/>
        <v>-594.67380327858746</v>
      </c>
      <c r="F77" s="96">
        <f t="shared" si="0"/>
        <v>2777.4836372568661</v>
      </c>
      <c r="G77" s="94">
        <f t="shared" si="1"/>
        <v>1181.8360381152308</v>
      </c>
      <c r="H77" s="97">
        <f t="shared" si="2"/>
        <v>3577.3271425354319</v>
      </c>
      <c r="I77" s="94">
        <f t="shared" si="3"/>
        <v>2288.1338214055872</v>
      </c>
      <c r="J77" s="95">
        <f t="shared" si="4"/>
        <v>-298.17979943841209</v>
      </c>
      <c r="K77" s="94">
        <f t="shared" si="5"/>
        <v>99.020329009871929</v>
      </c>
      <c r="L77" s="94">
        <f t="shared" si="6"/>
        <v>-501.66370584015391</v>
      </c>
      <c r="M77" s="93">
        <f t="shared" si="7"/>
        <v>-1205.3181123002284</v>
      </c>
      <c r="N77" s="93">
        <f t="shared" si="8"/>
        <v>9116.3813220611009</v>
      </c>
      <c r="O77" s="93">
        <f t="shared" si="9"/>
        <v>23518.756029748267</v>
      </c>
      <c r="P77" s="93">
        <f t="shared" si="10"/>
        <v>19050.401913428996</v>
      </c>
      <c r="Q77" s="93">
        <f t="shared" si="11"/>
        <v>1124059267166.0151</v>
      </c>
      <c r="R77" s="93">
        <f t="shared" si="12"/>
        <v>13443514947531.51</v>
      </c>
      <c r="S77" s="93">
        <f t="shared" si="13"/>
        <v>7640285440430.6455</v>
      </c>
      <c r="T77">
        <f t="shared" si="14"/>
        <v>0.5</v>
      </c>
      <c r="X77" s="99">
        <v>34</v>
      </c>
      <c r="Y77" s="99">
        <f t="shared" si="15"/>
        <v>14145.187862775208</v>
      </c>
      <c r="Z77" s="99">
        <f t="shared" si="16"/>
        <v>10295.964517353736</v>
      </c>
      <c r="AA77" s="99">
        <f t="shared" si="17"/>
        <v>-17098.368496057356</v>
      </c>
      <c r="AB77" s="99">
        <f t="shared" si="18"/>
        <v>11957.175162147614</v>
      </c>
      <c r="AC77" s="99">
        <f t="shared" si="19"/>
        <v>-854.81213722479151</v>
      </c>
      <c r="AD77" s="99">
        <f t="shared" si="20"/>
        <v>-12204.035482646264</v>
      </c>
    </row>
    <row r="78" spans="1:30" x14ac:dyDescent="0.25">
      <c r="A78">
        <v>17.5</v>
      </c>
      <c r="B78" s="95">
        <f t="shared" si="21"/>
        <v>470.00876424174066</v>
      </c>
      <c r="C78" s="95">
        <f t="shared" si="22"/>
        <v>2585.9677134717622</v>
      </c>
      <c r="D78" s="95">
        <f t="shared" si="23"/>
        <v>-3700.4059650334239</v>
      </c>
      <c r="E78" s="95">
        <f t="shared" si="24"/>
        <v>-3.755784220972032</v>
      </c>
      <c r="F78" s="96">
        <f t="shared" si="0"/>
        <v>2258.3524186323857</v>
      </c>
      <c r="G78" s="94">
        <f t="shared" si="1"/>
        <v>353.0889143875313</v>
      </c>
      <c r="H78" s="97">
        <f t="shared" si="2"/>
        <v>3013.3245578866058</v>
      </c>
      <c r="I78" s="94">
        <f t="shared" si="3"/>
        <v>1553.7867560342024</v>
      </c>
      <c r="J78" s="95">
        <f t="shared" si="4"/>
        <v>-342.87506874014827</v>
      </c>
      <c r="K78" s="94">
        <f t="shared" si="5"/>
        <v>124.18591800144806</v>
      </c>
      <c r="L78" s="94">
        <f t="shared" si="6"/>
        <v>-412.09707051407156</v>
      </c>
      <c r="M78" s="93">
        <f t="shared" si="7"/>
        <v>-1324.8837596481192</v>
      </c>
      <c r="N78" s="93">
        <f t="shared" si="8"/>
        <v>10722.333993430309</v>
      </c>
      <c r="O78" s="93">
        <f t="shared" si="9"/>
        <v>21771.291499445248</v>
      </c>
      <c r="P78" s="93">
        <f t="shared" si="10"/>
        <v>18417.037120561839</v>
      </c>
      <c r="Q78" s="93">
        <f t="shared" si="11"/>
        <v>1655942347612.6326</v>
      </c>
      <c r="R78" s="93">
        <f t="shared" si="12"/>
        <v>10721976802615.586</v>
      </c>
      <c r="S78" s="93">
        <f t="shared" si="13"/>
        <v>6950037009232.127</v>
      </c>
      <c r="T78">
        <f t="shared" si="14"/>
        <v>0.5</v>
      </c>
      <c r="X78" s="99">
        <v>35</v>
      </c>
      <c r="Y78" s="99">
        <f t="shared" si="15"/>
        <v>14095.760221444958</v>
      </c>
      <c r="Z78" s="99">
        <f t="shared" si="16"/>
        <v>10367.882181755231</v>
      </c>
      <c r="AA78" s="99">
        <f t="shared" si="17"/>
        <v>-17132.967844988529</v>
      </c>
      <c r="AB78" s="99">
        <f t="shared" si="18"/>
        <v>12007.517527228661</v>
      </c>
      <c r="AC78" s="99">
        <f t="shared" si="19"/>
        <v>-904.23977855504108</v>
      </c>
      <c r="AD78" s="99">
        <f t="shared" si="20"/>
        <v>-12132.117818244769</v>
      </c>
    </row>
    <row r="79" spans="1:30" x14ac:dyDescent="0.25">
      <c r="A79">
        <v>18</v>
      </c>
      <c r="B79" s="95">
        <f t="shared" si="21"/>
        <v>-815.60611361687484</v>
      </c>
      <c r="C79" s="95">
        <f t="shared" si="22"/>
        <v>2672.3620499581593</v>
      </c>
      <c r="D79" s="95">
        <f t="shared" si="23"/>
        <v>-2571.229755717231</v>
      </c>
      <c r="E79" s="95">
        <f t="shared" si="24"/>
        <v>172.78867297279362</v>
      </c>
      <c r="F79" s="96">
        <f t="shared" si="0"/>
        <v>1956.1548422284843</v>
      </c>
      <c r="G79" s="94">
        <f t="shared" si="1"/>
        <v>-49.32417029935641</v>
      </c>
      <c r="H79" s="97">
        <f t="shared" si="2"/>
        <v>2665.0510600762173</v>
      </c>
      <c r="I79" s="94">
        <f t="shared" si="3"/>
        <v>1189.56824992221</v>
      </c>
      <c r="J79" s="95">
        <f t="shared" si="4"/>
        <v>-381.09072235651996</v>
      </c>
      <c r="K79" s="94">
        <f t="shared" si="5"/>
        <v>145.56075402155795</v>
      </c>
      <c r="L79" s="94">
        <f t="shared" si="6"/>
        <v>-327.80549549121298</v>
      </c>
      <c r="M79" s="93">
        <f t="shared" si="7"/>
        <v>-1384.4531742431245</v>
      </c>
      <c r="N79" s="93">
        <f t="shared" si="8"/>
        <v>11844.13035142686</v>
      </c>
      <c r="O79" s="93">
        <f t="shared" si="9"/>
        <v>20536.19357901526</v>
      </c>
      <c r="P79" s="93">
        <f t="shared" si="10"/>
        <v>18160.989307336808</v>
      </c>
      <c r="Q79" s="93">
        <f t="shared" si="11"/>
        <v>2124926686500.8264</v>
      </c>
      <c r="R79" s="93">
        <f t="shared" si="12"/>
        <v>9040916307212.502</v>
      </c>
      <c r="S79" s="93">
        <f t="shared" si="13"/>
        <v>6683669266276.6582</v>
      </c>
      <c r="T79">
        <f t="shared" si="14"/>
        <v>0.5</v>
      </c>
      <c r="X79" s="99">
        <v>36</v>
      </c>
      <c r="Y79" s="99">
        <f t="shared" si="15"/>
        <v>14045.084971874738</v>
      </c>
      <c r="Z79" s="99">
        <f t="shared" si="16"/>
        <v>10438.926261462366</v>
      </c>
      <c r="AA79" s="99">
        <f t="shared" si="17"/>
        <v>-17168.440519687683</v>
      </c>
      <c r="AB79" s="99">
        <f t="shared" si="18"/>
        <v>12057.248383023656</v>
      </c>
      <c r="AC79" s="99">
        <f t="shared" si="19"/>
        <v>-954.91502812526278</v>
      </c>
      <c r="AD79" s="99">
        <f t="shared" si="20"/>
        <v>-12061.073738537634</v>
      </c>
    </row>
    <row r="80" spans="1:30" x14ac:dyDescent="0.25">
      <c r="A80">
        <v>18.5</v>
      </c>
      <c r="B80" s="95">
        <f t="shared" si="21"/>
        <v>-1612.1822809183693</v>
      </c>
      <c r="C80" s="95">
        <f t="shared" si="22"/>
        <v>2746.4253438697169</v>
      </c>
      <c r="D80" s="95">
        <f t="shared" si="23"/>
        <v>-1593.152334602989</v>
      </c>
      <c r="E80" s="95">
        <f t="shared" si="24"/>
        <v>148.12658782311541</v>
      </c>
      <c r="F80" s="96">
        <f t="shared" si="0"/>
        <v>1789.8728389201549</v>
      </c>
      <c r="G80" s="94">
        <f t="shared" si="1"/>
        <v>-239.44802276255473</v>
      </c>
      <c r="H80" s="97">
        <f t="shared" si="2"/>
        <v>2467.374385394377</v>
      </c>
      <c r="I80" s="94">
        <f t="shared" si="3"/>
        <v>1010.0468681816242</v>
      </c>
      <c r="J80" s="95">
        <f t="shared" si="4"/>
        <v>-408.22900590723447</v>
      </c>
      <c r="K80" s="94">
        <f t="shared" si="5"/>
        <v>161.03703095083034</v>
      </c>
      <c r="L80" s="94">
        <f t="shared" si="6"/>
        <v>-269.27254056698786</v>
      </c>
      <c r="M80" s="93">
        <f t="shared" si="7"/>
        <v>-1410.5319218950092</v>
      </c>
      <c r="N80" s="93">
        <f t="shared" si="8"/>
        <v>12547.479800210027</v>
      </c>
      <c r="O80" s="93">
        <f t="shared" si="9"/>
        <v>19766.795030106117</v>
      </c>
      <c r="P80" s="93">
        <f t="shared" si="10"/>
        <v>18066.901266771365</v>
      </c>
      <c r="Q80" s="93">
        <f t="shared" si="11"/>
        <v>2464208293765.395</v>
      </c>
      <c r="R80" s="93">
        <f t="shared" si="12"/>
        <v>8089451449017.1191</v>
      </c>
      <c r="S80" s="93">
        <f t="shared" si="13"/>
        <v>6587590423911.3262</v>
      </c>
      <c r="T80">
        <f t="shared" si="14"/>
        <v>0.5</v>
      </c>
      <c r="X80" s="99">
        <v>37</v>
      </c>
      <c r="Y80" s="99">
        <f t="shared" si="15"/>
        <v>13993.177550236464</v>
      </c>
      <c r="Z80" s="99">
        <f t="shared" si="16"/>
        <v>10509.075115760241</v>
      </c>
      <c r="AA80" s="99">
        <f t="shared" si="17"/>
        <v>-17204.775714834475</v>
      </c>
      <c r="AB80" s="99">
        <f t="shared" si="18"/>
        <v>12106.35258103217</v>
      </c>
      <c r="AC80" s="99">
        <f t="shared" si="19"/>
        <v>-1006.822449763536</v>
      </c>
      <c r="AD80" s="99">
        <f t="shared" si="20"/>
        <v>-11990.924884239759</v>
      </c>
    </row>
    <row r="81" spans="1:30" x14ac:dyDescent="0.25">
      <c r="A81">
        <v>19</v>
      </c>
      <c r="B81" s="95">
        <f t="shared" si="21"/>
        <v>-1961.2902384898248</v>
      </c>
      <c r="C81" s="95">
        <f t="shared" si="22"/>
        <v>2760.6266320906357</v>
      </c>
      <c r="D81" s="95">
        <f t="shared" si="23"/>
        <v>-698.21591514291151</v>
      </c>
      <c r="E81" s="95">
        <f t="shared" si="24"/>
        <v>28.40257644183805</v>
      </c>
      <c r="F81" s="96">
        <f t="shared" si="0"/>
        <v>1717.4453906266681</v>
      </c>
      <c r="G81" s="94">
        <f t="shared" si="1"/>
        <v>-309.89148158002672</v>
      </c>
      <c r="H81" s="97">
        <f t="shared" si="2"/>
        <v>2381.318572601841</v>
      </c>
      <c r="I81" s="94">
        <f t="shared" si="3"/>
        <v>943.54016987067257</v>
      </c>
      <c r="J81" s="95">
        <f t="shared" si="4"/>
        <v>-420.54436340668229</v>
      </c>
      <c r="K81" s="94">
        <f t="shared" si="5"/>
        <v>168.77469091314066</v>
      </c>
      <c r="L81" s="94">
        <f t="shared" si="6"/>
        <v>-243.32881856849045</v>
      </c>
      <c r="M81" s="93">
        <f t="shared" si="7"/>
        <v>-1422.2063423638399</v>
      </c>
      <c r="N81" s="93">
        <f t="shared" si="8"/>
        <v>12866.006532325424</v>
      </c>
      <c r="O81" s="93">
        <f t="shared" si="9"/>
        <v>19437.16997456157</v>
      </c>
      <c r="P81" s="93">
        <f t="shared" si="10"/>
        <v>18018.701822806892</v>
      </c>
      <c r="Q81" s="93">
        <f t="shared" si="11"/>
        <v>2630020609382.9185</v>
      </c>
      <c r="R81" s="93">
        <f t="shared" si="12"/>
        <v>7703470021379.3379</v>
      </c>
      <c r="S81" s="93">
        <f t="shared" si="13"/>
        <v>6538743416770.7715</v>
      </c>
      <c r="T81">
        <f t="shared" si="14"/>
        <v>0.5</v>
      </c>
      <c r="X81" s="99">
        <v>38</v>
      </c>
      <c r="Y81" s="99">
        <f t="shared" si="15"/>
        <v>13940.053768033609</v>
      </c>
      <c r="Z81" s="99">
        <f t="shared" si="16"/>
        <v>10578.307376628291</v>
      </c>
      <c r="AA81" s="99">
        <f t="shared" si="17"/>
        <v>-17241.962362376471</v>
      </c>
      <c r="AB81" s="99">
        <f t="shared" si="18"/>
        <v>12154.815163639803</v>
      </c>
      <c r="AC81" s="99">
        <f t="shared" si="19"/>
        <v>-1059.9462319663899</v>
      </c>
      <c r="AD81" s="99">
        <f t="shared" si="20"/>
        <v>-11921.692623371709</v>
      </c>
    </row>
    <row r="82" spans="1:30" x14ac:dyDescent="0.25">
      <c r="A82">
        <v>19.5</v>
      </c>
      <c r="B82" s="95">
        <f t="shared" si="21"/>
        <v>-1881.0368484046135</v>
      </c>
      <c r="C82" s="95">
        <f t="shared" si="22"/>
        <v>2697.3550499165481</v>
      </c>
      <c r="D82" s="95">
        <f t="shared" si="23"/>
        <v>160.50678017042253</v>
      </c>
      <c r="E82" s="95">
        <f t="shared" si="24"/>
        <v>-126.54316434817531</v>
      </c>
      <c r="F82" s="96">
        <f t="shared" si="0"/>
        <v>1722.0175162337027</v>
      </c>
      <c r="G82" s="94">
        <f t="shared" si="1"/>
        <v>-293.98270008508757</v>
      </c>
      <c r="H82" s="97">
        <f t="shared" si="2"/>
        <v>2389.9407758816542</v>
      </c>
      <c r="I82" s="94">
        <f t="shared" si="3"/>
        <v>966.08041408674046</v>
      </c>
      <c r="J82" s="95">
        <f t="shared" si="4"/>
        <v>-416.28208135633741</v>
      </c>
      <c r="K82" s="94">
        <f t="shared" si="5"/>
        <v>167.77782557383344</v>
      </c>
      <c r="L82" s="94">
        <f t="shared" si="6"/>
        <v>-251.6411782916141</v>
      </c>
      <c r="M82" s="93">
        <f t="shared" si="7"/>
        <v>-1427.8409397456614</v>
      </c>
      <c r="N82" s="93">
        <f t="shared" si="8"/>
        <v>12815.008197801135</v>
      </c>
      <c r="O82" s="93">
        <f t="shared" si="9"/>
        <v>19535.236086514305</v>
      </c>
      <c r="P82" s="93">
        <f t="shared" si="10"/>
        <v>17970.094793957447</v>
      </c>
      <c r="Q82" s="93">
        <f t="shared" si="11"/>
        <v>2602950001707.8984</v>
      </c>
      <c r="R82" s="93">
        <f t="shared" si="12"/>
        <v>7816968588699.9141</v>
      </c>
      <c r="S82" s="93">
        <f t="shared" si="13"/>
        <v>6489737881528.502</v>
      </c>
      <c r="T82">
        <f t="shared" si="14"/>
        <v>0.5</v>
      </c>
      <c r="X82" s="99">
        <v>39</v>
      </c>
      <c r="Y82" s="99">
        <f t="shared" si="15"/>
        <v>13885.729807284853</v>
      </c>
      <c r="Z82" s="99">
        <f t="shared" si="16"/>
        <v>10646.601955249187</v>
      </c>
      <c r="AA82" s="99">
        <f t="shared" si="17"/>
        <v>-17279.989134900603</v>
      </c>
      <c r="AB82" s="99">
        <f t="shared" si="18"/>
        <v>12202.62136867443</v>
      </c>
      <c r="AC82" s="99">
        <f t="shared" si="19"/>
        <v>-1114.2701927151456</v>
      </c>
      <c r="AD82" s="99">
        <f t="shared" si="20"/>
        <v>-11853.398044750813</v>
      </c>
    </row>
    <row r="83" spans="1:30" x14ac:dyDescent="0.25">
      <c r="A83">
        <v>20</v>
      </c>
      <c r="B83" s="95">
        <f t="shared" si="21"/>
        <v>-1370.2790792609765</v>
      </c>
      <c r="C83" s="95">
        <f t="shared" si="22"/>
        <v>2560.5877927211886</v>
      </c>
      <c r="D83" s="95">
        <f t="shared" si="23"/>
        <v>1021.5155382872739</v>
      </c>
      <c r="E83" s="95">
        <f t="shared" si="24"/>
        <v>-273.5345143907191</v>
      </c>
      <c r="F83" s="96">
        <f t="shared" si="0"/>
        <v>1801.7619384960578</v>
      </c>
      <c r="G83" s="94">
        <f t="shared" si="1"/>
        <v>-184.1975156319595</v>
      </c>
      <c r="H83" s="97">
        <f t="shared" si="2"/>
        <v>2492.5968504057537</v>
      </c>
      <c r="I83" s="94">
        <f t="shared" si="3"/>
        <v>1082.8197993113047</v>
      </c>
      <c r="J83" s="95">
        <f t="shared" si="4"/>
        <v>-396.24039394902849</v>
      </c>
      <c r="K83" s="94">
        <f t="shared" si="5"/>
        <v>158.23079885645606</v>
      </c>
      <c r="L83" s="94">
        <f t="shared" si="6"/>
        <v>-294.59451796066725</v>
      </c>
      <c r="M83" s="93">
        <f t="shared" si="7"/>
        <v>-1425.2481137997202</v>
      </c>
      <c r="N83" s="93">
        <f t="shared" si="8"/>
        <v>12396.815691688522</v>
      </c>
      <c r="O83" s="93">
        <f t="shared" si="9"/>
        <v>20060.193308501046</v>
      </c>
      <c r="P83" s="93">
        <f t="shared" si="10"/>
        <v>17931.79069664597</v>
      </c>
      <c r="Q83" s="93">
        <f t="shared" si="11"/>
        <v>2388458527957.6494</v>
      </c>
      <c r="R83" s="93">
        <f t="shared" si="12"/>
        <v>8443846790962.1426</v>
      </c>
      <c r="S83" s="93">
        <f t="shared" si="13"/>
        <v>6451299375897.5166</v>
      </c>
      <c r="T83">
        <f t="shared" si="14"/>
        <v>0.5</v>
      </c>
      <c r="X83" s="99">
        <v>40</v>
      </c>
      <c r="Y83" s="99">
        <f t="shared" si="15"/>
        <v>13830.222215594891</v>
      </c>
      <c r="Z83" s="99">
        <f t="shared" si="16"/>
        <v>10713.938048432696</v>
      </c>
      <c r="AA83" s="99">
        <f t="shared" si="17"/>
        <v>-17318.844449083575</v>
      </c>
      <c r="AB83" s="99">
        <f t="shared" si="18"/>
        <v>12249.756633902887</v>
      </c>
      <c r="AC83" s="99">
        <f t="shared" si="19"/>
        <v>-1169.7777844051097</v>
      </c>
      <c r="AD83" s="99">
        <f t="shared" si="20"/>
        <v>-11786.061951567304</v>
      </c>
    </row>
    <row r="84" spans="1:30" x14ac:dyDescent="0.25">
      <c r="A84">
        <v>20.5</v>
      </c>
      <c r="B84" s="95">
        <f t="shared" si="21"/>
        <v>-409.08082549332499</v>
      </c>
      <c r="C84" s="95">
        <f t="shared" si="22"/>
        <v>2377.7711566178396</v>
      </c>
      <c r="D84" s="95">
        <f t="shared" si="23"/>
        <v>1922.3965075353028</v>
      </c>
      <c r="E84" s="95">
        <f t="shared" si="24"/>
        <v>-365.63327220669885</v>
      </c>
      <c r="F84" s="96">
        <f t="shared" si="0"/>
        <v>1969.736116335971</v>
      </c>
      <c r="G84" s="94">
        <f t="shared" si="1"/>
        <v>70.570240385318584</v>
      </c>
      <c r="H84" s="97">
        <f t="shared" si="2"/>
        <v>2703.4480937655403</v>
      </c>
      <c r="I84" s="94">
        <f t="shared" si="3"/>
        <v>1330.3460732630133</v>
      </c>
      <c r="J84" s="95">
        <f t="shared" si="4"/>
        <v>-363.53397948966972</v>
      </c>
      <c r="K84" s="94">
        <f t="shared" si="5"/>
        <v>141.43997835596375</v>
      </c>
      <c r="L84" s="94">
        <f t="shared" si="6"/>
        <v>-370.1779979398998</v>
      </c>
      <c r="M84" s="93">
        <f t="shared" si="7"/>
        <v>-1401.2158112336585</v>
      </c>
      <c r="N84" s="93">
        <f t="shared" si="8"/>
        <v>11601.128908672161</v>
      </c>
      <c r="O84" s="93">
        <f t="shared" si="9"/>
        <v>21021.476795005154</v>
      </c>
      <c r="P84" s="93">
        <f t="shared" si="10"/>
        <v>17973.966430330063</v>
      </c>
      <c r="Q84" s="93">
        <f t="shared" si="11"/>
        <v>2016011325647.7075</v>
      </c>
      <c r="R84" s="93">
        <f t="shared" si="12"/>
        <v>9678377213339.9375</v>
      </c>
      <c r="S84" s="93">
        <f t="shared" si="13"/>
        <v>6493631906866.373</v>
      </c>
      <c r="T84">
        <f t="shared" si="14"/>
        <v>0.5</v>
      </c>
      <c r="X84" s="99">
        <v>41</v>
      </c>
      <c r="Y84" s="99">
        <f t="shared" si="15"/>
        <v>13773.54790111386</v>
      </c>
      <c r="Z84" s="99">
        <f t="shared" si="16"/>
        <v>10780.295144952535</v>
      </c>
      <c r="AA84" s="99">
        <f t="shared" si="17"/>
        <v>-17358.516469220296</v>
      </c>
      <c r="AB84" s="99">
        <f t="shared" si="18"/>
        <v>12296.206601466776</v>
      </c>
      <c r="AC84" s="99">
        <f t="shared" si="19"/>
        <v>-1226.4520988861395</v>
      </c>
      <c r="AD84" s="99">
        <f t="shared" si="20"/>
        <v>-11719.704855047465</v>
      </c>
    </row>
    <row r="85" spans="1:30" x14ac:dyDescent="0.25">
      <c r="A85">
        <v>21</v>
      </c>
      <c r="B85" s="95">
        <f t="shared" si="21"/>
        <v>1044.5514573583191</v>
      </c>
      <c r="C85" s="95">
        <f t="shared" si="22"/>
        <v>2212.5970806108198</v>
      </c>
      <c r="D85" s="95">
        <f t="shared" si="23"/>
        <v>2907.2645657032881</v>
      </c>
      <c r="E85" s="95">
        <f t="shared" si="24"/>
        <v>-330.34815201403956</v>
      </c>
      <c r="F85" s="96">
        <f t="shared" si="0"/>
        <v>2261.4221523401388</v>
      </c>
      <c r="G85" s="94">
        <f t="shared" si="1"/>
        <v>589.58212871188539</v>
      </c>
      <c r="H85" s="97">
        <f t="shared" si="2"/>
        <v>3051.6975381239522</v>
      </c>
      <c r="I85" s="94">
        <f t="shared" si="3"/>
        <v>1801.7583815416226</v>
      </c>
      <c r="J85" s="95">
        <f t="shared" si="4"/>
        <v>-322.6653672706168</v>
      </c>
      <c r="K85" s="94">
        <f t="shared" si="5"/>
        <v>119.40027461076617</v>
      </c>
      <c r="L85" s="94">
        <f t="shared" si="6"/>
        <v>-467.61001851319691</v>
      </c>
      <c r="M85" s="93">
        <f t="shared" si="7"/>
        <v>-1331.5765274405035</v>
      </c>
      <c r="N85" s="93">
        <f t="shared" si="8"/>
        <v>10399.840779159469</v>
      </c>
      <c r="O85" s="93">
        <f t="shared" si="9"/>
        <v>22439.179803867904</v>
      </c>
      <c r="P85" s="93">
        <f t="shared" si="10"/>
        <v>18243.083636822605</v>
      </c>
      <c r="Q85" s="93">
        <f t="shared" si="11"/>
        <v>1536542148519.5354</v>
      </c>
      <c r="R85" s="93">
        <f t="shared" si="12"/>
        <v>11713321463559.602</v>
      </c>
      <c r="S85" s="93">
        <f t="shared" si="13"/>
        <v>6768288994698.7051</v>
      </c>
      <c r="T85">
        <f t="shared" si="14"/>
        <v>0.5</v>
      </c>
      <c r="X85" s="99">
        <v>42</v>
      </c>
      <c r="Y85" s="99">
        <f t="shared" si="15"/>
        <v>13715.724127386971</v>
      </c>
      <c r="Z85" s="99">
        <f t="shared" si="16"/>
        <v>10845.653031794291</v>
      </c>
      <c r="AA85" s="99">
        <f t="shared" si="17"/>
        <v>-17398.99311082912</v>
      </c>
      <c r="AB85" s="99">
        <f t="shared" si="18"/>
        <v>12341.957122256004</v>
      </c>
      <c r="AC85" s="99">
        <f t="shared" si="19"/>
        <v>-1284.2758726130287</v>
      </c>
      <c r="AD85" s="99">
        <f t="shared" si="20"/>
        <v>-11654.346968205709</v>
      </c>
    </row>
    <row r="86" spans="1:30" x14ac:dyDescent="0.25">
      <c r="A86">
        <v>21.5</v>
      </c>
      <c r="B86" s="95">
        <f t="shared" si="21"/>
        <v>3063.539278294998</v>
      </c>
      <c r="C86" s="95">
        <f t="shared" si="22"/>
        <v>2194.8185367817714</v>
      </c>
      <c r="D86" s="95">
        <f t="shared" si="23"/>
        <v>4037.9756418733577</v>
      </c>
      <c r="E86" s="95">
        <f t="shared" si="24"/>
        <v>-35.557087658096862</v>
      </c>
      <c r="F86" s="96">
        <f t="shared" si="0"/>
        <v>2728.6790512188791</v>
      </c>
      <c r="G86" s="94">
        <f t="shared" si="1"/>
        <v>1631.6564504682997</v>
      </c>
      <c r="H86" s="97">
        <f t="shared" si="2"/>
        <v>3564.3741601691122</v>
      </c>
      <c r="I86" s="94">
        <f t="shared" si="3"/>
        <v>2726.1239530028179</v>
      </c>
      <c r="J86" s="95">
        <f t="shared" si="4"/>
        <v>-278.27900456926818</v>
      </c>
      <c r="K86" s="94">
        <f t="shared" si="5"/>
        <v>94.175403950726277</v>
      </c>
      <c r="L86" s="94">
        <f t="shared" si="6"/>
        <v>-557.41610438096495</v>
      </c>
      <c r="M86" s="93">
        <f t="shared" si="7"/>
        <v>-1188.6429064852446</v>
      </c>
      <c r="N86" s="93">
        <f t="shared" si="8"/>
        <v>8732.6649827776273</v>
      </c>
      <c r="O86" s="93">
        <f t="shared" si="9"/>
        <v>24348.464052486383</v>
      </c>
      <c r="P86" s="93">
        <f t="shared" si="10"/>
        <v>18991.641587958115</v>
      </c>
      <c r="Q86" s="93">
        <f t="shared" si="11"/>
        <v>1018950923125.9026</v>
      </c>
      <c r="R86" s="93">
        <f t="shared" si="12"/>
        <v>14884637252455.404</v>
      </c>
      <c r="S86" s="93">
        <f t="shared" si="13"/>
        <v>7574340353500.9697</v>
      </c>
      <c r="T86">
        <f t="shared" si="14"/>
        <v>0.5</v>
      </c>
      <c r="X86" s="99">
        <v>43</v>
      </c>
      <c r="Y86" s="99">
        <f t="shared" si="15"/>
        <v>13656.768508095853</v>
      </c>
      <c r="Z86" s="99">
        <f t="shared" si="16"/>
        <v>10909.991800312491</v>
      </c>
      <c r="AA86" s="99">
        <f t="shared" si="17"/>
        <v>-17440.262044332903</v>
      </c>
      <c r="AB86" s="99">
        <f t="shared" si="18"/>
        <v>12386.994260218744</v>
      </c>
      <c r="AC86" s="99">
        <f t="shared" si="19"/>
        <v>-1343.2314919041473</v>
      </c>
      <c r="AD86" s="99">
        <f t="shared" si="20"/>
        <v>-11590.008199687509</v>
      </c>
    </row>
    <row r="87" spans="1:30" x14ac:dyDescent="0.25">
      <c r="A87">
        <v>22</v>
      </c>
      <c r="B87" s="95">
        <f t="shared" si="21"/>
        <v>5764.6968620363959</v>
      </c>
      <c r="C87" s="95">
        <f t="shared" si="22"/>
        <v>2584.9541055697978</v>
      </c>
      <c r="D87" s="95">
        <f t="shared" si="23"/>
        <v>5402.3151674827968</v>
      </c>
      <c r="E87" s="95">
        <f t="shared" si="24"/>
        <v>780.27113757605298</v>
      </c>
      <c r="F87" s="96">
        <f t="shared" si="0"/>
        <v>3210.6686737742452</v>
      </c>
      <c r="G87" s="94">
        <f t="shared" si="1"/>
        <v>3785.7751254138025</v>
      </c>
      <c r="H87" s="97">
        <f t="shared" si="2"/>
        <v>4034.9981009306298</v>
      </c>
      <c r="I87" s="94">
        <f t="shared" si="3"/>
        <v>4682.5930055028766</v>
      </c>
      <c r="J87" s="95">
        <f t="shared" si="4"/>
        <v>-234.09650001052782</v>
      </c>
      <c r="K87" s="94">
        <f t="shared" si="5"/>
        <v>67.372665030701512</v>
      </c>
      <c r="L87" s="94">
        <f t="shared" si="6"/>
        <v>-590.23292714585659</v>
      </c>
      <c r="M87" s="93">
        <f t="shared" si="7"/>
        <v>-964.19054511977583</v>
      </c>
      <c r="N87" s="93">
        <f t="shared" si="8"/>
        <v>6488.1020965147845</v>
      </c>
      <c r="O87" s="93">
        <f t="shared" si="9"/>
        <v>26810.492535743058</v>
      </c>
      <c r="P87" s="93">
        <f t="shared" si="10"/>
        <v>20618.179100651258</v>
      </c>
      <c r="Q87" s="93">
        <f t="shared" si="11"/>
        <v>549591222066.22852</v>
      </c>
      <c r="R87" s="93">
        <f t="shared" si="12"/>
        <v>19766185139016.586</v>
      </c>
      <c r="S87" s="93">
        <f t="shared" si="13"/>
        <v>9549419961886.0977</v>
      </c>
      <c r="T87">
        <f t="shared" si="14"/>
        <v>0.5</v>
      </c>
      <c r="X87" s="99">
        <v>44</v>
      </c>
      <c r="Y87" s="99">
        <f t="shared" si="15"/>
        <v>13596.699001693256</v>
      </c>
      <c r="Z87" s="99">
        <f t="shared" si="16"/>
        <v>10973.291852294986</v>
      </c>
      <c r="AA87" s="99">
        <f t="shared" si="17"/>
        <v>-17482.310698814719</v>
      </c>
      <c r="AB87" s="99">
        <f t="shared" si="18"/>
        <v>12431.30429660649</v>
      </c>
      <c r="AC87" s="99">
        <f t="shared" si="19"/>
        <v>-1403.3009983067441</v>
      </c>
      <c r="AD87" s="99">
        <f t="shared" si="20"/>
        <v>-11526.708147705014</v>
      </c>
    </row>
    <row r="88" spans="1:30" x14ac:dyDescent="0.25">
      <c r="A88">
        <v>22.5</v>
      </c>
      <c r="B88" s="95">
        <f t="shared" si="21"/>
        <v>9268.521614221354</v>
      </c>
      <c r="C88" s="95">
        <f t="shared" si="22"/>
        <v>3921.5334557112747</v>
      </c>
      <c r="D88" s="95">
        <f t="shared" si="23"/>
        <v>7007.6495043699197</v>
      </c>
      <c r="E88" s="95">
        <f t="shared" si="24"/>
        <v>2673.1587002829542</v>
      </c>
      <c r="F88" s="96">
        <f t="shared" si="0"/>
        <v>894.65920280904299</v>
      </c>
      <c r="G88" s="94">
        <f t="shared" si="1"/>
        <v>7235.1346587424969</v>
      </c>
      <c r="H88" s="97">
        <f t="shared" si="2"/>
        <v>1613.2948342407749</v>
      </c>
      <c r="I88" s="94">
        <f t="shared" si="3"/>
        <v>7892.4021579380624</v>
      </c>
      <c r="J88" s="95">
        <f t="shared" si="4"/>
        <v>-192.80279670663086</v>
      </c>
      <c r="K88" s="94">
        <f t="shared" si="5"/>
        <v>40.04115291074752</v>
      </c>
      <c r="L88" s="94">
        <f t="shared" si="6"/>
        <v>-525.83283472510095</v>
      </c>
      <c r="M88" s="93">
        <f t="shared" si="7"/>
        <v>-697.3086521063135</v>
      </c>
      <c r="N88" s="93">
        <f t="shared" si="8"/>
        <v>3652.4626538070211</v>
      </c>
      <c r="O88" s="93">
        <f t="shared" si="9"/>
        <v>29893.044559097354</v>
      </c>
      <c r="P88" s="93">
        <f t="shared" si="10"/>
        <v>23698.420567014648</v>
      </c>
      <c r="Q88" s="93">
        <f t="shared" si="11"/>
        <v>237403095231.853</v>
      </c>
      <c r="R88" s="93">
        <f t="shared" si="12"/>
        <v>27263411545348.691</v>
      </c>
      <c r="S88" s="93">
        <f t="shared" si="13"/>
        <v>14207900217394.947</v>
      </c>
      <c r="T88">
        <f t="shared" si="14"/>
        <v>0.5</v>
      </c>
      <c r="X88" s="99">
        <v>45</v>
      </c>
      <c r="Y88" s="99">
        <f t="shared" si="15"/>
        <v>13535.533905932738</v>
      </c>
      <c r="Z88" s="99">
        <f t="shared" si="16"/>
        <v>11035.533905932738</v>
      </c>
      <c r="AA88" s="99">
        <f t="shared" si="17"/>
        <v>-17525.126265847084</v>
      </c>
      <c r="AB88" s="99">
        <f t="shared" si="18"/>
        <v>12474.873734152916</v>
      </c>
      <c r="AC88" s="99">
        <f t="shared" si="19"/>
        <v>-1464.466094067262</v>
      </c>
      <c r="AD88" s="99">
        <f t="shared" si="20"/>
        <v>-11464.466094067262</v>
      </c>
    </row>
    <row r="89" spans="1:30" x14ac:dyDescent="0.25">
      <c r="A89">
        <v>23</v>
      </c>
      <c r="B89" s="95">
        <f t="shared" si="21"/>
        <v>12996.011167108574</v>
      </c>
      <c r="C89" s="95">
        <f t="shared" si="22"/>
        <v>7066.896470538376</v>
      </c>
      <c r="D89" s="95">
        <f t="shared" si="23"/>
        <v>7454.9791057744415</v>
      </c>
      <c r="E89" s="95">
        <f t="shared" si="24"/>
        <v>6290.7260296542026</v>
      </c>
      <c r="F89" s="96">
        <f t="shared" si="0"/>
        <v>-8406.1772209093579</v>
      </c>
      <c r="G89" s="94">
        <f t="shared" si="1"/>
        <v>671.72930252402989</v>
      </c>
      <c r="H89" s="97">
        <f t="shared" si="2"/>
        <v>-7855.8907165728169</v>
      </c>
      <c r="I89" s="94">
        <f t="shared" si="3"/>
        <v>1135.6479687945007</v>
      </c>
      <c r="J89" s="95">
        <f t="shared" si="4"/>
        <v>-160.32840484240242</v>
      </c>
      <c r="K89" s="94">
        <f t="shared" si="5"/>
        <v>14.252019970976731</v>
      </c>
      <c r="L89" s="94">
        <f t="shared" si="6"/>
        <v>-389.95809949413865</v>
      </c>
      <c r="M89" s="93">
        <f t="shared" si="7"/>
        <v>-478.17068624144753</v>
      </c>
      <c r="N89" s="93">
        <f t="shared" si="8"/>
        <v>3027.1540397989988</v>
      </c>
      <c r="O89" s="93">
        <f t="shared" si="9"/>
        <v>33126.120347159493</v>
      </c>
      <c r="P89" s="93">
        <f t="shared" si="10"/>
        <v>28474.626209454545</v>
      </c>
      <c r="Q89" s="93">
        <f t="shared" si="11"/>
        <v>199685539854.51041</v>
      </c>
      <c r="R89" s="93">
        <f t="shared" si="12"/>
        <v>36960999985323.438</v>
      </c>
      <c r="S89" s="93">
        <f t="shared" si="13"/>
        <v>24163338125236.18</v>
      </c>
      <c r="T89">
        <f t="shared" si="14"/>
        <v>0.5</v>
      </c>
      <c r="X89" s="99">
        <v>46</v>
      </c>
      <c r="Y89" s="99">
        <f t="shared" si="15"/>
        <v>13473.291852294988</v>
      </c>
      <c r="Z89" s="99">
        <f t="shared" si="16"/>
        <v>11096.699001693256</v>
      </c>
      <c r="AA89" s="99">
        <f t="shared" si="17"/>
        <v>-17568.69570339351</v>
      </c>
      <c r="AB89" s="99">
        <f t="shared" si="18"/>
        <v>12517.689301185279</v>
      </c>
      <c r="AC89" s="99">
        <f t="shared" si="19"/>
        <v>-1526.7081477050133</v>
      </c>
      <c r="AD89" s="99">
        <f t="shared" si="20"/>
        <v>-11403.300998306744</v>
      </c>
    </row>
    <row r="90" spans="1:30" x14ac:dyDescent="0.25">
      <c r="A90">
        <v>23.5</v>
      </c>
      <c r="B90" s="95">
        <f t="shared" si="21"/>
        <v>14621.956414768454</v>
      </c>
      <c r="C90" s="95">
        <f t="shared" si="22"/>
        <v>10380.191810996484</v>
      </c>
      <c r="D90" s="95">
        <f t="shared" si="23"/>
        <v>3251.8904953197625</v>
      </c>
      <c r="E90" s="95">
        <f t="shared" si="24"/>
        <v>6626.5906809162179</v>
      </c>
      <c r="F90" s="96">
        <f t="shared" si="0"/>
        <v>-6436.5638743853688</v>
      </c>
      <c r="G90" s="94">
        <f t="shared" si="1"/>
        <v>-4121.8640120332511</v>
      </c>
      <c r="H90" s="97">
        <f t="shared" si="2"/>
        <v>-5988.8582076475041</v>
      </c>
      <c r="I90" s="94">
        <f t="shared" si="3"/>
        <v>-3731.9824807888303</v>
      </c>
      <c r="J90" s="95">
        <f t="shared" si="4"/>
        <v>-147.53263708523778</v>
      </c>
      <c r="K90" s="94">
        <f t="shared" si="5"/>
        <v>-1.6200904363277813</v>
      </c>
      <c r="L90" s="94">
        <f t="shared" si="6"/>
        <v>-300.17302965262689</v>
      </c>
      <c r="M90" s="93">
        <f t="shared" si="7"/>
        <v>-388.26144080809314</v>
      </c>
      <c r="N90" s="93">
        <f t="shared" si="8"/>
        <v>5445.9146126385849</v>
      </c>
      <c r="O90" s="93">
        <f t="shared" si="9"/>
        <v>34624.043839495054</v>
      </c>
      <c r="P90" s="93">
        <f t="shared" si="10"/>
        <v>32080.762302446085</v>
      </c>
      <c r="Q90" s="93">
        <f t="shared" si="11"/>
        <v>404092171785.12744</v>
      </c>
      <c r="R90" s="93">
        <f t="shared" si="12"/>
        <v>42145988308682.43</v>
      </c>
      <c r="S90" s="93">
        <f t="shared" si="13"/>
        <v>34227033539640.449</v>
      </c>
      <c r="T90">
        <f t="shared" si="14"/>
        <v>0.5</v>
      </c>
      <c r="X90" s="99">
        <v>47</v>
      </c>
      <c r="Y90" s="99">
        <f t="shared" si="15"/>
        <v>13409.991800312491</v>
      </c>
      <c r="Z90" s="99">
        <f t="shared" si="16"/>
        <v>11156.768508095853</v>
      </c>
      <c r="AA90" s="99">
        <f t="shared" si="17"/>
        <v>-17613.005739781256</v>
      </c>
      <c r="AB90" s="99">
        <f t="shared" si="18"/>
        <v>12559.737955667097</v>
      </c>
      <c r="AC90" s="99">
        <f t="shared" si="19"/>
        <v>-1590.0081996875078</v>
      </c>
      <c r="AD90" s="99">
        <f t="shared" si="20"/>
        <v>-11343.231491904147</v>
      </c>
    </row>
    <row r="91" spans="1:30" x14ac:dyDescent="0.25">
      <c r="A91">
        <v>24</v>
      </c>
      <c r="B91" s="95">
        <f t="shared" si="21"/>
        <v>14638.760693831993</v>
      </c>
      <c r="C91" s="95">
        <f t="shared" si="22"/>
        <v>12663.021148446282</v>
      </c>
      <c r="D91" s="95">
        <f t="shared" si="23"/>
        <v>33.60855812707814</v>
      </c>
      <c r="E91" s="95">
        <f t="shared" si="24"/>
        <v>4565.6586748995924</v>
      </c>
      <c r="F91" s="96">
        <f t="shared" si="0"/>
        <v>-4281.3661546359199</v>
      </c>
      <c r="G91" s="94">
        <f t="shared" si="1"/>
        <v>-4689.1926463807395</v>
      </c>
      <c r="H91" s="97">
        <f t="shared" si="2"/>
        <v>-3880.2301860032303</v>
      </c>
      <c r="I91" s="94">
        <f t="shared" si="3"/>
        <v>-4318.7635304861678</v>
      </c>
      <c r="J91" s="95">
        <f t="shared" si="4"/>
        <v>-146.13372173422403</v>
      </c>
      <c r="K91" s="94">
        <f t="shared" si="5"/>
        <v>-11.234731950115595</v>
      </c>
      <c r="L91" s="94">
        <f t="shared" si="6"/>
        <v>-255.00224689846584</v>
      </c>
      <c r="M91" s="93">
        <f t="shared" si="7"/>
        <v>-359.19438394445604</v>
      </c>
      <c r="N91" s="93">
        <f t="shared" si="8"/>
        <v>6940.8132199292213</v>
      </c>
      <c r="O91" s="93">
        <f t="shared" si="9"/>
        <v>34740.976152687945</v>
      </c>
      <c r="P91" s="93">
        <f t="shared" si="10"/>
        <v>33925.265815450686</v>
      </c>
      <c r="Q91" s="93">
        <f t="shared" si="11"/>
        <v>625954982862.94836</v>
      </c>
      <c r="R91" s="93">
        <f t="shared" si="12"/>
        <v>42570097291697.664</v>
      </c>
      <c r="S91" s="93">
        <f t="shared" si="13"/>
        <v>40324472347307.359</v>
      </c>
      <c r="T91">
        <f t="shared" si="14"/>
        <v>0.5</v>
      </c>
      <c r="X91" s="99">
        <v>48</v>
      </c>
      <c r="Y91" s="99">
        <f t="shared" si="15"/>
        <v>13345.653031794291</v>
      </c>
      <c r="Z91" s="99">
        <f t="shared" si="16"/>
        <v>11215.724127386971</v>
      </c>
      <c r="AA91" s="99">
        <f t="shared" si="17"/>
        <v>-17658.042877743996</v>
      </c>
      <c r="AB91" s="99">
        <f t="shared" si="18"/>
        <v>12601.00688917088</v>
      </c>
      <c r="AC91" s="99">
        <f t="shared" si="19"/>
        <v>-1654.3469682057089</v>
      </c>
      <c r="AD91" s="99">
        <f t="shared" si="20"/>
        <v>-11284.275872613029</v>
      </c>
    </row>
    <row r="92" spans="1:30" x14ac:dyDescent="0.25">
      <c r="A92">
        <v>24.5</v>
      </c>
      <c r="B92" s="95">
        <f t="shared" si="21"/>
        <v>13585.223434236552</v>
      </c>
      <c r="C92" s="95">
        <f t="shared" si="22"/>
        <v>13773.552324300892</v>
      </c>
      <c r="D92" s="95">
        <f t="shared" si="23"/>
        <v>-2107.0745191908818</v>
      </c>
      <c r="E92" s="95">
        <f t="shared" si="24"/>
        <v>2221.0623517092226</v>
      </c>
      <c r="F92" s="96">
        <f t="shared" si="0"/>
        <v>-3155.2587594597376</v>
      </c>
      <c r="G92" s="94">
        <f t="shared" si="1"/>
        <v>-5222.0859307917663</v>
      </c>
      <c r="H92" s="97">
        <f t="shared" si="2"/>
        <v>-2766.9013241809375</v>
      </c>
      <c r="I92" s="94">
        <f t="shared" si="3"/>
        <v>-4841.6229983509711</v>
      </c>
      <c r="J92" s="95">
        <f t="shared" si="4"/>
        <v>-153.77097975260494</v>
      </c>
      <c r="K92" s="94">
        <f t="shared" si="5"/>
        <v>-17.277325523579862</v>
      </c>
      <c r="L92" s="94">
        <f t="shared" si="6"/>
        <v>-234.58645552619521</v>
      </c>
      <c r="M92" s="93">
        <f t="shared" si="7"/>
        <v>-363.18560691721569</v>
      </c>
      <c r="N92" s="93">
        <f t="shared" si="8"/>
        <v>7225.7377366702185</v>
      </c>
      <c r="O92" s="93">
        <f t="shared" si="9"/>
        <v>33796.552047092453</v>
      </c>
      <c r="P92" s="93">
        <f t="shared" si="10"/>
        <v>34253.873408123887</v>
      </c>
      <c r="Q92" s="93">
        <f t="shared" si="11"/>
        <v>678455203301.5791</v>
      </c>
      <c r="R92" s="93">
        <f t="shared" si="12"/>
        <v>39225329711445.984</v>
      </c>
      <c r="S92" s="93">
        <f t="shared" si="13"/>
        <v>41482361854861.781</v>
      </c>
      <c r="T92">
        <f t="shared" si="14"/>
        <v>0.5</v>
      </c>
      <c r="X92" s="99">
        <v>49</v>
      </c>
      <c r="Y92" s="99">
        <f t="shared" si="15"/>
        <v>13280.295144952535</v>
      </c>
      <c r="Z92" s="99">
        <f t="shared" si="16"/>
        <v>11273.54790111386</v>
      </c>
      <c r="AA92" s="99">
        <f t="shared" si="17"/>
        <v>-17703.793398533224</v>
      </c>
      <c r="AB92" s="99">
        <f t="shared" si="18"/>
        <v>12641.483530779702</v>
      </c>
      <c r="AC92" s="99">
        <f t="shared" si="19"/>
        <v>-1719.7048550474638</v>
      </c>
      <c r="AD92" s="99">
        <f t="shared" si="20"/>
        <v>-11226.45209888614</v>
      </c>
    </row>
    <row r="93" spans="1:30" x14ac:dyDescent="0.25">
      <c r="A93">
        <v>25</v>
      </c>
      <c r="B93" s="95">
        <f t="shared" si="21"/>
        <v>11742.871484776177</v>
      </c>
      <c r="C93" s="95">
        <f t="shared" si="22"/>
        <v>13578.562017457562</v>
      </c>
      <c r="D93" s="95">
        <f t="shared" si="23"/>
        <v>-3684.7038989207504</v>
      </c>
      <c r="E93" s="95">
        <f t="shared" si="24"/>
        <v>-389.98061368666049</v>
      </c>
      <c r="F93" s="96">
        <f t="shared" si="0"/>
        <v>-2146.9554529885463</v>
      </c>
      <c r="G93" s="94">
        <f t="shared" si="1"/>
        <v>-6492.7448180843639</v>
      </c>
      <c r="H93" s="97">
        <f t="shared" si="2"/>
        <v>-1741.9235583156155</v>
      </c>
      <c r="I93" s="94">
        <f t="shared" si="3"/>
        <v>-6075.2559620031916</v>
      </c>
      <c r="J93" s="95">
        <f t="shared" si="4"/>
        <v>-171.79049776281292</v>
      </c>
      <c r="K93" s="94">
        <f t="shared" si="5"/>
        <v>-19.366960879672455</v>
      </c>
      <c r="L93" s="94">
        <f t="shared" si="6"/>
        <v>-233.24139691011797</v>
      </c>
      <c r="M93" s="93">
        <f t="shared" si="7"/>
        <v>-398.1218952014998</v>
      </c>
      <c r="N93" s="93">
        <f t="shared" si="8"/>
        <v>6323.4893225594724</v>
      </c>
      <c r="O93" s="93">
        <f t="shared" si="9"/>
        <v>31943.950854767583</v>
      </c>
      <c r="P93" s="93">
        <f t="shared" si="10"/>
        <v>33121.865173045422</v>
      </c>
      <c r="Q93" s="93">
        <f t="shared" si="11"/>
        <v>523883709533.39465</v>
      </c>
      <c r="R93" s="93">
        <f t="shared" si="12"/>
        <v>33184846652916.934</v>
      </c>
      <c r="S93" s="93">
        <f t="shared" si="13"/>
        <v>37585725028077.922</v>
      </c>
      <c r="T93">
        <f t="shared" si="14"/>
        <v>0.5</v>
      </c>
      <c r="X93" s="99">
        <v>50</v>
      </c>
      <c r="Y93" s="99">
        <f t="shared" si="15"/>
        <v>13213.938048432698</v>
      </c>
      <c r="Z93" s="99">
        <f t="shared" si="16"/>
        <v>11330.222215594891</v>
      </c>
      <c r="AA93" s="99">
        <f t="shared" si="17"/>
        <v>-17750.243366097111</v>
      </c>
      <c r="AB93" s="99">
        <f t="shared" si="18"/>
        <v>12681.155550916423</v>
      </c>
      <c r="AC93" s="99">
        <f t="shared" si="19"/>
        <v>-1786.0619515673034</v>
      </c>
      <c r="AD93" s="99">
        <f t="shared" si="20"/>
        <v>-11169.777784405109</v>
      </c>
    </row>
    <row r="94" spans="1:30" x14ac:dyDescent="0.25">
      <c r="A94">
        <v>25.5</v>
      </c>
      <c r="B94" s="95">
        <f t="shared" si="21"/>
        <v>9363.780672068664</v>
      </c>
      <c r="C94" s="95">
        <f t="shared" si="22"/>
        <v>11760.38550609314</v>
      </c>
      <c r="D94" s="95">
        <f t="shared" si="23"/>
        <v>-4758.1816254150235</v>
      </c>
      <c r="E94" s="95">
        <f t="shared" si="24"/>
        <v>-3636.3530227288425</v>
      </c>
      <c r="F94" s="96">
        <f t="shared" si="0"/>
        <v>698.13607866411758</v>
      </c>
      <c r="G94" s="94">
        <f t="shared" si="1"/>
        <v>-8252.9683861827143</v>
      </c>
      <c r="H94" s="97">
        <f t="shared" si="2"/>
        <v>1158.880317783769</v>
      </c>
      <c r="I94" s="94">
        <f t="shared" si="3"/>
        <v>-7760.3378150049502</v>
      </c>
      <c r="J94" s="95">
        <f t="shared" si="4"/>
        <v>-202.84962688270764</v>
      </c>
      <c r="K94" s="94">
        <f t="shared" si="5"/>
        <v>-12.161020648829238</v>
      </c>
      <c r="L94" s="94">
        <f t="shared" si="6"/>
        <v>-257.89461223694383</v>
      </c>
      <c r="M94" s="93">
        <f t="shared" si="7"/>
        <v>-480.46955052893412</v>
      </c>
      <c r="N94" s="93">
        <f t="shared" si="8"/>
        <v>4307.6280821075879</v>
      </c>
      <c r="O94" s="93">
        <f t="shared" si="9"/>
        <v>29416.501703761718</v>
      </c>
      <c r="P94" s="93">
        <f t="shared" si="10"/>
        <v>30371.638540421442</v>
      </c>
      <c r="Q94" s="93">
        <f t="shared" si="11"/>
        <v>287453032038.6167</v>
      </c>
      <c r="R94" s="93">
        <f t="shared" si="12"/>
        <v>25997434977746.977</v>
      </c>
      <c r="S94" s="93">
        <f t="shared" si="13"/>
        <v>29162524597248.203</v>
      </c>
      <c r="T94">
        <f t="shared" si="14"/>
        <v>0.5</v>
      </c>
      <c r="X94" s="99">
        <v>51</v>
      </c>
      <c r="Y94" s="99">
        <f t="shared" si="15"/>
        <v>13146.601955249187</v>
      </c>
      <c r="Z94" s="99">
        <f t="shared" si="16"/>
        <v>11385.729807284853</v>
      </c>
      <c r="AA94" s="99">
        <f t="shared" si="17"/>
        <v>-17797.37863132557</v>
      </c>
      <c r="AB94" s="99">
        <f t="shared" si="18"/>
        <v>12720.010865099397</v>
      </c>
      <c r="AC94" s="99">
        <f t="shared" si="19"/>
        <v>-1853.3980447508125</v>
      </c>
      <c r="AD94" s="99">
        <f t="shared" si="20"/>
        <v>-11114.270192715147</v>
      </c>
    </row>
    <row r="95" spans="1:30" x14ac:dyDescent="0.25">
      <c r="A95">
        <v>26</v>
      </c>
      <c r="B95" s="95">
        <f t="shared" si="21"/>
        <v>7159.2238790271813</v>
      </c>
      <c r="C95" s="95">
        <f t="shared" si="22"/>
        <v>7878.96689818304</v>
      </c>
      <c r="D95" s="95">
        <f t="shared" si="23"/>
        <v>-4409.1135860829645</v>
      </c>
      <c r="E95" s="95">
        <f t="shared" si="24"/>
        <v>-7762.8372158202001</v>
      </c>
      <c r="F95" s="96">
        <f t="shared" si="0"/>
        <v>7188.7957134750168</v>
      </c>
      <c r="G95" s="94">
        <f t="shared" si="1"/>
        <v>-1670.2470617629158</v>
      </c>
      <c r="H95" s="97">
        <f t="shared" si="2"/>
        <v>7770.7192135247124</v>
      </c>
      <c r="I95" s="94">
        <f t="shared" si="3"/>
        <v>-1036.6340857555349</v>
      </c>
      <c r="J95" s="95">
        <f t="shared" si="4"/>
        <v>-235.41360842150689</v>
      </c>
      <c r="K95" s="94">
        <f t="shared" si="5"/>
        <v>18.384916237086419</v>
      </c>
      <c r="L95" s="94">
        <f t="shared" si="6"/>
        <v>-346.50989162818848</v>
      </c>
      <c r="M95" s="93">
        <f t="shared" si="7"/>
        <v>-651.99789224446727</v>
      </c>
      <c r="N95" s="93">
        <f t="shared" si="8"/>
        <v>2865.9422323919666</v>
      </c>
      <c r="O95" s="93">
        <f t="shared" si="9"/>
        <v>27241.920327504879</v>
      </c>
      <c r="P95" s="93">
        <f t="shared" si="10"/>
        <v>25909.339082046459</v>
      </c>
      <c r="Q95" s="93">
        <f t="shared" si="11"/>
        <v>191414315434.46188</v>
      </c>
      <c r="R95" s="93">
        <f t="shared" si="12"/>
        <v>20719464806479.418</v>
      </c>
      <c r="S95" s="93">
        <f t="shared" si="13"/>
        <v>18373370830393.668</v>
      </c>
      <c r="T95">
        <f t="shared" si="14"/>
        <v>0.5</v>
      </c>
      <c r="X95" s="99">
        <v>52</v>
      </c>
      <c r="Y95" s="99">
        <f t="shared" si="15"/>
        <v>13078.307376628291</v>
      </c>
      <c r="Z95" s="99">
        <f t="shared" si="16"/>
        <v>11440.053768033609</v>
      </c>
      <c r="AA95" s="99">
        <f t="shared" si="17"/>
        <v>-17845.184836360197</v>
      </c>
      <c r="AB95" s="99">
        <f t="shared" si="18"/>
        <v>12758.037637623527</v>
      </c>
      <c r="AC95" s="99">
        <f t="shared" si="19"/>
        <v>-1921.6926233717086</v>
      </c>
      <c r="AD95" s="99">
        <f t="shared" si="20"/>
        <v>-11059.946231966391</v>
      </c>
    </row>
    <row r="96" spans="1:30" x14ac:dyDescent="0.25">
      <c r="A96">
        <v>26.5</v>
      </c>
      <c r="B96" s="95">
        <f t="shared" si="21"/>
        <v>6751.866014354453</v>
      </c>
      <c r="C96" s="95">
        <f t="shared" si="22"/>
        <v>3579.9865248322112</v>
      </c>
      <c r="D96" s="95">
        <f t="shared" si="23"/>
        <v>-814.71572934545611</v>
      </c>
      <c r="E96" s="95">
        <f t="shared" si="24"/>
        <v>-8597.9607467016576</v>
      </c>
      <c r="F96" s="96">
        <f t="shared" si="0"/>
        <v>3918.8678627667205</v>
      </c>
      <c r="G96" s="94">
        <f t="shared" si="1"/>
        <v>4854.4809821727476</v>
      </c>
      <c r="H96" s="97">
        <f t="shared" si="2"/>
        <v>4681.013371873385</v>
      </c>
      <c r="I96" s="94">
        <f t="shared" si="3"/>
        <v>5649.2852746458966</v>
      </c>
      <c r="J96" s="95">
        <f t="shared" si="4"/>
        <v>-225.2413494370002</v>
      </c>
      <c r="K96" s="94">
        <f t="shared" si="5"/>
        <v>54.054266636002083</v>
      </c>
      <c r="L96" s="94">
        <f t="shared" si="6"/>
        <v>-536.90415966966452</v>
      </c>
      <c r="M96" s="93">
        <f t="shared" si="7"/>
        <v>-848.85855910915143</v>
      </c>
      <c r="N96" s="93">
        <f t="shared" si="8"/>
        <v>5090.862405742535</v>
      </c>
      <c r="O96" s="93">
        <f t="shared" si="9"/>
        <v>27511.432319515989</v>
      </c>
      <c r="P96" s="93">
        <f t="shared" si="10"/>
        <v>21984.591287587897</v>
      </c>
      <c r="Q96" s="93">
        <f t="shared" si="11"/>
        <v>363322819815.52795</v>
      </c>
      <c r="R96" s="93">
        <f t="shared" si="12"/>
        <v>21330385399965.016</v>
      </c>
      <c r="S96" s="93">
        <f t="shared" si="13"/>
        <v>11460635097141.186</v>
      </c>
      <c r="T96">
        <f t="shared" si="14"/>
        <v>0.5</v>
      </c>
      <c r="X96" s="99">
        <v>53</v>
      </c>
      <c r="Y96" s="99">
        <f t="shared" si="15"/>
        <v>13009.075115760243</v>
      </c>
      <c r="Z96" s="99">
        <f t="shared" si="16"/>
        <v>11493.177550236464</v>
      </c>
      <c r="AA96" s="99">
        <f t="shared" si="17"/>
        <v>-17893.64741896783</v>
      </c>
      <c r="AB96" s="99">
        <f t="shared" si="18"/>
        <v>12795.224285165525</v>
      </c>
      <c r="AC96" s="99">
        <f t="shared" si="19"/>
        <v>-1990.9248842397583</v>
      </c>
      <c r="AD96" s="99">
        <f t="shared" si="20"/>
        <v>-11006.822449763536</v>
      </c>
    </row>
    <row r="97" spans="1:30" x14ac:dyDescent="0.25">
      <c r="A97">
        <v>27</v>
      </c>
      <c r="B97" s="95">
        <f t="shared" si="21"/>
        <v>7324.2251153734051</v>
      </c>
      <c r="C97" s="95">
        <f t="shared" si="22"/>
        <v>494.62639702456931</v>
      </c>
      <c r="D97" s="95">
        <f t="shared" si="23"/>
        <v>1144.7182020379041</v>
      </c>
      <c r="E97" s="95">
        <f t="shared" si="24"/>
        <v>-6170.7202556152843</v>
      </c>
      <c r="F97" s="96">
        <f t="shared" si="0"/>
        <v>957.34371133502884</v>
      </c>
      <c r="G97" s="94">
        <f t="shared" si="1"/>
        <v>4125.8729442996064</v>
      </c>
      <c r="H97" s="97">
        <f t="shared" si="2"/>
        <v>1913.5207373441995</v>
      </c>
      <c r="I97" s="94">
        <f t="shared" si="3"/>
        <v>5009.7367081042021</v>
      </c>
      <c r="J97" s="95">
        <f t="shared" si="4"/>
        <v>-198.29593024323691</v>
      </c>
      <c r="K97" s="94">
        <f t="shared" si="5"/>
        <v>68.981897673322663</v>
      </c>
      <c r="L97" s="94">
        <f t="shared" si="6"/>
        <v>-757.88109576593376</v>
      </c>
      <c r="M97" s="93">
        <f t="shared" si="7"/>
        <v>-952.84566147791816</v>
      </c>
      <c r="N97" s="93">
        <f t="shared" si="8"/>
        <v>7499.0019702933432</v>
      </c>
      <c r="O97" s="93">
        <f t="shared" si="9"/>
        <v>28930.354396165712</v>
      </c>
      <c r="P97" s="93">
        <f t="shared" si="10"/>
        <v>19798.231534098475</v>
      </c>
      <c r="Q97" s="93">
        <f t="shared" si="11"/>
        <v>732175212959.37231</v>
      </c>
      <c r="R97" s="93">
        <f t="shared" si="12"/>
        <v>24747241475819.074</v>
      </c>
      <c r="S97" s="93">
        <f t="shared" si="13"/>
        <v>8514461195374.9873</v>
      </c>
      <c r="T97">
        <f t="shared" si="14"/>
        <v>0.5</v>
      </c>
      <c r="X97" s="99">
        <v>54</v>
      </c>
      <c r="Y97" s="99">
        <f t="shared" si="15"/>
        <v>12938.926261462366</v>
      </c>
      <c r="Z97" s="99">
        <f t="shared" si="16"/>
        <v>11545.084971874738</v>
      </c>
      <c r="AA97" s="99">
        <f t="shared" si="17"/>
        <v>-17942.751616976344</v>
      </c>
      <c r="AB97" s="99">
        <f t="shared" si="18"/>
        <v>12831.559480312317</v>
      </c>
      <c r="AC97" s="99">
        <f t="shared" si="19"/>
        <v>-2061.0737385376342</v>
      </c>
      <c r="AD97" s="99">
        <f t="shared" si="20"/>
        <v>-10954.915028125262</v>
      </c>
    </row>
    <row r="98" spans="1:30" x14ac:dyDescent="0.25">
      <c r="A98">
        <v>27.5</v>
      </c>
      <c r="B98" s="95">
        <f t="shared" si="21"/>
        <v>8135.9201442261146</v>
      </c>
      <c r="C98" s="95">
        <f t="shared" si="22"/>
        <v>-1559.2654947081714</v>
      </c>
      <c r="D98" s="95">
        <f t="shared" si="23"/>
        <v>1623.3900577054185</v>
      </c>
      <c r="E98" s="95">
        <f t="shared" si="24"/>
        <v>-4107.7837834654811</v>
      </c>
      <c r="F98" s="96">
        <f t="shared" si="0"/>
        <v>-271.39657877205661</v>
      </c>
      <c r="G98" s="94">
        <f t="shared" si="1"/>
        <v>3196.6524385807961</v>
      </c>
      <c r="H98" s="97">
        <f t="shared" si="2"/>
        <v>839.75766876681496</v>
      </c>
      <c r="I98" s="94">
        <f t="shared" si="3"/>
        <v>4081.149017844753</v>
      </c>
      <c r="J98" s="95">
        <f t="shared" si="4"/>
        <v>-176.03511094552749</v>
      </c>
      <c r="K98" s="94">
        <f t="shared" si="5"/>
        <v>72.321664739560262</v>
      </c>
      <c r="L98" s="94">
        <f t="shared" si="6"/>
        <v>-935.11913659334402</v>
      </c>
      <c r="M98" s="93">
        <f t="shared" si="7"/>
        <v>-956.81824400351729</v>
      </c>
      <c r="N98" s="93">
        <f t="shared" si="8"/>
        <v>9249.0586014097717</v>
      </c>
      <c r="O98" s="93">
        <f t="shared" si="9"/>
        <v>30417.866807838775</v>
      </c>
      <c r="P98" s="93">
        <f t="shared" si="10"/>
        <v>18793.76870340879</v>
      </c>
      <c r="Q98" s="93">
        <f t="shared" si="11"/>
        <v>1162275697385.3669</v>
      </c>
      <c r="R98" s="93">
        <f t="shared" si="12"/>
        <v>28704802739298.934</v>
      </c>
      <c r="S98" s="93">
        <f t="shared" si="13"/>
        <v>7355160893113.9248</v>
      </c>
      <c r="T98">
        <f t="shared" si="14"/>
        <v>0.5</v>
      </c>
      <c r="X98" s="99">
        <v>55</v>
      </c>
      <c r="Y98" s="99">
        <f t="shared" si="15"/>
        <v>12867.882181755231</v>
      </c>
      <c r="Z98" s="99">
        <f t="shared" si="16"/>
        <v>11595.760221444958</v>
      </c>
      <c r="AA98" s="99">
        <f t="shared" si="17"/>
        <v>-17992.482472771339</v>
      </c>
      <c r="AB98" s="99">
        <f t="shared" si="18"/>
        <v>12867.032155011471</v>
      </c>
      <c r="AC98" s="99">
        <f t="shared" si="19"/>
        <v>-2132.1178182447693</v>
      </c>
      <c r="AD98" s="99">
        <f t="shared" si="20"/>
        <v>-10904.239778555042</v>
      </c>
    </row>
    <row r="99" spans="1:30" x14ac:dyDescent="0.25">
      <c r="A99">
        <v>28</v>
      </c>
      <c r="B99" s="95">
        <f t="shared" si="21"/>
        <v>8879.7660283858095</v>
      </c>
      <c r="C99" s="95">
        <f t="shared" si="22"/>
        <v>-2813.9942767957127</v>
      </c>
      <c r="D99" s="95">
        <f t="shared" si="23"/>
        <v>1487.6917683193901</v>
      </c>
      <c r="E99" s="95">
        <f t="shared" si="24"/>
        <v>-2509.457564175083</v>
      </c>
      <c r="F99" s="96">
        <f t="shared" si="0"/>
        <v>-814.75693928853218</v>
      </c>
      <c r="G99" s="94">
        <f t="shared" si="1"/>
        <v>2696.4013644432175</v>
      </c>
      <c r="H99" s="97">
        <f t="shared" si="2"/>
        <v>383.99714609941407</v>
      </c>
      <c r="I99" s="94">
        <f t="shared" si="3"/>
        <v>3535.4617584649168</v>
      </c>
      <c r="J99" s="95">
        <f t="shared" si="4"/>
        <v>-161.46887200356934</v>
      </c>
      <c r="K99" s="94">
        <f t="shared" si="5"/>
        <v>71.643973836239695</v>
      </c>
      <c r="L99" s="94">
        <f t="shared" si="6"/>
        <v>-1037.2852133843769</v>
      </c>
      <c r="M99" s="93">
        <f t="shared" si="7"/>
        <v>-910.70436785793902</v>
      </c>
      <c r="N99" s="93">
        <f t="shared" si="8"/>
        <v>10374.65190225355</v>
      </c>
      <c r="O99" s="93">
        <f t="shared" si="9"/>
        <v>31594.92578215781</v>
      </c>
      <c r="P99" s="93">
        <f t="shared" si="10"/>
        <v>18470.155399690073</v>
      </c>
      <c r="Q99" s="93">
        <f t="shared" si="11"/>
        <v>1527493477175.3623</v>
      </c>
      <c r="R99" s="93">
        <f t="shared" si="12"/>
        <v>32121631933930.926</v>
      </c>
      <c r="S99" s="93">
        <f t="shared" si="13"/>
        <v>7006200805988.5957</v>
      </c>
      <c r="T99">
        <f t="shared" si="14"/>
        <v>0.5</v>
      </c>
      <c r="X99" s="99">
        <v>56</v>
      </c>
      <c r="Y99" s="99">
        <f t="shared" si="15"/>
        <v>12795.964517353734</v>
      </c>
      <c r="Z99" s="99">
        <f t="shared" si="16"/>
        <v>11645.187862775208</v>
      </c>
      <c r="AA99" s="99">
        <f t="shared" si="17"/>
        <v>-18042.824837852386</v>
      </c>
      <c r="AB99" s="99">
        <f t="shared" si="18"/>
        <v>12901.631503942646</v>
      </c>
      <c r="AC99" s="99">
        <f t="shared" si="19"/>
        <v>-2204.0354826462662</v>
      </c>
      <c r="AD99" s="99">
        <f t="shared" si="20"/>
        <v>-10854.812137224792</v>
      </c>
    </row>
    <row r="100" spans="1:30" x14ac:dyDescent="0.25">
      <c r="A100">
        <v>28.5</v>
      </c>
      <c r="B100" s="95">
        <f t="shared" si="21"/>
        <v>9419.9226777233707</v>
      </c>
      <c r="C100" s="95">
        <f t="shared" si="22"/>
        <v>-3394.62271777245</v>
      </c>
      <c r="D100" s="95">
        <f t="shared" si="23"/>
        <v>1080.3132986751241</v>
      </c>
      <c r="E100" s="95">
        <f t="shared" si="24"/>
        <v>-1161.2568819534742</v>
      </c>
      <c r="F100" s="96">
        <f t="shared" si="0"/>
        <v>-1049.1800240824766</v>
      </c>
      <c r="G100" s="94">
        <f t="shared" si="1"/>
        <v>2508.0324174966622</v>
      </c>
      <c r="H100" s="97">
        <f t="shared" si="2"/>
        <v>175.71476760900927</v>
      </c>
      <c r="I100" s="94">
        <f t="shared" si="3"/>
        <v>3300.15676449475</v>
      </c>
      <c r="J100" s="95">
        <f t="shared" si="4"/>
        <v>-153.70921793814102</v>
      </c>
      <c r="K100" s="94">
        <f t="shared" si="5"/>
        <v>69.982406312856583</v>
      </c>
      <c r="L100" s="94">
        <f t="shared" si="6"/>
        <v>-1071.1855737533449</v>
      </c>
      <c r="M100" s="93">
        <f t="shared" si="7"/>
        <v>-862.10675331094433</v>
      </c>
      <c r="N100" s="93">
        <f t="shared" si="8"/>
        <v>10910.05471399769</v>
      </c>
      <c r="O100" s="93">
        <f t="shared" si="9"/>
        <v>32325.651859083795</v>
      </c>
      <c r="P100" s="93">
        <f t="shared" si="10"/>
        <v>18509.968986855813</v>
      </c>
      <c r="Q100" s="93">
        <f t="shared" si="11"/>
        <v>1728527316339.2905</v>
      </c>
      <c r="R100" s="93">
        <f t="shared" si="12"/>
        <v>34374339058630.805</v>
      </c>
      <c r="S100" s="93">
        <f t="shared" si="13"/>
        <v>7048502186061.5986</v>
      </c>
      <c r="T100">
        <f t="shared" si="14"/>
        <v>0.5</v>
      </c>
      <c r="X100" s="99">
        <v>57</v>
      </c>
      <c r="Y100" s="99">
        <f t="shared" si="15"/>
        <v>12723.195175075136</v>
      </c>
      <c r="Z100" s="99">
        <f t="shared" si="16"/>
        <v>11693.352839727118</v>
      </c>
      <c r="AA100" s="99">
        <f t="shared" si="17"/>
        <v>-18093.763377447405</v>
      </c>
      <c r="AB100" s="99">
        <f t="shared" si="18"/>
        <v>12935.346987808984</v>
      </c>
      <c r="AC100" s="99">
        <f t="shared" si="19"/>
        <v>-2276.8048249248641</v>
      </c>
      <c r="AD100" s="99">
        <f t="shared" si="20"/>
        <v>-10806.647160272882</v>
      </c>
    </row>
    <row r="101" spans="1:30" x14ac:dyDescent="0.25">
      <c r="A101">
        <v>29</v>
      </c>
      <c r="B101" s="95">
        <f t="shared" si="21"/>
        <v>9697.7843210403134</v>
      </c>
      <c r="C101" s="95">
        <f t="shared" si="22"/>
        <v>-3348.2430543750215</v>
      </c>
      <c r="D101" s="95">
        <f t="shared" si="23"/>
        <v>555.72328663388578</v>
      </c>
      <c r="E101" s="95">
        <f t="shared" si="24"/>
        <v>92.759326794856861</v>
      </c>
      <c r="F101" s="96">
        <f t="shared" si="0"/>
        <v>-1111.3371617490811</v>
      </c>
      <c r="G101" s="94">
        <f t="shared" si="1"/>
        <v>2563.5953012012264</v>
      </c>
      <c r="H101" s="97">
        <f t="shared" si="2"/>
        <v>92.754313119191806</v>
      </c>
      <c r="I101" s="94">
        <f t="shared" si="3"/>
        <v>3329.4809075502048</v>
      </c>
      <c r="J101" s="95">
        <f t="shared" si="4"/>
        <v>-151.87675558286844</v>
      </c>
      <c r="K101" s="94">
        <f t="shared" si="5"/>
        <v>68.263942720930245</v>
      </c>
      <c r="L101" s="94">
        <f t="shared" si="6"/>
        <v>-1052.2147192854045</v>
      </c>
      <c r="M101" s="93">
        <f t="shared" si="7"/>
        <v>-834.1495490699084</v>
      </c>
      <c r="N101" s="93">
        <f t="shared" si="8"/>
        <v>10852.451874272696</v>
      </c>
      <c r="O101" s="93">
        <f t="shared" si="9"/>
        <v>32559.698804161242</v>
      </c>
      <c r="P101" s="93">
        <f t="shared" si="10"/>
        <v>18756.020469911477</v>
      </c>
      <c r="Q101" s="93">
        <f t="shared" si="11"/>
        <v>1706009716945.0012</v>
      </c>
      <c r="R101" s="93">
        <f t="shared" si="12"/>
        <v>35117652750345.824</v>
      </c>
      <c r="S101" s="93">
        <f t="shared" si="13"/>
        <v>7313851187836.4785</v>
      </c>
      <c r="T101">
        <f t="shared" si="14"/>
        <v>0.5</v>
      </c>
      <c r="X101" s="99">
        <v>58</v>
      </c>
      <c r="Y101" s="99">
        <f t="shared" si="15"/>
        <v>12649.596321166024</v>
      </c>
      <c r="Z101" s="99">
        <f t="shared" si="16"/>
        <v>11740.240480782129</v>
      </c>
      <c r="AA101" s="99">
        <f t="shared" si="17"/>
        <v>-18145.282575183785</v>
      </c>
      <c r="AB101" s="99">
        <f t="shared" si="18"/>
        <v>12968.168336547491</v>
      </c>
      <c r="AC101" s="99">
        <f t="shared" si="19"/>
        <v>-2350.4036788339754</v>
      </c>
      <c r="AD101" s="99">
        <f t="shared" si="20"/>
        <v>-10759.759519217871</v>
      </c>
    </row>
    <row r="102" spans="1:30" x14ac:dyDescent="0.25">
      <c r="A102">
        <v>29.5</v>
      </c>
      <c r="B102" s="95">
        <f t="shared" si="21"/>
        <v>9697.8116739199868</v>
      </c>
      <c r="C102" s="95">
        <f t="shared" si="22"/>
        <v>-2660.9645656772864</v>
      </c>
      <c r="D102" s="95">
        <f t="shared" si="23"/>
        <v>5.4705759345210936E-2</v>
      </c>
      <c r="E102" s="95">
        <f t="shared" si="24"/>
        <v>1374.5569773954701</v>
      </c>
      <c r="F102" s="96">
        <f t="shared" si="0"/>
        <v>-1033.6640544579236</v>
      </c>
      <c r="G102" s="94">
        <f t="shared" si="1"/>
        <v>2897.4048509313948</v>
      </c>
      <c r="H102" s="97">
        <f t="shared" si="2"/>
        <v>108.83057503799645</v>
      </c>
      <c r="I102" s="94">
        <f t="shared" si="3"/>
        <v>3659.3856254081952</v>
      </c>
      <c r="J102" s="95">
        <f t="shared" si="4"/>
        <v>-155.75468237403689</v>
      </c>
      <c r="K102" s="94">
        <f t="shared" si="5"/>
        <v>66.402350992338455</v>
      </c>
      <c r="L102" s="94">
        <f t="shared" si="6"/>
        <v>-986.73994712188312</v>
      </c>
      <c r="M102" s="93">
        <f t="shared" si="7"/>
        <v>-828.38312546913903</v>
      </c>
      <c r="N102" s="93">
        <f t="shared" si="8"/>
        <v>10165.45713135265</v>
      </c>
      <c r="O102" s="93">
        <f t="shared" si="9"/>
        <v>32284.052440066349</v>
      </c>
      <c r="P102" s="93">
        <f t="shared" si="10"/>
        <v>19190.556621721273</v>
      </c>
      <c r="Q102" s="93">
        <f t="shared" si="11"/>
        <v>1453869351332.1282</v>
      </c>
      <c r="R102" s="93">
        <f t="shared" si="12"/>
        <v>34243336986964.641</v>
      </c>
      <c r="S102" s="93">
        <f t="shared" si="13"/>
        <v>7799173651462.9023</v>
      </c>
      <c r="T102">
        <f t="shared" si="14"/>
        <v>0.5</v>
      </c>
      <c r="X102" s="99">
        <v>59</v>
      </c>
      <c r="Y102" s="99">
        <f t="shared" si="15"/>
        <v>12575.190374550271</v>
      </c>
      <c r="Z102" s="99">
        <f t="shared" si="16"/>
        <v>11785.83650351056</v>
      </c>
      <c r="AA102" s="99">
        <f t="shared" si="17"/>
        <v>-18197.366737814809</v>
      </c>
      <c r="AB102" s="99">
        <f t="shared" si="18"/>
        <v>13000.085552457393</v>
      </c>
      <c r="AC102" s="99">
        <f t="shared" si="19"/>
        <v>-2424.8096254497282</v>
      </c>
      <c r="AD102" s="99">
        <f t="shared" si="20"/>
        <v>-10714.16349648944</v>
      </c>
    </row>
    <row r="103" spans="1:30" x14ac:dyDescent="0.25">
      <c r="A103">
        <v>30</v>
      </c>
      <c r="B103" s="95">
        <f t="shared" si="21"/>
        <v>9439.42301318518</v>
      </c>
      <c r="C103" s="95">
        <f t="shared" si="22"/>
        <v>-1249.3348642467026</v>
      </c>
      <c r="D103" s="95">
        <f t="shared" si="23"/>
        <v>-516.7773214696166</v>
      </c>
      <c r="E103" s="95">
        <f t="shared" si="24"/>
        <v>2823.2594028611675</v>
      </c>
      <c r="F103" s="96">
        <f t="shared" si="0"/>
        <v>-750.67629122351866</v>
      </c>
      <c r="G103" s="94">
        <f t="shared" si="1"/>
        <v>3690.443101864309</v>
      </c>
      <c r="H103" s="97">
        <f t="shared" si="2"/>
        <v>285.493166668301</v>
      </c>
      <c r="I103" s="94">
        <f t="shared" si="3"/>
        <v>4455.9005727794965</v>
      </c>
      <c r="J103" s="95">
        <f t="shared" si="4"/>
        <v>-165.83023652452536</v>
      </c>
      <c r="K103" s="94">
        <f t="shared" si="5"/>
        <v>63.366726326331815</v>
      </c>
      <c r="L103" s="94">
        <f t="shared" si="6"/>
        <v>-870.33922136729427</v>
      </c>
      <c r="M103" s="93">
        <f t="shared" si="7"/>
        <v>-828.82419724151919</v>
      </c>
      <c r="N103" s="93">
        <f t="shared" si="8"/>
        <v>8767.2747832418972</v>
      </c>
      <c r="O103" s="93">
        <f t="shared" si="9"/>
        <v>31515.506694914704</v>
      </c>
      <c r="P103" s="93">
        <f t="shared" si="10"/>
        <v>19939.351258988419</v>
      </c>
      <c r="Q103" s="93">
        <f t="shared" si="11"/>
        <v>1028106652604.5626</v>
      </c>
      <c r="R103" s="93">
        <f t="shared" si="12"/>
        <v>31882936642367.633</v>
      </c>
      <c r="S103" s="93">
        <f t="shared" si="13"/>
        <v>8686801679662.6094</v>
      </c>
      <c r="T103">
        <f t="shared" si="14"/>
        <v>0.5</v>
      </c>
      <c r="X103" s="99">
        <v>60</v>
      </c>
      <c r="Y103" s="99">
        <f t="shared" si="15"/>
        <v>12500</v>
      </c>
      <c r="Z103" s="99">
        <f t="shared" si="16"/>
        <v>11830.127018922194</v>
      </c>
      <c r="AA103" s="99">
        <f t="shared" si="17"/>
        <v>-18250</v>
      </c>
      <c r="AB103" s="99">
        <f t="shared" si="18"/>
        <v>13031.088913245534</v>
      </c>
      <c r="AC103" s="99">
        <f t="shared" si="19"/>
        <v>-2499.9999999999995</v>
      </c>
      <c r="AD103" s="99">
        <f t="shared" si="20"/>
        <v>-10669.872981077806</v>
      </c>
    </row>
    <row r="104" spans="1:30" x14ac:dyDescent="0.25">
      <c r="A104">
        <v>30.5</v>
      </c>
      <c r="B104" s="95">
        <f t="shared" si="21"/>
        <v>8993.3652796444912</v>
      </c>
      <c r="C104" s="95">
        <f t="shared" si="22"/>
        <v>1084.9056126499584</v>
      </c>
      <c r="D104" s="95">
        <f t="shared" si="23"/>
        <v>-892.11546708137598</v>
      </c>
      <c r="E104" s="95">
        <f t="shared" si="24"/>
        <v>4668.4809537933215</v>
      </c>
      <c r="F104" s="96">
        <f t="shared" si="0"/>
        <v>76.867792508791695</v>
      </c>
      <c r="G104" s="94">
        <f t="shared" si="1"/>
        <v>5356.198645298944</v>
      </c>
      <c r="H104" s="97">
        <f t="shared" si="2"/>
        <v>957.50054861541446</v>
      </c>
      <c r="I104" s="94">
        <f t="shared" si="3"/>
        <v>6101.9715206505371</v>
      </c>
      <c r="J104" s="95">
        <f t="shared" si="4"/>
        <v>-182.90560002198478</v>
      </c>
      <c r="K104" s="94">
        <f t="shared" si="5"/>
        <v>56.241166640828197</v>
      </c>
      <c r="L104" s="94">
        <f t="shared" si="6"/>
        <v>-697.72715608463795</v>
      </c>
      <c r="M104" s="93">
        <f t="shared" si="7"/>
        <v>-802.01404199242131</v>
      </c>
      <c r="N104" s="93">
        <f t="shared" si="8"/>
        <v>6493.5929545079453</v>
      </c>
      <c r="O104" s="93">
        <f t="shared" si="9"/>
        <v>30333.053558358657</v>
      </c>
      <c r="P104" s="93">
        <f t="shared" si="10"/>
        <v>21319.907608088222</v>
      </c>
      <c r="Q104" s="93">
        <f t="shared" si="11"/>
        <v>550467263768.20288</v>
      </c>
      <c r="R104" s="93">
        <f t="shared" si="12"/>
        <v>28468485720292.238</v>
      </c>
      <c r="S104" s="93">
        <f t="shared" si="13"/>
        <v>10501109012349.82</v>
      </c>
      <c r="T104">
        <f t="shared" si="14"/>
        <v>0.5</v>
      </c>
      <c r="X104" s="99">
        <v>61</v>
      </c>
      <c r="Y104" s="99">
        <f t="shared" si="15"/>
        <v>12424.048101231685</v>
      </c>
      <c r="Z104" s="99">
        <f t="shared" si="16"/>
        <v>11873.09853569698</v>
      </c>
      <c r="AA104" s="99">
        <f t="shared" si="17"/>
        <v>-18303.166329137821</v>
      </c>
      <c r="AB104" s="99">
        <f t="shared" si="18"/>
        <v>13061.168974987886</v>
      </c>
      <c r="AC104" s="99">
        <f t="shared" si="19"/>
        <v>-2575.9518987683145</v>
      </c>
      <c r="AD104" s="99">
        <f t="shared" si="20"/>
        <v>-10626.90146430302</v>
      </c>
    </row>
    <row r="105" spans="1:30" x14ac:dyDescent="0.25">
      <c r="A105">
        <v>31</v>
      </c>
      <c r="B105" s="95">
        <f t="shared" si="21"/>
        <v>8566.5244942310001</v>
      </c>
      <c r="C105" s="95">
        <f t="shared" si="22"/>
        <v>4758.1957508713549</v>
      </c>
      <c r="D105" s="95">
        <f t="shared" si="23"/>
        <v>-853.68157082698008</v>
      </c>
      <c r="E105" s="95">
        <f t="shared" si="24"/>
        <v>7346.5802764427935</v>
      </c>
      <c r="F105" s="96">
        <f t="shared" si="0"/>
        <v>3003.348336141853</v>
      </c>
      <c r="G105" s="94">
        <f t="shared" si="1"/>
        <v>6394.9289351238531</v>
      </c>
      <c r="H105" s="97">
        <f t="shared" si="2"/>
        <v>3692.2890071218394</v>
      </c>
      <c r="I105" s="94">
        <f t="shared" si="3"/>
        <v>7062.229977418966</v>
      </c>
      <c r="J105" s="95">
        <f t="shared" si="4"/>
        <v>-204.93323919657536</v>
      </c>
      <c r="K105" s="94">
        <f t="shared" si="5"/>
        <v>37.604151818512051</v>
      </c>
      <c r="L105" s="94">
        <f t="shared" si="6"/>
        <v>-484.00743178341099</v>
      </c>
      <c r="M105" s="93">
        <f t="shared" si="7"/>
        <v>-704.9051941136247</v>
      </c>
      <c r="N105" s="93">
        <f t="shared" si="8"/>
        <v>3093.9202585360185</v>
      </c>
      <c r="O105" s="93">
        <f t="shared" si="9"/>
        <v>29043.46455686172</v>
      </c>
      <c r="P105" s="93">
        <f t="shared" si="10"/>
        <v>23967.413005627463</v>
      </c>
      <c r="Q105" s="93">
        <f t="shared" si="11"/>
        <v>203279325703.66995</v>
      </c>
      <c r="R105" s="93">
        <f t="shared" si="12"/>
        <v>25034432072965.277</v>
      </c>
      <c r="S105" s="93">
        <f t="shared" si="13"/>
        <v>14676253189191.518</v>
      </c>
      <c r="T105">
        <f t="shared" si="14"/>
        <v>0.5</v>
      </c>
      <c r="X105" s="99">
        <v>62</v>
      </c>
      <c r="Y105" s="99">
        <f t="shared" si="15"/>
        <v>12347.357813929455</v>
      </c>
      <c r="Z105" s="99">
        <f t="shared" si="16"/>
        <v>11914.737964294634</v>
      </c>
      <c r="AA105" s="99">
        <f t="shared" si="17"/>
        <v>-18356.849530249383</v>
      </c>
      <c r="AB105" s="99">
        <f t="shared" si="18"/>
        <v>13090.316575006244</v>
      </c>
      <c r="AC105" s="99">
        <f t="shared" si="19"/>
        <v>-2652.6421860705459</v>
      </c>
      <c r="AD105" s="99">
        <f t="shared" si="20"/>
        <v>-10585.262035705366</v>
      </c>
    </row>
    <row r="106" spans="1:30" x14ac:dyDescent="0.25">
      <c r="A106">
        <v>31.5</v>
      </c>
      <c r="B106" s="95">
        <f t="shared" si="21"/>
        <v>8890.5207928529726</v>
      </c>
      <c r="C106" s="95">
        <f t="shared" si="22"/>
        <v>10030.218122873715</v>
      </c>
      <c r="D106" s="95">
        <f t="shared" si="23"/>
        <v>647.99259724394642</v>
      </c>
      <c r="E106" s="95">
        <f t="shared" si="24"/>
        <v>10544.044744004721</v>
      </c>
      <c r="F106" s="96">
        <f t="shared" si="0"/>
        <v>2609.35855731628</v>
      </c>
      <c r="G106" s="94">
        <f t="shared" si="1"/>
        <v>-7641.0551202431752</v>
      </c>
      <c r="H106" s="97">
        <f t="shared" si="2"/>
        <v>3116.2574459466391</v>
      </c>
      <c r="I106" s="94">
        <f t="shared" si="3"/>
        <v>-7106.7677649856623</v>
      </c>
      <c r="J106" s="95">
        <f t="shared" si="4"/>
        <v>-210.51828991933326</v>
      </c>
      <c r="K106" s="94">
        <f t="shared" si="5"/>
        <v>-0.2201922075949761</v>
      </c>
      <c r="L106" s="94">
        <f t="shared" si="6"/>
        <v>-296.38059871102593</v>
      </c>
      <c r="M106" s="93">
        <f t="shared" si="7"/>
        <v>-534.06716304991789</v>
      </c>
      <c r="N106" s="93">
        <f t="shared" si="8"/>
        <v>2762.7790104187093</v>
      </c>
      <c r="O106" s="93">
        <f t="shared" si="9"/>
        <v>28890.536596214683</v>
      </c>
      <c r="P106" s="93">
        <f t="shared" si="10"/>
        <v>28626.183594313032</v>
      </c>
      <c r="Q106" s="93">
        <f t="shared" si="11"/>
        <v>186416547570.40964</v>
      </c>
      <c r="R106" s="93">
        <f t="shared" si="12"/>
        <v>24646671662261.156</v>
      </c>
      <c r="S106" s="93">
        <f t="shared" si="13"/>
        <v>24539594397175.215</v>
      </c>
      <c r="T106">
        <f t="shared" si="14"/>
        <v>0.5</v>
      </c>
      <c r="X106" s="99">
        <v>63</v>
      </c>
      <c r="Y106" s="99">
        <f t="shared" si="15"/>
        <v>12269.952498697734</v>
      </c>
      <c r="Z106" s="99">
        <f t="shared" si="16"/>
        <v>11955.032620941838</v>
      </c>
      <c r="AA106" s="99">
        <f t="shared" si="17"/>
        <v>-18411.033250911587</v>
      </c>
      <c r="AB106" s="99">
        <f t="shared" si="18"/>
        <v>13118.522834659287</v>
      </c>
      <c r="AC106" s="99">
        <f t="shared" si="19"/>
        <v>-2730.047501302266</v>
      </c>
      <c r="AD106" s="99">
        <f t="shared" si="20"/>
        <v>-10544.967379058162</v>
      </c>
    </row>
    <row r="107" spans="1:30" x14ac:dyDescent="0.25">
      <c r="A107">
        <v>32</v>
      </c>
      <c r="B107" s="95">
        <f t="shared" si="21"/>
        <v>9866.8567308040147</v>
      </c>
      <c r="C107" s="95">
        <f t="shared" si="22"/>
        <v>13391.976714815282</v>
      </c>
      <c r="D107" s="95">
        <f t="shared" si="23"/>
        <v>1952.6718759020864</v>
      </c>
      <c r="E107" s="95">
        <f t="shared" si="24"/>
        <v>6723.5171838831338</v>
      </c>
      <c r="F107" s="96">
        <f t="shared" si="0"/>
        <v>-270.63790156177203</v>
      </c>
      <c r="G107" s="94">
        <f t="shared" si="1"/>
        <v>-7140.0529646900532</v>
      </c>
      <c r="H107" s="97">
        <f t="shared" si="2"/>
        <v>151.00630294552229</v>
      </c>
      <c r="I107" s="94">
        <f t="shared" si="3"/>
        <v>-6682.4678867971461</v>
      </c>
      <c r="J107" s="95">
        <f t="shared" si="4"/>
        <v>-193.54957881527599</v>
      </c>
      <c r="K107" s="94">
        <f t="shared" si="5"/>
        <v>-21.981411382557905</v>
      </c>
      <c r="L107" s="94">
        <f t="shared" si="6"/>
        <v>-228.09462569201833</v>
      </c>
      <c r="M107" s="93">
        <f t="shared" si="7"/>
        <v>-435.60366651034917</v>
      </c>
      <c r="N107" s="93">
        <f t="shared" si="8"/>
        <v>5893.4808677094807</v>
      </c>
      <c r="O107" s="93">
        <f t="shared" si="9"/>
        <v>30058.852889160993</v>
      </c>
      <c r="P107" s="93">
        <f t="shared" si="10"/>
        <v>32048.834157093232</v>
      </c>
      <c r="Q107" s="93">
        <f t="shared" si="11"/>
        <v>461660549065.44415</v>
      </c>
      <c r="R107" s="93">
        <f t="shared" si="12"/>
        <v>27713414055730.801</v>
      </c>
      <c r="S107" s="93">
        <f t="shared" si="13"/>
        <v>34127362526089.992</v>
      </c>
      <c r="T107">
        <f t="shared" si="14"/>
        <v>0.5</v>
      </c>
      <c r="X107" s="99">
        <v>64</v>
      </c>
      <c r="Y107" s="99">
        <f t="shared" si="15"/>
        <v>12191.855733945387</v>
      </c>
      <c r="Z107" s="99">
        <f t="shared" si="16"/>
        <v>11993.970231495834</v>
      </c>
      <c r="AA107" s="99">
        <f t="shared" si="17"/>
        <v>-18465.700986238229</v>
      </c>
      <c r="AB107" s="99">
        <f t="shared" si="18"/>
        <v>13145.779162047085</v>
      </c>
      <c r="AC107" s="99">
        <f t="shared" si="19"/>
        <v>-2808.1442660546127</v>
      </c>
      <c r="AD107" s="99">
        <f t="shared" si="20"/>
        <v>-10506.029768504166</v>
      </c>
    </row>
    <row r="108" spans="1:30" x14ac:dyDescent="0.25">
      <c r="A108">
        <v>32.5</v>
      </c>
      <c r="B108" s="95">
        <f t="shared" si="21"/>
        <v>10775.533193364616</v>
      </c>
      <c r="C108" s="95">
        <f t="shared" si="22"/>
        <v>14968.722065584334</v>
      </c>
      <c r="D108" s="95">
        <f t="shared" si="23"/>
        <v>1817.3529251212003</v>
      </c>
      <c r="E108" s="95">
        <f t="shared" si="24"/>
        <v>3153.4907015381073</v>
      </c>
      <c r="F108" s="96">
        <f t="shared" ref="F108:F171" si="25">SUM(H108,J108,L108)</f>
        <v>-938.0054198060634</v>
      </c>
      <c r="G108" s="94">
        <f t="shared" ref="G108:G171" si="26">SUM(I108,K108,M108)</f>
        <v>-5746.5039791562431</v>
      </c>
      <c r="H108" s="97">
        <f t="shared" ref="H108:H171" si="27">$D$22*(($D$18-$B108)/$Q108)</f>
        <v>-553.09073165817131</v>
      </c>
      <c r="I108" s="94">
        <f t="shared" ref="I108:I171" si="28">$D$22*(($E$18-$C108)/$Q108)</f>
        <v>-5326.5043806621961</v>
      </c>
      <c r="J108" s="95">
        <f t="shared" ref="J108:J171" si="29">$D$30*(($D$26-$B108)/$R108)</f>
        <v>-179.04337372450624</v>
      </c>
      <c r="K108" s="94">
        <f t="shared" ref="K108:K171" si="30">$D$30*(($E$26-$C108)/$R108)</f>
        <v>-28.906623847330223</v>
      </c>
      <c r="L108" s="94">
        <f t="shared" ref="L108:L171" si="31">$D$38*(($D$34-$B108)/$S108)</f>
        <v>-205.87131442338591</v>
      </c>
      <c r="M108" s="93">
        <f t="shared" ref="M108:M171" si="32">$D$38*(($E$34-$C108)/$S108)</f>
        <v>-391.09297464671613</v>
      </c>
      <c r="N108" s="93">
        <f t="shared" ref="N108:N171" si="33">SQRT(($D$18-$B108)^2+($E$18-$C108)^2)</f>
        <v>7508.8788129091972</v>
      </c>
      <c r="O108" s="93">
        <f t="shared" ref="O108:O171" si="34">SQRT(($D$26-$B108)^2+($E$26-$C108)^2)</f>
        <v>31174.053992076679</v>
      </c>
      <c r="P108" s="93">
        <f t="shared" ref="P108:P171" si="35">SQRT(($D$34-$B108)^2+($E$34-$C108)^2)</f>
        <v>33867.266641687958</v>
      </c>
      <c r="Q108" s="93">
        <f t="shared" ref="Q108:Q171" si="36">($N108^2+$D$39^2)^(3/2)</f>
        <v>734180139421.52869</v>
      </c>
      <c r="R108" s="93">
        <f t="shared" ref="R108:R171" si="37">($O108^2+$D$31^2)^(3/2)</f>
        <v>30870244952299.813</v>
      </c>
      <c r="S108" s="93">
        <f t="shared" ref="S108:S171" si="38">($P108^2+$D$23^2)^(3/2)</f>
        <v>40122393387302.016</v>
      </c>
      <c r="T108">
        <f t="shared" ref="T108:T171" si="39">A109-A108</f>
        <v>0.5</v>
      </c>
      <c r="X108" s="99">
        <v>65</v>
      </c>
      <c r="Y108" s="99">
        <f t="shared" ref="Y108:Y171" si="40">$D$19*COS(X108*PI()/180)+$D$18</f>
        <v>12113.091308703497</v>
      </c>
      <c r="Z108" s="99">
        <f t="shared" ref="Z108:Z171" si="41">$D$19*SIN(X108*PI()/180)+$E$18</f>
        <v>12031.538935183249</v>
      </c>
      <c r="AA108" s="99">
        <f t="shared" ref="AA108:AA171" si="42">$D$27*COS(X108*PI()/180)+$D$26</f>
        <v>-18520.83608390755</v>
      </c>
      <c r="AB108" s="99">
        <f t="shared" ref="AB108:AB171" si="43">$D$27*SIN($X108*PI()/180)+$E$26</f>
        <v>13172.077254628275</v>
      </c>
      <c r="AC108" s="99">
        <f t="shared" ref="AC108:AC171" si="44">$D$35*COS(X108*PI()/180)+$D$34</f>
        <v>-2886.9086912965026</v>
      </c>
      <c r="AD108" s="99">
        <f t="shared" ref="AD108:AD171" si="45">$D$35*SIN(X108*PI()/180)+$E$34</f>
        <v>-10468.461064816751</v>
      </c>
    </row>
    <row r="109" spans="1:30" x14ac:dyDescent="0.25">
      <c r="A109">
        <v>33</v>
      </c>
      <c r="B109" s="95">
        <f t="shared" ref="B109:B172" si="46">B108+(D108*$T108)+(F108*($T108)^2)</f>
        <v>11449.708300973702</v>
      </c>
      <c r="C109" s="95">
        <f t="shared" ref="C109:C172" si="47">C108+(E108*$T108)+(G108*($T108)^2)</f>
        <v>15108.841421564328</v>
      </c>
      <c r="D109" s="95">
        <f t="shared" ref="D109:D172" si="48">D108+(F108*$T108)</f>
        <v>1348.3502152181686</v>
      </c>
      <c r="E109" s="95">
        <f t="shared" ref="E109:E172" si="49">E108+(G108*$T108)</f>
        <v>280.23871195998572</v>
      </c>
      <c r="F109" s="96">
        <f t="shared" si="25"/>
        <v>-1346.8320329438825</v>
      </c>
      <c r="G109" s="94">
        <f t="shared" si="26"/>
        <v>-5490.2475883952775</v>
      </c>
      <c r="H109" s="97">
        <f t="shared" si="27"/>
        <v>-968.68055436366967</v>
      </c>
      <c r="I109" s="94">
        <f t="shared" si="28"/>
        <v>-5084.1515643910843</v>
      </c>
      <c r="J109" s="95">
        <f t="shared" si="29"/>
        <v>-171.50555932583066</v>
      </c>
      <c r="K109" s="94">
        <f t="shared" si="30"/>
        <v>-27.86018544678312</v>
      </c>
      <c r="L109" s="94">
        <f t="shared" si="31"/>
        <v>-206.64591925438197</v>
      </c>
      <c r="M109" s="93">
        <f t="shared" si="32"/>
        <v>-378.23583855740981</v>
      </c>
      <c r="N109" s="93">
        <f t="shared" si="33"/>
        <v>7745.7163604424031</v>
      </c>
      <c r="O109" s="93">
        <f t="shared" si="34"/>
        <v>31861.958710773346</v>
      </c>
      <c r="P109" s="93">
        <f t="shared" si="35"/>
        <v>34309.404467813642</v>
      </c>
      <c r="Q109" s="93">
        <f t="shared" si="36"/>
        <v>783607648512.31433</v>
      </c>
      <c r="R109" s="93">
        <f t="shared" si="37"/>
        <v>32932989966313.27</v>
      </c>
      <c r="S109" s="93">
        <f t="shared" si="38"/>
        <v>41680218783978.539</v>
      </c>
      <c r="T109">
        <f t="shared" si="39"/>
        <v>0.5</v>
      </c>
      <c r="X109" s="99">
        <v>66</v>
      </c>
      <c r="Y109" s="99">
        <f t="shared" si="40"/>
        <v>12033.683215379002</v>
      </c>
      <c r="Z109" s="99">
        <f t="shared" si="41"/>
        <v>12067.727288213006</v>
      </c>
      <c r="AA109" s="99">
        <f t="shared" si="42"/>
        <v>-18576.421749234698</v>
      </c>
      <c r="AB109" s="99">
        <f t="shared" si="43"/>
        <v>13197.409101749103</v>
      </c>
      <c r="AC109" s="99">
        <f t="shared" si="44"/>
        <v>-2966.316784620999</v>
      </c>
      <c r="AD109" s="99">
        <f t="shared" si="45"/>
        <v>-10432.272711786994</v>
      </c>
    </row>
    <row r="110" spans="1:30" x14ac:dyDescent="0.25">
      <c r="A110">
        <v>33.5</v>
      </c>
      <c r="B110" s="95">
        <f t="shared" si="46"/>
        <v>11787.175400346816</v>
      </c>
      <c r="C110" s="95">
        <f t="shared" si="47"/>
        <v>13876.3988804455</v>
      </c>
      <c r="D110" s="95">
        <f t="shared" si="48"/>
        <v>674.93419874622737</v>
      </c>
      <c r="E110" s="95">
        <f t="shared" si="49"/>
        <v>-2464.885082237653</v>
      </c>
      <c r="F110" s="96">
        <f t="shared" si="25"/>
        <v>-2036.8394346956923</v>
      </c>
      <c r="G110" s="94">
        <f t="shared" si="26"/>
        <v>-6257.0936516045158</v>
      </c>
      <c r="H110" s="97">
        <f t="shared" si="27"/>
        <v>-1637.897127180189</v>
      </c>
      <c r="I110" s="94">
        <f t="shared" si="28"/>
        <v>-5843.7942946226412</v>
      </c>
      <c r="J110" s="95">
        <f t="shared" si="29"/>
        <v>-170.7797349588204</v>
      </c>
      <c r="K110" s="94">
        <f t="shared" si="30"/>
        <v>-20.826335308481916</v>
      </c>
      <c r="L110" s="94">
        <f t="shared" si="31"/>
        <v>-228.16257255668279</v>
      </c>
      <c r="M110" s="93">
        <f t="shared" si="32"/>
        <v>-392.47302167339274</v>
      </c>
      <c r="N110" s="93">
        <f t="shared" si="33"/>
        <v>6622.1188900646766</v>
      </c>
      <c r="O110" s="93">
        <f t="shared" si="34"/>
        <v>32022.663665172091</v>
      </c>
      <c r="P110" s="93">
        <f t="shared" si="35"/>
        <v>33401.432158286319</v>
      </c>
      <c r="Q110" s="93">
        <f t="shared" si="36"/>
        <v>571319673178.74585</v>
      </c>
      <c r="R110" s="93">
        <f t="shared" si="37"/>
        <v>33427842362640.871</v>
      </c>
      <c r="S110" s="93">
        <f t="shared" si="38"/>
        <v>38524041813176.102</v>
      </c>
      <c r="T110">
        <f t="shared" si="39"/>
        <v>0.5</v>
      </c>
      <c r="X110" s="99">
        <v>67</v>
      </c>
      <c r="Y110" s="99">
        <f t="shared" si="40"/>
        <v>11953.655642446371</v>
      </c>
      <c r="Z110" s="99">
        <f t="shared" si="41"/>
        <v>12102.524267262201</v>
      </c>
      <c r="AA110" s="99">
        <f t="shared" si="42"/>
        <v>-18632.44105028754</v>
      </c>
      <c r="AB110" s="99">
        <f t="shared" si="43"/>
        <v>13221.766987083542</v>
      </c>
      <c r="AC110" s="99">
        <f t="shared" si="44"/>
        <v>-3046.3443575536303</v>
      </c>
      <c r="AD110" s="99">
        <f t="shared" si="45"/>
        <v>-10397.475732737799</v>
      </c>
    </row>
    <row r="111" spans="1:30" x14ac:dyDescent="0.25">
      <c r="A111">
        <v>34</v>
      </c>
      <c r="B111" s="95">
        <f t="shared" si="46"/>
        <v>11615.432641046007</v>
      </c>
      <c r="C111" s="95">
        <f t="shared" si="47"/>
        <v>11079.682926425545</v>
      </c>
      <c r="D111" s="95">
        <f t="shared" si="48"/>
        <v>-343.48551860161876</v>
      </c>
      <c r="E111" s="95">
        <f t="shared" si="49"/>
        <v>-5593.4319080399109</v>
      </c>
      <c r="F111" s="96">
        <f t="shared" si="25"/>
        <v>-3750.2027403755201</v>
      </c>
      <c r="G111" s="94">
        <f t="shared" si="26"/>
        <v>-7742.9856163981094</v>
      </c>
      <c r="H111" s="97">
        <f t="shared" si="27"/>
        <v>-3291.0352752184626</v>
      </c>
      <c r="I111" s="94">
        <f t="shared" si="28"/>
        <v>-7292.6982441901819</v>
      </c>
      <c r="J111" s="95">
        <f t="shared" si="29"/>
        <v>-176.12014113357174</v>
      </c>
      <c r="K111" s="94">
        <f t="shared" si="30"/>
        <v>-6.0145914035254968</v>
      </c>
      <c r="L111" s="94">
        <f t="shared" si="31"/>
        <v>-283.04732402348566</v>
      </c>
      <c r="M111" s="93">
        <f t="shared" si="32"/>
        <v>-444.27278080440198</v>
      </c>
      <c r="N111" s="93">
        <f t="shared" si="33"/>
        <v>3927.3085531314482</v>
      </c>
      <c r="O111" s="93">
        <f t="shared" si="34"/>
        <v>31633.863126436707</v>
      </c>
      <c r="P111" s="93">
        <f t="shared" si="35"/>
        <v>30922.846948365364</v>
      </c>
      <c r="Q111" s="93">
        <f t="shared" si="36"/>
        <v>257012909974.67896</v>
      </c>
      <c r="R111" s="93">
        <f t="shared" si="37"/>
        <v>32239095358488.82</v>
      </c>
      <c r="S111" s="93">
        <f t="shared" si="38"/>
        <v>30736274285235.195</v>
      </c>
      <c r="T111">
        <f t="shared" si="39"/>
        <v>0.5</v>
      </c>
      <c r="X111" s="99">
        <v>68</v>
      </c>
      <c r="Y111" s="99">
        <f t="shared" si="40"/>
        <v>11873.03296707956</v>
      </c>
      <c r="Z111" s="99">
        <f t="shared" si="41"/>
        <v>12135.919272833937</v>
      </c>
      <c r="AA111" s="99">
        <f t="shared" si="42"/>
        <v>-18688.876923044307</v>
      </c>
      <c r="AB111" s="99">
        <f t="shared" si="43"/>
        <v>13245.143490983755</v>
      </c>
      <c r="AC111" s="99">
        <f t="shared" si="44"/>
        <v>-3126.96703292044</v>
      </c>
      <c r="AD111" s="99">
        <f t="shared" si="45"/>
        <v>-10364.080727166063</v>
      </c>
    </row>
    <row r="112" spans="1:30" x14ac:dyDescent="0.25">
      <c r="A112">
        <v>34.5</v>
      </c>
      <c r="B112" s="95">
        <f t="shared" si="46"/>
        <v>10506.139196651318</v>
      </c>
      <c r="C112" s="95">
        <f t="shared" si="47"/>
        <v>6347.220568306062</v>
      </c>
      <c r="D112" s="95">
        <f t="shared" si="48"/>
        <v>-2218.5868887893789</v>
      </c>
      <c r="E112" s="95">
        <f t="shared" si="49"/>
        <v>-9464.9247162389656</v>
      </c>
      <c r="F112" s="96">
        <f t="shared" si="25"/>
        <v>-2537.8886962650558</v>
      </c>
      <c r="G112" s="94">
        <f t="shared" si="26"/>
        <v>3848.4101469780289</v>
      </c>
      <c r="H112" s="97">
        <f t="shared" si="27"/>
        <v>-1933.3554299603684</v>
      </c>
      <c r="I112" s="94">
        <f t="shared" si="28"/>
        <v>4403.3980939585026</v>
      </c>
      <c r="J112" s="95">
        <f t="shared" si="29"/>
        <v>-185.28705429340852</v>
      </c>
      <c r="K112" s="94">
        <f t="shared" si="30"/>
        <v>22.186115932900968</v>
      </c>
      <c r="L112" s="94">
        <f t="shared" si="31"/>
        <v>-419.24621201127894</v>
      </c>
      <c r="M112" s="93">
        <f t="shared" si="32"/>
        <v>-577.17406291337488</v>
      </c>
      <c r="N112" s="93">
        <f t="shared" si="33"/>
        <v>1258.9985323754117</v>
      </c>
      <c r="O112" s="93">
        <f t="shared" si="34"/>
        <v>30724.051267078568</v>
      </c>
      <c r="P112" s="93">
        <f t="shared" si="35"/>
        <v>26384.544316281754</v>
      </c>
      <c r="Q112" s="93">
        <f t="shared" si="36"/>
        <v>137074569705.15211</v>
      </c>
      <c r="R112" s="93">
        <f t="shared" si="37"/>
        <v>29568882602355.582</v>
      </c>
      <c r="S112" s="93">
        <f t="shared" si="38"/>
        <v>19365697924075.688</v>
      </c>
      <c r="T112">
        <f t="shared" si="39"/>
        <v>0.5</v>
      </c>
      <c r="X112" s="99">
        <v>69</v>
      </c>
      <c r="Y112" s="99">
        <f t="shared" si="40"/>
        <v>11791.839747726503</v>
      </c>
      <c r="Z112" s="99">
        <f t="shared" si="41"/>
        <v>12167.902132486008</v>
      </c>
      <c r="AA112" s="99">
        <f t="shared" si="42"/>
        <v>-18745.712176591449</v>
      </c>
      <c r="AB112" s="99">
        <f t="shared" si="43"/>
        <v>13267.531492740207</v>
      </c>
      <c r="AC112" s="99">
        <f t="shared" si="44"/>
        <v>-3208.1602522734984</v>
      </c>
      <c r="AD112" s="99">
        <f t="shared" si="45"/>
        <v>-10332.097867513992</v>
      </c>
    </row>
    <row r="113" spans="1:30" x14ac:dyDescent="0.25">
      <c r="A113">
        <v>35</v>
      </c>
      <c r="B113" s="95">
        <f t="shared" si="46"/>
        <v>8762.3735781903652</v>
      </c>
      <c r="C113" s="95">
        <f t="shared" si="47"/>
        <v>2576.8607469310864</v>
      </c>
      <c r="D113" s="95">
        <f t="shared" si="48"/>
        <v>-3487.5312369219068</v>
      </c>
      <c r="E113" s="95">
        <f t="shared" si="49"/>
        <v>-7540.7196427499512</v>
      </c>
      <c r="F113" s="96">
        <f t="shared" si="25"/>
        <v>996.47332482738727</v>
      </c>
      <c r="G113" s="94">
        <f t="shared" si="26"/>
        <v>6407.0755185958024</v>
      </c>
      <c r="H113" s="97">
        <f t="shared" si="27"/>
        <v>1791.3895391263275</v>
      </c>
      <c r="I113" s="94">
        <f t="shared" si="28"/>
        <v>7125.9468949559841</v>
      </c>
      <c r="J113" s="95">
        <f t="shared" si="29"/>
        <v>-193.04313801628831</v>
      </c>
      <c r="K113" s="94">
        <f t="shared" si="30"/>
        <v>49.821552155587717</v>
      </c>
      <c r="L113" s="94">
        <f t="shared" si="31"/>
        <v>-601.87307628265182</v>
      </c>
      <c r="M113" s="93">
        <f t="shared" si="32"/>
        <v>-768.69292851576972</v>
      </c>
      <c r="N113" s="93">
        <f t="shared" si="33"/>
        <v>5076.3194605017979</v>
      </c>
      <c r="O113" s="93">
        <f t="shared" si="34"/>
        <v>29704.833448814956</v>
      </c>
      <c r="P113" s="93">
        <f t="shared" si="35"/>
        <v>22323.730875968722</v>
      </c>
      <c r="Q113" s="93">
        <f t="shared" si="36"/>
        <v>361741354939.29034</v>
      </c>
      <c r="R113" s="93">
        <f t="shared" si="37"/>
        <v>26758582066443.238</v>
      </c>
      <c r="S113" s="93">
        <f t="shared" si="38"/>
        <v>11972560725548.699</v>
      </c>
      <c r="T113">
        <f t="shared" si="39"/>
        <v>0.5</v>
      </c>
      <c r="X113" s="99">
        <v>70</v>
      </c>
      <c r="Y113" s="99">
        <f t="shared" si="40"/>
        <v>11710.100716628343</v>
      </c>
      <c r="Z113" s="99">
        <f t="shared" si="41"/>
        <v>12198.463103929542</v>
      </c>
      <c r="AA113" s="99">
        <f t="shared" si="42"/>
        <v>-18802.929498360158</v>
      </c>
      <c r="AB113" s="99">
        <f t="shared" si="43"/>
        <v>13288.92417275068</v>
      </c>
      <c r="AC113" s="99">
        <f t="shared" si="44"/>
        <v>-3289.8992833716557</v>
      </c>
      <c r="AD113" s="99">
        <f t="shared" si="45"/>
        <v>-10301.536896070458</v>
      </c>
    </row>
    <row r="114" spans="1:30" x14ac:dyDescent="0.25">
      <c r="A114">
        <v>35.5</v>
      </c>
      <c r="B114" s="95">
        <f t="shared" si="46"/>
        <v>7267.7262909362589</v>
      </c>
      <c r="C114" s="95">
        <f t="shared" si="47"/>
        <v>408.2698052050614</v>
      </c>
      <c r="D114" s="95">
        <f t="shared" si="48"/>
        <v>-2989.2945745082134</v>
      </c>
      <c r="E114" s="95">
        <f t="shared" si="49"/>
        <v>-4337.18188345205</v>
      </c>
      <c r="F114" s="96">
        <f t="shared" si="25"/>
        <v>936.29479425937507</v>
      </c>
      <c r="G114" s="94">
        <f t="shared" si="26"/>
        <v>4040.3964999680447</v>
      </c>
      <c r="H114" s="97">
        <f t="shared" si="27"/>
        <v>1900.2388191596945</v>
      </c>
      <c r="I114" s="94">
        <f t="shared" si="28"/>
        <v>4932.1489887534181</v>
      </c>
      <c r="J114" s="95">
        <f t="shared" si="29"/>
        <v>-198.38862876833329</v>
      </c>
      <c r="K114" s="94">
        <f t="shared" si="30"/>
        <v>69.785437207271045</v>
      </c>
      <c r="L114" s="94">
        <f t="shared" si="31"/>
        <v>-765.55539613198607</v>
      </c>
      <c r="M114" s="93">
        <f t="shared" si="32"/>
        <v>-961.53792599264398</v>
      </c>
      <c r="N114" s="93">
        <f t="shared" si="33"/>
        <v>7599.8655762458839</v>
      </c>
      <c r="O114" s="93">
        <f t="shared" si="34"/>
        <v>28905.539005650066</v>
      </c>
      <c r="P114" s="93">
        <f t="shared" si="35"/>
        <v>19695.478840061813</v>
      </c>
      <c r="Q114" s="93">
        <f t="shared" si="36"/>
        <v>752860721631.73181</v>
      </c>
      <c r="R114" s="93">
        <f t="shared" si="37"/>
        <v>24684531711607.914</v>
      </c>
      <c r="S114" s="93">
        <f t="shared" si="38"/>
        <v>8390465925475.4443</v>
      </c>
      <c r="T114">
        <f t="shared" si="39"/>
        <v>0.5</v>
      </c>
      <c r="X114" s="99">
        <v>71</v>
      </c>
      <c r="Y114" s="99">
        <f t="shared" si="40"/>
        <v>11627.840772285785</v>
      </c>
      <c r="Z114" s="99">
        <f t="shared" si="41"/>
        <v>12227.592877996583</v>
      </c>
      <c r="AA114" s="99">
        <f t="shared" si="42"/>
        <v>-18860.51145939995</v>
      </c>
      <c r="AB114" s="99">
        <f t="shared" si="43"/>
        <v>13309.315014597609</v>
      </c>
      <c r="AC114" s="99">
        <f t="shared" si="44"/>
        <v>-3372.1592277142163</v>
      </c>
      <c r="AD114" s="99">
        <f t="shared" si="45"/>
        <v>-10272.407122003417</v>
      </c>
    </row>
    <row r="115" spans="1:30" x14ac:dyDescent="0.25">
      <c r="A115">
        <v>36</v>
      </c>
      <c r="B115" s="95">
        <f t="shared" si="46"/>
        <v>6007.1527022469963</v>
      </c>
      <c r="C115" s="95">
        <f t="shared" si="47"/>
        <v>-750.22201152895241</v>
      </c>
      <c r="D115" s="95">
        <f t="shared" si="48"/>
        <v>-2521.1471773785261</v>
      </c>
      <c r="E115" s="95">
        <f t="shared" si="49"/>
        <v>-2316.9836334680276</v>
      </c>
      <c r="F115" s="96">
        <f t="shared" si="25"/>
        <v>748.94625219011084</v>
      </c>
      <c r="G115" s="94">
        <f t="shared" si="26"/>
        <v>2736.8485478649532</v>
      </c>
      <c r="H115" s="97">
        <f t="shared" si="27"/>
        <v>1836.9098093809691</v>
      </c>
      <c r="I115" s="94">
        <f t="shared" si="28"/>
        <v>3795.5154836692186</v>
      </c>
      <c r="J115" s="95">
        <f t="shared" si="29"/>
        <v>-204.80857827136111</v>
      </c>
      <c r="K115" s="94">
        <f t="shared" si="30"/>
        <v>84.658928698969362</v>
      </c>
      <c r="L115" s="94">
        <f t="shared" si="31"/>
        <v>-883.15497891949724</v>
      </c>
      <c r="M115" s="93">
        <f t="shared" si="32"/>
        <v>-1143.3258645032347</v>
      </c>
      <c r="N115" s="93">
        <f t="shared" si="33"/>
        <v>9165.6419732984505</v>
      </c>
      <c r="O115" s="93">
        <f t="shared" si="34"/>
        <v>28141.415475685564</v>
      </c>
      <c r="P115" s="93">
        <f t="shared" si="35"/>
        <v>18005.931892887336</v>
      </c>
      <c r="Q115" s="93">
        <f t="shared" si="36"/>
        <v>1138134243487.4302</v>
      </c>
      <c r="R115" s="93">
        <f t="shared" si="37"/>
        <v>22805384937161.785</v>
      </c>
      <c r="S115" s="93">
        <f t="shared" si="38"/>
        <v>6525844065071.3721</v>
      </c>
      <c r="T115">
        <f t="shared" si="39"/>
        <v>0.5</v>
      </c>
      <c r="X115" s="99">
        <v>72</v>
      </c>
      <c r="Y115" s="99">
        <f t="shared" si="40"/>
        <v>11545.084971874738</v>
      </c>
      <c r="Z115" s="99">
        <f t="shared" si="41"/>
        <v>12255.282581475767</v>
      </c>
      <c r="AA115" s="99">
        <f t="shared" si="42"/>
        <v>-18918.440519687683</v>
      </c>
      <c r="AB115" s="99">
        <f t="shared" si="43"/>
        <v>13328.697807033037</v>
      </c>
      <c r="AC115" s="99">
        <f t="shared" si="44"/>
        <v>-3454.9150281252628</v>
      </c>
      <c r="AD115" s="99">
        <f t="shared" si="45"/>
        <v>-10244.717418524233</v>
      </c>
    </row>
    <row r="116" spans="1:30" x14ac:dyDescent="0.25">
      <c r="A116">
        <v>36.5</v>
      </c>
      <c r="B116" s="95">
        <f t="shared" si="46"/>
        <v>4933.8156766052607</v>
      </c>
      <c r="C116" s="95">
        <f t="shared" si="47"/>
        <v>-1224.501691296728</v>
      </c>
      <c r="D116" s="95">
        <f t="shared" si="48"/>
        <v>-2146.6740512834708</v>
      </c>
      <c r="E116" s="95">
        <f t="shared" si="49"/>
        <v>-948.55935953555104</v>
      </c>
      <c r="F116" s="96">
        <f t="shared" si="25"/>
        <v>707.13542897490174</v>
      </c>
      <c r="G116" s="94">
        <f t="shared" si="26"/>
        <v>1996.4422529594342</v>
      </c>
      <c r="H116" s="97">
        <f t="shared" si="27"/>
        <v>1858.177876106821</v>
      </c>
      <c r="I116" s="94">
        <f t="shared" si="28"/>
        <v>3199.9775349588999</v>
      </c>
      <c r="J116" s="95">
        <f t="shared" si="29"/>
        <v>-213.75543064732435</v>
      </c>
      <c r="K116" s="94">
        <f t="shared" si="30"/>
        <v>96.226675609700223</v>
      </c>
      <c r="L116" s="94">
        <f t="shared" si="31"/>
        <v>-937.28701648459491</v>
      </c>
      <c r="M116" s="93">
        <f t="shared" si="32"/>
        <v>-1299.7619576091658</v>
      </c>
      <c r="N116" s="93">
        <f t="shared" si="33"/>
        <v>10088.763718119781</v>
      </c>
      <c r="O116" s="93">
        <f t="shared" si="34"/>
        <v>27343.822015454414</v>
      </c>
      <c r="P116" s="93">
        <f t="shared" si="35"/>
        <v>16983.670025935357</v>
      </c>
      <c r="Q116" s="93">
        <f t="shared" si="36"/>
        <v>1427553272909.7507</v>
      </c>
      <c r="R116" s="93">
        <f t="shared" si="37"/>
        <v>20949049830765.867</v>
      </c>
      <c r="S116" s="93">
        <f t="shared" si="38"/>
        <v>5549350021723.2432</v>
      </c>
      <c r="T116">
        <f t="shared" si="39"/>
        <v>0.5</v>
      </c>
      <c r="X116" s="99">
        <v>73</v>
      </c>
      <c r="Y116" s="99">
        <f t="shared" si="40"/>
        <v>11461.858523613684</v>
      </c>
      <c r="Z116" s="99">
        <f t="shared" si="41"/>
        <v>12281.523779815177</v>
      </c>
      <c r="AA116" s="99">
        <f t="shared" si="42"/>
        <v>-18976.699033470421</v>
      </c>
      <c r="AB116" s="99">
        <f t="shared" si="43"/>
        <v>13347.066645870624</v>
      </c>
      <c r="AC116" s="99">
        <f t="shared" si="44"/>
        <v>-3538.1414763863158</v>
      </c>
      <c r="AD116" s="99">
        <f t="shared" si="45"/>
        <v>-10218.476220184823</v>
      </c>
    </row>
    <row r="117" spans="1:30" x14ac:dyDescent="0.25">
      <c r="A117">
        <v>37</v>
      </c>
      <c r="B117" s="95">
        <f t="shared" si="46"/>
        <v>4037.2625082072504</v>
      </c>
      <c r="C117" s="95">
        <f t="shared" si="47"/>
        <v>-1199.6708078246452</v>
      </c>
      <c r="D117" s="95">
        <f t="shared" si="48"/>
        <v>-1793.1063367960201</v>
      </c>
      <c r="E117" s="95">
        <f t="shared" si="49"/>
        <v>49.661766944166061</v>
      </c>
      <c r="F117" s="96">
        <f t="shared" si="25"/>
        <v>813.84028163662822</v>
      </c>
      <c r="G117" s="94">
        <f t="shared" si="26"/>
        <v>1558.7477786009065</v>
      </c>
      <c r="H117" s="97">
        <f t="shared" si="27"/>
        <v>1963.3353304332713</v>
      </c>
      <c r="I117" s="94">
        <f t="shared" si="28"/>
        <v>2864.5183665473955</v>
      </c>
      <c r="J117" s="95">
        <f t="shared" si="29"/>
        <v>-225.57357640370608</v>
      </c>
      <c r="K117" s="94">
        <f t="shared" si="30"/>
        <v>105.10139404612299</v>
      </c>
      <c r="L117" s="94">
        <f t="shared" si="31"/>
        <v>-923.92147239293706</v>
      </c>
      <c r="M117" s="93">
        <f t="shared" si="32"/>
        <v>-1410.8719819926121</v>
      </c>
      <c r="N117" s="93">
        <f t="shared" si="33"/>
        <v>10546.966889136762</v>
      </c>
      <c r="O117" s="93">
        <f t="shared" si="34"/>
        <v>26518.344878444157</v>
      </c>
      <c r="P117" s="93">
        <f t="shared" si="35"/>
        <v>16496.096491432621</v>
      </c>
      <c r="Q117" s="93">
        <f t="shared" si="36"/>
        <v>1590192974945.2278</v>
      </c>
      <c r="R117" s="93">
        <f t="shared" si="37"/>
        <v>19137690356334.32</v>
      </c>
      <c r="S117" s="93">
        <f t="shared" si="38"/>
        <v>5121538708048.6475</v>
      </c>
      <c r="T117">
        <f t="shared" si="39"/>
        <v>0.5</v>
      </c>
      <c r="X117" s="99">
        <v>74</v>
      </c>
      <c r="Y117" s="99">
        <f t="shared" si="40"/>
        <v>11378.186779084996</v>
      </c>
      <c r="Z117" s="99">
        <f t="shared" si="41"/>
        <v>12306.308479691594</v>
      </c>
      <c r="AA117" s="99">
        <f t="shared" si="42"/>
        <v>-19035.269254640501</v>
      </c>
      <c r="AB117" s="99">
        <f t="shared" si="43"/>
        <v>13364.415935784116</v>
      </c>
      <c r="AC117" s="99">
        <f t="shared" si="44"/>
        <v>-3621.8132209150044</v>
      </c>
      <c r="AD117" s="99">
        <f t="shared" si="45"/>
        <v>-10193.691520308406</v>
      </c>
    </row>
    <row r="118" spans="1:30" x14ac:dyDescent="0.25">
      <c r="A118">
        <v>37.5</v>
      </c>
      <c r="B118" s="95">
        <f t="shared" si="46"/>
        <v>3344.1694102183974</v>
      </c>
      <c r="C118" s="95">
        <f t="shared" si="47"/>
        <v>-785.15297970233541</v>
      </c>
      <c r="D118" s="95">
        <f t="shared" si="48"/>
        <v>-1386.1861959777059</v>
      </c>
      <c r="E118" s="95">
        <f t="shared" si="49"/>
        <v>829.0356562446193</v>
      </c>
      <c r="F118" s="96">
        <f t="shared" si="25"/>
        <v>1056.2448724930082</v>
      </c>
      <c r="G118" s="94">
        <f t="shared" si="26"/>
        <v>1331.9724359633954</v>
      </c>
      <c r="H118" s="97">
        <f t="shared" si="27"/>
        <v>2151.0346733964866</v>
      </c>
      <c r="I118" s="94">
        <f t="shared" si="28"/>
        <v>2677.5999018206267</v>
      </c>
      <c r="J118" s="95">
        <f t="shared" si="29"/>
        <v>-239.85327129627714</v>
      </c>
      <c r="K118" s="94">
        <f t="shared" si="30"/>
        <v>110.81371875583021</v>
      </c>
      <c r="L118" s="94">
        <f t="shared" si="31"/>
        <v>-854.93652960720135</v>
      </c>
      <c r="M118" s="93">
        <f t="shared" si="32"/>
        <v>-1456.4411846130613</v>
      </c>
      <c r="N118" s="93">
        <f t="shared" si="33"/>
        <v>10627.503974920122</v>
      </c>
      <c r="O118" s="93">
        <f t="shared" si="34"/>
        <v>25715.166152458718</v>
      </c>
      <c r="P118" s="93">
        <f t="shared" si="35"/>
        <v>16482.931746412403</v>
      </c>
      <c r="Q118" s="93">
        <f t="shared" si="36"/>
        <v>1620143454915.3755</v>
      </c>
      <c r="R118" s="93">
        <f t="shared" si="37"/>
        <v>17479359818152.256</v>
      </c>
      <c r="S118" s="93">
        <f t="shared" si="38"/>
        <v>5110317240254.6162</v>
      </c>
      <c r="T118">
        <f t="shared" si="39"/>
        <v>0.5</v>
      </c>
      <c r="X118" s="99">
        <v>75</v>
      </c>
      <c r="Y118" s="99">
        <f t="shared" si="40"/>
        <v>11294.095225512603</v>
      </c>
      <c r="Z118" s="99">
        <f t="shared" si="41"/>
        <v>12329.629131445341</v>
      </c>
      <c r="AA118" s="99">
        <f t="shared" si="42"/>
        <v>-19094.133342141176</v>
      </c>
      <c r="AB118" s="99">
        <f t="shared" si="43"/>
        <v>13380.740392011739</v>
      </c>
      <c r="AC118" s="99">
        <f t="shared" si="44"/>
        <v>-3705.904774487396</v>
      </c>
      <c r="AD118" s="99">
        <f t="shared" si="45"/>
        <v>-10170.370868554659</v>
      </c>
    </row>
    <row r="119" spans="1:30" x14ac:dyDescent="0.25">
      <c r="A119">
        <v>38</v>
      </c>
      <c r="B119" s="95">
        <f t="shared" si="46"/>
        <v>2915.1375303527966</v>
      </c>
      <c r="C119" s="95">
        <f t="shared" si="47"/>
        <v>-37.642042589176924</v>
      </c>
      <c r="D119" s="95">
        <f t="shared" si="48"/>
        <v>-858.0637597312018</v>
      </c>
      <c r="E119" s="95">
        <f t="shared" si="49"/>
        <v>1495.0218742263169</v>
      </c>
      <c r="F119" s="96">
        <f t="shared" si="25"/>
        <v>1436.6972310468118</v>
      </c>
      <c r="G119" s="94">
        <f t="shared" si="26"/>
        <v>1289.055397161799</v>
      </c>
      <c r="H119" s="97">
        <f t="shared" si="27"/>
        <v>2445.7567871772426</v>
      </c>
      <c r="I119" s="94">
        <f t="shared" si="28"/>
        <v>2602.0602748401707</v>
      </c>
      <c r="J119" s="95">
        <f t="shared" si="29"/>
        <v>-255.31371500745826</v>
      </c>
      <c r="K119" s="94">
        <f t="shared" si="30"/>
        <v>111.83645205768219</v>
      </c>
      <c r="L119" s="94">
        <f t="shared" si="31"/>
        <v>-753.74584112297259</v>
      </c>
      <c r="M119" s="93">
        <f t="shared" si="32"/>
        <v>-1424.8413297360537</v>
      </c>
      <c r="N119" s="93">
        <f t="shared" si="33"/>
        <v>10344.627773681535</v>
      </c>
      <c r="O119" s="93">
        <f t="shared" si="34"/>
        <v>25017.149833866712</v>
      </c>
      <c r="P119" s="93">
        <f t="shared" si="35"/>
        <v>16926.947680255125</v>
      </c>
      <c r="Q119" s="93">
        <f t="shared" si="36"/>
        <v>1516759693293.5674</v>
      </c>
      <c r="R119" s="93">
        <f t="shared" si="37"/>
        <v>16119110240319.98</v>
      </c>
      <c r="S119" s="93">
        <f t="shared" si="38"/>
        <v>5498347179482.1104</v>
      </c>
      <c r="T119">
        <f t="shared" si="39"/>
        <v>0.5</v>
      </c>
      <c r="X119" s="99">
        <v>76</v>
      </c>
      <c r="Y119" s="99">
        <f t="shared" si="40"/>
        <v>11209.60947799834</v>
      </c>
      <c r="Z119" s="99">
        <f t="shared" si="41"/>
        <v>12351.478631379981</v>
      </c>
      <c r="AA119" s="99">
        <f t="shared" si="42"/>
        <v>-19153.273365401161</v>
      </c>
      <c r="AB119" s="99">
        <f t="shared" si="43"/>
        <v>13396.035041965988</v>
      </c>
      <c r="AC119" s="99">
        <f t="shared" si="44"/>
        <v>-3790.3905220016604</v>
      </c>
      <c r="AD119" s="99">
        <f t="shared" si="45"/>
        <v>-10148.521368620019</v>
      </c>
    </row>
    <row r="120" spans="1:30" x14ac:dyDescent="0.25">
      <c r="A120">
        <v>38.5</v>
      </c>
      <c r="B120" s="95">
        <f t="shared" si="46"/>
        <v>2845.2799582488988</v>
      </c>
      <c r="C120" s="95">
        <f t="shared" si="47"/>
        <v>1032.1327438144313</v>
      </c>
      <c r="D120" s="95">
        <f t="shared" si="48"/>
        <v>-139.7151442077959</v>
      </c>
      <c r="E120" s="95">
        <f t="shared" si="49"/>
        <v>2139.5495728072165</v>
      </c>
      <c r="F120" s="96">
        <f t="shared" si="25"/>
        <v>2007.4201503695394</v>
      </c>
      <c r="G120" s="94">
        <f t="shared" si="26"/>
        <v>1428.8377160810423</v>
      </c>
      <c r="H120" s="97">
        <f t="shared" si="27"/>
        <v>2921.7260639494007</v>
      </c>
      <c r="I120" s="94">
        <f t="shared" si="28"/>
        <v>2641.2405000178305</v>
      </c>
      <c r="J120" s="95">
        <f t="shared" si="29"/>
        <v>-269.29120218448713</v>
      </c>
      <c r="K120" s="94">
        <f t="shared" si="30"/>
        <v>105.70970278598497</v>
      </c>
      <c r="L120" s="94">
        <f t="shared" si="31"/>
        <v>-645.01471139537398</v>
      </c>
      <c r="M120" s="93">
        <f t="shared" si="32"/>
        <v>-1318.1124867227732</v>
      </c>
      <c r="N120" s="93">
        <f t="shared" si="33"/>
        <v>9644.8600673867895</v>
      </c>
      <c r="O120" s="93">
        <f t="shared" si="34"/>
        <v>24542.401257728103</v>
      </c>
      <c r="P120" s="93">
        <f t="shared" si="35"/>
        <v>17848.744996177986</v>
      </c>
      <c r="Q120" s="93">
        <f t="shared" si="36"/>
        <v>1282188189999.4456</v>
      </c>
      <c r="R120" s="93">
        <f t="shared" si="37"/>
        <v>15235863100747.051</v>
      </c>
      <c r="S120" s="93">
        <f t="shared" si="38"/>
        <v>6368504326790.5488</v>
      </c>
      <c r="T120">
        <f t="shared" si="39"/>
        <v>0.5</v>
      </c>
      <c r="X120" s="99">
        <v>77</v>
      </c>
      <c r="Y120" s="99">
        <f t="shared" si="40"/>
        <v>11124.755271719325</v>
      </c>
      <c r="Z120" s="99">
        <f t="shared" si="41"/>
        <v>12371.850323926177</v>
      </c>
      <c r="AA120" s="99">
        <f t="shared" si="42"/>
        <v>-19212.671309796471</v>
      </c>
      <c r="AB120" s="99">
        <f t="shared" si="43"/>
        <v>13410.295226748323</v>
      </c>
      <c r="AC120" s="99">
        <f t="shared" si="44"/>
        <v>-3875.2447282806752</v>
      </c>
      <c r="AD120" s="99">
        <f t="shared" si="45"/>
        <v>-10128.149676073823</v>
      </c>
    </row>
    <row r="121" spans="1:30" x14ac:dyDescent="0.25">
      <c r="A121">
        <v>39</v>
      </c>
      <c r="B121" s="95">
        <f t="shared" si="46"/>
        <v>3277.277423737386</v>
      </c>
      <c r="C121" s="95">
        <f t="shared" si="47"/>
        <v>2459.1169592383003</v>
      </c>
      <c r="D121" s="95">
        <f t="shared" si="48"/>
        <v>863.99493097697382</v>
      </c>
      <c r="E121" s="95">
        <f t="shared" si="49"/>
        <v>2853.9684308477376</v>
      </c>
      <c r="F121" s="96">
        <f t="shared" si="25"/>
        <v>2943.4895490333074</v>
      </c>
      <c r="G121" s="94">
        <f t="shared" si="26"/>
        <v>1763.2658354900727</v>
      </c>
      <c r="H121" s="97">
        <f t="shared" si="27"/>
        <v>3765.4726010088575</v>
      </c>
      <c r="I121" s="94">
        <f t="shared" si="28"/>
        <v>2823.4553426166722</v>
      </c>
      <c r="J121" s="95">
        <f t="shared" si="29"/>
        <v>-276.83442068613908</v>
      </c>
      <c r="K121" s="94">
        <f t="shared" si="30"/>
        <v>89.682996428197228</v>
      </c>
      <c r="L121" s="94">
        <f t="shared" si="31"/>
        <v>-545.14863128941124</v>
      </c>
      <c r="M121" s="93">
        <f t="shared" si="32"/>
        <v>-1149.8725035547968</v>
      </c>
      <c r="N121" s="93">
        <f t="shared" si="33"/>
        <v>8402.7079366136459</v>
      </c>
      <c r="O121" s="93">
        <f t="shared" si="34"/>
        <v>24468.276631100965</v>
      </c>
      <c r="P121" s="93">
        <f t="shared" si="35"/>
        <v>19321.85515280236</v>
      </c>
      <c r="Q121" s="93">
        <f t="shared" si="36"/>
        <v>934812089370.94739</v>
      </c>
      <c r="R121" s="93">
        <f t="shared" si="37"/>
        <v>15100969732543.033</v>
      </c>
      <c r="S121" s="93">
        <f t="shared" si="38"/>
        <v>7950074668820.9063</v>
      </c>
      <c r="T121">
        <f t="shared" si="39"/>
        <v>0.5</v>
      </c>
      <c r="X121" s="99">
        <v>78</v>
      </c>
      <c r="Y121" s="99">
        <f t="shared" si="40"/>
        <v>11039.558454088798</v>
      </c>
      <c r="Z121" s="99">
        <f t="shared" si="41"/>
        <v>12390.738003669028</v>
      </c>
      <c r="AA121" s="99">
        <f t="shared" si="42"/>
        <v>-19272.309082137843</v>
      </c>
      <c r="AB121" s="99">
        <f t="shared" si="43"/>
        <v>13423.516602568319</v>
      </c>
      <c r="AC121" s="99">
        <f t="shared" si="44"/>
        <v>-3960.4415459112024</v>
      </c>
      <c r="AD121" s="99">
        <f t="shared" si="45"/>
        <v>-10109.261996330972</v>
      </c>
    </row>
    <row r="122" spans="1:30" x14ac:dyDescent="0.25">
      <c r="A122">
        <v>39.5</v>
      </c>
      <c r="B122" s="95">
        <f t="shared" si="46"/>
        <v>4445.1472764842001</v>
      </c>
      <c r="C122" s="95">
        <f t="shared" si="47"/>
        <v>4326.9176335346874</v>
      </c>
      <c r="D122" s="95">
        <f t="shared" si="48"/>
        <v>2335.7397054936273</v>
      </c>
      <c r="E122" s="95">
        <f t="shared" si="49"/>
        <v>3735.6013485927742</v>
      </c>
      <c r="F122" s="96">
        <f t="shared" si="25"/>
        <v>4704.7177056998325</v>
      </c>
      <c r="G122" s="94">
        <f t="shared" si="26"/>
        <v>2227.0649241062574</v>
      </c>
      <c r="H122" s="97">
        <f t="shared" si="27"/>
        <v>5433.7235579719172</v>
      </c>
      <c r="I122" s="94">
        <f t="shared" si="28"/>
        <v>3103.8901055031383</v>
      </c>
      <c r="J122" s="95">
        <f t="shared" si="29"/>
        <v>-269.88812918448639</v>
      </c>
      <c r="K122" s="94">
        <f t="shared" si="30"/>
        <v>62.634009493888833</v>
      </c>
      <c r="L122" s="94">
        <f t="shared" si="31"/>
        <v>-459.11772308759856</v>
      </c>
      <c r="M122" s="93">
        <f t="shared" si="32"/>
        <v>-939.45919089076972</v>
      </c>
      <c r="N122" s="93">
        <f t="shared" si="33"/>
        <v>6397.2525731226224</v>
      </c>
      <c r="O122" s="93">
        <f t="shared" si="34"/>
        <v>25094.802029617658</v>
      </c>
      <c r="P122" s="93">
        <f t="shared" si="35"/>
        <v>21511.405167675843</v>
      </c>
      <c r="Q122" s="93">
        <f t="shared" si="36"/>
        <v>535270897319.50256</v>
      </c>
      <c r="R122" s="93">
        <f t="shared" si="37"/>
        <v>16266780918202.281</v>
      </c>
      <c r="S122" s="93">
        <f t="shared" si="38"/>
        <v>10771676414611.314</v>
      </c>
      <c r="T122">
        <f t="shared" si="39"/>
        <v>0.5</v>
      </c>
      <c r="X122" s="99">
        <v>79</v>
      </c>
      <c r="Y122" s="99">
        <f t="shared" si="40"/>
        <v>10954.044976882724</v>
      </c>
      <c r="Z122" s="99">
        <f t="shared" si="41"/>
        <v>12408.13591723832</v>
      </c>
      <c r="AA122" s="99">
        <f t="shared" si="42"/>
        <v>-19332.168516182093</v>
      </c>
      <c r="AB122" s="99">
        <f t="shared" si="43"/>
        <v>13435.695142066823</v>
      </c>
      <c r="AC122" s="99">
        <f t="shared" si="44"/>
        <v>-4045.9550231172752</v>
      </c>
      <c r="AD122" s="99">
        <f t="shared" si="45"/>
        <v>-10091.86408276168</v>
      </c>
    </row>
    <row r="123" spans="1:30" x14ac:dyDescent="0.25">
      <c r="A123">
        <v>40</v>
      </c>
      <c r="B123" s="95">
        <f t="shared" si="46"/>
        <v>6789.1965556559717</v>
      </c>
      <c r="C123" s="95">
        <f t="shared" si="47"/>
        <v>6751.4845388576387</v>
      </c>
      <c r="D123" s="95">
        <f t="shared" si="48"/>
        <v>4688.0985583435431</v>
      </c>
      <c r="E123" s="95">
        <f t="shared" si="49"/>
        <v>4849.1338106459025</v>
      </c>
      <c r="F123" s="96">
        <f t="shared" si="25"/>
        <v>7203.0828520730593</v>
      </c>
      <c r="G123" s="94">
        <f t="shared" si="26"/>
        <v>1145.1034099165122</v>
      </c>
      <c r="H123" s="97">
        <f t="shared" si="27"/>
        <v>7825.7097800729543</v>
      </c>
      <c r="I123" s="94">
        <f t="shared" si="28"/>
        <v>1824.3610567679343</v>
      </c>
      <c r="J123" s="95">
        <f t="shared" si="29"/>
        <v>-238.77925435508087</v>
      </c>
      <c r="K123" s="94">
        <f t="shared" si="30"/>
        <v>28.954884778310259</v>
      </c>
      <c r="L123" s="94">
        <f t="shared" si="31"/>
        <v>-383.84767364481371</v>
      </c>
      <c r="M123" s="93">
        <f t="shared" si="32"/>
        <v>-708.21253162973255</v>
      </c>
      <c r="N123" s="93">
        <f t="shared" si="33"/>
        <v>3296.8976559457587</v>
      </c>
      <c r="O123" s="93">
        <f t="shared" si="34"/>
        <v>26985.438754981376</v>
      </c>
      <c r="P123" s="93">
        <f t="shared" si="35"/>
        <v>24740.902066659848</v>
      </c>
      <c r="Q123" s="93">
        <f t="shared" si="36"/>
        <v>214826871861.02896</v>
      </c>
      <c r="R123" s="93">
        <f t="shared" si="37"/>
        <v>20149108681636.484</v>
      </c>
      <c r="S123" s="93">
        <f t="shared" si="38"/>
        <v>16081402352176.406</v>
      </c>
      <c r="T123">
        <f t="shared" si="39"/>
        <v>0.5</v>
      </c>
      <c r="X123" s="99">
        <v>80</v>
      </c>
      <c r="Y123" s="99">
        <f t="shared" si="40"/>
        <v>10868.240888334652</v>
      </c>
      <c r="Z123" s="99">
        <f t="shared" si="41"/>
        <v>12424.038765061039</v>
      </c>
      <c r="AA123" s="99">
        <f t="shared" si="42"/>
        <v>-19392.231378165743</v>
      </c>
      <c r="AB123" s="99">
        <f t="shared" si="43"/>
        <v>13446.827135542728</v>
      </c>
      <c r="AC123" s="99">
        <f t="shared" si="44"/>
        <v>-4131.7591116653475</v>
      </c>
      <c r="AD123" s="99">
        <f t="shared" si="45"/>
        <v>-10075.961234938961</v>
      </c>
    </row>
    <row r="124" spans="1:30" x14ac:dyDescent="0.25">
      <c r="A124">
        <v>40.5</v>
      </c>
      <c r="B124" s="95">
        <f t="shared" si="46"/>
        <v>10934.016547846008</v>
      </c>
      <c r="C124" s="95">
        <f t="shared" si="47"/>
        <v>9462.3272966597178</v>
      </c>
      <c r="D124" s="95">
        <f t="shared" si="48"/>
        <v>8289.6399843800718</v>
      </c>
      <c r="E124" s="95">
        <f t="shared" si="49"/>
        <v>5421.6855156041584</v>
      </c>
      <c r="F124" s="96">
        <f t="shared" si="25"/>
        <v>-3523.0714816919522</v>
      </c>
      <c r="G124" s="94">
        <f t="shared" si="26"/>
        <v>-6830.2938367272736</v>
      </c>
      <c r="H124" s="97">
        <f t="shared" si="27"/>
        <v>-3017.9476560573012</v>
      </c>
      <c r="I124" s="94">
        <f t="shared" si="28"/>
        <v>-6340.5740284034637</v>
      </c>
      <c r="J124" s="95">
        <f t="shared" si="29"/>
        <v>-184.05146237998468</v>
      </c>
      <c r="K124" s="94">
        <f t="shared" si="30"/>
        <v>3.1990494082304792</v>
      </c>
      <c r="L124" s="94">
        <f t="shared" si="31"/>
        <v>-321.07236325466664</v>
      </c>
      <c r="M124" s="93">
        <f t="shared" si="32"/>
        <v>-492.91885773203995</v>
      </c>
      <c r="N124" s="93">
        <f t="shared" si="33"/>
        <v>2173.2729536038514</v>
      </c>
      <c r="O124" s="93">
        <f t="shared" si="34"/>
        <v>30938.688914017152</v>
      </c>
      <c r="P124" s="93">
        <f t="shared" si="35"/>
        <v>29194.149073332032</v>
      </c>
      <c r="Q124" s="93">
        <f t="shared" si="36"/>
        <v>162047184569.00696</v>
      </c>
      <c r="R124" s="93">
        <f t="shared" si="37"/>
        <v>30184902917451.758</v>
      </c>
      <c r="S124" s="93">
        <f t="shared" si="38"/>
        <v>25984894714210.316</v>
      </c>
      <c r="T124">
        <f t="shared" si="39"/>
        <v>0.5</v>
      </c>
      <c r="X124" s="99">
        <v>81</v>
      </c>
      <c r="Y124" s="99">
        <f t="shared" si="40"/>
        <v>10782.172325201154</v>
      </c>
      <c r="Z124" s="99">
        <f t="shared" si="41"/>
        <v>12438.441702975688</v>
      </c>
      <c r="AA124" s="99">
        <f t="shared" si="42"/>
        <v>-19452.47937235919</v>
      </c>
      <c r="AB124" s="99">
        <f t="shared" si="43"/>
        <v>13456.909192082981</v>
      </c>
      <c r="AC124" s="99">
        <f t="shared" si="44"/>
        <v>-4217.8276747988457</v>
      </c>
      <c r="AD124" s="99">
        <f t="shared" si="45"/>
        <v>-10061.558297024312</v>
      </c>
    </row>
    <row r="125" spans="1:30" x14ac:dyDescent="0.25">
      <c r="A125">
        <v>41</v>
      </c>
      <c r="B125" s="95">
        <f t="shared" si="46"/>
        <v>14198.068669613056</v>
      </c>
      <c r="C125" s="95">
        <f t="shared" si="47"/>
        <v>10465.596595279978</v>
      </c>
      <c r="D125" s="95">
        <f t="shared" si="48"/>
        <v>6528.104243534096</v>
      </c>
      <c r="E125" s="95">
        <f t="shared" si="49"/>
        <v>2006.5385972405215</v>
      </c>
      <c r="F125" s="96">
        <f t="shared" si="25"/>
        <v>-6411.6427834098877</v>
      </c>
      <c r="G125" s="94">
        <f t="shared" si="26"/>
        <v>-4609.881929148376</v>
      </c>
      <c r="H125" s="97">
        <f t="shared" si="27"/>
        <v>-5961.677816544091</v>
      </c>
      <c r="I125" s="94">
        <f t="shared" si="28"/>
        <v>-4211.4440773378119</v>
      </c>
      <c r="J125" s="95">
        <f t="shared" si="29"/>
        <v>-151.14092017454774</v>
      </c>
      <c r="K125" s="94">
        <f t="shared" si="30"/>
        <v>-2.0577389477927088</v>
      </c>
      <c r="L125" s="94">
        <f t="shared" si="31"/>
        <v>-298.82404669124912</v>
      </c>
      <c r="M125" s="93">
        <f t="shared" si="32"/>
        <v>-396.3801128627714</v>
      </c>
      <c r="N125" s="93">
        <f t="shared" si="33"/>
        <v>5139.8972480705224</v>
      </c>
      <c r="O125" s="93">
        <f t="shared" si="34"/>
        <v>34201.238002755199</v>
      </c>
      <c r="P125" s="93">
        <f t="shared" si="35"/>
        <v>31891.416566165786</v>
      </c>
      <c r="Q125" s="93">
        <f t="shared" si="36"/>
        <v>368705536080.30902</v>
      </c>
      <c r="R125" s="93">
        <f t="shared" si="37"/>
        <v>40636122460131.805</v>
      </c>
      <c r="S125" s="93">
        <f t="shared" si="38"/>
        <v>33638809729551.219</v>
      </c>
      <c r="T125">
        <f t="shared" si="39"/>
        <v>0.5</v>
      </c>
      <c r="X125" s="99">
        <v>82</v>
      </c>
      <c r="Y125" s="99">
        <f t="shared" si="40"/>
        <v>10695.865504800329</v>
      </c>
      <c r="Z125" s="99">
        <f t="shared" si="41"/>
        <v>12451.340343707852</v>
      </c>
      <c r="AA125" s="99">
        <f t="shared" si="42"/>
        <v>-19512.89414663977</v>
      </c>
      <c r="AB125" s="99">
        <f t="shared" si="43"/>
        <v>13465.938240595497</v>
      </c>
      <c r="AC125" s="99">
        <f t="shared" si="44"/>
        <v>-4304.1344951996716</v>
      </c>
      <c r="AD125" s="99">
        <f t="shared" si="45"/>
        <v>-10048.659656292148</v>
      </c>
    </row>
    <row r="126" spans="1:30" x14ac:dyDescent="0.25">
      <c r="A126">
        <v>41.5</v>
      </c>
      <c r="B126" s="95">
        <f t="shared" si="46"/>
        <v>15859.210095527633</v>
      </c>
      <c r="C126" s="95">
        <f t="shared" si="47"/>
        <v>10316.395411613144</v>
      </c>
      <c r="D126" s="95">
        <f t="shared" si="48"/>
        <v>3322.2828518291522</v>
      </c>
      <c r="E126" s="95">
        <f t="shared" si="49"/>
        <v>-298.40236733366646</v>
      </c>
      <c r="F126" s="96">
        <f t="shared" si="25"/>
        <v>-5997.9618532652139</v>
      </c>
      <c r="G126" s="94">
        <f t="shared" si="26"/>
        <v>-3037.2576488222039</v>
      </c>
      <c r="H126" s="97">
        <f t="shared" si="27"/>
        <v>-5561.3330173831055</v>
      </c>
      <c r="I126" s="94">
        <f t="shared" si="28"/>
        <v>-2673.2123506829103</v>
      </c>
      <c r="J126" s="95">
        <f t="shared" si="29"/>
        <v>-137.67797418820399</v>
      </c>
      <c r="K126" s="94">
        <f t="shared" si="30"/>
        <v>-1.2147696281456455</v>
      </c>
      <c r="L126" s="94">
        <f t="shared" si="31"/>
        <v>-298.9508616939047</v>
      </c>
      <c r="M126" s="93">
        <f t="shared" si="32"/>
        <v>-362.83052851114792</v>
      </c>
      <c r="N126" s="93">
        <f t="shared" si="33"/>
        <v>6500.9557803517246</v>
      </c>
      <c r="O126" s="93">
        <f t="shared" si="34"/>
        <v>35860.60588907668</v>
      </c>
      <c r="P126" s="93">
        <f t="shared" si="35"/>
        <v>32802.843206748235</v>
      </c>
      <c r="Q126" s="93">
        <f t="shared" si="36"/>
        <v>551643863512.97009</v>
      </c>
      <c r="R126" s="93">
        <f t="shared" si="37"/>
        <v>46776636883660.25</v>
      </c>
      <c r="S126" s="93">
        <f t="shared" si="38"/>
        <v>36533953453356.539</v>
      </c>
      <c r="T126">
        <f t="shared" si="39"/>
        <v>0.5</v>
      </c>
      <c r="X126" s="99">
        <v>83</v>
      </c>
      <c r="Y126" s="99">
        <f t="shared" si="40"/>
        <v>10609.346717025737</v>
      </c>
      <c r="Z126" s="99">
        <f t="shared" si="41"/>
        <v>12462.73075820661</v>
      </c>
      <c r="AA126" s="99">
        <f t="shared" si="42"/>
        <v>-19573.457298081983</v>
      </c>
      <c r="AB126" s="99">
        <f t="shared" si="43"/>
        <v>13473.911530744626</v>
      </c>
      <c r="AC126" s="99">
        <f t="shared" si="44"/>
        <v>-4390.6532829742628</v>
      </c>
      <c r="AD126" s="99">
        <f t="shared" si="45"/>
        <v>-10037.26924179339</v>
      </c>
    </row>
    <row r="127" spans="1:30" x14ac:dyDescent="0.25">
      <c r="A127">
        <v>42</v>
      </c>
      <c r="B127" s="95">
        <f t="shared" si="46"/>
        <v>16020.861058125904</v>
      </c>
      <c r="C127" s="95">
        <f t="shared" si="47"/>
        <v>9407.87981574076</v>
      </c>
      <c r="D127" s="95">
        <f t="shared" si="48"/>
        <v>323.3019251965452</v>
      </c>
      <c r="E127" s="95">
        <f t="shared" si="49"/>
        <v>-1817.0311917447684</v>
      </c>
      <c r="F127" s="96">
        <f t="shared" si="25"/>
        <v>-6485.0796841009051</v>
      </c>
      <c r="G127" s="94">
        <f t="shared" si="26"/>
        <v>-2277.7657874479501</v>
      </c>
      <c r="H127" s="97">
        <f t="shared" si="27"/>
        <v>-6030.9093866772018</v>
      </c>
      <c r="I127" s="94">
        <f t="shared" si="28"/>
        <v>-1911.0639123408766</v>
      </c>
      <c r="J127" s="95">
        <f t="shared" si="29"/>
        <v>-136.42333186380557</v>
      </c>
      <c r="K127" s="94">
        <f t="shared" si="30"/>
        <v>2.2425618385441992</v>
      </c>
      <c r="L127" s="94">
        <f t="shared" si="31"/>
        <v>-317.74696555989834</v>
      </c>
      <c r="M127" s="93">
        <f t="shared" si="32"/>
        <v>-368.94443694561733</v>
      </c>
      <c r="N127" s="93">
        <f t="shared" si="33"/>
        <v>6315.9142863537954</v>
      </c>
      <c r="O127" s="93">
        <f t="shared" si="34"/>
        <v>36025.727441391362</v>
      </c>
      <c r="P127" s="93">
        <f t="shared" si="35"/>
        <v>32212.128099904843</v>
      </c>
      <c r="Q127" s="93">
        <f t="shared" si="36"/>
        <v>522726387673.20551</v>
      </c>
      <c r="R127" s="93">
        <f t="shared" si="37"/>
        <v>47419632122362.922</v>
      </c>
      <c r="S127" s="93">
        <f t="shared" si="38"/>
        <v>34639188741463.699</v>
      </c>
      <c r="T127">
        <f t="shared" si="39"/>
        <v>0.5</v>
      </c>
      <c r="X127" s="99">
        <v>84</v>
      </c>
      <c r="Y127" s="99">
        <f t="shared" si="40"/>
        <v>10522.642316338268</v>
      </c>
      <c r="Z127" s="99">
        <f t="shared" si="41"/>
        <v>12472.609476841368</v>
      </c>
      <c r="AA127" s="99">
        <f t="shared" si="42"/>
        <v>-19634.150378563212</v>
      </c>
      <c r="AB127" s="99">
        <f t="shared" si="43"/>
        <v>13480.826633788956</v>
      </c>
      <c r="AC127" s="99">
        <f t="shared" si="44"/>
        <v>-4477.3576836617331</v>
      </c>
      <c r="AD127" s="99">
        <f t="shared" si="45"/>
        <v>-10027.390523158632</v>
      </c>
    </row>
    <row r="128" spans="1:30" x14ac:dyDescent="0.25">
      <c r="A128">
        <v>42.5</v>
      </c>
      <c r="B128" s="95">
        <f t="shared" si="46"/>
        <v>14561.242099698949</v>
      </c>
      <c r="C128" s="95">
        <f t="shared" si="47"/>
        <v>7929.9227730063885</v>
      </c>
      <c r="D128" s="95">
        <f t="shared" si="48"/>
        <v>-2919.2379168539073</v>
      </c>
      <c r="E128" s="95">
        <f t="shared" si="49"/>
        <v>-2955.9140854687435</v>
      </c>
      <c r="F128" s="96">
        <f t="shared" si="25"/>
        <v>-8163.9882709670246</v>
      </c>
      <c r="G128" s="94">
        <f t="shared" si="26"/>
        <v>-1133.9466841265562</v>
      </c>
      <c r="H128" s="97">
        <f t="shared" si="27"/>
        <v>-7657.5525882968641</v>
      </c>
      <c r="I128" s="94">
        <f t="shared" si="28"/>
        <v>-721.76748597057019</v>
      </c>
      <c r="J128" s="95">
        <f t="shared" si="29"/>
        <v>-147.28481568201866</v>
      </c>
      <c r="K128" s="94">
        <f t="shared" si="30"/>
        <v>8.8217588345285236</v>
      </c>
      <c r="L128" s="94">
        <f t="shared" si="31"/>
        <v>-359.15086698814258</v>
      </c>
      <c r="M128" s="93">
        <f t="shared" si="32"/>
        <v>-421.00095699051445</v>
      </c>
      <c r="N128" s="93">
        <f t="shared" si="33"/>
        <v>4581.4586195681813</v>
      </c>
      <c r="O128" s="93">
        <f t="shared" si="34"/>
        <v>34623.181182550528</v>
      </c>
      <c r="P128" s="93">
        <f t="shared" si="35"/>
        <v>30140.065541718246</v>
      </c>
      <c r="Q128" s="93">
        <f t="shared" si="36"/>
        <v>311883039792.60858</v>
      </c>
      <c r="R128" s="93">
        <f t="shared" si="37"/>
        <v>42142870052336.547</v>
      </c>
      <c r="S128" s="93">
        <f t="shared" si="38"/>
        <v>28517938710481.84</v>
      </c>
      <c r="T128">
        <f t="shared" si="39"/>
        <v>0.5</v>
      </c>
      <c r="X128" s="99">
        <v>85</v>
      </c>
      <c r="Y128" s="99">
        <f t="shared" si="40"/>
        <v>10435.778713738291</v>
      </c>
      <c r="Z128" s="99">
        <f t="shared" si="41"/>
        <v>12480.973490458728</v>
      </c>
      <c r="AA128" s="99">
        <f t="shared" si="42"/>
        <v>-19694.954900383196</v>
      </c>
      <c r="AB128" s="99">
        <f t="shared" si="43"/>
        <v>13486.681443321109</v>
      </c>
      <c r="AC128" s="99">
        <f t="shared" si="44"/>
        <v>-4564.2212862617089</v>
      </c>
      <c r="AD128" s="99">
        <f t="shared" si="45"/>
        <v>-10019.026509541272</v>
      </c>
    </row>
    <row r="129" spans="1:30" x14ac:dyDescent="0.25">
      <c r="A129">
        <v>43</v>
      </c>
      <c r="B129" s="95">
        <f t="shared" si="46"/>
        <v>11060.626073530239</v>
      </c>
      <c r="C129" s="95">
        <f t="shared" si="47"/>
        <v>6168.4790592403779</v>
      </c>
      <c r="D129" s="95">
        <f t="shared" si="48"/>
        <v>-7001.2320523374201</v>
      </c>
      <c r="E129" s="95">
        <f t="shared" si="49"/>
        <v>-3522.8874275320213</v>
      </c>
      <c r="F129" s="96">
        <f t="shared" si="25"/>
        <v>-4372.8763196969658</v>
      </c>
      <c r="G129" s="94">
        <f t="shared" si="26"/>
        <v>4192.6870716550948</v>
      </c>
      <c r="H129" s="97">
        <f t="shared" si="27"/>
        <v>-3768.8097915178419</v>
      </c>
      <c r="I129" s="94">
        <f t="shared" si="28"/>
        <v>4731.4027859440903</v>
      </c>
      <c r="J129" s="95">
        <f t="shared" si="29"/>
        <v>-178.62286326673041</v>
      </c>
      <c r="K129" s="94">
        <f t="shared" si="30"/>
        <v>22.034238443382868</v>
      </c>
      <c r="L129" s="94">
        <f t="shared" si="31"/>
        <v>-425.44366491239322</v>
      </c>
      <c r="M129" s="93">
        <f t="shared" si="32"/>
        <v>-560.74995273237778</v>
      </c>
      <c r="N129" s="93">
        <f t="shared" si="33"/>
        <v>1702.3148015374713</v>
      </c>
      <c r="O129" s="93">
        <f t="shared" si="34"/>
        <v>31296.054780102011</v>
      </c>
      <c r="P129" s="93">
        <f t="shared" si="35"/>
        <v>26571.567803862414</v>
      </c>
      <c r="Q129" s="93">
        <f t="shared" si="36"/>
        <v>147352226349.53058</v>
      </c>
      <c r="R129" s="93">
        <f t="shared" si="37"/>
        <v>31229562559951.621</v>
      </c>
      <c r="S129" s="93">
        <f t="shared" si="38"/>
        <v>19766010969217.707</v>
      </c>
      <c r="T129">
        <f t="shared" si="39"/>
        <v>0.5</v>
      </c>
      <c r="X129" s="99">
        <v>86</v>
      </c>
      <c r="Y129" s="99">
        <f t="shared" si="40"/>
        <v>10348.782368720627</v>
      </c>
      <c r="Z129" s="99">
        <f t="shared" si="41"/>
        <v>12487.820251299121</v>
      </c>
      <c r="AA129" s="99">
        <f t="shared" si="42"/>
        <v>-19755.852341895559</v>
      </c>
      <c r="AB129" s="99">
        <f t="shared" si="43"/>
        <v>13491.474175909385</v>
      </c>
      <c r="AC129" s="99">
        <f t="shared" si="44"/>
        <v>-4651.2176312793727</v>
      </c>
      <c r="AD129" s="99">
        <f t="shared" si="45"/>
        <v>-10012.179748700879</v>
      </c>
    </row>
    <row r="130" spans="1:30" x14ac:dyDescent="0.25">
      <c r="A130">
        <v>43.5</v>
      </c>
      <c r="B130" s="95">
        <f t="shared" si="46"/>
        <v>6466.7909674372868</v>
      </c>
      <c r="C130" s="95">
        <f t="shared" si="47"/>
        <v>5455.2071133881409</v>
      </c>
      <c r="D130" s="95">
        <f t="shared" si="48"/>
        <v>-9187.6702121859034</v>
      </c>
      <c r="E130" s="95">
        <f t="shared" si="49"/>
        <v>-1426.5438917044739</v>
      </c>
      <c r="F130" s="96">
        <f t="shared" si="25"/>
        <v>6203.9499585101194</v>
      </c>
      <c r="G130" s="94">
        <f t="shared" si="26"/>
        <v>3245.1387745287047</v>
      </c>
      <c r="H130" s="97">
        <f t="shared" si="27"/>
        <v>6878.8347647163127</v>
      </c>
      <c r="I130" s="94">
        <f t="shared" si="28"/>
        <v>3981.0246904265537</v>
      </c>
      <c r="J130" s="95">
        <f t="shared" si="29"/>
        <v>-239.32390272688411</v>
      </c>
      <c r="K130" s="94">
        <f t="shared" si="30"/>
        <v>41.095936868490277</v>
      </c>
      <c r="L130" s="94">
        <f t="shared" si="31"/>
        <v>-435.56090347930996</v>
      </c>
      <c r="M130" s="93">
        <f t="shared" si="32"/>
        <v>-776.98185276633922</v>
      </c>
      <c r="N130" s="93">
        <f t="shared" si="33"/>
        <v>4082.2474223056597</v>
      </c>
      <c r="O130" s="93">
        <f t="shared" si="34"/>
        <v>26854.16478865462</v>
      </c>
      <c r="P130" s="93">
        <f t="shared" si="35"/>
        <v>23450.006250372433</v>
      </c>
      <c r="Q130" s="93">
        <f t="shared" si="36"/>
        <v>268938561058.60117</v>
      </c>
      <c r="R130" s="93">
        <f t="shared" si="37"/>
        <v>19861312894477.883</v>
      </c>
      <c r="S130" s="93">
        <f t="shared" si="38"/>
        <v>13784519369464.018</v>
      </c>
      <c r="T130">
        <f t="shared" si="39"/>
        <v>0.5</v>
      </c>
      <c r="X130" s="99">
        <v>87</v>
      </c>
      <c r="Y130" s="99">
        <f t="shared" si="40"/>
        <v>10261.67978121472</v>
      </c>
      <c r="Z130" s="99">
        <f t="shared" si="41"/>
        <v>12493.14767377287</v>
      </c>
      <c r="AA130" s="99">
        <f t="shared" si="42"/>
        <v>-19816.824153149697</v>
      </c>
      <c r="AB130" s="99">
        <f t="shared" si="43"/>
        <v>13495.203371641008</v>
      </c>
      <c r="AC130" s="99">
        <f t="shared" si="44"/>
        <v>-4738.3202187852803</v>
      </c>
      <c r="AD130" s="99">
        <f t="shared" si="45"/>
        <v>-10006.85232622713</v>
      </c>
    </row>
    <row r="131" spans="1:30" x14ac:dyDescent="0.25">
      <c r="A131">
        <v>44</v>
      </c>
      <c r="B131" s="95">
        <f t="shared" si="46"/>
        <v>3423.9433509718647</v>
      </c>
      <c r="C131" s="95">
        <f t="shared" si="47"/>
        <v>5553.2198611680797</v>
      </c>
      <c r="D131" s="95">
        <f t="shared" si="48"/>
        <v>-6085.6952329308442</v>
      </c>
      <c r="E131" s="95">
        <f t="shared" si="49"/>
        <v>196.02549555987844</v>
      </c>
      <c r="F131" s="96">
        <f t="shared" si="25"/>
        <v>4957.5645038322291</v>
      </c>
      <c r="G131" s="94">
        <f t="shared" si="26"/>
        <v>812.56870234507892</v>
      </c>
      <c r="H131" s="97">
        <f t="shared" si="27"/>
        <v>5631.88248861169</v>
      </c>
      <c r="I131" s="94">
        <f t="shared" si="28"/>
        <v>1667.2661989134301</v>
      </c>
      <c r="J131" s="95">
        <f t="shared" si="29"/>
        <v>-300.62107988901096</v>
      </c>
      <c r="K131" s="94">
        <f t="shared" si="30"/>
        <v>57.069632868164952</v>
      </c>
      <c r="L131" s="94">
        <f t="shared" si="31"/>
        <v>-373.69690489045041</v>
      </c>
      <c r="M131" s="93">
        <f t="shared" si="32"/>
        <v>-911.76712943651614</v>
      </c>
      <c r="N131" s="93">
        <f t="shared" si="33"/>
        <v>6858.168411476754</v>
      </c>
      <c r="O131" s="93">
        <f t="shared" si="34"/>
        <v>23842.293843350079</v>
      </c>
      <c r="P131" s="93">
        <f t="shared" si="35"/>
        <v>22212.556544483959</v>
      </c>
      <c r="Q131" s="93">
        <f t="shared" si="36"/>
        <v>611379093342.01453</v>
      </c>
      <c r="R131" s="93">
        <f t="shared" si="37"/>
        <v>13993724543647.621</v>
      </c>
      <c r="S131" s="93">
        <f t="shared" si="38"/>
        <v>11803058485516.008</v>
      </c>
      <c r="T131">
        <f t="shared" si="39"/>
        <v>0.5</v>
      </c>
      <c r="X131" s="99">
        <v>88</v>
      </c>
      <c r="Y131" s="99">
        <f t="shared" si="40"/>
        <v>10174.497483512505</v>
      </c>
      <c r="Z131" s="99">
        <f t="shared" si="41"/>
        <v>12496.954135095479</v>
      </c>
      <c r="AA131" s="99">
        <f t="shared" si="42"/>
        <v>-19877.851761541246</v>
      </c>
      <c r="AB131" s="99">
        <f t="shared" si="43"/>
        <v>13497.867894566836</v>
      </c>
      <c r="AC131" s="99">
        <f t="shared" si="44"/>
        <v>-4825.5025164874942</v>
      </c>
      <c r="AD131" s="99">
        <f t="shared" si="45"/>
        <v>-10003.045864904521</v>
      </c>
    </row>
    <row r="132" spans="1:30" x14ac:dyDescent="0.25">
      <c r="A132">
        <v>44.5</v>
      </c>
      <c r="B132" s="95">
        <f t="shared" si="46"/>
        <v>1620.4868604644998</v>
      </c>
      <c r="C132" s="95">
        <f t="shared" si="47"/>
        <v>5854.3747845342887</v>
      </c>
      <c r="D132" s="95">
        <f t="shared" si="48"/>
        <v>-3606.9129810147297</v>
      </c>
      <c r="E132" s="95">
        <f t="shared" si="49"/>
        <v>602.3098467324179</v>
      </c>
      <c r="F132" s="96">
        <f t="shared" si="25"/>
        <v>3870.5588204266251</v>
      </c>
      <c r="G132" s="94">
        <f t="shared" si="26"/>
        <v>-9.4007909739677871</v>
      </c>
      <c r="H132" s="97">
        <f t="shared" si="27"/>
        <v>4527.7406593044871</v>
      </c>
      <c r="I132" s="94">
        <f t="shared" si="28"/>
        <v>889.1881991193867</v>
      </c>
      <c r="J132" s="95">
        <f t="shared" si="29"/>
        <v>-350.57323833687178</v>
      </c>
      <c r="K132" s="94">
        <f t="shared" si="30"/>
        <v>67.220746049637398</v>
      </c>
      <c r="L132" s="94">
        <f t="shared" si="31"/>
        <v>-306.60860054098976</v>
      </c>
      <c r="M132" s="93">
        <f t="shared" si="32"/>
        <v>-965.80973614299182</v>
      </c>
      <c r="N132" s="93">
        <f t="shared" si="33"/>
        <v>8539.5739241149877</v>
      </c>
      <c r="O132" s="93">
        <f t="shared" si="34"/>
        <v>22014.351239830423</v>
      </c>
      <c r="P132" s="93">
        <f t="shared" si="35"/>
        <v>21880.031853802284</v>
      </c>
      <c r="Q132" s="93">
        <f t="shared" si="36"/>
        <v>969026971753.4165</v>
      </c>
      <c r="R132" s="93">
        <f t="shared" si="37"/>
        <v>11075910848407.096</v>
      </c>
      <c r="S132" s="93">
        <f t="shared" si="38"/>
        <v>11305875986151.316</v>
      </c>
      <c r="T132">
        <f t="shared" si="39"/>
        <v>0.5</v>
      </c>
      <c r="X132" s="99">
        <v>89</v>
      </c>
      <c r="Y132" s="99">
        <f t="shared" si="40"/>
        <v>10087.262032186416</v>
      </c>
      <c r="Z132" s="99">
        <f t="shared" si="41"/>
        <v>12499.238475781956</v>
      </c>
      <c r="AA132" s="99">
        <f t="shared" si="42"/>
        <v>-19938.916577469507</v>
      </c>
      <c r="AB132" s="99">
        <f t="shared" si="43"/>
        <v>13499.46693304737</v>
      </c>
      <c r="AC132" s="99">
        <f t="shared" si="44"/>
        <v>-4912.7379678135831</v>
      </c>
      <c r="AD132" s="99">
        <f t="shared" si="45"/>
        <v>-10000.761524218044</v>
      </c>
    </row>
    <row r="133" spans="1:30" x14ac:dyDescent="0.25">
      <c r="A133">
        <v>45</v>
      </c>
      <c r="B133" s="95">
        <f t="shared" si="46"/>
        <v>784.67007506379127</v>
      </c>
      <c r="C133" s="95">
        <f t="shared" si="47"/>
        <v>6153.179510157006</v>
      </c>
      <c r="D133" s="95">
        <f t="shared" si="48"/>
        <v>-1671.6335708014171</v>
      </c>
      <c r="E133" s="95">
        <f t="shared" si="49"/>
        <v>597.609451245434</v>
      </c>
      <c r="F133" s="96">
        <f t="shared" si="25"/>
        <v>3439.5517904436633</v>
      </c>
      <c r="G133" s="94">
        <f t="shared" si="26"/>
        <v>-306.01019225509697</v>
      </c>
      <c r="H133" s="97">
        <f t="shared" si="27"/>
        <v>4085.2485388514788</v>
      </c>
      <c r="I133" s="94">
        <f t="shared" si="28"/>
        <v>597.05908340166252</v>
      </c>
      <c r="J133" s="95">
        <f t="shared" si="29"/>
        <v>-379.5291400371645</v>
      </c>
      <c r="K133" s="94">
        <f t="shared" si="30"/>
        <v>70.243139155672864</v>
      </c>
      <c r="L133" s="94">
        <f t="shared" si="31"/>
        <v>-266.16760837065118</v>
      </c>
      <c r="M133" s="93">
        <f t="shared" si="32"/>
        <v>-973.31241481243239</v>
      </c>
      <c r="N133" s="93">
        <f t="shared" si="33"/>
        <v>9313.2288201936553</v>
      </c>
      <c r="O133" s="93">
        <f t="shared" si="34"/>
        <v>21137.656871335766</v>
      </c>
      <c r="P133" s="93">
        <f t="shared" si="35"/>
        <v>21929.874857514915</v>
      </c>
      <c r="Q133" s="93">
        <f t="shared" si="36"/>
        <v>1181111851468.2815</v>
      </c>
      <c r="R133" s="93">
        <f t="shared" si="37"/>
        <v>9835371101934.752</v>
      </c>
      <c r="S133" s="93">
        <f t="shared" si="38"/>
        <v>11379469451916.578</v>
      </c>
      <c r="T133">
        <f t="shared" si="39"/>
        <v>0.5</v>
      </c>
      <c r="X133" s="99">
        <v>90</v>
      </c>
      <c r="Y133" s="99">
        <f t="shared" si="40"/>
        <v>10000</v>
      </c>
      <c r="Z133" s="99">
        <f t="shared" si="41"/>
        <v>12500</v>
      </c>
      <c r="AA133" s="99">
        <f t="shared" si="42"/>
        <v>-20000</v>
      </c>
      <c r="AB133" s="99">
        <f t="shared" si="43"/>
        <v>13500</v>
      </c>
      <c r="AC133" s="99">
        <f t="shared" si="44"/>
        <v>-5000</v>
      </c>
      <c r="AD133" s="99">
        <f t="shared" si="45"/>
        <v>-10000</v>
      </c>
    </row>
    <row r="134" spans="1:30" x14ac:dyDescent="0.25">
      <c r="A134">
        <v>45.5</v>
      </c>
      <c r="B134" s="95">
        <f t="shared" si="46"/>
        <v>808.74123727399854</v>
      </c>
      <c r="C134" s="95">
        <f t="shared" si="47"/>
        <v>6375.4816877159492</v>
      </c>
      <c r="D134" s="95">
        <f t="shared" si="48"/>
        <v>48.142324420414525</v>
      </c>
      <c r="E134" s="95">
        <f t="shared" si="49"/>
        <v>444.60435511788552</v>
      </c>
      <c r="F134" s="96">
        <f t="shared" si="25"/>
        <v>3488.9400223654097</v>
      </c>
      <c r="G134" s="94">
        <f t="shared" si="26"/>
        <v>-384.2721271008063</v>
      </c>
      <c r="H134" s="97">
        <f t="shared" si="27"/>
        <v>4129.4727639621669</v>
      </c>
      <c r="I134" s="94">
        <f t="shared" si="28"/>
        <v>505.22652696772099</v>
      </c>
      <c r="J134" s="95">
        <f t="shared" si="29"/>
        <v>-380.789223564125</v>
      </c>
      <c r="K134" s="94">
        <f t="shared" si="30"/>
        <v>66.326814207114595</v>
      </c>
      <c r="L134" s="94">
        <f t="shared" si="31"/>
        <v>-259.74351803263238</v>
      </c>
      <c r="M134" s="93">
        <f t="shared" si="32"/>
        <v>-955.82546827564192</v>
      </c>
      <c r="N134" s="93">
        <f t="shared" si="33"/>
        <v>9259.7936844213582</v>
      </c>
      <c r="O134" s="93">
        <f t="shared" si="34"/>
        <v>21122.046417805021</v>
      </c>
      <c r="P134" s="93">
        <f t="shared" si="35"/>
        <v>22150.681527742829</v>
      </c>
      <c r="Q134" s="93">
        <f t="shared" si="36"/>
        <v>1165410721768.0056</v>
      </c>
      <c r="R134" s="93">
        <f t="shared" si="37"/>
        <v>9814177372821.8184</v>
      </c>
      <c r="S134" s="93">
        <f t="shared" si="38"/>
        <v>11709434840340.871</v>
      </c>
      <c r="T134">
        <f t="shared" si="39"/>
        <v>0.5</v>
      </c>
      <c r="X134" s="99">
        <v>91</v>
      </c>
      <c r="Y134" s="99">
        <f t="shared" si="40"/>
        <v>9912.7379678135821</v>
      </c>
      <c r="Z134" s="99">
        <f t="shared" si="41"/>
        <v>12499.238475781956</v>
      </c>
      <c r="AA134" s="99">
        <f t="shared" si="42"/>
        <v>-20061.083422530493</v>
      </c>
      <c r="AB134" s="99">
        <f t="shared" si="43"/>
        <v>13499.46693304737</v>
      </c>
      <c r="AC134" s="99">
        <f t="shared" si="44"/>
        <v>-5087.2620321864169</v>
      </c>
      <c r="AD134" s="99">
        <f t="shared" si="45"/>
        <v>-10000.761524218044</v>
      </c>
    </row>
    <row r="135" spans="1:30" x14ac:dyDescent="0.25">
      <c r="A135">
        <v>46</v>
      </c>
      <c r="B135" s="95">
        <f t="shared" si="46"/>
        <v>1705.0474050755583</v>
      </c>
      <c r="C135" s="95">
        <f t="shared" si="47"/>
        <v>6501.7158334996911</v>
      </c>
      <c r="D135" s="95">
        <f t="shared" si="48"/>
        <v>1792.6123356031194</v>
      </c>
      <c r="E135" s="95">
        <f t="shared" si="49"/>
        <v>252.46829156748237</v>
      </c>
      <c r="F135" s="96">
        <f t="shared" si="25"/>
        <v>4066.0317532269291</v>
      </c>
      <c r="G135" s="94">
        <f t="shared" si="26"/>
        <v>-293.55709858892385</v>
      </c>
      <c r="H135" s="97">
        <f t="shared" si="27"/>
        <v>4705.2284744205645</v>
      </c>
      <c r="I135" s="94">
        <f t="shared" si="28"/>
        <v>566.266658190979</v>
      </c>
      <c r="J135" s="95">
        <f t="shared" si="29"/>
        <v>-353.31361984240453</v>
      </c>
      <c r="K135" s="94">
        <f t="shared" si="30"/>
        <v>56.944885631282517</v>
      </c>
      <c r="L135" s="94">
        <f t="shared" si="31"/>
        <v>-285.88310135123101</v>
      </c>
      <c r="M135" s="93">
        <f t="shared" si="32"/>
        <v>-916.7686424111854</v>
      </c>
      <c r="N135" s="93">
        <f t="shared" si="33"/>
        <v>8354.8075877981137</v>
      </c>
      <c r="O135" s="93">
        <f t="shared" si="34"/>
        <v>21985.155786715819</v>
      </c>
      <c r="P135" s="93">
        <f t="shared" si="35"/>
        <v>22522.909325592951</v>
      </c>
      <c r="Q135" s="93">
        <f t="shared" si="36"/>
        <v>923064001240.28528</v>
      </c>
      <c r="R135" s="93">
        <f t="shared" si="37"/>
        <v>11032986879984.285</v>
      </c>
      <c r="S135" s="93">
        <f t="shared" si="38"/>
        <v>12280385217008.197</v>
      </c>
      <c r="T135">
        <f t="shared" si="39"/>
        <v>0.5</v>
      </c>
      <c r="X135" s="99">
        <v>92</v>
      </c>
      <c r="Y135" s="99">
        <f t="shared" si="40"/>
        <v>9825.5025164874969</v>
      </c>
      <c r="Z135" s="99">
        <f t="shared" si="41"/>
        <v>12496.954135095479</v>
      </c>
      <c r="AA135" s="99">
        <f t="shared" si="42"/>
        <v>-20122.148238458754</v>
      </c>
      <c r="AB135" s="99">
        <f t="shared" si="43"/>
        <v>13497.867894566836</v>
      </c>
      <c r="AC135" s="99">
        <f t="shared" si="44"/>
        <v>-5174.497483512504</v>
      </c>
      <c r="AD135" s="99">
        <f t="shared" si="45"/>
        <v>-10003.045864904521</v>
      </c>
    </row>
    <row r="136" spans="1:30" x14ac:dyDescent="0.25">
      <c r="A136">
        <v>46.5</v>
      </c>
      <c r="B136" s="95">
        <f t="shared" si="46"/>
        <v>3617.8615111838503</v>
      </c>
      <c r="C136" s="95">
        <f t="shared" si="47"/>
        <v>6554.5607046362011</v>
      </c>
      <c r="D136" s="95">
        <f t="shared" si="48"/>
        <v>3825.628212216584</v>
      </c>
      <c r="E136" s="95">
        <f t="shared" si="49"/>
        <v>105.68974227302044</v>
      </c>
      <c r="F136" s="96">
        <f t="shared" si="25"/>
        <v>5505.5817847216185</v>
      </c>
      <c r="G136" s="94">
        <f t="shared" si="26"/>
        <v>111.45689025324759</v>
      </c>
      <c r="H136" s="97">
        <f t="shared" si="27"/>
        <v>6144.7421478447059</v>
      </c>
      <c r="I136" s="94">
        <f t="shared" si="28"/>
        <v>910.27179943382282</v>
      </c>
      <c r="J136" s="95">
        <f t="shared" si="29"/>
        <v>-302.15753191785097</v>
      </c>
      <c r="K136" s="94">
        <f t="shared" si="30"/>
        <v>44.079580759965317</v>
      </c>
      <c r="L136" s="94">
        <f t="shared" si="31"/>
        <v>-337.00283120523596</v>
      </c>
      <c r="M136" s="93">
        <f t="shared" si="32"/>
        <v>-842.89448994054055</v>
      </c>
      <c r="N136" s="93">
        <f t="shared" si="33"/>
        <v>6451.7863535339184</v>
      </c>
      <c r="O136" s="93">
        <f t="shared" si="34"/>
        <v>23867.853575457862</v>
      </c>
      <c r="P136" s="93">
        <f t="shared" si="35"/>
        <v>23213.500903478369</v>
      </c>
      <c r="Q136" s="93">
        <f t="shared" si="36"/>
        <v>543827522464.06653</v>
      </c>
      <c r="R136" s="93">
        <f t="shared" si="37"/>
        <v>14037827118914.15</v>
      </c>
      <c r="S136" s="93">
        <f t="shared" si="38"/>
        <v>13389506905310.123</v>
      </c>
      <c r="T136">
        <f t="shared" si="39"/>
        <v>0.5</v>
      </c>
      <c r="X136" s="99">
        <v>93</v>
      </c>
      <c r="Y136" s="99">
        <f t="shared" si="40"/>
        <v>9738.3202187852821</v>
      </c>
      <c r="Z136" s="99">
        <f t="shared" si="41"/>
        <v>12493.14767377287</v>
      </c>
      <c r="AA136" s="99">
        <f t="shared" si="42"/>
        <v>-20183.175846850303</v>
      </c>
      <c r="AB136" s="99">
        <f t="shared" si="43"/>
        <v>13495.203371641008</v>
      </c>
      <c r="AC136" s="99">
        <f t="shared" si="44"/>
        <v>-5261.6797812147179</v>
      </c>
      <c r="AD136" s="99">
        <f t="shared" si="45"/>
        <v>-10006.85232622713</v>
      </c>
    </row>
    <row r="137" spans="1:30" x14ac:dyDescent="0.25">
      <c r="A137">
        <v>47</v>
      </c>
      <c r="B137" s="95">
        <f t="shared" si="46"/>
        <v>6907.0710634725474</v>
      </c>
      <c r="C137" s="95">
        <f t="shared" si="47"/>
        <v>6635.2697983360231</v>
      </c>
      <c r="D137" s="95">
        <f t="shared" si="48"/>
        <v>6578.4191045773932</v>
      </c>
      <c r="E137" s="95">
        <f t="shared" si="49"/>
        <v>161.41818739964424</v>
      </c>
      <c r="F137" s="96">
        <f t="shared" si="25"/>
        <v>7090.8353892046925</v>
      </c>
      <c r="G137" s="94">
        <f t="shared" si="26"/>
        <v>1478.9325766019842</v>
      </c>
      <c r="H137" s="97">
        <f t="shared" si="27"/>
        <v>7717.0051545719134</v>
      </c>
      <c r="I137" s="94">
        <f t="shared" si="28"/>
        <v>2157.5430798766074</v>
      </c>
      <c r="J137" s="95">
        <f t="shared" si="29"/>
        <v>-236.4223035808931</v>
      </c>
      <c r="K137" s="94">
        <f t="shared" si="30"/>
        <v>29.564617543435286</v>
      </c>
      <c r="L137" s="94">
        <f t="shared" si="31"/>
        <v>-389.74746178632859</v>
      </c>
      <c r="M137" s="93">
        <f t="shared" si="32"/>
        <v>-708.17512081805842</v>
      </c>
      <c r="N137" s="93">
        <f t="shared" si="33"/>
        <v>3211.5366614875597</v>
      </c>
      <c r="O137" s="93">
        <f t="shared" si="34"/>
        <v>27116.634793881622</v>
      </c>
      <c r="P137" s="93">
        <f t="shared" si="35"/>
        <v>24695.409301272495</v>
      </c>
      <c r="Q137" s="93">
        <f t="shared" si="36"/>
        <v>209855218668.46011</v>
      </c>
      <c r="R137" s="93">
        <f t="shared" si="37"/>
        <v>20439521453270.648</v>
      </c>
      <c r="S137" s="93">
        <f t="shared" si="38"/>
        <v>15996326958029.346</v>
      </c>
      <c r="T137">
        <f t="shared" si="39"/>
        <v>0.5</v>
      </c>
      <c r="X137" s="99">
        <v>94</v>
      </c>
      <c r="Y137" s="99">
        <f t="shared" si="40"/>
        <v>9651.2176312793727</v>
      </c>
      <c r="Z137" s="99">
        <f t="shared" si="41"/>
        <v>12487.820251299121</v>
      </c>
      <c r="AA137" s="99">
        <f t="shared" si="42"/>
        <v>-20244.147658104437</v>
      </c>
      <c r="AB137" s="99">
        <f t="shared" si="43"/>
        <v>13491.474175909385</v>
      </c>
      <c r="AC137" s="99">
        <f t="shared" si="44"/>
        <v>-5348.7823687206264</v>
      </c>
      <c r="AD137" s="99">
        <f t="shared" si="45"/>
        <v>-10012.179748700879</v>
      </c>
    </row>
    <row r="138" spans="1:30" x14ac:dyDescent="0.25">
      <c r="A138">
        <v>47.5</v>
      </c>
      <c r="B138" s="95">
        <f t="shared" si="46"/>
        <v>11968.989463062417</v>
      </c>
      <c r="C138" s="95">
        <f t="shared" si="47"/>
        <v>7085.7120361863408</v>
      </c>
      <c r="D138" s="95">
        <f t="shared" si="48"/>
        <v>10123.836799179739</v>
      </c>
      <c r="E138" s="95">
        <f t="shared" si="49"/>
        <v>900.88447570063636</v>
      </c>
      <c r="F138" s="96">
        <f t="shared" si="25"/>
        <v>-7147.6293514365743</v>
      </c>
      <c r="G138" s="94">
        <f t="shared" si="26"/>
        <v>890.69834345264599</v>
      </c>
      <c r="H138" s="97">
        <f t="shared" si="27"/>
        <v>-6584.9917605289402</v>
      </c>
      <c r="I138" s="94">
        <f t="shared" si="28"/>
        <v>1385.5243409765155</v>
      </c>
      <c r="J138" s="95">
        <f t="shared" si="29"/>
        <v>-170.50829219890107</v>
      </c>
      <c r="K138" s="94">
        <f t="shared" si="30"/>
        <v>15.543508632320689</v>
      </c>
      <c r="L138" s="94">
        <f t="shared" si="31"/>
        <v>-392.12929870873245</v>
      </c>
      <c r="M138" s="93">
        <f t="shared" si="32"/>
        <v>-510.36950615619025</v>
      </c>
      <c r="N138" s="93">
        <f t="shared" si="33"/>
        <v>2012.1018917071997</v>
      </c>
      <c r="O138" s="93">
        <f t="shared" si="34"/>
        <v>32101.547651560744</v>
      </c>
      <c r="P138" s="93">
        <f t="shared" si="35"/>
        <v>27851.845173037811</v>
      </c>
      <c r="Q138" s="93">
        <f t="shared" si="36"/>
        <v>156562150647.64502</v>
      </c>
      <c r="R138" s="93">
        <f t="shared" si="37"/>
        <v>33672560840112.754</v>
      </c>
      <c r="S138" s="93">
        <f t="shared" si="38"/>
        <v>22658194976141.055</v>
      </c>
      <c r="T138">
        <f t="shared" si="39"/>
        <v>0.5</v>
      </c>
      <c r="X138" s="99">
        <v>95</v>
      </c>
      <c r="Y138" s="99">
        <f t="shared" si="40"/>
        <v>9564.2212862617089</v>
      </c>
      <c r="Z138" s="99">
        <f t="shared" si="41"/>
        <v>12480.973490458728</v>
      </c>
      <c r="AA138" s="99">
        <f t="shared" si="42"/>
        <v>-20305.045099616804</v>
      </c>
      <c r="AB138" s="99">
        <f t="shared" si="43"/>
        <v>13486.681443321109</v>
      </c>
      <c r="AC138" s="99">
        <f t="shared" si="44"/>
        <v>-5435.7787137382911</v>
      </c>
      <c r="AD138" s="99">
        <f t="shared" si="45"/>
        <v>-10019.026509541272</v>
      </c>
    </row>
    <row r="139" spans="1:30" x14ac:dyDescent="0.25">
      <c r="A139">
        <v>48</v>
      </c>
      <c r="B139" s="95">
        <f t="shared" si="46"/>
        <v>15244.000524793142</v>
      </c>
      <c r="C139" s="95">
        <f t="shared" si="47"/>
        <v>7758.8288598998197</v>
      </c>
      <c r="D139" s="95">
        <f t="shared" si="48"/>
        <v>6550.022123461451</v>
      </c>
      <c r="E139" s="95">
        <f t="shared" si="49"/>
        <v>1346.2336474269594</v>
      </c>
      <c r="F139" s="96">
        <f t="shared" si="25"/>
        <v>-7706.4279088644635</v>
      </c>
      <c r="G139" s="94">
        <f t="shared" si="26"/>
        <v>-751.77086157157737</v>
      </c>
      <c r="H139" s="97">
        <f t="shared" si="27"/>
        <v>-7204.3920187352751</v>
      </c>
      <c r="I139" s="94">
        <f t="shared" si="28"/>
        <v>-355.58817426971325</v>
      </c>
      <c r="J139" s="95">
        <f t="shared" si="29"/>
        <v>-141.62045423238825</v>
      </c>
      <c r="K139" s="94">
        <f t="shared" si="30"/>
        <v>9.0056653656621162</v>
      </c>
      <c r="L139" s="94">
        <f t="shared" si="31"/>
        <v>-360.4154358968002</v>
      </c>
      <c r="M139" s="93">
        <f t="shared" si="32"/>
        <v>-405.18835266752626</v>
      </c>
      <c r="N139" s="93">
        <f t="shared" si="33"/>
        <v>5250.3841652537949</v>
      </c>
      <c r="O139" s="93">
        <f t="shared" si="34"/>
        <v>35315.186833299311</v>
      </c>
      <c r="P139" s="93">
        <f t="shared" si="35"/>
        <v>30459.544453619688</v>
      </c>
      <c r="Q139" s="93">
        <f t="shared" si="36"/>
        <v>381121994316.53644</v>
      </c>
      <c r="R139" s="93">
        <f t="shared" si="37"/>
        <v>44694281333460.656</v>
      </c>
      <c r="S139" s="93">
        <f t="shared" si="38"/>
        <v>29409766708848.977</v>
      </c>
      <c r="T139">
        <f t="shared" si="39"/>
        <v>0.5</v>
      </c>
      <c r="X139" s="99">
        <v>96</v>
      </c>
      <c r="Y139" s="99">
        <f t="shared" si="40"/>
        <v>9477.357683661734</v>
      </c>
      <c r="Z139" s="99">
        <f t="shared" si="41"/>
        <v>12472.609476841368</v>
      </c>
      <c r="AA139" s="99">
        <f t="shared" si="42"/>
        <v>-20365.849621436788</v>
      </c>
      <c r="AB139" s="99">
        <f t="shared" si="43"/>
        <v>13480.826633788956</v>
      </c>
      <c r="AC139" s="99">
        <f t="shared" si="44"/>
        <v>-5522.6423163382669</v>
      </c>
      <c r="AD139" s="99">
        <f t="shared" si="45"/>
        <v>-10027.390523158632</v>
      </c>
    </row>
    <row r="140" spans="1:30" x14ac:dyDescent="0.25">
      <c r="A140">
        <v>48.5</v>
      </c>
      <c r="B140" s="95">
        <f t="shared" si="46"/>
        <v>16592.404609307752</v>
      </c>
      <c r="C140" s="95">
        <f t="shared" si="47"/>
        <v>8244.0029682204058</v>
      </c>
      <c r="D140" s="95">
        <f t="shared" si="48"/>
        <v>2696.8081690292192</v>
      </c>
      <c r="E140" s="95">
        <f t="shared" si="49"/>
        <v>970.34821664117067</v>
      </c>
      <c r="F140" s="96">
        <f t="shared" si="25"/>
        <v>-6493.7579875705633</v>
      </c>
      <c r="G140" s="94">
        <f t="shared" si="26"/>
        <v>-1040.5113359858071</v>
      </c>
      <c r="H140" s="97">
        <f t="shared" si="27"/>
        <v>-6020.6435712599714</v>
      </c>
      <c r="I140" s="94">
        <f t="shared" si="28"/>
        <v>-679.47538919109036</v>
      </c>
      <c r="J140" s="95">
        <f t="shared" si="29"/>
        <v>-131.85399343077248</v>
      </c>
      <c r="K140" s="94">
        <f t="shared" si="30"/>
        <v>6.3274120289386122</v>
      </c>
      <c r="L140" s="94">
        <f t="shared" si="31"/>
        <v>-341.26042287981949</v>
      </c>
      <c r="M140" s="93">
        <f t="shared" si="32"/>
        <v>-367.3633588236554</v>
      </c>
      <c r="N140" s="93">
        <f t="shared" si="33"/>
        <v>6634.2549656719457</v>
      </c>
      <c r="O140" s="93">
        <f t="shared" si="34"/>
        <v>36634.513790507794</v>
      </c>
      <c r="P140" s="93">
        <f t="shared" si="35"/>
        <v>31725.630187573795</v>
      </c>
      <c r="Q140" s="93">
        <f t="shared" si="36"/>
        <v>573323257028.4425</v>
      </c>
      <c r="R140" s="93">
        <f t="shared" si="37"/>
        <v>49841419653882.992</v>
      </c>
      <c r="S140" s="93">
        <f t="shared" si="38"/>
        <v>33129410437489</v>
      </c>
      <c r="T140">
        <f t="shared" si="39"/>
        <v>0.5</v>
      </c>
      <c r="X140" s="99">
        <v>97</v>
      </c>
      <c r="Y140" s="99">
        <f t="shared" si="40"/>
        <v>9390.6532829742628</v>
      </c>
      <c r="Z140" s="99">
        <f t="shared" si="41"/>
        <v>12462.73075820661</v>
      </c>
      <c r="AA140" s="99">
        <f t="shared" si="42"/>
        <v>-20426.542701918017</v>
      </c>
      <c r="AB140" s="99">
        <f t="shared" si="43"/>
        <v>13473.911530744626</v>
      </c>
      <c r="AC140" s="99">
        <f t="shared" si="44"/>
        <v>-5609.3467170257372</v>
      </c>
      <c r="AD140" s="99">
        <f t="shared" si="45"/>
        <v>-10037.26924179339</v>
      </c>
    </row>
    <row r="141" spans="1:30" x14ac:dyDescent="0.25">
      <c r="A141">
        <v>49</v>
      </c>
      <c r="B141" s="95">
        <f t="shared" si="46"/>
        <v>16317.36919692972</v>
      </c>
      <c r="C141" s="95">
        <f t="shared" si="47"/>
        <v>8469.0492425445391</v>
      </c>
      <c r="D141" s="95">
        <f t="shared" si="48"/>
        <v>-550.07082475606239</v>
      </c>
      <c r="E141" s="95">
        <f t="shared" si="49"/>
        <v>450.0925486482671</v>
      </c>
      <c r="F141" s="96">
        <f t="shared" si="25"/>
        <v>-6661.8845611091501</v>
      </c>
      <c r="G141" s="94">
        <f t="shared" si="26"/>
        <v>-1315.5438553313757</v>
      </c>
      <c r="H141" s="97">
        <f t="shared" si="27"/>
        <v>-6190.4029619538287</v>
      </c>
      <c r="I141" s="94">
        <f t="shared" si="28"/>
        <v>-949.57332939196988</v>
      </c>
      <c r="J141" s="95">
        <f t="shared" si="29"/>
        <v>-133.93545389933519</v>
      </c>
      <c r="K141" s="94">
        <f t="shared" si="30"/>
        <v>5.6460197732236344</v>
      </c>
      <c r="L141" s="94">
        <f t="shared" si="31"/>
        <v>-337.54614525598623</v>
      </c>
      <c r="M141" s="93">
        <f t="shared" si="32"/>
        <v>-371.61654571262955</v>
      </c>
      <c r="N141" s="93">
        <f t="shared" si="33"/>
        <v>6391.260439443271</v>
      </c>
      <c r="O141" s="93">
        <f t="shared" si="34"/>
        <v>36349.623321402563</v>
      </c>
      <c r="P141" s="93">
        <f t="shared" si="35"/>
        <v>31705.307155540831</v>
      </c>
      <c r="Q141" s="93">
        <f t="shared" si="36"/>
        <v>534337877008.05908</v>
      </c>
      <c r="R141" s="93">
        <f t="shared" si="37"/>
        <v>48698049809524.344</v>
      </c>
      <c r="S141" s="93">
        <f t="shared" si="38"/>
        <v>33067325956350.387</v>
      </c>
      <c r="T141">
        <f t="shared" si="39"/>
        <v>0.5</v>
      </c>
      <c r="X141" s="99">
        <v>98</v>
      </c>
      <c r="Y141" s="99">
        <f t="shared" si="40"/>
        <v>9304.1344951996725</v>
      </c>
      <c r="Z141" s="99">
        <f t="shared" si="41"/>
        <v>12451.340343707852</v>
      </c>
      <c r="AA141" s="99">
        <f t="shared" si="42"/>
        <v>-20487.10585336023</v>
      </c>
      <c r="AB141" s="99">
        <f t="shared" si="43"/>
        <v>13465.938240595497</v>
      </c>
      <c r="AC141" s="99">
        <f t="shared" si="44"/>
        <v>-5695.8655048003266</v>
      </c>
      <c r="AD141" s="99">
        <f t="shared" si="45"/>
        <v>-10048.659656292148</v>
      </c>
    </row>
    <row r="142" spans="1:30" x14ac:dyDescent="0.25">
      <c r="A142">
        <v>49.5</v>
      </c>
      <c r="B142" s="95">
        <f t="shared" si="46"/>
        <v>14376.862644274401</v>
      </c>
      <c r="C142" s="95">
        <f t="shared" si="47"/>
        <v>8365.2095530358292</v>
      </c>
      <c r="D142" s="95">
        <f t="shared" si="48"/>
        <v>-3881.0131053106375</v>
      </c>
      <c r="E142" s="95">
        <f t="shared" si="49"/>
        <v>-207.67937901742073</v>
      </c>
      <c r="F142" s="96">
        <f t="shared" si="25"/>
        <v>-8113.3517456044237</v>
      </c>
      <c r="G142" s="94">
        <f t="shared" si="26"/>
        <v>-1918.5748722886847</v>
      </c>
      <c r="H142" s="97">
        <f t="shared" si="27"/>
        <v>-7615.738611837387</v>
      </c>
      <c r="I142" s="94">
        <f t="shared" si="28"/>
        <v>-1505.4641499899974</v>
      </c>
      <c r="J142" s="95">
        <f t="shared" si="29"/>
        <v>-149.13714381289134</v>
      </c>
      <c r="K142" s="94">
        <f t="shared" si="30"/>
        <v>7.0922114247515138</v>
      </c>
      <c r="L142" s="94">
        <f t="shared" si="31"/>
        <v>-348.47598995414512</v>
      </c>
      <c r="M142" s="93">
        <f t="shared" si="32"/>
        <v>-420.20293372343866</v>
      </c>
      <c r="N142" s="93">
        <f t="shared" si="33"/>
        <v>4461.559612681328</v>
      </c>
      <c r="O142" s="93">
        <f t="shared" si="34"/>
        <v>34415.711892517837</v>
      </c>
      <c r="P142" s="93">
        <f t="shared" si="35"/>
        <v>30354.502522564148</v>
      </c>
      <c r="Q142" s="93">
        <f t="shared" si="36"/>
        <v>300918930954.63055</v>
      </c>
      <c r="R142" s="93">
        <f t="shared" si="37"/>
        <v>41397408962908.563</v>
      </c>
      <c r="S142" s="93">
        <f t="shared" si="38"/>
        <v>29114492383861.313</v>
      </c>
      <c r="T142">
        <f t="shared" si="39"/>
        <v>0.5</v>
      </c>
      <c r="X142" s="99">
        <v>99</v>
      </c>
      <c r="Y142" s="99">
        <f t="shared" si="40"/>
        <v>9217.8276747988457</v>
      </c>
      <c r="Z142" s="99">
        <f t="shared" si="41"/>
        <v>12438.441702975688</v>
      </c>
      <c r="AA142" s="99">
        <f t="shared" si="42"/>
        <v>-20547.52062764081</v>
      </c>
      <c r="AB142" s="99">
        <f t="shared" si="43"/>
        <v>13456.909192082981</v>
      </c>
      <c r="AC142" s="99">
        <f t="shared" si="44"/>
        <v>-5782.1723252011552</v>
      </c>
      <c r="AD142" s="99">
        <f t="shared" si="45"/>
        <v>-10061.558297024312</v>
      </c>
    </row>
    <row r="143" spans="1:30" x14ac:dyDescent="0.25">
      <c r="A143">
        <v>50</v>
      </c>
      <c r="B143" s="95">
        <f t="shared" si="46"/>
        <v>10408.018155217977</v>
      </c>
      <c r="C143" s="95">
        <f t="shared" si="47"/>
        <v>7781.726145454948</v>
      </c>
      <c r="D143" s="95">
        <f t="shared" si="48"/>
        <v>-7937.6889781128493</v>
      </c>
      <c r="E143" s="95">
        <f t="shared" si="49"/>
        <v>-1166.966815161763</v>
      </c>
      <c r="F143" s="96">
        <f t="shared" si="25"/>
        <v>-2242.4783837897749</v>
      </c>
      <c r="G143" s="94">
        <f t="shared" si="26"/>
        <v>-1695.2013965508995</v>
      </c>
      <c r="H143" s="97">
        <f t="shared" si="27"/>
        <v>-1684.1980274044474</v>
      </c>
      <c r="I143" s="94">
        <f t="shared" si="28"/>
        <v>-1162.8958475879533</v>
      </c>
      <c r="J143" s="95">
        <f t="shared" si="29"/>
        <v>-188.94272136761552</v>
      </c>
      <c r="K143" s="94">
        <f t="shared" si="30"/>
        <v>13.783427011814338</v>
      </c>
      <c r="L143" s="94">
        <f t="shared" si="31"/>
        <v>-369.33763501771199</v>
      </c>
      <c r="M143" s="93">
        <f t="shared" si="32"/>
        <v>-546.08897597476073</v>
      </c>
      <c r="N143" s="93">
        <f t="shared" si="33"/>
        <v>495.83105592568853</v>
      </c>
      <c r="O143" s="93">
        <f t="shared" si="34"/>
        <v>30488.82265719397</v>
      </c>
      <c r="P143" s="93">
        <f t="shared" si="35"/>
        <v>27502.982922549189</v>
      </c>
      <c r="Q143" s="93">
        <f t="shared" si="36"/>
        <v>126848388976.71124</v>
      </c>
      <c r="R143" s="93">
        <f t="shared" si="37"/>
        <v>28903517050061.746</v>
      </c>
      <c r="S143" s="93">
        <f t="shared" si="38"/>
        <v>21843480532606.973</v>
      </c>
      <c r="T143">
        <f t="shared" si="39"/>
        <v>0.5</v>
      </c>
      <c r="X143" s="99">
        <v>100</v>
      </c>
      <c r="Y143" s="99">
        <f t="shared" si="40"/>
        <v>9131.7591116653493</v>
      </c>
      <c r="Z143" s="99">
        <f t="shared" si="41"/>
        <v>12424.038765061039</v>
      </c>
      <c r="AA143" s="99">
        <f t="shared" si="42"/>
        <v>-20607.768621834257</v>
      </c>
      <c r="AB143" s="99">
        <f t="shared" si="43"/>
        <v>13446.827135542728</v>
      </c>
      <c r="AC143" s="99">
        <f t="shared" si="44"/>
        <v>-5868.2408883346516</v>
      </c>
      <c r="AD143" s="99">
        <f t="shared" si="45"/>
        <v>-10075.961234938961</v>
      </c>
    </row>
    <row r="144" spans="1:30" x14ac:dyDescent="0.25">
      <c r="A144">
        <v>50.5</v>
      </c>
      <c r="B144" s="95">
        <f t="shared" si="46"/>
        <v>5878.5540702141088</v>
      </c>
      <c r="C144" s="95">
        <f t="shared" si="47"/>
        <v>6774.4423887363419</v>
      </c>
      <c r="D144" s="95">
        <f t="shared" si="48"/>
        <v>-9058.9281700077372</v>
      </c>
      <c r="E144" s="95">
        <f t="shared" si="49"/>
        <v>-2014.5675134372127</v>
      </c>
      <c r="F144" s="96">
        <f t="shared" si="25"/>
        <v>7158.842842402054</v>
      </c>
      <c r="G144" s="94">
        <f t="shared" si="26"/>
        <v>659.28057112794124</v>
      </c>
      <c r="H144" s="97">
        <f t="shared" si="27"/>
        <v>7785.1937355524096</v>
      </c>
      <c r="I144" s="94">
        <f t="shared" si="28"/>
        <v>1370.5400158642008</v>
      </c>
      <c r="J144" s="95">
        <f t="shared" si="29"/>
        <v>-255.1177320396026</v>
      </c>
      <c r="K144" s="94">
        <f t="shared" si="30"/>
        <v>31.79841269786424</v>
      </c>
      <c r="L144" s="94">
        <f t="shared" si="31"/>
        <v>-371.23316111075275</v>
      </c>
      <c r="M144" s="93">
        <f t="shared" si="32"/>
        <v>-743.05785743412378</v>
      </c>
      <c r="N144" s="93">
        <f t="shared" si="33"/>
        <v>4184.8238193992484</v>
      </c>
      <c r="O144" s="93">
        <f t="shared" si="34"/>
        <v>26078.799486720553</v>
      </c>
      <c r="P144" s="93">
        <f t="shared" si="35"/>
        <v>24340.691855388373</v>
      </c>
      <c r="Q144" s="93">
        <f t="shared" si="36"/>
        <v>277190795223.97552</v>
      </c>
      <c r="R144" s="93">
        <f t="shared" si="37"/>
        <v>18217639507696.285</v>
      </c>
      <c r="S144" s="93">
        <f t="shared" si="38"/>
        <v>15343450392204.234</v>
      </c>
      <c r="T144">
        <f t="shared" si="39"/>
        <v>0.5</v>
      </c>
      <c r="X144" s="99">
        <v>101</v>
      </c>
      <c r="Y144" s="99">
        <f t="shared" si="40"/>
        <v>9045.9550231172761</v>
      </c>
      <c r="Z144" s="99">
        <f t="shared" si="41"/>
        <v>12408.13591723832</v>
      </c>
      <c r="AA144" s="99">
        <f t="shared" si="42"/>
        <v>-20667.831483817907</v>
      </c>
      <c r="AB144" s="99">
        <f t="shared" si="43"/>
        <v>13435.695142066823</v>
      </c>
      <c r="AC144" s="99">
        <f t="shared" si="44"/>
        <v>-5954.0449768827239</v>
      </c>
      <c r="AD144" s="99">
        <f t="shared" si="45"/>
        <v>-10091.86408276168</v>
      </c>
    </row>
    <row r="145" spans="1:30" x14ac:dyDescent="0.25">
      <c r="A145">
        <v>51</v>
      </c>
      <c r="B145" s="95">
        <f t="shared" si="46"/>
        <v>3138.8006958107535</v>
      </c>
      <c r="C145" s="95">
        <f t="shared" si="47"/>
        <v>5931.9787747997207</v>
      </c>
      <c r="D145" s="95">
        <f t="shared" si="48"/>
        <v>-5479.5067488067107</v>
      </c>
      <c r="E145" s="95">
        <f t="shared" si="49"/>
        <v>-1684.9272278732421</v>
      </c>
      <c r="F145" s="96">
        <f t="shared" si="25"/>
        <v>4922.9602412533159</v>
      </c>
      <c r="G145" s="94">
        <f t="shared" si="26"/>
        <v>430.59923468016393</v>
      </c>
      <c r="H145" s="97">
        <f t="shared" si="27"/>
        <v>5582.9082351468505</v>
      </c>
      <c r="I145" s="94">
        <f t="shared" si="28"/>
        <v>1275.8875267929743</v>
      </c>
      <c r="J145" s="95">
        <f t="shared" si="29"/>
        <v>-310.08490349432992</v>
      </c>
      <c r="K145" s="94">
        <f t="shared" si="30"/>
        <v>54.515875114369898</v>
      </c>
      <c r="L145" s="94">
        <f t="shared" si="31"/>
        <v>-349.86309039920474</v>
      </c>
      <c r="M145" s="93">
        <f t="shared" si="32"/>
        <v>-899.8041672271803</v>
      </c>
      <c r="N145" s="93">
        <f t="shared" si="33"/>
        <v>7038.0925295484412</v>
      </c>
      <c r="O145" s="93">
        <f t="shared" si="34"/>
        <v>23493.6777523046</v>
      </c>
      <c r="P145" s="93">
        <f t="shared" si="35"/>
        <v>22458.579923824116</v>
      </c>
      <c r="Q145" s="93">
        <f t="shared" si="36"/>
        <v>643484614737.69739</v>
      </c>
      <c r="R145" s="93">
        <f t="shared" si="37"/>
        <v>13401486234181.867</v>
      </c>
      <c r="S145" s="93">
        <f t="shared" si="38"/>
        <v>12180381972567.117</v>
      </c>
      <c r="T145">
        <f t="shared" si="39"/>
        <v>0.5</v>
      </c>
      <c r="X145" s="99">
        <v>102</v>
      </c>
      <c r="Y145" s="99">
        <f t="shared" si="40"/>
        <v>8960.4415459112042</v>
      </c>
      <c r="Z145" s="99">
        <f t="shared" si="41"/>
        <v>12390.738003669028</v>
      </c>
      <c r="AA145" s="99">
        <f t="shared" si="42"/>
        <v>-20727.690917862157</v>
      </c>
      <c r="AB145" s="99">
        <f t="shared" si="43"/>
        <v>13423.516602568319</v>
      </c>
      <c r="AC145" s="99">
        <f t="shared" si="44"/>
        <v>-6039.5584540887958</v>
      </c>
      <c r="AD145" s="99">
        <f t="shared" si="45"/>
        <v>-10109.261996330972</v>
      </c>
    </row>
    <row r="146" spans="1:30" x14ac:dyDescent="0.25">
      <c r="A146">
        <v>51.5</v>
      </c>
      <c r="B146" s="95">
        <f t="shared" si="46"/>
        <v>1629.7873817207271</v>
      </c>
      <c r="C146" s="95">
        <f t="shared" si="47"/>
        <v>5197.1649695331407</v>
      </c>
      <c r="D146" s="95">
        <f t="shared" si="48"/>
        <v>-3018.0266281800527</v>
      </c>
      <c r="E146" s="95">
        <f t="shared" si="49"/>
        <v>-1469.6276105331601</v>
      </c>
      <c r="F146" s="96">
        <f t="shared" si="25"/>
        <v>3681.330973308799</v>
      </c>
      <c r="G146" s="94">
        <f t="shared" si="26"/>
        <v>260.14914762267415</v>
      </c>
      <c r="H146" s="97">
        <f t="shared" si="27"/>
        <v>4358.8443411618782</v>
      </c>
      <c r="I146" s="94">
        <f t="shared" si="28"/>
        <v>1199.2167820515097</v>
      </c>
      <c r="J146" s="95">
        <f t="shared" si="29"/>
        <v>-344.17510354905238</v>
      </c>
      <c r="K146" s="94">
        <f t="shared" si="30"/>
        <v>76.42313883015359</v>
      </c>
      <c r="L146" s="94">
        <f t="shared" si="31"/>
        <v>-333.33826430402695</v>
      </c>
      <c r="M146" s="93">
        <f t="shared" si="32"/>
        <v>-1015.4907732589892</v>
      </c>
      <c r="N146" s="93">
        <f t="shared" si="33"/>
        <v>8681.21583954384</v>
      </c>
      <c r="O146" s="93">
        <f t="shared" si="34"/>
        <v>22156.600066533778</v>
      </c>
      <c r="P146" s="93">
        <f t="shared" si="35"/>
        <v>21257.458774118793</v>
      </c>
      <c r="Q146" s="93">
        <f t="shared" si="36"/>
        <v>1005457578983.0198</v>
      </c>
      <c r="R146" s="93">
        <f t="shared" si="37"/>
        <v>11286662559111.852</v>
      </c>
      <c r="S146" s="93">
        <f t="shared" si="38"/>
        <v>10413891614854.996</v>
      </c>
      <c r="T146">
        <f t="shared" si="39"/>
        <v>0.5</v>
      </c>
      <c r="X146" s="99">
        <v>103</v>
      </c>
      <c r="Y146" s="99">
        <f t="shared" si="40"/>
        <v>8875.2447282806752</v>
      </c>
      <c r="Z146" s="99">
        <f t="shared" si="41"/>
        <v>12371.850323926177</v>
      </c>
      <c r="AA146" s="99">
        <f t="shared" si="42"/>
        <v>-20787.328690203525</v>
      </c>
      <c r="AB146" s="99">
        <f t="shared" si="43"/>
        <v>13410.295226748323</v>
      </c>
      <c r="AC146" s="99">
        <f t="shared" si="44"/>
        <v>-6124.7552717193239</v>
      </c>
      <c r="AD146" s="99">
        <f t="shared" si="45"/>
        <v>-10128.149676073823</v>
      </c>
    </row>
    <row r="147" spans="1:30" x14ac:dyDescent="0.25">
      <c r="A147">
        <v>52</v>
      </c>
      <c r="B147" s="95">
        <f t="shared" si="46"/>
        <v>1041.1068109579005</v>
      </c>
      <c r="C147" s="95">
        <f t="shared" si="47"/>
        <v>4527.388451172229</v>
      </c>
      <c r="D147" s="95">
        <f t="shared" si="48"/>
        <v>-1177.3611415256532</v>
      </c>
      <c r="E147" s="95">
        <f t="shared" si="49"/>
        <v>-1339.553036721823</v>
      </c>
      <c r="F147" s="96">
        <f t="shared" si="25"/>
        <v>3155.5567914918443</v>
      </c>
      <c r="G147" s="94">
        <f t="shared" si="26"/>
        <v>271.85709993565433</v>
      </c>
      <c r="H147" s="97">
        <f t="shared" si="27"/>
        <v>3848.8844056620687</v>
      </c>
      <c r="I147" s="94">
        <f t="shared" si="28"/>
        <v>1277.0816654414757</v>
      </c>
      <c r="J147" s="95">
        <f t="shared" si="29"/>
        <v>-353.8717531466807</v>
      </c>
      <c r="K147" s="94">
        <f t="shared" si="30"/>
        <v>92.039010137332738</v>
      </c>
      <c r="L147" s="94">
        <f t="shared" si="31"/>
        <v>-339.455861023544</v>
      </c>
      <c r="M147" s="93">
        <f t="shared" si="32"/>
        <v>-1097.2635756431541</v>
      </c>
      <c r="N147" s="93">
        <f t="shared" si="33"/>
        <v>9439.1835766070963</v>
      </c>
      <c r="O147" s="93">
        <f t="shared" si="34"/>
        <v>21741.151142349892</v>
      </c>
      <c r="P147" s="93">
        <f t="shared" si="35"/>
        <v>20440.49586542304</v>
      </c>
      <c r="Q147" s="93">
        <f t="shared" si="36"/>
        <v>1218759778183.4341</v>
      </c>
      <c r="R147" s="93">
        <f t="shared" si="37"/>
        <v>10678627212433.092</v>
      </c>
      <c r="S147" s="93">
        <f t="shared" si="38"/>
        <v>9318195655654.6621</v>
      </c>
      <c r="T147">
        <f t="shared" si="39"/>
        <v>0.5</v>
      </c>
      <c r="X147" s="99">
        <v>104</v>
      </c>
      <c r="Y147" s="99">
        <f t="shared" si="40"/>
        <v>8790.3905220016604</v>
      </c>
      <c r="Z147" s="99">
        <f t="shared" si="41"/>
        <v>12351.478631379981</v>
      </c>
      <c r="AA147" s="99">
        <f t="shared" si="42"/>
        <v>-20846.726634598836</v>
      </c>
      <c r="AB147" s="99">
        <f t="shared" si="43"/>
        <v>13396.035041965988</v>
      </c>
      <c r="AC147" s="99">
        <f t="shared" si="44"/>
        <v>-6209.6094779983387</v>
      </c>
      <c r="AD147" s="99">
        <f t="shared" si="45"/>
        <v>-10148.521368620019</v>
      </c>
    </row>
    <row r="148" spans="1:30" x14ac:dyDescent="0.25">
      <c r="A148">
        <v>52.5</v>
      </c>
      <c r="B148" s="95">
        <f t="shared" si="46"/>
        <v>1241.3154380680348</v>
      </c>
      <c r="C148" s="95">
        <f t="shared" si="47"/>
        <v>3925.5762077952309</v>
      </c>
      <c r="D148" s="95">
        <f t="shared" si="48"/>
        <v>400.41725422026889</v>
      </c>
      <c r="E148" s="95">
        <f t="shared" si="49"/>
        <v>-1203.6244867539958</v>
      </c>
      <c r="F148" s="96">
        <f t="shared" si="25"/>
        <v>3025.8684695422794</v>
      </c>
      <c r="G148" s="94">
        <f t="shared" si="26"/>
        <v>482.65582661125927</v>
      </c>
      <c r="H148" s="97">
        <f t="shared" si="27"/>
        <v>3743.519845154563</v>
      </c>
      <c r="I148" s="94">
        <f t="shared" si="28"/>
        <v>1527.7324244863157</v>
      </c>
      <c r="J148" s="95">
        <f t="shared" si="29"/>
        <v>-340.85806358543908</v>
      </c>
      <c r="K148" s="94">
        <f t="shared" si="30"/>
        <v>97.475899609189028</v>
      </c>
      <c r="L148" s="94">
        <f t="shared" si="31"/>
        <v>-376.79331202684443</v>
      </c>
      <c r="M148" s="93">
        <f t="shared" si="32"/>
        <v>-1142.5524974842456</v>
      </c>
      <c r="N148" s="93">
        <f t="shared" si="33"/>
        <v>9459.971495818836</v>
      </c>
      <c r="O148" s="93">
        <f t="shared" si="34"/>
        <v>22092.80665616777</v>
      </c>
      <c r="P148" s="93">
        <f t="shared" si="35"/>
        <v>19928.157295508568</v>
      </c>
      <c r="Q148" s="93">
        <f t="shared" si="36"/>
        <v>1225060024301.7944</v>
      </c>
      <c r="R148" s="93">
        <f t="shared" si="37"/>
        <v>11191816432325.291</v>
      </c>
      <c r="S148" s="93">
        <f t="shared" si="38"/>
        <v>8673044391144.502</v>
      </c>
      <c r="T148">
        <f t="shared" si="39"/>
        <v>0.5</v>
      </c>
      <c r="X148" s="99">
        <v>105</v>
      </c>
      <c r="Y148" s="99">
        <f t="shared" si="40"/>
        <v>8705.9047744873951</v>
      </c>
      <c r="Z148" s="99">
        <f t="shared" si="41"/>
        <v>12329.629131445341</v>
      </c>
      <c r="AA148" s="99">
        <f t="shared" si="42"/>
        <v>-20905.866657858824</v>
      </c>
      <c r="AB148" s="99">
        <f t="shared" si="43"/>
        <v>13380.740392011739</v>
      </c>
      <c r="AC148" s="99">
        <f t="shared" si="44"/>
        <v>-6294.095225512604</v>
      </c>
      <c r="AD148" s="99">
        <f t="shared" si="45"/>
        <v>-10170.370868554659</v>
      </c>
    </row>
    <row r="149" spans="1:30" x14ac:dyDescent="0.25">
      <c r="A149">
        <v>53</v>
      </c>
      <c r="B149" s="95">
        <f t="shared" si="46"/>
        <v>2197.9911825637391</v>
      </c>
      <c r="C149" s="95">
        <f t="shared" si="47"/>
        <v>3444.4279210710474</v>
      </c>
      <c r="D149" s="95">
        <f t="shared" si="48"/>
        <v>1913.3514889914086</v>
      </c>
      <c r="E149" s="95">
        <f t="shared" si="49"/>
        <v>-962.29657344836619</v>
      </c>
      <c r="F149" s="96">
        <f t="shared" si="25"/>
        <v>3193.662235874569</v>
      </c>
      <c r="G149" s="94">
        <f t="shared" si="26"/>
        <v>1009.4048232713901</v>
      </c>
      <c r="H149" s="97">
        <f t="shared" si="27"/>
        <v>3947.0314549276986</v>
      </c>
      <c r="I149" s="94">
        <f t="shared" si="28"/>
        <v>2051.7114166142596</v>
      </c>
      <c r="J149" s="95">
        <f t="shared" si="29"/>
        <v>-310.78761843973865</v>
      </c>
      <c r="K149" s="94">
        <f t="shared" si="30"/>
        <v>91.782658041630455</v>
      </c>
      <c r="L149" s="94">
        <f t="shared" si="31"/>
        <v>-442.58160061339089</v>
      </c>
      <c r="M149" s="93">
        <f t="shared" si="32"/>
        <v>-1134.0892513844999</v>
      </c>
      <c r="N149" s="93">
        <f t="shared" si="33"/>
        <v>8793.1226805237548</v>
      </c>
      <c r="O149" s="93">
        <f t="shared" si="34"/>
        <v>23145.762848158847</v>
      </c>
      <c r="P149" s="93">
        <f t="shared" si="35"/>
        <v>19799.19186229202</v>
      </c>
      <c r="Q149" s="93">
        <f t="shared" si="36"/>
        <v>1034985991539.7073</v>
      </c>
      <c r="R149" s="93">
        <f t="shared" si="37"/>
        <v>12827520235082.182</v>
      </c>
      <c r="S149" s="93">
        <f t="shared" si="38"/>
        <v>8515625965323.2705</v>
      </c>
      <c r="T149">
        <f t="shared" si="39"/>
        <v>0.5</v>
      </c>
      <c r="X149" s="99">
        <v>106</v>
      </c>
      <c r="Y149" s="99">
        <f t="shared" si="40"/>
        <v>8621.8132209150044</v>
      </c>
      <c r="Z149" s="99">
        <f t="shared" si="41"/>
        <v>12306.308479691594</v>
      </c>
      <c r="AA149" s="99">
        <f t="shared" si="42"/>
        <v>-20964.730745359499</v>
      </c>
      <c r="AB149" s="99">
        <f t="shared" si="43"/>
        <v>13364.415935784116</v>
      </c>
      <c r="AC149" s="99">
        <f t="shared" si="44"/>
        <v>-6378.1867790849956</v>
      </c>
      <c r="AD149" s="99">
        <f t="shared" si="45"/>
        <v>-10193.691520308406</v>
      </c>
    </row>
    <row r="150" spans="1:30" x14ac:dyDescent="0.25">
      <c r="A150">
        <v>53.5</v>
      </c>
      <c r="B150" s="95">
        <f t="shared" si="46"/>
        <v>3953.0824860280854</v>
      </c>
      <c r="C150" s="95">
        <f t="shared" si="47"/>
        <v>3215.630840164712</v>
      </c>
      <c r="D150" s="95">
        <f t="shared" si="48"/>
        <v>3510.1826069286931</v>
      </c>
      <c r="E150" s="95">
        <f t="shared" si="49"/>
        <v>-457.59416181267113</v>
      </c>
      <c r="F150" s="96">
        <f t="shared" si="25"/>
        <v>3647.4487329165895</v>
      </c>
      <c r="G150" s="94">
        <f t="shared" si="26"/>
        <v>2172.2571174649256</v>
      </c>
      <c r="H150" s="97">
        <f t="shared" si="27"/>
        <v>4431.4010272628748</v>
      </c>
      <c r="I150" s="94">
        <f t="shared" si="28"/>
        <v>3139.7415050228938</v>
      </c>
      <c r="J150" s="95">
        <f t="shared" si="29"/>
        <v>-270.73839759970042</v>
      </c>
      <c r="K150" s="94">
        <f t="shared" si="30"/>
        <v>76.682791708751353</v>
      </c>
      <c r="L150" s="94">
        <f t="shared" si="31"/>
        <v>-513.21389674658553</v>
      </c>
      <c r="M150" s="93">
        <f t="shared" si="32"/>
        <v>-1044.1671792667191</v>
      </c>
      <c r="N150" s="93">
        <f t="shared" si="33"/>
        <v>7410.8724532627075</v>
      </c>
      <c r="O150" s="93">
        <f t="shared" si="34"/>
        <v>24895.337424493559</v>
      </c>
      <c r="P150" s="93">
        <f t="shared" si="35"/>
        <v>20296.967579093744</v>
      </c>
      <c r="Q150" s="93">
        <f t="shared" si="36"/>
        <v>714482527530.4032</v>
      </c>
      <c r="R150" s="93">
        <f t="shared" si="37"/>
        <v>15889282927836.947</v>
      </c>
      <c r="S150" s="93">
        <f t="shared" si="38"/>
        <v>9134248034264.8027</v>
      </c>
      <c r="T150">
        <f t="shared" si="39"/>
        <v>0.5</v>
      </c>
      <c r="X150" s="99">
        <v>107</v>
      </c>
      <c r="Y150" s="99">
        <f t="shared" si="40"/>
        <v>8538.1414763863177</v>
      </c>
      <c r="Z150" s="99">
        <f t="shared" si="41"/>
        <v>12281.523779815177</v>
      </c>
      <c r="AA150" s="99">
        <f t="shared" si="42"/>
        <v>-21023.300966529579</v>
      </c>
      <c r="AB150" s="99">
        <f t="shared" si="43"/>
        <v>13347.066645870626</v>
      </c>
      <c r="AC150" s="99">
        <f t="shared" si="44"/>
        <v>-6461.8585236136832</v>
      </c>
      <c r="AD150" s="99">
        <f t="shared" si="45"/>
        <v>-10218.476220184823</v>
      </c>
    </row>
    <row r="151" spans="1:30" x14ac:dyDescent="0.25">
      <c r="A151">
        <v>54</v>
      </c>
      <c r="B151" s="95">
        <f t="shared" si="46"/>
        <v>6620.0359727215791</v>
      </c>
      <c r="C151" s="95">
        <f t="shared" si="47"/>
        <v>3529.898038624608</v>
      </c>
      <c r="D151" s="95">
        <f t="shared" si="48"/>
        <v>5333.9069733869874</v>
      </c>
      <c r="E151" s="95">
        <f t="shared" si="49"/>
        <v>628.53439691979167</v>
      </c>
      <c r="F151" s="96">
        <f t="shared" si="25"/>
        <v>3928.7445758276367</v>
      </c>
      <c r="G151" s="94">
        <f t="shared" si="26"/>
        <v>4710.15272324537</v>
      </c>
      <c r="H151" s="97">
        <f t="shared" si="27"/>
        <v>4694.4136305782386</v>
      </c>
      <c r="I151" s="94">
        <f t="shared" si="28"/>
        <v>5514.0529934198648</v>
      </c>
      <c r="J151" s="95">
        <f t="shared" si="29"/>
        <v>-226.95400354269748</v>
      </c>
      <c r="K151" s="94">
        <f t="shared" si="30"/>
        <v>55.162042041127897</v>
      </c>
      <c r="L151" s="94">
        <f t="shared" si="31"/>
        <v>-538.71505120790482</v>
      </c>
      <c r="M151" s="93">
        <f t="shared" si="32"/>
        <v>-859.06231221562257</v>
      </c>
      <c r="N151" s="93">
        <f t="shared" si="33"/>
        <v>5214.0067519531367</v>
      </c>
      <c r="O151" s="93">
        <f t="shared" si="34"/>
        <v>27395.045803567926</v>
      </c>
      <c r="P151" s="93">
        <f t="shared" si="35"/>
        <v>21871.953669692324</v>
      </c>
      <c r="Q151" s="93">
        <f t="shared" si="36"/>
        <v>376989580705.37262</v>
      </c>
      <c r="R151" s="93">
        <f t="shared" si="37"/>
        <v>21065100338728.184</v>
      </c>
      <c r="S151" s="93">
        <f t="shared" si="38"/>
        <v>11293979245768.527</v>
      </c>
      <c r="T151">
        <f t="shared" si="39"/>
        <v>0.5</v>
      </c>
      <c r="X151" s="99">
        <v>108</v>
      </c>
      <c r="Y151" s="99">
        <f t="shared" si="40"/>
        <v>8454.9150281252623</v>
      </c>
      <c r="Z151" s="99">
        <f t="shared" si="41"/>
        <v>12255.282581475767</v>
      </c>
      <c r="AA151" s="99">
        <f t="shared" si="42"/>
        <v>-21081.559480312317</v>
      </c>
      <c r="AB151" s="99">
        <f t="shared" si="43"/>
        <v>13328.697807033037</v>
      </c>
      <c r="AC151" s="99">
        <f t="shared" si="44"/>
        <v>-6545.0849718747368</v>
      </c>
      <c r="AD151" s="99">
        <f t="shared" si="45"/>
        <v>-10244.717418524233</v>
      </c>
    </row>
    <row r="152" spans="1:30" x14ac:dyDescent="0.25">
      <c r="A152">
        <v>54.5</v>
      </c>
      <c r="B152" s="95">
        <f t="shared" si="46"/>
        <v>10269.175603371981</v>
      </c>
      <c r="C152" s="95">
        <f t="shared" si="47"/>
        <v>5021.7034178958465</v>
      </c>
      <c r="D152" s="95">
        <f t="shared" si="48"/>
        <v>7298.279261300806</v>
      </c>
      <c r="E152" s="95">
        <f t="shared" si="49"/>
        <v>2983.6107585424766</v>
      </c>
      <c r="F152" s="96">
        <f t="shared" si="25"/>
        <v>-1465.447130640554</v>
      </c>
      <c r="G152" s="94">
        <f t="shared" si="26"/>
        <v>6851.5081249392533</v>
      </c>
      <c r="H152" s="97">
        <f t="shared" si="27"/>
        <v>-808.1679681874557</v>
      </c>
      <c r="I152" s="94">
        <f t="shared" si="28"/>
        <v>7440.7928810591156</v>
      </c>
      <c r="J152" s="95">
        <f t="shared" si="29"/>
        <v>-184.70502937879056</v>
      </c>
      <c r="K152" s="94">
        <f t="shared" si="30"/>
        <v>30.377980177016987</v>
      </c>
      <c r="L152" s="94">
        <f t="shared" si="31"/>
        <v>-472.57413307430761</v>
      </c>
      <c r="M152" s="93">
        <f t="shared" si="32"/>
        <v>-619.66273629687907</v>
      </c>
      <c r="N152" s="93">
        <f t="shared" si="33"/>
        <v>2492.8717284127956</v>
      </c>
      <c r="O152" s="93">
        <f t="shared" si="34"/>
        <v>30675.828082827029</v>
      </c>
      <c r="P152" s="93">
        <f t="shared" si="35"/>
        <v>25179.680922537369</v>
      </c>
      <c r="Q152" s="93">
        <f t="shared" si="36"/>
        <v>174394459932.13559</v>
      </c>
      <c r="R152" s="93">
        <f t="shared" si="37"/>
        <v>29431650263106.344</v>
      </c>
      <c r="S152" s="93">
        <f t="shared" si="38"/>
        <v>16917814773970.844</v>
      </c>
      <c r="T152">
        <f t="shared" si="39"/>
        <v>0.5</v>
      </c>
      <c r="X152" s="99">
        <v>109</v>
      </c>
      <c r="Y152" s="99">
        <f t="shared" si="40"/>
        <v>8372.1592277142172</v>
      </c>
      <c r="Z152" s="99">
        <f t="shared" si="41"/>
        <v>12227.592877996583</v>
      </c>
      <c r="AA152" s="99">
        <f t="shared" si="42"/>
        <v>-21139.488540600047</v>
      </c>
      <c r="AB152" s="99">
        <f t="shared" si="43"/>
        <v>13309.315014597609</v>
      </c>
      <c r="AC152" s="99">
        <f t="shared" si="44"/>
        <v>-6627.8407722857819</v>
      </c>
      <c r="AD152" s="99">
        <f t="shared" si="45"/>
        <v>-10272.407122003417</v>
      </c>
    </row>
    <row r="153" spans="1:30" x14ac:dyDescent="0.25">
      <c r="A153">
        <v>55</v>
      </c>
      <c r="B153" s="95">
        <f t="shared" si="46"/>
        <v>13551.953451362246</v>
      </c>
      <c r="C153" s="95">
        <f t="shared" si="47"/>
        <v>8226.385828401897</v>
      </c>
      <c r="D153" s="95">
        <f t="shared" si="48"/>
        <v>6565.555695980529</v>
      </c>
      <c r="E153" s="95">
        <f t="shared" si="49"/>
        <v>6409.3648210121028</v>
      </c>
      <c r="F153" s="96">
        <f t="shared" si="25"/>
        <v>-8405.4998677465956</v>
      </c>
      <c r="G153" s="94">
        <f t="shared" si="26"/>
        <v>-2050.2034658718035</v>
      </c>
      <c r="H153" s="97">
        <f t="shared" si="27"/>
        <v>-7894.5316802647585</v>
      </c>
      <c r="I153" s="94">
        <f t="shared" si="28"/>
        <v>-1614.4569496581803</v>
      </c>
      <c r="J153" s="95">
        <f t="shared" si="29"/>
        <v>-156.31774273970348</v>
      </c>
      <c r="K153" s="94">
        <f t="shared" si="30"/>
        <v>8.2632256925746308</v>
      </c>
      <c r="L153" s="94">
        <f t="shared" si="31"/>
        <v>-354.65044474213482</v>
      </c>
      <c r="M153" s="93">
        <f t="shared" si="32"/>
        <v>-444.00974190619803</v>
      </c>
      <c r="N153" s="93">
        <f t="shared" si="33"/>
        <v>3625.4668240582864</v>
      </c>
      <c r="O153" s="93">
        <f t="shared" si="34"/>
        <v>33598.798901628506</v>
      </c>
      <c r="P153" s="93">
        <f t="shared" si="35"/>
        <v>29726.08241109649</v>
      </c>
      <c r="Q153" s="93">
        <f t="shared" si="36"/>
        <v>235580595966.78336</v>
      </c>
      <c r="R153" s="93">
        <f t="shared" si="37"/>
        <v>38548037946875.977</v>
      </c>
      <c r="S153" s="93">
        <f t="shared" si="38"/>
        <v>27389730525088.621</v>
      </c>
      <c r="T153">
        <f t="shared" si="39"/>
        <v>0.5</v>
      </c>
      <c r="X153" s="99">
        <v>110</v>
      </c>
      <c r="Y153" s="99">
        <f t="shared" si="40"/>
        <v>8289.8992833716566</v>
      </c>
      <c r="Z153" s="99">
        <f t="shared" si="41"/>
        <v>12198.463103929542</v>
      </c>
      <c r="AA153" s="99">
        <f t="shared" si="42"/>
        <v>-21197.070501639842</v>
      </c>
      <c r="AB153" s="99">
        <f t="shared" si="43"/>
        <v>13288.92417275068</v>
      </c>
      <c r="AC153" s="99">
        <f t="shared" si="44"/>
        <v>-6710.1007166283434</v>
      </c>
      <c r="AD153" s="99">
        <f t="shared" si="45"/>
        <v>-10301.536896070458</v>
      </c>
    </row>
    <row r="154" spans="1:30" x14ac:dyDescent="0.25">
      <c r="A154">
        <v>55.5</v>
      </c>
      <c r="B154" s="95">
        <f t="shared" si="46"/>
        <v>14733.356332415864</v>
      </c>
      <c r="C154" s="95">
        <f t="shared" si="47"/>
        <v>10918.517372439997</v>
      </c>
      <c r="D154" s="95">
        <f t="shared" si="48"/>
        <v>2362.8057621072312</v>
      </c>
      <c r="E154" s="95">
        <f t="shared" si="49"/>
        <v>5384.2630880762008</v>
      </c>
      <c r="F154" s="96">
        <f t="shared" si="25"/>
        <v>-5891.2662853987513</v>
      </c>
      <c r="G154" s="94">
        <f t="shared" si="26"/>
        <v>-4323.5137660470127</v>
      </c>
      <c r="H154" s="97">
        <f t="shared" si="27"/>
        <v>-5456.1544985357068</v>
      </c>
      <c r="I154" s="94">
        <f t="shared" si="28"/>
        <v>-3940.5355587165686</v>
      </c>
      <c r="J154" s="95">
        <f t="shared" si="29"/>
        <v>-146.47615754505154</v>
      </c>
      <c r="K154" s="94">
        <f t="shared" si="30"/>
        <v>-3.8735356890293913</v>
      </c>
      <c r="L154" s="94">
        <f t="shared" si="31"/>
        <v>-288.63562931799322</v>
      </c>
      <c r="M154" s="93">
        <f t="shared" si="32"/>
        <v>-379.10467164141522</v>
      </c>
      <c r="N154" s="93">
        <f t="shared" si="33"/>
        <v>5838.7432890387827</v>
      </c>
      <c r="O154" s="93">
        <f t="shared" si="34"/>
        <v>34745.49922332455</v>
      </c>
      <c r="P154" s="93">
        <f t="shared" si="35"/>
        <v>32575.679500627019</v>
      </c>
      <c r="Q154" s="93">
        <f t="shared" si="36"/>
        <v>454235594096.26959</v>
      </c>
      <c r="R154" s="93">
        <f t="shared" si="37"/>
        <v>42586559488155.82</v>
      </c>
      <c r="S154" s="93">
        <f t="shared" si="38"/>
        <v>35797248033833.695</v>
      </c>
      <c r="T154">
        <f t="shared" si="39"/>
        <v>0.5</v>
      </c>
      <c r="X154" s="99">
        <v>111</v>
      </c>
      <c r="Y154" s="99">
        <f t="shared" si="40"/>
        <v>8208.1602522734993</v>
      </c>
      <c r="Z154" s="99">
        <f t="shared" si="41"/>
        <v>12167.902132486008</v>
      </c>
      <c r="AA154" s="99">
        <f t="shared" si="42"/>
        <v>-21254.287823408551</v>
      </c>
      <c r="AB154" s="99">
        <f t="shared" si="43"/>
        <v>13267.531492740207</v>
      </c>
      <c r="AC154" s="99">
        <f t="shared" si="44"/>
        <v>-6791.8397477265016</v>
      </c>
      <c r="AD154" s="99">
        <f t="shared" si="45"/>
        <v>-10332.097867513992</v>
      </c>
    </row>
    <row r="155" spans="1:30" x14ac:dyDescent="0.25">
      <c r="A155">
        <v>56</v>
      </c>
      <c r="B155" s="95">
        <f t="shared" si="46"/>
        <v>14441.942642119791</v>
      </c>
      <c r="C155" s="95">
        <f t="shared" si="47"/>
        <v>12529.770474966344</v>
      </c>
      <c r="D155" s="95">
        <f t="shared" si="48"/>
        <v>-582.82738059214444</v>
      </c>
      <c r="E155" s="95">
        <f t="shared" si="49"/>
        <v>3222.5062050526944</v>
      </c>
      <c r="F155" s="96">
        <f t="shared" si="25"/>
        <v>-4373.9868545751024</v>
      </c>
      <c r="G155" s="94">
        <f t="shared" si="26"/>
        <v>-4869.2236833837123</v>
      </c>
      <c r="H155" s="97">
        <f t="shared" si="27"/>
        <v>-3968.7207108116531</v>
      </c>
      <c r="I155" s="94">
        <f t="shared" si="28"/>
        <v>-4493.9243621348769</v>
      </c>
      <c r="J155" s="95">
        <f t="shared" si="29"/>
        <v>-147.89565493842375</v>
      </c>
      <c r="K155" s="94">
        <f t="shared" si="30"/>
        <v>-10.862977885036265</v>
      </c>
      <c r="L155" s="94">
        <f t="shared" si="31"/>
        <v>-257.37048882502569</v>
      </c>
      <c r="M155" s="93">
        <f t="shared" si="32"/>
        <v>-364.4363433637987</v>
      </c>
      <c r="N155" s="93">
        <f t="shared" si="33"/>
        <v>6710.3983090965112</v>
      </c>
      <c r="O155" s="93">
        <f t="shared" si="34"/>
        <v>34534.723853233299</v>
      </c>
      <c r="P155" s="93">
        <f t="shared" si="35"/>
        <v>33702.78024293849</v>
      </c>
      <c r="Q155" s="93">
        <f t="shared" si="36"/>
        <v>586031595107.16516</v>
      </c>
      <c r="R155" s="93">
        <f t="shared" si="37"/>
        <v>41823942281625.133</v>
      </c>
      <c r="S155" s="93">
        <f t="shared" si="38"/>
        <v>39553009395677.211</v>
      </c>
      <c r="T155">
        <f t="shared" si="39"/>
        <v>0.5</v>
      </c>
      <c r="X155" s="99">
        <v>112</v>
      </c>
      <c r="Y155" s="99">
        <f t="shared" si="40"/>
        <v>8126.96703292044</v>
      </c>
      <c r="Z155" s="99">
        <f t="shared" si="41"/>
        <v>12135.919272833937</v>
      </c>
      <c r="AA155" s="99">
        <f t="shared" si="42"/>
        <v>-21311.123076955693</v>
      </c>
      <c r="AB155" s="99">
        <f t="shared" si="43"/>
        <v>13245.143490983755</v>
      </c>
      <c r="AC155" s="99">
        <f t="shared" si="44"/>
        <v>-6873.03296707956</v>
      </c>
      <c r="AD155" s="99">
        <f t="shared" si="45"/>
        <v>-10364.080727166063</v>
      </c>
    </row>
    <row r="156" spans="1:30" x14ac:dyDescent="0.25">
      <c r="A156">
        <v>56.5</v>
      </c>
      <c r="B156" s="95">
        <f t="shared" si="46"/>
        <v>13057.032238179943</v>
      </c>
      <c r="C156" s="95">
        <f t="shared" si="47"/>
        <v>12923.717656646764</v>
      </c>
      <c r="D156" s="95">
        <f t="shared" si="48"/>
        <v>-2769.8208078796956</v>
      </c>
      <c r="E156" s="95">
        <f t="shared" si="49"/>
        <v>787.89436336083827</v>
      </c>
      <c r="F156" s="96">
        <f t="shared" si="25"/>
        <v>-3552.2002086575621</v>
      </c>
      <c r="G156" s="94">
        <f t="shared" si="26"/>
        <v>-5976.2813491325305</v>
      </c>
      <c r="H156" s="97">
        <f t="shared" si="27"/>
        <v>-3143.7942604066575</v>
      </c>
      <c r="I156" s="94">
        <f t="shared" si="28"/>
        <v>-5577.6488798770342</v>
      </c>
      <c r="J156" s="95">
        <f t="shared" si="29"/>
        <v>-159.76548036330024</v>
      </c>
      <c r="K156" s="94">
        <f t="shared" si="30"/>
        <v>-14.130402042604867</v>
      </c>
      <c r="L156" s="94">
        <f t="shared" si="31"/>
        <v>-248.64046788760439</v>
      </c>
      <c r="M156" s="93">
        <f t="shared" si="32"/>
        <v>-384.50206721289146</v>
      </c>
      <c r="N156" s="93">
        <f t="shared" si="33"/>
        <v>6225.9263828199373</v>
      </c>
      <c r="O156" s="93">
        <f t="shared" si="34"/>
        <v>33186.073966829157</v>
      </c>
      <c r="P156" s="93">
        <f t="shared" si="35"/>
        <v>33253.427207113491</v>
      </c>
      <c r="Q156" s="93">
        <f t="shared" si="36"/>
        <v>509148565169.94098</v>
      </c>
      <c r="R156" s="93">
        <f t="shared" si="37"/>
        <v>37159824493718.133</v>
      </c>
      <c r="S156" s="93">
        <f t="shared" si="38"/>
        <v>38025346602564.75</v>
      </c>
      <c r="T156">
        <f t="shared" si="39"/>
        <v>0.5</v>
      </c>
      <c r="X156" s="99">
        <v>113</v>
      </c>
      <c r="Y156" s="99">
        <f t="shared" si="40"/>
        <v>8046.3443575536321</v>
      </c>
      <c r="Z156" s="99">
        <f t="shared" si="41"/>
        <v>12102.524267262201</v>
      </c>
      <c r="AA156" s="99">
        <f t="shared" si="42"/>
        <v>-21367.558949712457</v>
      </c>
      <c r="AB156" s="99">
        <f t="shared" si="43"/>
        <v>13221.766987083542</v>
      </c>
      <c r="AC156" s="99">
        <f t="shared" si="44"/>
        <v>-6953.6556424463679</v>
      </c>
      <c r="AD156" s="99">
        <f t="shared" si="45"/>
        <v>-10397.475732737799</v>
      </c>
    </row>
    <row r="157" spans="1:30" x14ac:dyDescent="0.25">
      <c r="A157">
        <v>57</v>
      </c>
      <c r="B157" s="95">
        <f t="shared" si="46"/>
        <v>10784.071782075705</v>
      </c>
      <c r="C157" s="95">
        <f t="shared" si="47"/>
        <v>11823.594501044052</v>
      </c>
      <c r="D157" s="95">
        <f t="shared" si="48"/>
        <v>-4545.9209122084767</v>
      </c>
      <c r="E157" s="95">
        <f t="shared" si="49"/>
        <v>-2200.246311205427</v>
      </c>
      <c r="F157" s="96">
        <f t="shared" si="25"/>
        <v>-1840.7582542443647</v>
      </c>
      <c r="G157" s="94">
        <f t="shared" si="26"/>
        <v>-8135.0403842156938</v>
      </c>
      <c r="H157" s="97">
        <f t="shared" si="27"/>
        <v>-1391.9631152655381</v>
      </c>
      <c r="I157" s="94">
        <f t="shared" si="28"/>
        <v>-7675.6799675736038</v>
      </c>
      <c r="J157" s="95">
        <f t="shared" si="29"/>
        <v>-184.93568172782264</v>
      </c>
      <c r="K157" s="94">
        <f t="shared" si="30"/>
        <v>-10.955265912615747</v>
      </c>
      <c r="L157" s="94">
        <f t="shared" si="31"/>
        <v>-263.8594572510039</v>
      </c>
      <c r="M157" s="93">
        <f t="shared" si="32"/>
        <v>-448.40515072947414</v>
      </c>
      <c r="N157" s="93">
        <f t="shared" si="33"/>
        <v>4394.114014099513</v>
      </c>
      <c r="O157" s="93">
        <f t="shared" si="34"/>
        <v>30838.037751910022</v>
      </c>
      <c r="P157" s="93">
        <f t="shared" si="35"/>
        <v>31123.016305913527</v>
      </c>
      <c r="Q157" s="93">
        <f t="shared" si="36"/>
        <v>294935275636.02069</v>
      </c>
      <c r="R157" s="93">
        <f t="shared" si="37"/>
        <v>29894967995653.227</v>
      </c>
      <c r="S157" s="93">
        <f t="shared" si="38"/>
        <v>31321676869776.305</v>
      </c>
      <c r="T157">
        <f t="shared" si="39"/>
        <v>0.5</v>
      </c>
      <c r="X157" s="99">
        <v>114</v>
      </c>
      <c r="Y157" s="99">
        <f t="shared" si="40"/>
        <v>7966.3167846209999</v>
      </c>
      <c r="Z157" s="99">
        <f t="shared" si="41"/>
        <v>12067.727288213006</v>
      </c>
      <c r="AA157" s="99">
        <f t="shared" si="42"/>
        <v>-21423.578250765298</v>
      </c>
      <c r="AB157" s="99">
        <f t="shared" si="43"/>
        <v>13197.409101749103</v>
      </c>
      <c r="AC157" s="99">
        <f t="shared" si="44"/>
        <v>-7033.6832153790001</v>
      </c>
      <c r="AD157" s="99">
        <f t="shared" si="45"/>
        <v>-10432.272711786994</v>
      </c>
    </row>
    <row r="158" spans="1:30" x14ac:dyDescent="0.25">
      <c r="A158">
        <v>57.5</v>
      </c>
      <c r="B158" s="95">
        <f t="shared" si="46"/>
        <v>8050.9217624103767</v>
      </c>
      <c r="C158" s="95">
        <f t="shared" si="47"/>
        <v>8689.7112493874138</v>
      </c>
      <c r="D158" s="95">
        <f t="shared" si="48"/>
        <v>-5466.3000393306593</v>
      </c>
      <c r="E158" s="95">
        <f t="shared" si="49"/>
        <v>-6267.7665033132744</v>
      </c>
      <c r="F158" s="96">
        <f t="shared" si="25"/>
        <v>5594.1158946562755</v>
      </c>
      <c r="G158" s="94">
        <f t="shared" si="26"/>
        <v>-4336.4921600424796</v>
      </c>
      <c r="H158" s="97">
        <f t="shared" si="27"/>
        <v>6144.813172635977</v>
      </c>
      <c r="I158" s="94">
        <f t="shared" si="28"/>
        <v>-3750.7747076945279</v>
      </c>
      <c r="J158" s="95">
        <f t="shared" si="29"/>
        <v>-222.29855716519194</v>
      </c>
      <c r="K158" s="94">
        <f t="shared" si="30"/>
        <v>10.38380489589769</v>
      </c>
      <c r="L158" s="94">
        <f t="shared" si="31"/>
        <v>-328.39872081451034</v>
      </c>
      <c r="M158" s="93">
        <f t="shared" si="32"/>
        <v>-596.10125724384955</v>
      </c>
      <c r="N158" s="93">
        <f t="shared" si="33"/>
        <v>2283.4883037065097</v>
      </c>
      <c r="O158" s="93">
        <f t="shared" si="34"/>
        <v>28081.507586503434</v>
      </c>
      <c r="P158" s="93">
        <f t="shared" si="35"/>
        <v>27046.792377801648</v>
      </c>
      <c r="Q158" s="93">
        <f t="shared" si="36"/>
        <v>166080717196.06604</v>
      </c>
      <c r="R158" s="93">
        <f t="shared" si="37"/>
        <v>22662260913608.078</v>
      </c>
      <c r="S158" s="93">
        <f t="shared" si="38"/>
        <v>20808383900761.313</v>
      </c>
      <c r="T158">
        <f t="shared" si="39"/>
        <v>0.5</v>
      </c>
      <c r="X158" s="99">
        <v>115</v>
      </c>
      <c r="Y158" s="99">
        <f t="shared" si="40"/>
        <v>7886.9086912965031</v>
      </c>
      <c r="Z158" s="99">
        <f t="shared" si="41"/>
        <v>12031.538935183249</v>
      </c>
      <c r="AA158" s="99">
        <f t="shared" si="42"/>
        <v>-21479.163916092446</v>
      </c>
      <c r="AB158" s="99">
        <f t="shared" si="43"/>
        <v>13172.077254628275</v>
      </c>
      <c r="AC158" s="99">
        <f t="shared" si="44"/>
        <v>-7113.0913087034969</v>
      </c>
      <c r="AD158" s="99">
        <f t="shared" si="45"/>
        <v>-10468.461064816751</v>
      </c>
    </row>
    <row r="159" spans="1:30" x14ac:dyDescent="0.25">
      <c r="A159">
        <v>58</v>
      </c>
      <c r="B159" s="95">
        <f t="shared" si="46"/>
        <v>6716.3007164091159</v>
      </c>
      <c r="C159" s="95">
        <f t="shared" si="47"/>
        <v>4471.7049577201569</v>
      </c>
      <c r="D159" s="95">
        <f t="shared" si="48"/>
        <v>-2669.2420920025215</v>
      </c>
      <c r="E159" s="95">
        <f t="shared" si="49"/>
        <v>-8436.0125833345137</v>
      </c>
      <c r="F159" s="96">
        <f t="shared" si="25"/>
        <v>4987.0161913274169</v>
      </c>
      <c r="G159" s="94">
        <f t="shared" si="26"/>
        <v>4499.2637325567212</v>
      </c>
      <c r="H159" s="97">
        <f t="shared" si="27"/>
        <v>5704.5360686568929</v>
      </c>
      <c r="I159" s="94">
        <f t="shared" si="28"/>
        <v>5260.840534803524</v>
      </c>
      <c r="J159" s="95">
        <f t="shared" si="29"/>
        <v>-230.56480051164533</v>
      </c>
      <c r="K159" s="94">
        <f t="shared" si="30"/>
        <v>47.709832926453537</v>
      </c>
      <c r="L159" s="94">
        <f t="shared" si="31"/>
        <v>-486.95507681783056</v>
      </c>
      <c r="M159" s="93">
        <f t="shared" si="32"/>
        <v>-809.28663517325674</v>
      </c>
      <c r="N159" s="93">
        <f t="shared" si="33"/>
        <v>4466.9062949822401</v>
      </c>
      <c r="O159" s="93">
        <f t="shared" si="34"/>
        <v>27282.279414376251</v>
      </c>
      <c r="P159" s="93">
        <f t="shared" si="35"/>
        <v>22724.854156580026</v>
      </c>
      <c r="Q159" s="93">
        <f t="shared" si="36"/>
        <v>301398904946.53473</v>
      </c>
      <c r="R159" s="93">
        <f t="shared" si="37"/>
        <v>20810190684861.211</v>
      </c>
      <c r="S159" s="93">
        <f t="shared" si="38"/>
        <v>12597960267181.377</v>
      </c>
      <c r="T159">
        <f t="shared" si="39"/>
        <v>0.5</v>
      </c>
      <c r="X159" s="99">
        <v>116</v>
      </c>
      <c r="Y159" s="99">
        <f t="shared" si="40"/>
        <v>7808.1442660546127</v>
      </c>
      <c r="Z159" s="99">
        <f t="shared" si="41"/>
        <v>11993.970231495834</v>
      </c>
      <c r="AA159" s="99">
        <f t="shared" si="42"/>
        <v>-21534.299013761771</v>
      </c>
      <c r="AB159" s="99">
        <f t="shared" si="43"/>
        <v>13145.779162047085</v>
      </c>
      <c r="AC159" s="99">
        <f t="shared" si="44"/>
        <v>-7191.8557339453873</v>
      </c>
      <c r="AD159" s="99">
        <f t="shared" si="45"/>
        <v>-10506.029768504166</v>
      </c>
    </row>
    <row r="160" spans="1:30" x14ac:dyDescent="0.25">
      <c r="A160">
        <v>58.5</v>
      </c>
      <c r="B160" s="95">
        <f t="shared" si="46"/>
        <v>6628.4337182397094</v>
      </c>
      <c r="C160" s="95">
        <f t="shared" si="47"/>
        <v>1378.5145991920804</v>
      </c>
      <c r="D160" s="95">
        <f t="shared" si="48"/>
        <v>-175.73399633881309</v>
      </c>
      <c r="E160" s="95">
        <f t="shared" si="49"/>
        <v>-6186.3807170561531</v>
      </c>
      <c r="F160" s="96">
        <f t="shared" si="25"/>
        <v>1882.6583256789036</v>
      </c>
      <c r="G160" s="94">
        <f t="shared" si="26"/>
        <v>4153.5542240187369</v>
      </c>
      <c r="H160" s="97">
        <f t="shared" si="27"/>
        <v>2782.2260681836619</v>
      </c>
      <c r="I160" s="94">
        <f t="shared" si="28"/>
        <v>5051.4671327302094</v>
      </c>
      <c r="J160" s="95">
        <f t="shared" si="29"/>
        <v>-213.08476699335415</v>
      </c>
      <c r="K160" s="94">
        <f t="shared" si="30"/>
        <v>68.990434330705469</v>
      </c>
      <c r="L160" s="94">
        <f t="shared" si="31"/>
        <v>-686.48297551140433</v>
      </c>
      <c r="M160" s="93">
        <f t="shared" si="32"/>
        <v>-966.90334304217754</v>
      </c>
      <c r="N160" s="93">
        <f t="shared" si="33"/>
        <v>6988.5651391832507</v>
      </c>
      <c r="O160" s="93">
        <f t="shared" si="34"/>
        <v>27989.346058867282</v>
      </c>
      <c r="P160" s="93">
        <f t="shared" si="35"/>
        <v>20086.717283205893</v>
      </c>
      <c r="Q160" s="93">
        <f t="shared" si="36"/>
        <v>634509178519.29993</v>
      </c>
      <c r="R160" s="93">
        <f t="shared" si="37"/>
        <v>22443261018992.168</v>
      </c>
      <c r="S160" s="93">
        <f t="shared" si="38"/>
        <v>8869314861683.9043</v>
      </c>
      <c r="T160">
        <f t="shared" si="39"/>
        <v>0.5</v>
      </c>
      <c r="X160" s="99">
        <v>117</v>
      </c>
      <c r="Y160" s="99">
        <f t="shared" si="40"/>
        <v>7730.047501302266</v>
      </c>
      <c r="Z160" s="99">
        <f t="shared" si="41"/>
        <v>11955.03262094184</v>
      </c>
      <c r="AA160" s="99">
        <f t="shared" si="42"/>
        <v>-21588.966749088413</v>
      </c>
      <c r="AB160" s="99">
        <f t="shared" si="43"/>
        <v>13118.522834659288</v>
      </c>
      <c r="AC160" s="99">
        <f t="shared" si="44"/>
        <v>-7269.952498697734</v>
      </c>
      <c r="AD160" s="99">
        <f t="shared" si="45"/>
        <v>-10544.96737905816</v>
      </c>
    </row>
    <row r="161" spans="1:30" x14ac:dyDescent="0.25">
      <c r="A161">
        <v>59</v>
      </c>
      <c r="B161" s="95">
        <f t="shared" si="46"/>
        <v>7011.2313014900283</v>
      </c>
      <c r="C161" s="95">
        <f t="shared" si="47"/>
        <v>-676.28720333131196</v>
      </c>
      <c r="D161" s="95">
        <f t="shared" si="48"/>
        <v>765.5951665006387</v>
      </c>
      <c r="E161" s="95">
        <f t="shared" si="49"/>
        <v>-4109.6036050467847</v>
      </c>
      <c r="F161" s="96">
        <f t="shared" si="25"/>
        <v>484.936844752399</v>
      </c>
      <c r="G161" s="94">
        <f t="shared" si="26"/>
        <v>3272.6898272526023</v>
      </c>
      <c r="H161" s="97">
        <f t="shared" si="27"/>
        <v>1546.6814857484567</v>
      </c>
      <c r="I161" s="94">
        <f t="shared" si="28"/>
        <v>4231.211349964683</v>
      </c>
      <c r="J161" s="95">
        <f t="shared" si="29"/>
        <v>-193.75301210186467</v>
      </c>
      <c r="K161" s="94">
        <f t="shared" si="30"/>
        <v>76.581581217881251</v>
      </c>
      <c r="L161" s="94">
        <f t="shared" si="31"/>
        <v>-867.99162889419301</v>
      </c>
      <c r="M161" s="93">
        <f t="shared" si="32"/>
        <v>-1035.1031039299626</v>
      </c>
      <c r="N161" s="93">
        <f t="shared" si="33"/>
        <v>8705.4242150829377</v>
      </c>
      <c r="O161" s="93">
        <f t="shared" si="34"/>
        <v>29044.616108163842</v>
      </c>
      <c r="P161" s="93">
        <f t="shared" si="35"/>
        <v>18693.272203104094</v>
      </c>
      <c r="Q161" s="93">
        <f t="shared" si="36"/>
        <v>1011789205150.4463</v>
      </c>
      <c r="R161" s="93">
        <f t="shared" si="37"/>
        <v>25037367351447.711</v>
      </c>
      <c r="S161" s="93">
        <f t="shared" si="38"/>
        <v>7245537622177.6543</v>
      </c>
      <c r="T161">
        <f t="shared" si="39"/>
        <v>0.5</v>
      </c>
      <c r="X161" s="99">
        <v>118</v>
      </c>
      <c r="Y161" s="99">
        <f t="shared" si="40"/>
        <v>7652.6421860705468</v>
      </c>
      <c r="Z161" s="99">
        <f t="shared" si="41"/>
        <v>11914.737964294636</v>
      </c>
      <c r="AA161" s="99">
        <f t="shared" si="42"/>
        <v>-21643.150469750617</v>
      </c>
      <c r="AB161" s="99">
        <f t="shared" si="43"/>
        <v>13090.316575006245</v>
      </c>
      <c r="AC161" s="99">
        <f t="shared" si="44"/>
        <v>-7347.3578139294532</v>
      </c>
      <c r="AD161" s="99">
        <f t="shared" si="45"/>
        <v>-10585.262035705364</v>
      </c>
    </row>
    <row r="162" spans="1:30" x14ac:dyDescent="0.25">
      <c r="A162">
        <v>59.5</v>
      </c>
      <c r="B162" s="95">
        <f t="shared" si="46"/>
        <v>7515.2630959284479</v>
      </c>
      <c r="C162" s="95">
        <f t="shared" si="47"/>
        <v>-1912.9165490415537</v>
      </c>
      <c r="D162" s="95">
        <f t="shared" si="48"/>
        <v>1008.0635888768381</v>
      </c>
      <c r="E162" s="95">
        <f t="shared" si="49"/>
        <v>-2473.2586914204835</v>
      </c>
      <c r="F162" s="96">
        <f t="shared" si="25"/>
        <v>-175.61591359218608</v>
      </c>
      <c r="G162" s="94">
        <f t="shared" si="26"/>
        <v>2803.9510881098759</v>
      </c>
      <c r="H162" s="97">
        <f t="shared" si="27"/>
        <v>992.47447361969421</v>
      </c>
      <c r="I162" s="94">
        <f t="shared" si="28"/>
        <v>3759.7861495629422</v>
      </c>
      <c r="J162" s="95">
        <f t="shared" si="29"/>
        <v>-179.64076382365425</v>
      </c>
      <c r="K162" s="94">
        <f t="shared" si="30"/>
        <v>77.776666019012097</v>
      </c>
      <c r="L162" s="94">
        <f t="shared" si="31"/>
        <v>-988.44962338822609</v>
      </c>
      <c r="M162" s="93">
        <f t="shared" si="32"/>
        <v>-1033.6117274720789</v>
      </c>
      <c r="N162" s="93">
        <f t="shared" si="33"/>
        <v>9735.3436221673983</v>
      </c>
      <c r="O162" s="93">
        <f t="shared" si="34"/>
        <v>29983.450167427196</v>
      </c>
      <c r="P162" s="93">
        <f t="shared" si="35"/>
        <v>18108.107676194631</v>
      </c>
      <c r="Q162" s="93">
        <f t="shared" si="36"/>
        <v>1310870188843.0671</v>
      </c>
      <c r="R162" s="93">
        <f t="shared" si="37"/>
        <v>27508158571027.414</v>
      </c>
      <c r="S162" s="93">
        <f t="shared" si="38"/>
        <v>6629550235303.1357</v>
      </c>
      <c r="T162">
        <f t="shared" si="39"/>
        <v>0.5</v>
      </c>
      <c r="X162" s="99">
        <v>119</v>
      </c>
      <c r="Y162" s="99">
        <f t="shared" si="40"/>
        <v>7575.951898768315</v>
      </c>
      <c r="Z162" s="99">
        <f t="shared" si="41"/>
        <v>11873.09853569698</v>
      </c>
      <c r="AA162" s="99">
        <f t="shared" si="42"/>
        <v>-21696.833670862179</v>
      </c>
      <c r="AB162" s="99">
        <f t="shared" si="43"/>
        <v>13061.168974987886</v>
      </c>
      <c r="AC162" s="99">
        <f t="shared" si="44"/>
        <v>-7424.048101231685</v>
      </c>
      <c r="AD162" s="99">
        <f t="shared" si="45"/>
        <v>-10626.90146430302</v>
      </c>
    </row>
    <row r="163" spans="1:30" x14ac:dyDescent="0.25">
      <c r="A163">
        <v>60</v>
      </c>
      <c r="B163" s="95">
        <f t="shared" si="46"/>
        <v>7975.3909119688205</v>
      </c>
      <c r="C163" s="95">
        <f t="shared" si="47"/>
        <v>-2448.5581227243265</v>
      </c>
      <c r="D163" s="95">
        <f t="shared" si="48"/>
        <v>920.25563208074504</v>
      </c>
      <c r="E163" s="95">
        <f t="shared" si="49"/>
        <v>-1071.2831473655456</v>
      </c>
      <c r="F163" s="96">
        <f t="shared" si="25"/>
        <v>-473.81373701503401</v>
      </c>
      <c r="G163" s="94">
        <f t="shared" si="26"/>
        <v>2670.5200723887747</v>
      </c>
      <c r="H163" s="97">
        <f t="shared" si="27"/>
        <v>731.39870974352027</v>
      </c>
      <c r="I163" s="94">
        <f t="shared" si="28"/>
        <v>3593.9592575102251</v>
      </c>
      <c r="J163" s="95">
        <f t="shared" si="29"/>
        <v>-171.63025351369518</v>
      </c>
      <c r="K163" s="94">
        <f t="shared" si="30"/>
        <v>76.372451530929538</v>
      </c>
      <c r="L163" s="94">
        <f t="shared" si="31"/>
        <v>-1033.5821932448591</v>
      </c>
      <c r="M163" s="93">
        <f t="shared" si="32"/>
        <v>-999.81163665237978</v>
      </c>
      <c r="N163" s="93">
        <f t="shared" si="33"/>
        <v>10152.480026110006</v>
      </c>
      <c r="O163" s="93">
        <f t="shared" si="34"/>
        <v>30620.076682012303</v>
      </c>
      <c r="P163" s="93">
        <f t="shared" si="35"/>
        <v>18052.685742488084</v>
      </c>
      <c r="Q163" s="93">
        <f t="shared" si="36"/>
        <v>1449391180810.3318</v>
      </c>
      <c r="R163" s="93">
        <f t="shared" si="37"/>
        <v>29273527738144.883</v>
      </c>
      <c r="S163" s="93">
        <f t="shared" si="38"/>
        <v>6573157740931.2734</v>
      </c>
      <c r="T163">
        <f t="shared" si="39"/>
        <v>0.5</v>
      </c>
      <c r="X163" s="99">
        <v>120</v>
      </c>
      <c r="Y163" s="99">
        <f t="shared" si="40"/>
        <v>7500.0000000000009</v>
      </c>
      <c r="Z163" s="99">
        <f t="shared" si="41"/>
        <v>11830.127018922194</v>
      </c>
      <c r="AA163" s="99">
        <f t="shared" si="42"/>
        <v>-21750</v>
      </c>
      <c r="AB163" s="99">
        <f t="shared" si="43"/>
        <v>13031.088913245536</v>
      </c>
      <c r="AC163" s="99">
        <f t="shared" si="44"/>
        <v>-7499.9999999999991</v>
      </c>
      <c r="AD163" s="99">
        <f t="shared" si="45"/>
        <v>-10669.872981077806</v>
      </c>
    </row>
    <row r="164" spans="1:30" x14ac:dyDescent="0.25">
      <c r="A164">
        <v>60.5</v>
      </c>
      <c r="B164" s="95">
        <f t="shared" si="46"/>
        <v>8317.0652937554332</v>
      </c>
      <c r="C164" s="95">
        <f t="shared" si="47"/>
        <v>-2316.5696783099056</v>
      </c>
      <c r="D164" s="95">
        <f t="shared" si="48"/>
        <v>683.3487635732281</v>
      </c>
      <c r="E164" s="95">
        <f t="shared" si="49"/>
        <v>263.97688882884177</v>
      </c>
      <c r="F164" s="96">
        <f t="shared" si="25"/>
        <v>-540.10312069521399</v>
      </c>
      <c r="G164" s="94">
        <f t="shared" si="26"/>
        <v>2827.8705911231855</v>
      </c>
      <c r="H164" s="97">
        <f t="shared" si="27"/>
        <v>636.64540298427937</v>
      </c>
      <c r="I164" s="94">
        <f t="shared" si="28"/>
        <v>3713.5569999128975</v>
      </c>
      <c r="J164" s="95">
        <f t="shared" si="29"/>
        <v>-169.43668034372172</v>
      </c>
      <c r="K164" s="94">
        <f t="shared" si="30"/>
        <v>73.696855866457881</v>
      </c>
      <c r="L164" s="94">
        <f t="shared" si="31"/>
        <v>-1007.3118433357716</v>
      </c>
      <c r="M164" s="93">
        <f t="shared" si="32"/>
        <v>-959.38326465617024</v>
      </c>
      <c r="N164" s="93">
        <f t="shared" si="33"/>
        <v>9959.7846098495484</v>
      </c>
      <c r="O164" s="93">
        <f t="shared" si="34"/>
        <v>30879.670909701603</v>
      </c>
      <c r="P164" s="93">
        <f t="shared" si="35"/>
        <v>18390.585438297312</v>
      </c>
      <c r="Q164" s="93">
        <f t="shared" si="36"/>
        <v>1384102590658.7703</v>
      </c>
      <c r="R164" s="93">
        <f t="shared" si="37"/>
        <v>30014668461341.867</v>
      </c>
      <c r="S164" s="93">
        <f t="shared" si="38"/>
        <v>6922185149022.0908</v>
      </c>
      <c r="T164">
        <f t="shared" si="39"/>
        <v>0.5</v>
      </c>
      <c r="X164" s="99">
        <v>121</v>
      </c>
      <c r="Y164" s="99">
        <f t="shared" si="40"/>
        <v>7424.8096254497286</v>
      </c>
      <c r="Z164" s="99">
        <f t="shared" si="41"/>
        <v>11785.836503510562</v>
      </c>
      <c r="AA164" s="99">
        <f t="shared" si="42"/>
        <v>-21802.633262185191</v>
      </c>
      <c r="AB164" s="99">
        <f t="shared" si="43"/>
        <v>13000.085552457393</v>
      </c>
      <c r="AC164" s="99">
        <f t="shared" si="44"/>
        <v>-7575.1903745502714</v>
      </c>
      <c r="AD164" s="99">
        <f t="shared" si="45"/>
        <v>-10714.163496489438</v>
      </c>
    </row>
    <row r="165" spans="1:30" x14ac:dyDescent="0.25">
      <c r="A165">
        <v>61</v>
      </c>
      <c r="B165" s="95">
        <f t="shared" si="46"/>
        <v>8523.7138953682424</v>
      </c>
      <c r="C165" s="95">
        <f t="shared" si="47"/>
        <v>-1477.6135861146884</v>
      </c>
      <c r="D165" s="95">
        <f t="shared" si="48"/>
        <v>413.2972032256211</v>
      </c>
      <c r="E165" s="95">
        <f t="shared" si="49"/>
        <v>1677.9121843904345</v>
      </c>
      <c r="F165" s="96">
        <f t="shared" si="25"/>
        <v>-398.78484485800368</v>
      </c>
      <c r="G165" s="94">
        <f t="shared" si="26"/>
        <v>3354.0712517869702</v>
      </c>
      <c r="H165" s="97">
        <f t="shared" si="27"/>
        <v>690.84436819434586</v>
      </c>
      <c r="I165" s="94">
        <f t="shared" si="28"/>
        <v>4201.1733134475508</v>
      </c>
      <c r="J165" s="95">
        <f t="shared" si="29"/>
        <v>-172.87446980621377</v>
      </c>
      <c r="K165" s="94">
        <f t="shared" si="30"/>
        <v>69.562693365199195</v>
      </c>
      <c r="L165" s="94">
        <f t="shared" si="31"/>
        <v>-916.75474324613583</v>
      </c>
      <c r="M165" s="93">
        <f t="shared" si="32"/>
        <v>-916.66475502577975</v>
      </c>
      <c r="N165" s="93">
        <f t="shared" si="33"/>
        <v>9098.184784028068</v>
      </c>
      <c r="O165" s="93">
        <f t="shared" si="34"/>
        <v>30746.347230475818</v>
      </c>
      <c r="P165" s="93">
        <f t="shared" si="35"/>
        <v>19124.480956360781</v>
      </c>
      <c r="Q165" s="93">
        <f t="shared" si="36"/>
        <v>1118893968605.8464</v>
      </c>
      <c r="R165" s="93">
        <f t="shared" si="37"/>
        <v>29632476784688.328</v>
      </c>
      <c r="S165" s="93">
        <f t="shared" si="38"/>
        <v>7723985165414.4785</v>
      </c>
      <c r="T165">
        <f t="shared" si="39"/>
        <v>0.5</v>
      </c>
      <c r="X165" s="99">
        <v>122</v>
      </c>
      <c r="Y165" s="99">
        <f t="shared" si="40"/>
        <v>7350.4036788339763</v>
      </c>
      <c r="Z165" s="99">
        <f t="shared" si="41"/>
        <v>11740.240480782129</v>
      </c>
      <c r="AA165" s="99">
        <f t="shared" si="42"/>
        <v>-21854.717424816215</v>
      </c>
      <c r="AB165" s="99">
        <f t="shared" si="43"/>
        <v>12968.168336547491</v>
      </c>
      <c r="AC165" s="99">
        <f t="shared" si="44"/>
        <v>-7649.5963211660237</v>
      </c>
      <c r="AD165" s="99">
        <f t="shared" si="45"/>
        <v>-10759.759519217871</v>
      </c>
    </row>
    <row r="166" spans="1:30" x14ac:dyDescent="0.25">
      <c r="A166">
        <v>61.5</v>
      </c>
      <c r="B166" s="95">
        <f t="shared" si="46"/>
        <v>8630.6662857665524</v>
      </c>
      <c r="C166" s="95">
        <f t="shared" si="47"/>
        <v>199.86031902727143</v>
      </c>
      <c r="D166" s="95">
        <f t="shared" si="48"/>
        <v>213.90478079661926</v>
      </c>
      <c r="E166" s="95">
        <f t="shared" si="49"/>
        <v>3354.9478102839194</v>
      </c>
      <c r="F166" s="96">
        <f t="shared" si="25"/>
        <v>48.517115160531944</v>
      </c>
      <c r="G166" s="94">
        <f t="shared" si="26"/>
        <v>4530.5046400742249</v>
      </c>
      <c r="H166" s="97">
        <f t="shared" si="27"/>
        <v>998.88052946835091</v>
      </c>
      <c r="I166" s="94">
        <f t="shared" si="28"/>
        <v>5325.1937887215445</v>
      </c>
      <c r="J166" s="95">
        <f t="shared" si="29"/>
        <v>-181.88494986879553</v>
      </c>
      <c r="K166" s="94">
        <f t="shared" si="30"/>
        <v>62.258345537248978</v>
      </c>
      <c r="L166" s="94">
        <f t="shared" si="31"/>
        <v>-768.47846443902347</v>
      </c>
      <c r="M166" s="93">
        <f t="shared" si="32"/>
        <v>-856.94749418456843</v>
      </c>
      <c r="N166" s="93">
        <f t="shared" si="33"/>
        <v>7427.4567775685491</v>
      </c>
      <c r="O166" s="93">
        <f t="shared" si="34"/>
        <v>30261.49021005915</v>
      </c>
      <c r="P166" s="93">
        <f t="shared" si="35"/>
        <v>20416.434975574772</v>
      </c>
      <c r="Q166" s="93">
        <f t="shared" si="36"/>
        <v>717784995308.41162</v>
      </c>
      <c r="R166" s="93">
        <f t="shared" si="37"/>
        <v>28270105718771.285</v>
      </c>
      <c r="S166" s="93">
        <f t="shared" si="38"/>
        <v>9287183061175.6563</v>
      </c>
      <c r="T166">
        <f t="shared" si="39"/>
        <v>0.5</v>
      </c>
      <c r="X166" s="99">
        <v>123</v>
      </c>
      <c r="Y166" s="99">
        <f t="shared" si="40"/>
        <v>7276.8048249248641</v>
      </c>
      <c r="Z166" s="99">
        <f t="shared" si="41"/>
        <v>11693.352839727118</v>
      </c>
      <c r="AA166" s="99">
        <f t="shared" si="42"/>
        <v>-21906.236622552595</v>
      </c>
      <c r="AB166" s="99">
        <f t="shared" si="43"/>
        <v>12935.346987808984</v>
      </c>
      <c r="AC166" s="99">
        <f t="shared" si="44"/>
        <v>-7723.1951750751359</v>
      </c>
      <c r="AD166" s="99">
        <f t="shared" si="45"/>
        <v>-10806.647160272882</v>
      </c>
    </row>
    <row r="167" spans="1:30" x14ac:dyDescent="0.25">
      <c r="A167">
        <v>62</v>
      </c>
      <c r="B167" s="95">
        <f t="shared" si="46"/>
        <v>8749.7479549549953</v>
      </c>
      <c r="C167" s="95">
        <f t="shared" si="47"/>
        <v>3009.9603841877874</v>
      </c>
      <c r="D167" s="95">
        <f t="shared" si="48"/>
        <v>238.16333837688524</v>
      </c>
      <c r="E167" s="95">
        <f t="shared" si="49"/>
        <v>5620.2001303210318</v>
      </c>
      <c r="F167" s="96">
        <f t="shared" si="25"/>
        <v>1278.2126117112871</v>
      </c>
      <c r="G167" s="94">
        <f t="shared" si="26"/>
        <v>6653.791114834321</v>
      </c>
      <c r="H167" s="97">
        <f t="shared" si="27"/>
        <v>2049.7077640811449</v>
      </c>
      <c r="I167" s="94">
        <f t="shared" si="28"/>
        <v>7361.130979978464</v>
      </c>
      <c r="J167" s="95">
        <f t="shared" si="29"/>
        <v>-195.23505154157542</v>
      </c>
      <c r="K167" s="94">
        <f t="shared" si="30"/>
        <v>47.468268132609708</v>
      </c>
      <c r="L167" s="94">
        <f t="shared" si="31"/>
        <v>-576.26010082828259</v>
      </c>
      <c r="M167" s="93">
        <f t="shared" si="32"/>
        <v>-754.80813327675264</v>
      </c>
      <c r="N167" s="93">
        <f t="shared" si="33"/>
        <v>4660.8567804323602</v>
      </c>
      <c r="O167" s="93">
        <f t="shared" si="34"/>
        <v>29587.305745945559</v>
      </c>
      <c r="P167" s="93">
        <f t="shared" si="35"/>
        <v>22658.646073073356</v>
      </c>
      <c r="Q167" s="93">
        <f t="shared" si="36"/>
        <v>319377450506.11896</v>
      </c>
      <c r="R167" s="93">
        <f t="shared" si="37"/>
        <v>26446547990362.281</v>
      </c>
      <c r="S167" s="93">
        <f t="shared" si="38"/>
        <v>12493232107605.096</v>
      </c>
      <c r="T167">
        <f t="shared" si="39"/>
        <v>0.5</v>
      </c>
      <c r="X167" s="99">
        <v>124</v>
      </c>
      <c r="Y167" s="99">
        <f t="shared" si="40"/>
        <v>7204.0354826462662</v>
      </c>
      <c r="Z167" s="99">
        <f t="shared" si="41"/>
        <v>11645.187862775208</v>
      </c>
      <c r="AA167" s="99">
        <f t="shared" si="42"/>
        <v>-21957.175162147614</v>
      </c>
      <c r="AB167" s="99">
        <f t="shared" si="43"/>
        <v>12901.631503942646</v>
      </c>
      <c r="AC167" s="99">
        <f t="shared" si="44"/>
        <v>-7795.9645173537338</v>
      </c>
      <c r="AD167" s="99">
        <f t="shared" si="45"/>
        <v>-10854.812137224792</v>
      </c>
    </row>
    <row r="168" spans="1:30" x14ac:dyDescent="0.25">
      <c r="A168">
        <v>62.5</v>
      </c>
      <c r="B168" s="95">
        <f t="shared" si="46"/>
        <v>9188.3827770712596</v>
      </c>
      <c r="C168" s="95">
        <f t="shared" si="47"/>
        <v>7483.508228056884</v>
      </c>
      <c r="D168" s="95">
        <f t="shared" si="48"/>
        <v>877.26964423252878</v>
      </c>
      <c r="E168" s="95">
        <f t="shared" si="49"/>
        <v>8947.0956877381923</v>
      </c>
      <c r="F168" s="96">
        <f t="shared" si="25"/>
        <v>2690.2258309741155</v>
      </c>
      <c r="G168" s="94">
        <f t="shared" si="26"/>
        <v>-510.61301186153253</v>
      </c>
      <c r="H168" s="97">
        <f t="shared" si="27"/>
        <v>3269.5683927599925</v>
      </c>
      <c r="I168" s="94">
        <f t="shared" si="28"/>
        <v>66.436461379223644</v>
      </c>
      <c r="J168" s="95">
        <f t="shared" si="29"/>
        <v>-204.0874837315977</v>
      </c>
      <c r="K168" s="94">
        <f t="shared" si="30"/>
        <v>17.595509744054166</v>
      </c>
      <c r="L168" s="94">
        <f t="shared" si="31"/>
        <v>-375.25507805427924</v>
      </c>
      <c r="M168" s="93">
        <f t="shared" si="32"/>
        <v>-594.64498298481033</v>
      </c>
      <c r="N168" s="93">
        <f t="shared" si="33"/>
        <v>811.78475909343388</v>
      </c>
      <c r="O168" s="93">
        <f t="shared" si="34"/>
        <v>29296.662266870735</v>
      </c>
      <c r="P168" s="93">
        <f t="shared" si="35"/>
        <v>26586.055519196409</v>
      </c>
      <c r="Q168" s="93">
        <f t="shared" si="36"/>
        <v>129974887548.15442</v>
      </c>
      <c r="R168" s="93">
        <f t="shared" si="37"/>
        <v>25685404185916.586</v>
      </c>
      <c r="S168" s="93">
        <f t="shared" si="38"/>
        <v>19797253346482.156</v>
      </c>
      <c r="T168">
        <f t="shared" si="39"/>
        <v>0.5</v>
      </c>
      <c r="X168" s="99">
        <v>125</v>
      </c>
      <c r="Y168" s="99">
        <f t="shared" si="40"/>
        <v>7132.1178182447711</v>
      </c>
      <c r="Z168" s="99">
        <f t="shared" si="41"/>
        <v>11595.76022144496</v>
      </c>
      <c r="AA168" s="99">
        <f t="shared" si="42"/>
        <v>-22007.517527228661</v>
      </c>
      <c r="AB168" s="99">
        <f t="shared" si="43"/>
        <v>12867.032155011471</v>
      </c>
      <c r="AC168" s="99">
        <f t="shared" si="44"/>
        <v>-7867.8821817552289</v>
      </c>
      <c r="AD168" s="99">
        <f t="shared" si="45"/>
        <v>-10904.23977855504</v>
      </c>
    </row>
    <row r="169" spans="1:30" x14ac:dyDescent="0.25">
      <c r="A169">
        <v>63</v>
      </c>
      <c r="B169" s="95">
        <f t="shared" si="46"/>
        <v>10299.574056931053</v>
      </c>
      <c r="C169" s="95">
        <f t="shared" si="47"/>
        <v>11829.402818960598</v>
      </c>
      <c r="D169" s="95">
        <f t="shared" si="48"/>
        <v>2222.3825597195864</v>
      </c>
      <c r="E169" s="95">
        <f t="shared" si="49"/>
        <v>8691.7891818074258</v>
      </c>
      <c r="F169" s="96">
        <f t="shared" si="25"/>
        <v>-992.80147574373223</v>
      </c>
      <c r="G169" s="94">
        <f t="shared" si="26"/>
        <v>-8281.3932538076515</v>
      </c>
      <c r="H169" s="97">
        <f t="shared" si="27"/>
        <v>-540.49787963654035</v>
      </c>
      <c r="I169" s="94">
        <f t="shared" si="28"/>
        <v>-7811.2005682762583</v>
      </c>
      <c r="J169" s="95">
        <f t="shared" si="29"/>
        <v>-190.74163729068738</v>
      </c>
      <c r="K169" s="94">
        <f t="shared" si="30"/>
        <v>-11.516442056152346</v>
      </c>
      <c r="L169" s="94">
        <f t="shared" si="31"/>
        <v>-261.56195881650461</v>
      </c>
      <c r="M169" s="93">
        <f t="shared" si="32"/>
        <v>-458.67624347524077</v>
      </c>
      <c r="N169" s="93">
        <f t="shared" si="33"/>
        <v>4339.7549912881141</v>
      </c>
      <c r="O169" s="93">
        <f t="shared" si="34"/>
        <v>30354.750908308739</v>
      </c>
      <c r="P169" s="93">
        <f t="shared" si="35"/>
        <v>30885.171554413751</v>
      </c>
      <c r="Q169" s="93">
        <f t="shared" si="36"/>
        <v>290207631370.53021</v>
      </c>
      <c r="R169" s="93">
        <f t="shared" si="37"/>
        <v>28528816755626.344</v>
      </c>
      <c r="S169" s="93">
        <f t="shared" si="38"/>
        <v>30626924036015.863</v>
      </c>
      <c r="T169">
        <f t="shared" si="39"/>
        <v>0.5</v>
      </c>
      <c r="X169" s="99">
        <v>126</v>
      </c>
      <c r="Y169" s="99">
        <f t="shared" si="40"/>
        <v>7061.0737385376342</v>
      </c>
      <c r="Z169" s="99">
        <f t="shared" si="41"/>
        <v>11545.084971874738</v>
      </c>
      <c r="AA169" s="99">
        <f t="shared" si="42"/>
        <v>-22057.248383023656</v>
      </c>
      <c r="AB169" s="99">
        <f t="shared" si="43"/>
        <v>12831.559480312317</v>
      </c>
      <c r="AC169" s="99">
        <f t="shared" si="44"/>
        <v>-7938.9262614623658</v>
      </c>
      <c r="AD169" s="99">
        <f t="shared" si="45"/>
        <v>-10954.915028125262</v>
      </c>
    </row>
    <row r="170" spans="1:30" x14ac:dyDescent="0.25">
      <c r="A170">
        <v>63.5</v>
      </c>
      <c r="B170" s="95">
        <f t="shared" si="46"/>
        <v>11162.564967854913</v>
      </c>
      <c r="C170" s="95">
        <f t="shared" si="47"/>
        <v>14104.949096412398</v>
      </c>
      <c r="D170" s="95">
        <f t="shared" si="48"/>
        <v>1725.9818218477203</v>
      </c>
      <c r="E170" s="95">
        <f t="shared" si="49"/>
        <v>4551.0925549036001</v>
      </c>
      <c r="F170" s="96">
        <f t="shared" si="25"/>
        <v>-1438.6147296914492</v>
      </c>
      <c r="G170" s="94">
        <f t="shared" si="26"/>
        <v>-6330.6671057023332</v>
      </c>
      <c r="H170" s="97">
        <f t="shared" si="27"/>
        <v>-1039.8811688278599</v>
      </c>
      <c r="I170" s="94">
        <f t="shared" si="28"/>
        <v>-5907.9383744883398</v>
      </c>
      <c r="J170" s="95">
        <f t="shared" si="29"/>
        <v>-176.92602300856379</v>
      </c>
      <c r="K170" s="94">
        <f t="shared" si="30"/>
        <v>-23.305922315124381</v>
      </c>
      <c r="L170" s="94">
        <f t="shared" si="31"/>
        <v>-221.80753785502532</v>
      </c>
      <c r="M170" s="93">
        <f t="shared" si="32"/>
        <v>-399.42280889886968</v>
      </c>
      <c r="N170" s="93">
        <f t="shared" si="33"/>
        <v>6706.4826750452767</v>
      </c>
      <c r="O170" s="93">
        <f t="shared" si="34"/>
        <v>31431.768363550837</v>
      </c>
      <c r="P170" s="93">
        <f t="shared" si="35"/>
        <v>33291.538988831497</v>
      </c>
      <c r="Q170" s="93">
        <f t="shared" si="36"/>
        <v>585372263648.5918</v>
      </c>
      <c r="R170" s="93">
        <f t="shared" si="37"/>
        <v>31632551505904.547</v>
      </c>
      <c r="S170" s="93">
        <f t="shared" si="38"/>
        <v>38153343702990.195</v>
      </c>
      <c r="T170">
        <f t="shared" si="39"/>
        <v>0.5</v>
      </c>
      <c r="X170" s="99">
        <v>127</v>
      </c>
      <c r="Y170" s="99">
        <f t="shared" si="40"/>
        <v>6990.9248842397583</v>
      </c>
      <c r="Z170" s="99">
        <f t="shared" si="41"/>
        <v>11493.177550236464</v>
      </c>
      <c r="AA170" s="99">
        <f t="shared" si="42"/>
        <v>-22106.35258103217</v>
      </c>
      <c r="AB170" s="99">
        <f t="shared" si="43"/>
        <v>12795.224285165525</v>
      </c>
      <c r="AC170" s="99">
        <f t="shared" si="44"/>
        <v>-8009.0751157602417</v>
      </c>
      <c r="AD170" s="99">
        <f t="shared" si="45"/>
        <v>-11006.822449763536</v>
      </c>
    </row>
    <row r="171" spans="1:30" x14ac:dyDescent="0.25">
      <c r="A171">
        <v>64</v>
      </c>
      <c r="B171" s="95">
        <f t="shared" si="46"/>
        <v>11665.90219635591</v>
      </c>
      <c r="C171" s="95">
        <f t="shared" si="47"/>
        <v>14797.828597438614</v>
      </c>
      <c r="D171" s="95">
        <f t="shared" si="48"/>
        <v>1006.6744570019957</v>
      </c>
      <c r="E171" s="95">
        <f t="shared" si="49"/>
        <v>1385.7590020524335</v>
      </c>
      <c r="F171" s="96">
        <f t="shared" si="25"/>
        <v>-1578.2291321139814</v>
      </c>
      <c r="G171" s="94">
        <f t="shared" si="26"/>
        <v>-5643.875067112499</v>
      </c>
      <c r="H171" s="97">
        <f t="shared" si="27"/>
        <v>-1195.7791230112839</v>
      </c>
      <c r="I171" s="94">
        <f t="shared" si="28"/>
        <v>-5238.3573892998411</v>
      </c>
      <c r="J171" s="95">
        <f t="shared" si="29"/>
        <v>-170.0550393797219</v>
      </c>
      <c r="K171" s="94">
        <f t="shared" si="30"/>
        <v>-25.765725101256457</v>
      </c>
      <c r="L171" s="94">
        <f t="shared" si="31"/>
        <v>-212.3949697229757</v>
      </c>
      <c r="M171" s="93">
        <f t="shared" si="32"/>
        <v>-379.75195271140171</v>
      </c>
      <c r="N171" s="93">
        <f t="shared" si="33"/>
        <v>7485.5549136597947</v>
      </c>
      <c r="O171" s="93">
        <f t="shared" si="34"/>
        <v>32027.308990291051</v>
      </c>
      <c r="P171" s="93">
        <f t="shared" si="35"/>
        <v>34141.8055342835</v>
      </c>
      <c r="Q171" s="93">
        <f t="shared" si="36"/>
        <v>729452733780.70178</v>
      </c>
      <c r="R171" s="93">
        <f t="shared" si="37"/>
        <v>33442220199974.598</v>
      </c>
      <c r="S171" s="93">
        <f t="shared" si="38"/>
        <v>41084993658910.539</v>
      </c>
      <c r="T171">
        <f t="shared" si="39"/>
        <v>0.5</v>
      </c>
      <c r="X171" s="99">
        <v>128</v>
      </c>
      <c r="Y171" s="99">
        <f t="shared" si="40"/>
        <v>6921.6926233717086</v>
      </c>
      <c r="Z171" s="99">
        <f t="shared" si="41"/>
        <v>11440.053768033609</v>
      </c>
      <c r="AA171" s="99">
        <f t="shared" si="42"/>
        <v>-22154.815163639803</v>
      </c>
      <c r="AB171" s="99">
        <f t="shared" si="43"/>
        <v>12758.037637623527</v>
      </c>
      <c r="AC171" s="99">
        <f t="shared" si="44"/>
        <v>-8078.3073766282914</v>
      </c>
      <c r="AD171" s="99">
        <f t="shared" si="45"/>
        <v>-11059.946231966391</v>
      </c>
    </row>
    <row r="172" spans="1:30" x14ac:dyDescent="0.25">
      <c r="A172">
        <v>64.5</v>
      </c>
      <c r="B172" s="95">
        <f t="shared" si="46"/>
        <v>11774.682141828413</v>
      </c>
      <c r="C172" s="95">
        <f t="shared" si="47"/>
        <v>14079.739331686706</v>
      </c>
      <c r="D172" s="95">
        <f t="shared" si="48"/>
        <v>217.55989094500501</v>
      </c>
      <c r="E172" s="95">
        <f t="shared" si="49"/>
        <v>-1436.178531503816</v>
      </c>
      <c r="F172" s="96">
        <f t="shared" ref="F172:F235" si="50">SUM(H172,J172,L172)</f>
        <v>-1933.9450655152013</v>
      </c>
      <c r="G172" s="94">
        <f t="shared" ref="G172:G235" si="51">SUM(I172,K172,M172)</f>
        <v>-6116.5183172584675</v>
      </c>
      <c r="H172" s="97">
        <f t="shared" ref="H172:H235" si="52">$D$22*(($D$18-$B172)/$Q172)</f>
        <v>-1538.808380286277</v>
      </c>
      <c r="I172" s="94">
        <f t="shared" ref="I172:I235" si="53">$D$22*(($E$18-$C172)/$Q172)</f>
        <v>-5705.223366516343</v>
      </c>
      <c r="J172" s="95">
        <f t="shared" ref="J172:J235" si="54">$D$30*(($D$26-$B172)/$R172)</f>
        <v>-170.50955188538308</v>
      </c>
      <c r="K172" s="94">
        <f t="shared" ref="K172:K235" si="55">$D$30*(($E$26-$C172)/$R172)</f>
        <v>-21.89272963141099</v>
      </c>
      <c r="L172" s="94">
        <f t="shared" ref="L172:L235" si="56">$D$38*(($D$34-$B172)/$S172)</f>
        <v>-224.62713334354103</v>
      </c>
      <c r="M172" s="93">
        <f t="shared" ref="M172:M235" si="57">$D$38*(($E$34-$C172)/$S172)</f>
        <v>-389.40222111071353</v>
      </c>
      <c r="N172" s="93">
        <f t="shared" ref="N172:N235" si="58">SQRT(($D$18-$B172)^2+($E$18-$C172)^2)</f>
        <v>6814.8709729142856</v>
      </c>
      <c r="O172" s="93">
        <f t="shared" ref="O172:O235" si="59">SQRT(($D$26-$B172)^2+($E$26-$C172)^2)</f>
        <v>32035.522443511687</v>
      </c>
      <c r="P172" s="93">
        <f t="shared" ref="P172:P235" si="60">SQRT(($D$34-$B172)^2+($E$34-$C172)^2)</f>
        <v>33571.136420416624</v>
      </c>
      <c r="Q172" s="93">
        <f t="shared" ref="Q172:Q235" si="61">($N172^2+$D$39^2)^(3/2)</f>
        <v>603857769714.41553</v>
      </c>
      <c r="R172" s="93">
        <f t="shared" ref="R172:R235" si="62">($O172^2+$D$31^2)^(3/2)</f>
        <v>33467651969168.422</v>
      </c>
      <c r="S172" s="93">
        <f t="shared" ref="S172:S235" si="63">($P172^2+$D$23^2)^(3/2)</f>
        <v>39101255933668.172</v>
      </c>
      <c r="T172">
        <f t="shared" ref="T172:T235" si="64">A173-A172</f>
        <v>0.5</v>
      </c>
      <c r="X172" s="99">
        <v>129</v>
      </c>
      <c r="Y172" s="99">
        <f t="shared" ref="Y172:Y235" si="65">$D$19*COS(X172*PI()/180)+$D$18</f>
        <v>6853.3980447508138</v>
      </c>
      <c r="Z172" s="99">
        <f t="shared" ref="Z172:Z235" si="66">$D$19*SIN(X172*PI()/180)+$E$18</f>
        <v>11385.729807284855</v>
      </c>
      <c r="AA172" s="99">
        <f t="shared" ref="AA172:AA235" si="67">$D$27*COS(X172*PI()/180)+$D$26</f>
        <v>-22202.62136867443</v>
      </c>
      <c r="AB172" s="99">
        <f t="shared" ref="AB172:AB235" si="68">$D$27*SIN($X172*PI()/180)+$E$26</f>
        <v>12720.010865099399</v>
      </c>
      <c r="AC172" s="99">
        <f t="shared" ref="AC172:AC235" si="69">$D$35*COS(X172*PI()/180)+$D$34</f>
        <v>-8146.6019552491862</v>
      </c>
      <c r="AD172" s="99">
        <f t="shared" ref="AD172:AD235" si="70">$D$35*SIN(X172*PI()/180)+$E$34</f>
        <v>-11114.270192715145</v>
      </c>
    </row>
    <row r="173" spans="1:30" x14ac:dyDescent="0.25">
      <c r="A173">
        <v>65</v>
      </c>
      <c r="B173" s="95">
        <f t="shared" ref="B173:B236" si="71">B172+(D172*$T172)+(F172*($T172)^2)</f>
        <v>11399.975820922115</v>
      </c>
      <c r="C173" s="95">
        <f t="shared" ref="C173:C236" si="72">C172+(E172*$T172)+(G172*($T172)^2)</f>
        <v>11832.520486620182</v>
      </c>
      <c r="D173" s="95">
        <f t="shared" ref="D173:D236" si="73">D172+(F172*$T172)</f>
        <v>-749.41264181259567</v>
      </c>
      <c r="E173" s="95">
        <f t="shared" ref="E173:E236" si="74">E172+(G172*$T172)</f>
        <v>-4494.4376901330497</v>
      </c>
      <c r="F173" s="96">
        <f t="shared" si="50"/>
        <v>-2814.1986674602467</v>
      </c>
      <c r="G173" s="94">
        <f t="shared" si="51"/>
        <v>-7781.0037319667126</v>
      </c>
      <c r="H173" s="97">
        <f t="shared" si="52"/>
        <v>-2370.3248355640694</v>
      </c>
      <c r="I173" s="94">
        <f t="shared" si="53"/>
        <v>-7335.4701963793923</v>
      </c>
      <c r="J173" s="95">
        <f t="shared" si="54"/>
        <v>-177.91079386880503</v>
      </c>
      <c r="K173" s="94">
        <f t="shared" si="55"/>
        <v>-10.382975337777545</v>
      </c>
      <c r="L173" s="94">
        <f t="shared" si="56"/>
        <v>-265.96303802737242</v>
      </c>
      <c r="M173" s="93">
        <f t="shared" si="57"/>
        <v>-435.15056024954276</v>
      </c>
      <c r="N173" s="93">
        <f t="shared" si="58"/>
        <v>4553.0941200627658</v>
      </c>
      <c r="O173" s="93">
        <f t="shared" si="59"/>
        <v>31453.403836284175</v>
      </c>
      <c r="P173" s="93">
        <f t="shared" si="60"/>
        <v>31447.469891737266</v>
      </c>
      <c r="Q173" s="93">
        <f t="shared" si="61"/>
        <v>309251126556.07953</v>
      </c>
      <c r="R173" s="93">
        <f t="shared" si="62"/>
        <v>31697116672307.125</v>
      </c>
      <c r="S173" s="93">
        <f t="shared" si="63"/>
        <v>32286468538507.09</v>
      </c>
      <c r="T173">
        <f t="shared" si="64"/>
        <v>0.5</v>
      </c>
      <c r="X173" s="99">
        <v>130</v>
      </c>
      <c r="Y173" s="99">
        <f t="shared" si="65"/>
        <v>6786.0619515673034</v>
      </c>
      <c r="Z173" s="99">
        <f t="shared" si="66"/>
        <v>11330.222215594891</v>
      </c>
      <c r="AA173" s="99">
        <f t="shared" si="67"/>
        <v>-22249.756633902889</v>
      </c>
      <c r="AB173" s="99">
        <f t="shared" si="68"/>
        <v>12681.155550916423</v>
      </c>
      <c r="AC173" s="99">
        <f t="shared" si="69"/>
        <v>-8213.9380484326975</v>
      </c>
      <c r="AD173" s="99">
        <f t="shared" si="70"/>
        <v>-11169.777784405109</v>
      </c>
    </row>
    <row r="174" spans="1:30" x14ac:dyDescent="0.25">
      <c r="A174">
        <v>65.5</v>
      </c>
      <c r="B174" s="95">
        <f t="shared" si="71"/>
        <v>10321.719833150755</v>
      </c>
      <c r="C174" s="95">
        <f t="shared" si="72"/>
        <v>7640.0507085619784</v>
      </c>
      <c r="D174" s="95">
        <f t="shared" si="73"/>
        <v>-2156.511975542719</v>
      </c>
      <c r="E174" s="95">
        <f t="shared" si="74"/>
        <v>-8384.9395561164056</v>
      </c>
      <c r="F174" s="96">
        <f t="shared" si="50"/>
        <v>-1901.2857045588942</v>
      </c>
      <c r="G174" s="94">
        <f t="shared" si="51"/>
        <v>-1119.8632630150464</v>
      </c>
      <c r="H174" s="97">
        <f t="shared" si="52"/>
        <v>-1337.7228754081409</v>
      </c>
      <c r="I174" s="94">
        <f t="shared" si="53"/>
        <v>-582.3359869538632</v>
      </c>
      <c r="J174" s="95">
        <f t="shared" si="54"/>
        <v>-189.7929355659802</v>
      </c>
      <c r="K174" s="94">
        <f t="shared" si="55"/>
        <v>14.771645746795205</v>
      </c>
      <c r="L174" s="94">
        <f t="shared" si="56"/>
        <v>-373.76989358477323</v>
      </c>
      <c r="M174" s="93">
        <f t="shared" si="57"/>
        <v>-552.29892180797833</v>
      </c>
      <c r="N174" s="93">
        <f t="shared" si="58"/>
        <v>350.88153558040352</v>
      </c>
      <c r="O174" s="93">
        <f t="shared" si="59"/>
        <v>30413.418984031483</v>
      </c>
      <c r="P174" s="93">
        <f t="shared" si="60"/>
        <v>27337.282138717135</v>
      </c>
      <c r="Q174" s="93">
        <f t="shared" si="61"/>
        <v>125924519809.10431</v>
      </c>
      <c r="R174" s="93">
        <f t="shared" si="62"/>
        <v>28692377082662.809</v>
      </c>
      <c r="S174" s="93">
        <f t="shared" si="63"/>
        <v>21463563230724.391</v>
      </c>
      <c r="T174">
        <f t="shared" si="64"/>
        <v>0.5</v>
      </c>
      <c r="X174" s="99">
        <v>131</v>
      </c>
      <c r="Y174" s="99">
        <f t="shared" si="65"/>
        <v>6719.7048550474628</v>
      </c>
      <c r="Z174" s="99">
        <f t="shared" si="66"/>
        <v>11273.54790111386</v>
      </c>
      <c r="AA174" s="99">
        <f t="shared" si="67"/>
        <v>-22296.206601466776</v>
      </c>
      <c r="AB174" s="99">
        <f t="shared" si="68"/>
        <v>12641.4835307797</v>
      </c>
      <c r="AC174" s="99">
        <f t="shared" si="69"/>
        <v>-8280.2951449525372</v>
      </c>
      <c r="AD174" s="99">
        <f t="shared" si="70"/>
        <v>-11226.45209888614</v>
      </c>
    </row>
    <row r="175" spans="1:30" x14ac:dyDescent="0.25">
      <c r="A175">
        <v>66</v>
      </c>
      <c r="B175" s="95">
        <f t="shared" si="71"/>
        <v>8768.1424192396717</v>
      </c>
      <c r="C175" s="95">
        <f t="shared" si="72"/>
        <v>3167.6151147500141</v>
      </c>
      <c r="D175" s="95">
        <f t="shared" si="73"/>
        <v>-3107.1548278221662</v>
      </c>
      <c r="E175" s="95">
        <f t="shared" si="74"/>
        <v>-8944.8711876239286</v>
      </c>
      <c r="F175" s="96">
        <f t="shared" si="50"/>
        <v>1353.4818230206033</v>
      </c>
      <c r="G175" s="94">
        <f t="shared" si="51"/>
        <v>6741.3440938208942</v>
      </c>
      <c r="H175" s="97">
        <f t="shared" si="52"/>
        <v>2116.4028406418684</v>
      </c>
      <c r="I175" s="94">
        <f t="shared" si="53"/>
        <v>7443.2887544009927</v>
      </c>
      <c r="J175" s="95">
        <f t="shared" si="54"/>
        <v>-195.73067565043152</v>
      </c>
      <c r="K175" s="94">
        <f t="shared" si="55"/>
        <v>46.485702497058206</v>
      </c>
      <c r="L175" s="94">
        <f t="shared" si="56"/>
        <v>-567.19034197083352</v>
      </c>
      <c r="M175" s="93">
        <f t="shared" si="57"/>
        <v>-748.43036307715624</v>
      </c>
      <c r="N175" s="93">
        <f t="shared" si="58"/>
        <v>4504.112775366445</v>
      </c>
      <c r="O175" s="93">
        <f t="shared" si="59"/>
        <v>29568.353039590311</v>
      </c>
      <c r="P175" s="93">
        <f t="shared" si="60"/>
        <v>22795.262328698042</v>
      </c>
      <c r="Q175" s="93">
        <f t="shared" si="61"/>
        <v>304761980380.81134</v>
      </c>
      <c r="R175" s="93">
        <f t="shared" si="62"/>
        <v>26396458732057.371</v>
      </c>
      <c r="S175" s="93">
        <f t="shared" si="63"/>
        <v>12709988128372.605</v>
      </c>
      <c r="T175">
        <f t="shared" si="64"/>
        <v>0.5</v>
      </c>
      <c r="X175" s="99">
        <v>132</v>
      </c>
      <c r="Y175" s="99">
        <f t="shared" si="65"/>
        <v>6654.3469682057093</v>
      </c>
      <c r="Z175" s="99">
        <f t="shared" si="66"/>
        <v>11215.724127386971</v>
      </c>
      <c r="AA175" s="99">
        <f t="shared" si="67"/>
        <v>-22341.957122256004</v>
      </c>
      <c r="AB175" s="99">
        <f t="shared" si="68"/>
        <v>12601.00688917088</v>
      </c>
      <c r="AC175" s="99">
        <f t="shared" si="69"/>
        <v>-8345.6530317942907</v>
      </c>
      <c r="AD175" s="99">
        <f t="shared" si="70"/>
        <v>-11284.275872613029</v>
      </c>
    </row>
    <row r="176" spans="1:30" x14ac:dyDescent="0.25">
      <c r="A176">
        <v>66.5</v>
      </c>
      <c r="B176" s="95">
        <f t="shared" si="71"/>
        <v>7552.935461083739</v>
      </c>
      <c r="C176" s="95">
        <f t="shared" si="72"/>
        <v>380.51554439327333</v>
      </c>
      <c r="D176" s="95">
        <f t="shared" si="73"/>
        <v>-2430.4139163118643</v>
      </c>
      <c r="E176" s="95">
        <f t="shared" si="74"/>
        <v>-5574.199140713481</v>
      </c>
      <c r="F176" s="96">
        <f t="shared" si="50"/>
        <v>775.00575726564182</v>
      </c>
      <c r="G176" s="94">
        <f t="shared" si="51"/>
        <v>4179.7670239678537</v>
      </c>
      <c r="H176" s="97">
        <f t="shared" si="52"/>
        <v>1735.8366968069051</v>
      </c>
      <c r="I176" s="94">
        <f t="shared" si="53"/>
        <v>5050.23965810956</v>
      </c>
      <c r="J176" s="95">
        <f t="shared" si="54"/>
        <v>-194.86267435677703</v>
      </c>
      <c r="K176" s="94">
        <f t="shared" si="55"/>
        <v>68.031896986094978</v>
      </c>
      <c r="L176" s="94">
        <f t="shared" si="56"/>
        <v>-765.96826518448631</v>
      </c>
      <c r="M176" s="93">
        <f t="shared" si="57"/>
        <v>-938.50453112780076</v>
      </c>
      <c r="N176" s="93">
        <f t="shared" si="58"/>
        <v>7528.2922214302534</v>
      </c>
      <c r="O176" s="93">
        <f t="shared" si="59"/>
        <v>29183.877975935709</v>
      </c>
      <c r="P176" s="93">
        <f t="shared" si="60"/>
        <v>19852.869996588826</v>
      </c>
      <c r="Q176" s="93">
        <f t="shared" si="61"/>
        <v>738133949318.79346</v>
      </c>
      <c r="R176" s="93">
        <f t="shared" si="62"/>
        <v>25394049314369.402</v>
      </c>
      <c r="S176" s="93">
        <f t="shared" si="63"/>
        <v>8580905941324.9375</v>
      </c>
      <c r="T176">
        <f t="shared" si="64"/>
        <v>0.5</v>
      </c>
      <c r="X176" s="99">
        <v>133</v>
      </c>
      <c r="Y176" s="99">
        <f t="shared" si="65"/>
        <v>6590.0081996875087</v>
      </c>
      <c r="Z176" s="99">
        <f t="shared" si="66"/>
        <v>11156.768508095853</v>
      </c>
      <c r="AA176" s="99">
        <f t="shared" si="67"/>
        <v>-22386.994260218744</v>
      </c>
      <c r="AB176" s="99">
        <f t="shared" si="68"/>
        <v>12559.737955667097</v>
      </c>
      <c r="AC176" s="99">
        <f t="shared" si="69"/>
        <v>-8409.9918003124913</v>
      </c>
      <c r="AD176" s="99">
        <f t="shared" si="70"/>
        <v>-11343.231491904147</v>
      </c>
    </row>
    <row r="177" spans="1:30" x14ac:dyDescent="0.25">
      <c r="A177">
        <v>67</v>
      </c>
      <c r="B177" s="95">
        <f t="shared" si="71"/>
        <v>6531.4799422442165</v>
      </c>
      <c r="C177" s="95">
        <f t="shared" si="72"/>
        <v>-1361.6422699715035</v>
      </c>
      <c r="D177" s="95">
        <f t="shared" si="73"/>
        <v>-2042.9110376790434</v>
      </c>
      <c r="E177" s="95">
        <f t="shared" si="74"/>
        <v>-3484.3156287295542</v>
      </c>
      <c r="F177" s="96">
        <f t="shared" si="50"/>
        <v>321.64144840646998</v>
      </c>
      <c r="G177" s="94">
        <f t="shared" si="51"/>
        <v>2698.8213738035838</v>
      </c>
      <c r="H177" s="97">
        <f t="shared" si="52"/>
        <v>1461.9592955462517</v>
      </c>
      <c r="I177" s="94">
        <f t="shared" si="53"/>
        <v>3735.1262425084137</v>
      </c>
      <c r="J177" s="95">
        <f t="shared" si="54"/>
        <v>-193.89721020117804</v>
      </c>
      <c r="K177" s="94">
        <f t="shared" si="55"/>
        <v>83.033089154728472</v>
      </c>
      <c r="L177" s="94">
        <f t="shared" si="56"/>
        <v>-946.42063693860371</v>
      </c>
      <c r="M177" s="93">
        <f t="shared" si="57"/>
        <v>-1119.3379578595584</v>
      </c>
      <c r="N177" s="93">
        <f t="shared" si="58"/>
        <v>9516.2668684731561</v>
      </c>
      <c r="O177" s="93">
        <f t="shared" si="59"/>
        <v>28861.849265016099</v>
      </c>
      <c r="P177" s="93">
        <f t="shared" si="60"/>
        <v>17860.006473420122</v>
      </c>
      <c r="Q177" s="93">
        <f t="shared" si="61"/>
        <v>1242245841530.417</v>
      </c>
      <c r="R177" s="93">
        <f t="shared" si="62"/>
        <v>24574384987631.582</v>
      </c>
      <c r="S177" s="93">
        <f t="shared" si="63"/>
        <v>6379688420707.0625</v>
      </c>
      <c r="T177">
        <f t="shared" si="64"/>
        <v>0.5</v>
      </c>
      <c r="X177" s="99">
        <v>134</v>
      </c>
      <c r="Y177" s="99">
        <f t="shared" si="65"/>
        <v>6526.7081477050142</v>
      </c>
      <c r="Z177" s="99">
        <f t="shared" si="66"/>
        <v>11096.699001693258</v>
      </c>
      <c r="AA177" s="99">
        <f t="shared" si="67"/>
        <v>-22431.30429660649</v>
      </c>
      <c r="AB177" s="99">
        <f t="shared" si="68"/>
        <v>12517.689301185281</v>
      </c>
      <c r="AC177" s="99">
        <f t="shared" si="69"/>
        <v>-8473.2918522949858</v>
      </c>
      <c r="AD177" s="99">
        <f t="shared" si="70"/>
        <v>-11403.300998306742</v>
      </c>
    </row>
    <row r="178" spans="1:30" x14ac:dyDescent="0.25">
      <c r="A178">
        <v>67.5</v>
      </c>
      <c r="B178" s="95">
        <f t="shared" si="71"/>
        <v>5590.4347855063124</v>
      </c>
      <c r="C178" s="95">
        <f t="shared" si="72"/>
        <v>-2429.0947408853845</v>
      </c>
      <c r="D178" s="95">
        <f t="shared" si="73"/>
        <v>-1882.0903134758084</v>
      </c>
      <c r="E178" s="95">
        <f t="shared" si="74"/>
        <v>-2134.9049418277623</v>
      </c>
      <c r="F178" s="96">
        <f t="shared" si="50"/>
        <v>61.2003881732644</v>
      </c>
      <c r="G178" s="94">
        <f t="shared" si="51"/>
        <v>1836.1571412086294</v>
      </c>
      <c r="H178" s="97">
        <f t="shared" si="52"/>
        <v>1349.7342691209756</v>
      </c>
      <c r="I178" s="94">
        <f t="shared" si="53"/>
        <v>3039.220145576337</v>
      </c>
      <c r="J178" s="95">
        <f t="shared" si="54"/>
        <v>-195.15405595919404</v>
      </c>
      <c r="K178" s="94">
        <f t="shared" si="55"/>
        <v>94.784956602560513</v>
      </c>
      <c r="L178" s="94">
        <f t="shared" si="56"/>
        <v>-1093.3798249885172</v>
      </c>
      <c r="M178" s="93">
        <f t="shared" si="57"/>
        <v>-1297.8479609702683</v>
      </c>
      <c r="N178" s="93">
        <f t="shared" si="58"/>
        <v>10864.215929111064</v>
      </c>
      <c r="O178" s="93">
        <f t="shared" si="59"/>
        <v>28449.125620819286</v>
      </c>
      <c r="P178" s="93">
        <f t="shared" si="60"/>
        <v>16437.304157911589</v>
      </c>
      <c r="Q178" s="93">
        <f t="shared" si="61"/>
        <v>1710590743712.3872</v>
      </c>
      <c r="R178" s="93">
        <f t="shared" si="62"/>
        <v>23550103775284.473</v>
      </c>
      <c r="S178" s="93">
        <f t="shared" si="63"/>
        <v>5071557531988.459</v>
      </c>
      <c r="T178">
        <f t="shared" si="64"/>
        <v>0.5</v>
      </c>
      <c r="X178" s="99">
        <v>135</v>
      </c>
      <c r="Y178" s="99">
        <f t="shared" si="65"/>
        <v>6464.466094067262</v>
      </c>
      <c r="Z178" s="99">
        <f t="shared" si="66"/>
        <v>11035.533905932738</v>
      </c>
      <c r="AA178" s="99">
        <f t="shared" si="67"/>
        <v>-22474.873734152916</v>
      </c>
      <c r="AB178" s="99">
        <f t="shared" si="68"/>
        <v>12474.873734152916</v>
      </c>
      <c r="AC178" s="99">
        <f t="shared" si="69"/>
        <v>-8535.533905932738</v>
      </c>
      <c r="AD178" s="99">
        <f t="shared" si="70"/>
        <v>-11464.466094067262</v>
      </c>
    </row>
    <row r="179" spans="1:30" x14ac:dyDescent="0.25">
      <c r="A179">
        <v>68</v>
      </c>
      <c r="B179" s="95">
        <f t="shared" si="71"/>
        <v>4664.6897258117242</v>
      </c>
      <c r="C179" s="95">
        <f t="shared" si="72"/>
        <v>-3037.5079264971087</v>
      </c>
      <c r="D179" s="95">
        <f t="shared" si="73"/>
        <v>-1851.4901193891762</v>
      </c>
      <c r="E179" s="95">
        <f t="shared" si="74"/>
        <v>-1216.8263712234475</v>
      </c>
      <c r="F179" s="96">
        <f t="shared" si="50"/>
        <v>-71.897768569791651</v>
      </c>
      <c r="G179" s="94">
        <f t="shared" si="51"/>
        <v>1239.1881882599619</v>
      </c>
      <c r="H179" s="97">
        <f t="shared" si="52"/>
        <v>1324.0097938016058</v>
      </c>
      <c r="I179" s="94">
        <f t="shared" si="53"/>
        <v>2614.9863794129337</v>
      </c>
      <c r="J179" s="95">
        <f t="shared" si="54"/>
        <v>-199.2759982197245</v>
      </c>
      <c r="K179" s="94">
        <f t="shared" si="55"/>
        <v>105.33529654060055</v>
      </c>
      <c r="L179" s="94">
        <f t="shared" si="56"/>
        <v>-1196.631564151673</v>
      </c>
      <c r="M179" s="93">
        <f t="shared" si="57"/>
        <v>-1481.1334876935725</v>
      </c>
      <c r="N179" s="93">
        <f t="shared" si="58"/>
        <v>11811.206924901806</v>
      </c>
      <c r="O179" s="93">
        <f t="shared" si="59"/>
        <v>27898.450354885972</v>
      </c>
      <c r="P179" s="93">
        <f t="shared" si="60"/>
        <v>15378.798526049757</v>
      </c>
      <c r="Q179" s="93">
        <f t="shared" si="61"/>
        <v>2109925425083.8281</v>
      </c>
      <c r="R179" s="93">
        <f t="shared" si="62"/>
        <v>22228666269485.324</v>
      </c>
      <c r="S179" s="93">
        <f t="shared" si="63"/>
        <v>4228887034715.6152</v>
      </c>
      <c r="T179">
        <f t="shared" si="64"/>
        <v>0.5</v>
      </c>
      <c r="X179" s="99">
        <v>136</v>
      </c>
      <c r="Y179" s="99">
        <f t="shared" si="65"/>
        <v>6403.3009983067441</v>
      </c>
      <c r="Z179" s="99">
        <f t="shared" si="66"/>
        <v>10973.291852294986</v>
      </c>
      <c r="AA179" s="99">
        <f t="shared" si="67"/>
        <v>-22517.689301185281</v>
      </c>
      <c r="AB179" s="99">
        <f t="shared" si="68"/>
        <v>12431.30429660649</v>
      </c>
      <c r="AC179" s="99">
        <f t="shared" si="69"/>
        <v>-8596.6990016932559</v>
      </c>
      <c r="AD179" s="99">
        <f t="shared" si="70"/>
        <v>-11526.708147705014</v>
      </c>
    </row>
    <row r="180" spans="1:30" x14ac:dyDescent="0.25">
      <c r="A180">
        <v>68.5</v>
      </c>
      <c r="B180" s="95">
        <f t="shared" si="71"/>
        <v>3720.970223974688</v>
      </c>
      <c r="C180" s="95">
        <f t="shared" si="72"/>
        <v>-3336.1240650438422</v>
      </c>
      <c r="D180" s="95">
        <f t="shared" si="73"/>
        <v>-1887.439003674072</v>
      </c>
      <c r="E180" s="95">
        <f t="shared" si="74"/>
        <v>-597.23227709346656</v>
      </c>
      <c r="F180" s="96">
        <f t="shared" si="50"/>
        <v>-116.29569487712797</v>
      </c>
      <c r="G180" s="94">
        <f t="shared" si="51"/>
        <v>756.89354294109012</v>
      </c>
      <c r="H180" s="97">
        <f t="shared" si="52"/>
        <v>1340.6922195023653</v>
      </c>
      <c r="I180" s="94">
        <f t="shared" si="53"/>
        <v>2313.718479093267</v>
      </c>
      <c r="J180" s="95">
        <f t="shared" si="54"/>
        <v>-206.26110594534862</v>
      </c>
      <c r="K180" s="94">
        <f t="shared" si="55"/>
        <v>115.96168591368053</v>
      </c>
      <c r="L180" s="94">
        <f t="shared" si="56"/>
        <v>-1250.7268084341447</v>
      </c>
      <c r="M180" s="93">
        <f t="shared" si="57"/>
        <v>-1672.7866220658573</v>
      </c>
      <c r="N180" s="93">
        <f t="shared" si="58"/>
        <v>12523.889159571589</v>
      </c>
      <c r="O180" s="93">
        <f t="shared" si="59"/>
        <v>27212.802748797028</v>
      </c>
      <c r="P180" s="93">
        <f t="shared" si="60"/>
        <v>14563.69882528139</v>
      </c>
      <c r="Q180" s="93">
        <f t="shared" si="61"/>
        <v>2452234938674.0166</v>
      </c>
      <c r="R180" s="93">
        <f t="shared" si="62"/>
        <v>20654174821591.133</v>
      </c>
      <c r="S180" s="93">
        <f t="shared" si="63"/>
        <v>3650908656079.0708</v>
      </c>
      <c r="T180">
        <f t="shared" si="64"/>
        <v>0.5</v>
      </c>
      <c r="X180" s="99">
        <v>137</v>
      </c>
      <c r="Y180" s="99">
        <f t="shared" si="65"/>
        <v>6343.2314919041473</v>
      </c>
      <c r="Z180" s="99">
        <f t="shared" si="66"/>
        <v>10909.991800312493</v>
      </c>
      <c r="AA180" s="99">
        <f t="shared" si="67"/>
        <v>-22559.737955667097</v>
      </c>
      <c r="AB180" s="99">
        <f t="shared" si="68"/>
        <v>12386.994260218746</v>
      </c>
      <c r="AC180" s="99">
        <f t="shared" si="69"/>
        <v>-8656.7685080958527</v>
      </c>
      <c r="AD180" s="99">
        <f t="shared" si="70"/>
        <v>-11590.008199687507</v>
      </c>
    </row>
    <row r="181" spans="1:30" x14ac:dyDescent="0.25">
      <c r="A181">
        <v>69</v>
      </c>
      <c r="B181" s="95">
        <f t="shared" si="71"/>
        <v>2748.1767984183698</v>
      </c>
      <c r="C181" s="95">
        <f t="shared" si="72"/>
        <v>-3445.5168178553026</v>
      </c>
      <c r="D181" s="95">
        <f t="shared" si="73"/>
        <v>-1945.5868511126359</v>
      </c>
      <c r="E181" s="95">
        <f t="shared" si="74"/>
        <v>-218.78550562292151</v>
      </c>
      <c r="F181" s="96">
        <f t="shared" si="50"/>
        <v>-102.32096100451372</v>
      </c>
      <c r="G181" s="94">
        <f t="shared" si="51"/>
        <v>321.37639867181315</v>
      </c>
      <c r="H181" s="97">
        <f t="shared" si="52"/>
        <v>1369.1382086684273</v>
      </c>
      <c r="I181" s="94">
        <f t="shared" si="53"/>
        <v>2066.5045013342447</v>
      </c>
      <c r="J181" s="95">
        <f t="shared" si="54"/>
        <v>-215.71616819664916</v>
      </c>
      <c r="K181" s="94">
        <f t="shared" si="55"/>
        <v>127.50100340230385</v>
      </c>
      <c r="L181" s="94">
        <f t="shared" si="56"/>
        <v>-1255.7430014762917</v>
      </c>
      <c r="M181" s="93">
        <f t="shared" si="57"/>
        <v>-1872.6291060647354</v>
      </c>
      <c r="N181" s="93">
        <f t="shared" si="58"/>
        <v>13129.862076844178</v>
      </c>
      <c r="O181" s="93">
        <f t="shared" si="59"/>
        <v>26424.637559507406</v>
      </c>
      <c r="P181" s="93">
        <f t="shared" si="60"/>
        <v>13911.877130927134</v>
      </c>
      <c r="Q181" s="93">
        <f t="shared" si="61"/>
        <v>2773310776927.5845</v>
      </c>
      <c r="R181" s="93">
        <f t="shared" si="62"/>
        <v>18938982381725.637</v>
      </c>
      <c r="S181" s="93">
        <f t="shared" si="63"/>
        <v>3230705550420.3818</v>
      </c>
      <c r="T181">
        <f t="shared" si="64"/>
        <v>0.5</v>
      </c>
      <c r="X181" s="99">
        <v>138</v>
      </c>
      <c r="Y181" s="99">
        <f t="shared" si="65"/>
        <v>6284.2758726130305</v>
      </c>
      <c r="Z181" s="99">
        <f t="shared" si="66"/>
        <v>10845.653031794292</v>
      </c>
      <c r="AA181" s="99">
        <f t="shared" si="67"/>
        <v>-22601.00688917088</v>
      </c>
      <c r="AB181" s="99">
        <f t="shared" si="68"/>
        <v>12341.957122256004</v>
      </c>
      <c r="AC181" s="99">
        <f t="shared" si="69"/>
        <v>-8715.7241273869695</v>
      </c>
      <c r="AD181" s="99">
        <f t="shared" si="70"/>
        <v>-11654.346968205708</v>
      </c>
    </row>
    <row r="182" spans="1:30" x14ac:dyDescent="0.25">
      <c r="A182">
        <v>69.5</v>
      </c>
      <c r="B182" s="95">
        <f t="shared" si="71"/>
        <v>1749.8031326109235</v>
      </c>
      <c r="C182" s="95">
        <f t="shared" si="72"/>
        <v>-3474.5654709988103</v>
      </c>
      <c r="D182" s="95">
        <f t="shared" si="73"/>
        <v>-1996.7473316148928</v>
      </c>
      <c r="E182" s="95">
        <f t="shared" si="74"/>
        <v>-58.097306287014931</v>
      </c>
      <c r="F182" s="96">
        <f t="shared" si="50"/>
        <v>-60.522952821251465</v>
      </c>
      <c r="G182" s="94">
        <f t="shared" si="51"/>
        <v>-97.953637353446993</v>
      </c>
      <c r="H182" s="97">
        <f t="shared" si="52"/>
        <v>1384.6667329510587</v>
      </c>
      <c r="I182" s="94">
        <f t="shared" si="53"/>
        <v>1841.9094671972966</v>
      </c>
      <c r="J182" s="95">
        <f t="shared" si="54"/>
        <v>-226.82368469015927</v>
      </c>
      <c r="K182" s="94">
        <f t="shared" si="55"/>
        <v>140.52313812202522</v>
      </c>
      <c r="L182" s="94">
        <f t="shared" si="56"/>
        <v>-1218.3660010821509</v>
      </c>
      <c r="M182" s="93">
        <f t="shared" si="57"/>
        <v>-2080.3862426727687</v>
      </c>
      <c r="N182" s="93">
        <f t="shared" si="58"/>
        <v>13729.779154375203</v>
      </c>
      <c r="O182" s="93">
        <f t="shared" si="59"/>
        <v>25585.500795168449</v>
      </c>
      <c r="P182" s="93">
        <f t="shared" si="60"/>
        <v>13356.477208130034</v>
      </c>
      <c r="Q182" s="93">
        <f t="shared" si="61"/>
        <v>3119734789181.5967</v>
      </c>
      <c r="R182" s="93">
        <f t="shared" si="62"/>
        <v>17221051737680.318</v>
      </c>
      <c r="S182" s="93">
        <f t="shared" si="63"/>
        <v>2900761062460.3608</v>
      </c>
      <c r="T182">
        <f t="shared" si="64"/>
        <v>0.5</v>
      </c>
      <c r="X182" s="99">
        <v>139</v>
      </c>
      <c r="Y182" s="99">
        <f t="shared" si="65"/>
        <v>6226.4520988861404</v>
      </c>
      <c r="Z182" s="99">
        <f t="shared" si="66"/>
        <v>10780.295144952535</v>
      </c>
      <c r="AA182" s="99">
        <f t="shared" si="67"/>
        <v>-22641.483530779704</v>
      </c>
      <c r="AB182" s="99">
        <f t="shared" si="68"/>
        <v>12296.206601466776</v>
      </c>
      <c r="AC182" s="99">
        <f t="shared" si="69"/>
        <v>-8773.5479011138596</v>
      </c>
      <c r="AD182" s="99">
        <f t="shared" si="70"/>
        <v>-11719.704855047465</v>
      </c>
    </row>
    <row r="183" spans="1:30" x14ac:dyDescent="0.25">
      <c r="A183">
        <v>70</v>
      </c>
      <c r="B183" s="95">
        <f t="shared" si="71"/>
        <v>736.29872859816419</v>
      </c>
      <c r="C183" s="95">
        <f t="shared" si="72"/>
        <v>-3528.1025334806795</v>
      </c>
      <c r="D183" s="95">
        <f t="shared" si="73"/>
        <v>-2027.0088080255186</v>
      </c>
      <c r="E183" s="95">
        <f t="shared" si="74"/>
        <v>-107.07412496373843</v>
      </c>
      <c r="F183" s="96">
        <f t="shared" si="50"/>
        <v>-20.716710199408226</v>
      </c>
      <c r="G183" s="94">
        <f t="shared" si="51"/>
        <v>-517.56548868251821</v>
      </c>
      <c r="H183" s="97">
        <f t="shared" si="52"/>
        <v>1368.7694321942363</v>
      </c>
      <c r="I183" s="94">
        <f t="shared" si="53"/>
        <v>1629.4706835519446</v>
      </c>
      <c r="J183" s="95">
        <f t="shared" si="54"/>
        <v>-238.19883701391132</v>
      </c>
      <c r="K183" s="94">
        <f t="shared" si="55"/>
        <v>155.39794891341668</v>
      </c>
      <c r="L183" s="94">
        <f t="shared" si="56"/>
        <v>-1151.2873053797332</v>
      </c>
      <c r="M183" s="93">
        <f t="shared" si="57"/>
        <v>-2302.4341211478795</v>
      </c>
      <c r="N183" s="93">
        <f t="shared" si="58"/>
        <v>14402.611108223919</v>
      </c>
      <c r="O183" s="93">
        <f t="shared" si="59"/>
        <v>24758.910378246219</v>
      </c>
      <c r="P183" s="93">
        <f t="shared" si="60"/>
        <v>12826.127809516374</v>
      </c>
      <c r="Q183" s="93">
        <f t="shared" si="61"/>
        <v>3543666690041.9917</v>
      </c>
      <c r="R183" s="93">
        <f t="shared" si="62"/>
        <v>15634512581883.254</v>
      </c>
      <c r="S183" s="93">
        <f t="shared" si="63"/>
        <v>2608835324358.4287</v>
      </c>
      <c r="T183">
        <f t="shared" si="64"/>
        <v>0.5</v>
      </c>
      <c r="X183" s="99">
        <v>140</v>
      </c>
      <c r="Y183" s="99">
        <f t="shared" si="65"/>
        <v>6169.7777844051107</v>
      </c>
      <c r="Z183" s="99">
        <f t="shared" si="66"/>
        <v>10713.938048432698</v>
      </c>
      <c r="AA183" s="99">
        <f t="shared" si="67"/>
        <v>-22681.155550916425</v>
      </c>
      <c r="AB183" s="99">
        <f t="shared" si="68"/>
        <v>12249.756633902889</v>
      </c>
      <c r="AC183" s="99">
        <f t="shared" si="69"/>
        <v>-8830.2222155948893</v>
      </c>
      <c r="AD183" s="99">
        <f t="shared" si="70"/>
        <v>-11786.061951567302</v>
      </c>
    </row>
    <row r="184" spans="1:30" x14ac:dyDescent="0.25">
      <c r="A184">
        <v>70.5</v>
      </c>
      <c r="B184" s="95">
        <f t="shared" si="71"/>
        <v>-282.38485296444719</v>
      </c>
      <c r="C184" s="95">
        <f t="shared" si="72"/>
        <v>-3711.0309681331782</v>
      </c>
      <c r="D184" s="95">
        <f t="shared" si="73"/>
        <v>-2037.3671631252228</v>
      </c>
      <c r="E184" s="95">
        <f t="shared" si="74"/>
        <v>-365.85686930499753</v>
      </c>
      <c r="F184" s="96">
        <f t="shared" si="50"/>
        <v>-6.2615163035875412</v>
      </c>
      <c r="G184" s="94">
        <f t="shared" si="51"/>
        <v>-958.01543314438527</v>
      </c>
      <c r="H184" s="97">
        <f t="shared" si="52"/>
        <v>1311.2280043367002</v>
      </c>
      <c r="I184" s="94">
        <f t="shared" si="53"/>
        <v>1429.6506086002107</v>
      </c>
      <c r="J184" s="95">
        <f t="shared" si="54"/>
        <v>-247.71062601324817</v>
      </c>
      <c r="K184" s="94">
        <f t="shared" si="55"/>
        <v>172.25044910737742</v>
      </c>
      <c r="L184" s="94">
        <f t="shared" si="56"/>
        <v>-1069.7788946270396</v>
      </c>
      <c r="M184" s="93">
        <f t="shared" si="57"/>
        <v>-2559.9164908519733</v>
      </c>
      <c r="N184" s="93">
        <f t="shared" si="58"/>
        <v>15212.319140516145</v>
      </c>
      <c r="O184" s="93">
        <f t="shared" si="59"/>
        <v>24016.176158908249</v>
      </c>
      <c r="P184" s="93">
        <f t="shared" si="60"/>
        <v>12235.060869402629</v>
      </c>
      <c r="Q184" s="93">
        <f t="shared" si="61"/>
        <v>4105955715891.0425</v>
      </c>
      <c r="R184" s="93">
        <f t="shared" si="62"/>
        <v>14295603402241.074</v>
      </c>
      <c r="S184" s="93">
        <f t="shared" si="63"/>
        <v>2309016869876.6265</v>
      </c>
      <c r="T184">
        <f t="shared" si="64"/>
        <v>0.5</v>
      </c>
      <c r="X184" s="99">
        <v>141</v>
      </c>
      <c r="Y184" s="99">
        <f t="shared" si="65"/>
        <v>6114.2701927151465</v>
      </c>
      <c r="Z184" s="99">
        <f t="shared" si="66"/>
        <v>10646.601955249189</v>
      </c>
      <c r="AA184" s="99">
        <f t="shared" si="67"/>
        <v>-22720.010865099397</v>
      </c>
      <c r="AB184" s="99">
        <f t="shared" si="68"/>
        <v>12202.621368674432</v>
      </c>
      <c r="AC184" s="99">
        <f t="shared" si="69"/>
        <v>-8885.7298072848535</v>
      </c>
      <c r="AD184" s="99">
        <f t="shared" si="70"/>
        <v>-11853.398044750811</v>
      </c>
    </row>
    <row r="185" spans="1:30" x14ac:dyDescent="0.25">
      <c r="A185">
        <v>71</v>
      </c>
      <c r="B185" s="95">
        <f t="shared" si="71"/>
        <v>-1302.6338136029553</v>
      </c>
      <c r="C185" s="95">
        <f t="shared" si="72"/>
        <v>-4133.4632610717736</v>
      </c>
      <c r="D185" s="95">
        <f t="shared" si="73"/>
        <v>-2040.4979212770165</v>
      </c>
      <c r="E185" s="95">
        <f t="shared" si="74"/>
        <v>-844.86458587719017</v>
      </c>
      <c r="F185" s="96">
        <f t="shared" si="50"/>
        <v>-28.452519671004438</v>
      </c>
      <c r="G185" s="94">
        <f t="shared" si="51"/>
        <v>-1462.6937571238516</v>
      </c>
      <c r="H185" s="97">
        <f t="shared" si="52"/>
        <v>1210.2993257578009</v>
      </c>
      <c r="I185" s="94">
        <f t="shared" si="53"/>
        <v>1245.7249321974653</v>
      </c>
      <c r="J185" s="95">
        <f t="shared" si="54"/>
        <v>-252.31137800061646</v>
      </c>
      <c r="K185" s="94">
        <f t="shared" si="55"/>
        <v>190.72384611670674</v>
      </c>
      <c r="L185" s="94">
        <f t="shared" si="56"/>
        <v>-986.44046742818887</v>
      </c>
      <c r="M185" s="93">
        <f t="shared" si="57"/>
        <v>-2899.1425354380235</v>
      </c>
      <c r="N185" s="93">
        <f t="shared" si="58"/>
        <v>16219.956799298438</v>
      </c>
      <c r="O185" s="93">
        <f t="shared" si="59"/>
        <v>23438.137427284812</v>
      </c>
      <c r="P185" s="93">
        <f t="shared" si="60"/>
        <v>11478.333390121978</v>
      </c>
      <c r="Q185" s="93">
        <f t="shared" si="61"/>
        <v>4889736860865.3818</v>
      </c>
      <c r="R185" s="93">
        <f t="shared" si="62"/>
        <v>13308721608407.635</v>
      </c>
      <c r="S185" s="93">
        <f t="shared" si="63"/>
        <v>1962547636740.1533</v>
      </c>
      <c r="T185">
        <f t="shared" si="64"/>
        <v>0.5</v>
      </c>
      <c r="X185" s="99">
        <v>142</v>
      </c>
      <c r="Y185" s="99">
        <f t="shared" si="65"/>
        <v>6059.9462319663908</v>
      </c>
      <c r="Z185" s="99">
        <f t="shared" si="66"/>
        <v>10578.307376628292</v>
      </c>
      <c r="AA185" s="99">
        <f t="shared" si="67"/>
        <v>-22758.037637623525</v>
      </c>
      <c r="AB185" s="99">
        <f t="shared" si="68"/>
        <v>12154.815163639803</v>
      </c>
      <c r="AC185" s="99">
        <f t="shared" si="69"/>
        <v>-8940.0537680336092</v>
      </c>
      <c r="AD185" s="99">
        <f t="shared" si="70"/>
        <v>-11921.692623371708</v>
      </c>
    </row>
    <row r="186" spans="1:30" x14ac:dyDescent="0.25">
      <c r="A186">
        <v>71.5</v>
      </c>
      <c r="B186" s="95">
        <f t="shared" si="71"/>
        <v>-2329.9959041592147</v>
      </c>
      <c r="C186" s="95">
        <f t="shared" si="72"/>
        <v>-4921.5689932913319</v>
      </c>
      <c r="D186" s="95">
        <f t="shared" si="73"/>
        <v>-2054.7241811125186</v>
      </c>
      <c r="E186" s="95">
        <f t="shared" si="74"/>
        <v>-1576.2114644391158</v>
      </c>
      <c r="F186" s="96">
        <f t="shared" si="50"/>
        <v>-81.741560476415202</v>
      </c>
      <c r="G186" s="94">
        <f t="shared" si="51"/>
        <v>-2125.4808887773524</v>
      </c>
      <c r="H186" s="97">
        <f t="shared" si="52"/>
        <v>1070.4881552673601</v>
      </c>
      <c r="I186" s="94">
        <f t="shared" si="53"/>
        <v>1078.4385153501325</v>
      </c>
      <c r="J186" s="95">
        <f t="shared" si="54"/>
        <v>-247.96529512379303</v>
      </c>
      <c r="K186" s="94">
        <f t="shared" si="55"/>
        <v>209.39617439038668</v>
      </c>
      <c r="L186" s="94">
        <f t="shared" si="56"/>
        <v>-904.26442061998227</v>
      </c>
      <c r="M186" s="93">
        <f t="shared" si="57"/>
        <v>-3413.3155785178719</v>
      </c>
      <c r="N186" s="93">
        <f t="shared" si="58"/>
        <v>17502.119164594889</v>
      </c>
      <c r="O186" s="93">
        <f t="shared" si="59"/>
        <v>23127.521829382917</v>
      </c>
      <c r="P186" s="93">
        <f t="shared" si="60"/>
        <v>10426.106340757955</v>
      </c>
      <c r="Q186" s="93">
        <f t="shared" si="61"/>
        <v>6030866130356.5674</v>
      </c>
      <c r="R186" s="93">
        <f t="shared" si="62"/>
        <v>12797893467872.682</v>
      </c>
      <c r="S186" s="93">
        <f t="shared" si="63"/>
        <v>1546019995419.2305</v>
      </c>
      <c r="T186">
        <f t="shared" si="64"/>
        <v>0.5</v>
      </c>
      <c r="X186" s="99">
        <v>143</v>
      </c>
      <c r="Y186" s="99">
        <f t="shared" si="65"/>
        <v>6006.8224497635347</v>
      </c>
      <c r="Z186" s="99">
        <f t="shared" si="66"/>
        <v>10509.075115760241</v>
      </c>
      <c r="AA186" s="99">
        <f t="shared" si="67"/>
        <v>-22795.224285165525</v>
      </c>
      <c r="AB186" s="99">
        <f t="shared" si="68"/>
        <v>12106.352581032168</v>
      </c>
      <c r="AC186" s="99">
        <f t="shared" si="69"/>
        <v>-8993.1775502364653</v>
      </c>
      <c r="AD186" s="99">
        <f t="shared" si="70"/>
        <v>-11990.924884239759</v>
      </c>
    </row>
    <row r="187" spans="1:30" x14ac:dyDescent="0.25">
      <c r="A187">
        <v>72</v>
      </c>
      <c r="B187" s="95">
        <f t="shared" si="71"/>
        <v>-3377.7933848345779</v>
      </c>
      <c r="C187" s="95">
        <f t="shared" si="72"/>
        <v>-6241.044947705228</v>
      </c>
      <c r="D187" s="95">
        <f t="shared" si="73"/>
        <v>-2095.5949613507264</v>
      </c>
      <c r="E187" s="95">
        <f t="shared" si="74"/>
        <v>-2638.9519088277921</v>
      </c>
      <c r="F187" s="96">
        <f t="shared" si="50"/>
        <v>-126.98294406665309</v>
      </c>
      <c r="G187" s="94">
        <f t="shared" si="51"/>
        <v>-3153.3980262271207</v>
      </c>
      <c r="H187" s="97">
        <f t="shared" si="52"/>
        <v>899.82133153769087</v>
      </c>
      <c r="I187" s="94">
        <f t="shared" si="53"/>
        <v>924.25447201031579</v>
      </c>
      <c r="J187" s="95">
        <f t="shared" si="54"/>
        <v>-229.98319186583797</v>
      </c>
      <c r="K187" s="94">
        <f t="shared" si="55"/>
        <v>224.7094770739991</v>
      </c>
      <c r="L187" s="94">
        <f t="shared" si="56"/>
        <v>-796.82108373850599</v>
      </c>
      <c r="M187" s="93">
        <f t="shared" si="57"/>
        <v>-4302.3619753114353</v>
      </c>
      <c r="N187" s="93">
        <f t="shared" si="58"/>
        <v>19177.634684761808</v>
      </c>
      <c r="O187" s="93">
        <f t="shared" si="59"/>
        <v>23239.390993540055</v>
      </c>
      <c r="P187" s="93">
        <f t="shared" si="60"/>
        <v>8907.9092895250433</v>
      </c>
      <c r="Q187" s="93">
        <f t="shared" si="61"/>
        <v>7784430076286.7666</v>
      </c>
      <c r="R187" s="93">
        <f t="shared" si="62"/>
        <v>12980317681329.787</v>
      </c>
      <c r="S187" s="93">
        <f t="shared" si="63"/>
        <v>1065967523704.2546</v>
      </c>
      <c r="T187">
        <f t="shared" si="64"/>
        <v>0.5</v>
      </c>
      <c r="X187" s="99">
        <v>144</v>
      </c>
      <c r="Y187" s="99">
        <f t="shared" si="65"/>
        <v>5954.9150281252632</v>
      </c>
      <c r="Z187" s="99">
        <f t="shared" si="66"/>
        <v>10438.926261462366</v>
      </c>
      <c r="AA187" s="99">
        <f t="shared" si="67"/>
        <v>-22831.559480312317</v>
      </c>
      <c r="AB187" s="99">
        <f t="shared" si="68"/>
        <v>12057.248383023656</v>
      </c>
      <c r="AC187" s="99">
        <f t="shared" si="69"/>
        <v>-9045.0849718747377</v>
      </c>
      <c r="AD187" s="99">
        <f t="shared" si="70"/>
        <v>-12061.073738537634</v>
      </c>
    </row>
    <row r="188" spans="1:30" x14ac:dyDescent="0.25">
      <c r="A188">
        <v>72.5</v>
      </c>
      <c r="B188" s="95">
        <f t="shared" si="71"/>
        <v>-4457.3366015266047</v>
      </c>
      <c r="C188" s="95">
        <f t="shared" si="72"/>
        <v>-8348.8704086759044</v>
      </c>
      <c r="D188" s="95">
        <f t="shared" si="73"/>
        <v>-2159.0864333840527</v>
      </c>
      <c r="E188" s="95">
        <f t="shared" si="74"/>
        <v>-4215.6509219413529</v>
      </c>
      <c r="F188" s="96">
        <f t="shared" si="50"/>
        <v>23.68724336964965</v>
      </c>
      <c r="G188" s="94">
        <f t="shared" si="51"/>
        <v>-5000.3353828602349</v>
      </c>
      <c r="H188" s="97">
        <f t="shared" si="52"/>
        <v>708.27842837521143</v>
      </c>
      <c r="I188" s="94">
        <f t="shared" si="53"/>
        <v>776.45096977226308</v>
      </c>
      <c r="J188" s="95">
        <f t="shared" si="54"/>
        <v>-194.52809775397031</v>
      </c>
      <c r="K188" s="94">
        <f t="shared" si="55"/>
        <v>229.64988464489448</v>
      </c>
      <c r="L188" s="94">
        <f t="shared" si="56"/>
        <v>-490.06308725159147</v>
      </c>
      <c r="M188" s="93">
        <f t="shared" si="57"/>
        <v>-6006.4362372773921</v>
      </c>
      <c r="N188" s="93">
        <f t="shared" si="58"/>
        <v>21452.302320283565</v>
      </c>
      <c r="O188" s="93">
        <f t="shared" si="59"/>
        <v>24046.942233735805</v>
      </c>
      <c r="P188" s="93">
        <f t="shared" si="60"/>
        <v>6673.2307321588787</v>
      </c>
      <c r="Q188" s="93">
        <f t="shared" si="61"/>
        <v>10687666657216.99</v>
      </c>
      <c r="R188" s="93">
        <f t="shared" si="62"/>
        <v>14349469456065.742</v>
      </c>
      <c r="S188" s="93">
        <f t="shared" si="63"/>
        <v>579798598168.66626</v>
      </c>
      <c r="T188">
        <f t="shared" si="64"/>
        <v>0.5</v>
      </c>
      <c r="X188" s="99">
        <v>145</v>
      </c>
      <c r="Y188" s="99">
        <f t="shared" si="65"/>
        <v>5904.239778555042</v>
      </c>
      <c r="Z188" s="99">
        <f t="shared" si="66"/>
        <v>10367.882181755233</v>
      </c>
      <c r="AA188" s="99">
        <f t="shared" si="67"/>
        <v>-22867.032155011471</v>
      </c>
      <c r="AB188" s="99">
        <f t="shared" si="68"/>
        <v>12007.517527228661</v>
      </c>
      <c r="AC188" s="99">
        <f t="shared" si="69"/>
        <v>-9095.760221444958</v>
      </c>
      <c r="AD188" s="99">
        <f t="shared" si="70"/>
        <v>-12132.117818244767</v>
      </c>
    </row>
    <row r="189" spans="1:30" x14ac:dyDescent="0.25">
      <c r="A189">
        <v>73</v>
      </c>
      <c r="B189" s="95">
        <f t="shared" si="71"/>
        <v>-5530.958007376219</v>
      </c>
      <c r="C189" s="95">
        <f t="shared" si="72"/>
        <v>-11706.779715361639</v>
      </c>
      <c r="D189" s="95">
        <f t="shared" si="73"/>
        <v>-2147.2428116992278</v>
      </c>
      <c r="E189" s="95">
        <f t="shared" si="74"/>
        <v>-6715.8186133714698</v>
      </c>
      <c r="F189" s="96">
        <f t="shared" si="50"/>
        <v>1645.8489898342532</v>
      </c>
      <c r="G189" s="94">
        <f t="shared" si="51"/>
        <v>-7098.7549650408364</v>
      </c>
      <c r="H189" s="97">
        <f t="shared" si="52"/>
        <v>508.06861843089325</v>
      </c>
      <c r="I189" s="94">
        <f t="shared" si="53"/>
        <v>628.31681277199334</v>
      </c>
      <c r="J189" s="95">
        <f t="shared" si="54"/>
        <v>-142.50578365626117</v>
      </c>
      <c r="K189" s="94">
        <f t="shared" si="55"/>
        <v>213.79035706499496</v>
      </c>
      <c r="L189" s="94">
        <f t="shared" si="56"/>
        <v>1280.2861550596213</v>
      </c>
      <c r="M189" s="93">
        <f t="shared" si="57"/>
        <v>-7940.8621348778242</v>
      </c>
      <c r="N189" s="93">
        <f t="shared" si="58"/>
        <v>24700.425981373497</v>
      </c>
      <c r="O189" s="93">
        <f t="shared" si="59"/>
        <v>26087.112944815221</v>
      </c>
      <c r="P189" s="93">
        <f t="shared" si="60"/>
        <v>3335.7482292209183</v>
      </c>
      <c r="Q189" s="93">
        <f t="shared" si="61"/>
        <v>16005693525503.355</v>
      </c>
      <c r="R189" s="93">
        <f t="shared" si="62"/>
        <v>18234759036618.691</v>
      </c>
      <c r="S189" s="93">
        <f t="shared" si="63"/>
        <v>217145957142.17834</v>
      </c>
      <c r="T189">
        <f t="shared" si="64"/>
        <v>0.5</v>
      </c>
      <c r="X189" s="99">
        <v>146</v>
      </c>
      <c r="Y189" s="99">
        <f t="shared" si="65"/>
        <v>5854.8121372247915</v>
      </c>
      <c r="Z189" s="99">
        <f t="shared" si="66"/>
        <v>10295.964517353736</v>
      </c>
      <c r="AA189" s="99">
        <f t="shared" si="67"/>
        <v>-22901.631503942644</v>
      </c>
      <c r="AB189" s="99">
        <f t="shared" si="68"/>
        <v>11957.175162147614</v>
      </c>
      <c r="AC189" s="99">
        <f t="shared" si="69"/>
        <v>-9145.1878627752085</v>
      </c>
      <c r="AD189" s="99">
        <f t="shared" si="70"/>
        <v>-12204.035482646264</v>
      </c>
    </row>
    <row r="190" spans="1:30" x14ac:dyDescent="0.25">
      <c r="A190">
        <v>73.5</v>
      </c>
      <c r="B190" s="95">
        <f t="shared" si="71"/>
        <v>-6193.1171657672694</v>
      </c>
      <c r="C190" s="95">
        <f t="shared" si="72"/>
        <v>-16839.377763307584</v>
      </c>
      <c r="D190" s="95">
        <f t="shared" si="73"/>
        <v>-1324.3183167821012</v>
      </c>
      <c r="E190" s="95">
        <f t="shared" si="74"/>
        <v>-10265.196095891888</v>
      </c>
      <c r="F190" s="96">
        <f t="shared" si="50"/>
        <v>4075.5162861311592</v>
      </c>
      <c r="G190" s="94">
        <f t="shared" si="51"/>
        <v>6578.6111293943668</v>
      </c>
      <c r="H190" s="97">
        <f t="shared" si="52"/>
        <v>325.00099793621087</v>
      </c>
      <c r="I190" s="94">
        <f t="shared" si="53"/>
        <v>488.4990321038398</v>
      </c>
      <c r="J190" s="95">
        <f t="shared" si="54"/>
        <v>-88.393831335843046</v>
      </c>
      <c r="K190" s="94">
        <f t="shared" si="55"/>
        <v>171.8299097379591</v>
      </c>
      <c r="L190" s="94">
        <f t="shared" si="56"/>
        <v>3838.9091195307915</v>
      </c>
      <c r="M190" s="93">
        <f t="shared" si="57"/>
        <v>5918.2821875525678</v>
      </c>
      <c r="N190" s="93">
        <f t="shared" si="58"/>
        <v>29233.924701436485</v>
      </c>
      <c r="O190" s="93">
        <f t="shared" si="59"/>
        <v>30182.481878065628</v>
      </c>
      <c r="P190" s="93">
        <f t="shared" si="60"/>
        <v>2192.450484594563</v>
      </c>
      <c r="Q190" s="93">
        <f t="shared" si="61"/>
        <v>26088216266891.84</v>
      </c>
      <c r="R190" s="93">
        <f t="shared" si="62"/>
        <v>28052167501855.875</v>
      </c>
      <c r="S190" s="93">
        <f t="shared" si="63"/>
        <v>162732346010.16296</v>
      </c>
      <c r="T190">
        <f t="shared" si="64"/>
        <v>0.5</v>
      </c>
      <c r="X190" s="99">
        <v>147</v>
      </c>
      <c r="Y190" s="99">
        <f t="shared" si="65"/>
        <v>5806.6471602728789</v>
      </c>
      <c r="Z190" s="99">
        <f t="shared" si="66"/>
        <v>10223.195175075136</v>
      </c>
      <c r="AA190" s="99">
        <f t="shared" si="67"/>
        <v>-22935.346987808985</v>
      </c>
      <c r="AB190" s="99">
        <f t="shared" si="68"/>
        <v>11906.236622552595</v>
      </c>
      <c r="AC190" s="99">
        <f t="shared" si="69"/>
        <v>-9193.352839727122</v>
      </c>
      <c r="AD190" s="99">
        <f t="shared" si="70"/>
        <v>-12276.804824924864</v>
      </c>
    </row>
    <row r="191" spans="1:30" x14ac:dyDescent="0.25">
      <c r="A191">
        <v>74</v>
      </c>
      <c r="B191" s="95">
        <f t="shared" si="71"/>
        <v>-5836.3972526255302</v>
      </c>
      <c r="C191" s="95">
        <f t="shared" si="72"/>
        <v>-20327.323028904935</v>
      </c>
      <c r="D191" s="95">
        <f t="shared" si="73"/>
        <v>713.4398262834784</v>
      </c>
      <c r="E191" s="95">
        <f t="shared" si="74"/>
        <v>-6975.8905311947046</v>
      </c>
      <c r="F191" s="96">
        <f t="shared" si="50"/>
        <v>1278.0984312434439</v>
      </c>
      <c r="G191" s="94">
        <f t="shared" si="51"/>
        <v>7584.8401786693421</v>
      </c>
      <c r="H191" s="97">
        <f t="shared" si="52"/>
        <v>243.65601977926272</v>
      </c>
      <c r="I191" s="94">
        <f t="shared" si="53"/>
        <v>428.14629250416681</v>
      </c>
      <c r="J191" s="95">
        <f t="shared" si="54"/>
        <v>-66.734321350688688</v>
      </c>
      <c r="K191" s="94">
        <f t="shared" si="55"/>
        <v>142.89255049124083</v>
      </c>
      <c r="L191" s="94">
        <f t="shared" si="56"/>
        <v>1101.1767328148699</v>
      </c>
      <c r="M191" s="93">
        <f t="shared" si="57"/>
        <v>7013.8013356739348</v>
      </c>
      <c r="N191" s="93">
        <f t="shared" si="58"/>
        <v>32017.985334776899</v>
      </c>
      <c r="O191" s="93">
        <f t="shared" si="59"/>
        <v>33471.691993160151</v>
      </c>
      <c r="P191" s="93">
        <f t="shared" si="60"/>
        <v>5392.5811091257947</v>
      </c>
      <c r="Q191" s="93">
        <f t="shared" si="61"/>
        <v>34031247078873.555</v>
      </c>
      <c r="R191" s="93">
        <f t="shared" si="62"/>
        <v>38116870044153.648</v>
      </c>
      <c r="S191" s="93">
        <f t="shared" si="63"/>
        <v>397698720230.89203</v>
      </c>
      <c r="T191">
        <f t="shared" si="64"/>
        <v>0.5</v>
      </c>
      <c r="X191" s="99">
        <v>148</v>
      </c>
      <c r="Y191" s="99">
        <f t="shared" si="65"/>
        <v>5759.7595192178705</v>
      </c>
      <c r="Z191" s="99">
        <f t="shared" si="66"/>
        <v>10149.596321166024</v>
      </c>
      <c r="AA191" s="99">
        <f t="shared" si="67"/>
        <v>-22968.168336547489</v>
      </c>
      <c r="AB191" s="99">
        <f t="shared" si="68"/>
        <v>11854.717424816217</v>
      </c>
      <c r="AC191" s="99">
        <f t="shared" si="69"/>
        <v>-9240.2404807821295</v>
      </c>
      <c r="AD191" s="99">
        <f t="shared" si="70"/>
        <v>-12350.403678833976</v>
      </c>
    </row>
    <row r="192" spans="1:30" x14ac:dyDescent="0.25">
      <c r="A192">
        <v>74.5</v>
      </c>
      <c r="B192" s="95">
        <f t="shared" si="71"/>
        <v>-5160.1527316729298</v>
      </c>
      <c r="C192" s="95">
        <f t="shared" si="72"/>
        <v>-21919.05824983495</v>
      </c>
      <c r="D192" s="95">
        <f t="shared" si="73"/>
        <v>1352.4890419052003</v>
      </c>
      <c r="E192" s="95">
        <f t="shared" si="74"/>
        <v>-3183.4704418600336</v>
      </c>
      <c r="F192" s="96">
        <f t="shared" si="50"/>
        <v>286.20093037733773</v>
      </c>
      <c r="G192" s="94">
        <f t="shared" si="51"/>
        <v>6360.8368932268486</v>
      </c>
      <c r="H192" s="97">
        <f t="shared" si="52"/>
        <v>211.68699172151631</v>
      </c>
      <c r="I192" s="94">
        <f t="shared" si="53"/>
        <v>410.78952504064881</v>
      </c>
      <c r="J192" s="95">
        <f t="shared" si="54"/>
        <v>-60.211769186778646</v>
      </c>
      <c r="K192" s="94">
        <f t="shared" si="55"/>
        <v>129.50961915223706</v>
      </c>
      <c r="L192" s="94">
        <f t="shared" si="56"/>
        <v>134.72570784260006</v>
      </c>
      <c r="M192" s="93">
        <f t="shared" si="57"/>
        <v>5820.5377490339624</v>
      </c>
      <c r="N192" s="93">
        <f t="shared" si="58"/>
        <v>33095.486386436933</v>
      </c>
      <c r="O192" s="93">
        <f t="shared" si="59"/>
        <v>35200.104353590075</v>
      </c>
      <c r="P192" s="93">
        <f t="shared" si="60"/>
        <v>6920.9114979221767</v>
      </c>
      <c r="Q192" s="93">
        <f t="shared" si="61"/>
        <v>37497993351569.43</v>
      </c>
      <c r="R192" s="93">
        <f t="shared" si="62"/>
        <v>44262993861398.102</v>
      </c>
      <c r="S192" s="93">
        <f t="shared" si="63"/>
        <v>622418509098.78003</v>
      </c>
      <c r="T192">
        <f t="shared" si="64"/>
        <v>0.5</v>
      </c>
      <c r="X192" s="99">
        <v>149</v>
      </c>
      <c r="Y192" s="99">
        <f t="shared" si="65"/>
        <v>5714.1634964894392</v>
      </c>
      <c r="Z192" s="99">
        <f t="shared" si="66"/>
        <v>10075.190374550271</v>
      </c>
      <c r="AA192" s="99">
        <f t="shared" si="67"/>
        <v>-23000.085552457393</v>
      </c>
      <c r="AB192" s="99">
        <f t="shared" si="68"/>
        <v>11802.633262185191</v>
      </c>
      <c r="AC192" s="99">
        <f t="shared" si="69"/>
        <v>-9285.8365035105599</v>
      </c>
      <c r="AD192" s="99">
        <f t="shared" si="70"/>
        <v>-12424.809625449729</v>
      </c>
    </row>
    <row r="193" spans="1:30" x14ac:dyDescent="0.25">
      <c r="A193">
        <v>75</v>
      </c>
      <c r="B193" s="95">
        <f t="shared" si="71"/>
        <v>-4412.357978125995</v>
      </c>
      <c r="C193" s="95">
        <f t="shared" si="72"/>
        <v>-21920.584247458253</v>
      </c>
      <c r="D193" s="95">
        <f t="shared" si="73"/>
        <v>1495.5895070938691</v>
      </c>
      <c r="E193" s="95">
        <f t="shared" si="74"/>
        <v>-3.0519952466092946</v>
      </c>
      <c r="F193" s="96">
        <f t="shared" si="50"/>
        <v>-345.12049176584617</v>
      </c>
      <c r="G193" s="94">
        <f t="shared" si="51"/>
        <v>6330.5114621997463</v>
      </c>
      <c r="H193" s="97">
        <f t="shared" si="52"/>
        <v>207.32897154177275</v>
      </c>
      <c r="I193" s="94">
        <f t="shared" si="53"/>
        <v>423.22980621500881</v>
      </c>
      <c r="J193" s="95">
        <f t="shared" si="54"/>
        <v>-61.552146987585552</v>
      </c>
      <c r="K193" s="94">
        <f t="shared" si="55"/>
        <v>126.04731945806805</v>
      </c>
      <c r="L193" s="94">
        <f t="shared" si="56"/>
        <v>-490.89731632003333</v>
      </c>
      <c r="M193" s="93">
        <f t="shared" si="57"/>
        <v>5781.2343365266697</v>
      </c>
      <c r="N193" s="93">
        <f t="shared" si="58"/>
        <v>32761.056758771392</v>
      </c>
      <c r="O193" s="93">
        <f t="shared" si="59"/>
        <v>35523.207660643093</v>
      </c>
      <c r="P193" s="93">
        <f t="shared" si="60"/>
        <v>6945.4884257364856</v>
      </c>
      <c r="Q193" s="93">
        <f t="shared" si="61"/>
        <v>36397677250382.313</v>
      </c>
      <c r="R193" s="93">
        <f t="shared" si="62"/>
        <v>45480995254577.133</v>
      </c>
      <c r="S193" s="93">
        <f t="shared" si="63"/>
        <v>626788195645.26733</v>
      </c>
      <c r="T193">
        <f t="shared" si="64"/>
        <v>0.5</v>
      </c>
      <c r="X193" s="99">
        <v>150</v>
      </c>
      <c r="Y193" s="99">
        <f t="shared" si="65"/>
        <v>5669.8729810778068</v>
      </c>
      <c r="Z193" s="99">
        <f t="shared" si="66"/>
        <v>10000</v>
      </c>
      <c r="AA193" s="99">
        <f t="shared" si="67"/>
        <v>-23031.088913245534</v>
      </c>
      <c r="AB193" s="99">
        <f t="shared" si="68"/>
        <v>11750</v>
      </c>
      <c r="AC193" s="99">
        <f t="shared" si="69"/>
        <v>-9330.1270189221941</v>
      </c>
      <c r="AD193" s="99">
        <f t="shared" si="70"/>
        <v>-12500</v>
      </c>
    </row>
    <row r="194" spans="1:30" x14ac:dyDescent="0.25">
      <c r="A194">
        <v>75.5</v>
      </c>
      <c r="B194" s="95">
        <f t="shared" si="71"/>
        <v>-3750.843347520522</v>
      </c>
      <c r="C194" s="95">
        <f t="shared" si="72"/>
        <v>-20339.482379531622</v>
      </c>
      <c r="D194" s="95">
        <f t="shared" si="73"/>
        <v>1323.0292612109461</v>
      </c>
      <c r="E194" s="95">
        <f t="shared" si="74"/>
        <v>3162.2037358532639</v>
      </c>
      <c r="F194" s="96">
        <f t="shared" si="50"/>
        <v>-1439.4718380798861</v>
      </c>
      <c r="G194" s="94">
        <f t="shared" si="51"/>
        <v>7441.1911766677713</v>
      </c>
      <c r="H194" s="97">
        <f t="shared" si="52"/>
        <v>231.44769167182153</v>
      </c>
      <c r="I194" s="94">
        <f t="shared" si="53"/>
        <v>468.58100054225253</v>
      </c>
      <c r="J194" s="95">
        <f t="shared" si="54"/>
        <v>-70.486819895145189</v>
      </c>
      <c r="K194" s="94">
        <f t="shared" si="55"/>
        <v>131.60889982998935</v>
      </c>
      <c r="L194" s="94">
        <f t="shared" si="56"/>
        <v>-1600.4327098565625</v>
      </c>
      <c r="M194" s="93">
        <f t="shared" si="57"/>
        <v>6841.0012762955294</v>
      </c>
      <c r="N194" s="93">
        <f t="shared" si="58"/>
        <v>31050.321607485825</v>
      </c>
      <c r="O194" s="93">
        <f t="shared" si="59"/>
        <v>34416.845918455801</v>
      </c>
      <c r="P194" s="93">
        <f t="shared" si="60"/>
        <v>5483.6542946982363</v>
      </c>
      <c r="Q194" s="93">
        <f t="shared" si="61"/>
        <v>31108215805473.684</v>
      </c>
      <c r="R194" s="93">
        <f t="shared" si="62"/>
        <v>41401459441028.297</v>
      </c>
      <c r="S194" s="93">
        <f t="shared" si="63"/>
        <v>408675035033.08411</v>
      </c>
      <c r="T194">
        <f t="shared" si="64"/>
        <v>0.5</v>
      </c>
      <c r="X194" s="99">
        <v>151</v>
      </c>
      <c r="Y194" s="99">
        <f t="shared" si="65"/>
        <v>5626.9014643030214</v>
      </c>
      <c r="Z194" s="99">
        <f t="shared" si="66"/>
        <v>9924.048101231685</v>
      </c>
      <c r="AA194" s="99">
        <f t="shared" si="67"/>
        <v>-23061.168974987886</v>
      </c>
      <c r="AB194" s="99">
        <f t="shared" si="68"/>
        <v>11696.833670862179</v>
      </c>
      <c r="AC194" s="99">
        <f t="shared" si="69"/>
        <v>-9373.0985356969795</v>
      </c>
      <c r="AD194" s="99">
        <f t="shared" si="70"/>
        <v>-12575.951898768315</v>
      </c>
    </row>
    <row r="195" spans="1:30" x14ac:dyDescent="0.25">
      <c r="A195">
        <v>76</v>
      </c>
      <c r="B195" s="95">
        <f t="shared" si="71"/>
        <v>-3449.1966764350204</v>
      </c>
      <c r="C195" s="95">
        <f t="shared" si="72"/>
        <v>-16898.08271743805</v>
      </c>
      <c r="D195" s="95">
        <f t="shared" si="73"/>
        <v>603.29334217100302</v>
      </c>
      <c r="E195" s="95">
        <f t="shared" si="74"/>
        <v>6882.79932418715</v>
      </c>
      <c r="F195" s="96">
        <f t="shared" si="50"/>
        <v>-4484.8393624978044</v>
      </c>
      <c r="G195" s="94">
        <f t="shared" si="51"/>
        <v>6469.7752807491843</v>
      </c>
      <c r="H195" s="97">
        <f t="shared" si="52"/>
        <v>310.54631572344584</v>
      </c>
      <c r="I195" s="94">
        <f t="shared" si="53"/>
        <v>563.35964748673973</v>
      </c>
      <c r="J195" s="95">
        <f t="shared" si="54"/>
        <v>-92.647211894430356</v>
      </c>
      <c r="K195" s="94">
        <f t="shared" si="55"/>
        <v>150.56866548152686</v>
      </c>
      <c r="L195" s="94">
        <f t="shared" si="56"/>
        <v>-4702.7384663268194</v>
      </c>
      <c r="M195" s="93">
        <f t="shared" si="57"/>
        <v>5755.846967780918</v>
      </c>
      <c r="N195" s="93">
        <f t="shared" si="58"/>
        <v>27859.420875681892</v>
      </c>
      <c r="O195" s="93">
        <f t="shared" si="59"/>
        <v>31582.209304123564</v>
      </c>
      <c r="P195" s="93">
        <f t="shared" si="60"/>
        <v>2451.0628206182719</v>
      </c>
      <c r="Q195" s="93">
        <f t="shared" si="61"/>
        <v>22676111600799.859</v>
      </c>
      <c r="R195" s="93">
        <f t="shared" si="62"/>
        <v>32083332041170.602</v>
      </c>
      <c r="S195" s="93">
        <f t="shared" si="63"/>
        <v>172665081680.93512</v>
      </c>
      <c r="T195">
        <f t="shared" si="64"/>
        <v>0.5</v>
      </c>
      <c r="X195" s="99">
        <v>152</v>
      </c>
      <c r="Y195" s="99">
        <f t="shared" si="65"/>
        <v>5585.2620357053665</v>
      </c>
      <c r="Z195" s="99">
        <f t="shared" si="66"/>
        <v>9847.357813929455</v>
      </c>
      <c r="AA195" s="99">
        <f t="shared" si="67"/>
        <v>-23090.316575006244</v>
      </c>
      <c r="AB195" s="99">
        <f t="shared" si="68"/>
        <v>11643.150469750619</v>
      </c>
      <c r="AC195" s="99">
        <f t="shared" si="69"/>
        <v>-9414.7379642946325</v>
      </c>
      <c r="AD195" s="99">
        <f t="shared" si="70"/>
        <v>-12652.642186070545</v>
      </c>
    </row>
    <row r="196" spans="1:30" x14ac:dyDescent="0.25">
      <c r="A196">
        <v>76.5</v>
      </c>
      <c r="B196" s="95">
        <f t="shared" si="71"/>
        <v>-4268.7598459739702</v>
      </c>
      <c r="C196" s="95">
        <f t="shared" si="72"/>
        <v>-11839.239235157178</v>
      </c>
      <c r="D196" s="95">
        <f t="shared" si="73"/>
        <v>-1639.126339077899</v>
      </c>
      <c r="E196" s="95">
        <f t="shared" si="74"/>
        <v>10117.686964561743</v>
      </c>
      <c r="F196" s="96">
        <f t="shared" si="50"/>
        <v>-1444.4836517939902</v>
      </c>
      <c r="G196" s="94">
        <f t="shared" si="51"/>
        <v>-6935.352780534733</v>
      </c>
      <c r="H196" s="97">
        <f t="shared" si="52"/>
        <v>505.05326111789014</v>
      </c>
      <c r="I196" s="94">
        <f t="shared" si="53"/>
        <v>684.5266125921313</v>
      </c>
      <c r="J196" s="95">
        <f t="shared" si="54"/>
        <v>-141.30008924215457</v>
      </c>
      <c r="K196" s="94">
        <f t="shared" si="55"/>
        <v>196.16294854660362</v>
      </c>
      <c r="L196" s="94">
        <f t="shared" si="56"/>
        <v>-1808.2368236697257</v>
      </c>
      <c r="M196" s="93">
        <f t="shared" si="57"/>
        <v>-7816.0423416734675</v>
      </c>
      <c r="N196" s="93">
        <f t="shared" si="58"/>
        <v>24033.386813695692</v>
      </c>
      <c r="O196" s="93">
        <f t="shared" si="59"/>
        <v>26915.131193328216</v>
      </c>
      <c r="P196" s="93">
        <f t="shared" si="60"/>
        <v>3244.2442533554395</v>
      </c>
      <c r="Q196" s="93">
        <f t="shared" si="61"/>
        <v>14792707541619.512</v>
      </c>
      <c r="R196" s="93">
        <f t="shared" si="62"/>
        <v>19994625181920.18</v>
      </c>
      <c r="S196" s="93">
        <f t="shared" si="63"/>
        <v>211740212512.27048</v>
      </c>
      <c r="T196">
        <f t="shared" si="64"/>
        <v>0.5</v>
      </c>
      <c r="X196" s="99">
        <v>153</v>
      </c>
      <c r="Y196" s="99">
        <f t="shared" si="65"/>
        <v>5544.967379058161</v>
      </c>
      <c r="Z196" s="99">
        <f t="shared" si="66"/>
        <v>9769.952498697734</v>
      </c>
      <c r="AA196" s="99">
        <f t="shared" si="67"/>
        <v>-23118.522834659288</v>
      </c>
      <c r="AB196" s="99">
        <f t="shared" si="68"/>
        <v>11588.966749088413</v>
      </c>
      <c r="AC196" s="99">
        <f t="shared" si="69"/>
        <v>-9455.0326209418381</v>
      </c>
      <c r="AD196" s="99">
        <f t="shared" si="70"/>
        <v>-12730.047501302266</v>
      </c>
    </row>
    <row r="197" spans="1:30" x14ac:dyDescent="0.25">
      <c r="A197">
        <v>77</v>
      </c>
      <c r="B197" s="95">
        <f t="shared" si="71"/>
        <v>-5449.4439284614173</v>
      </c>
      <c r="C197" s="95">
        <f t="shared" si="72"/>
        <v>-8514.2339480099909</v>
      </c>
      <c r="D197" s="95">
        <f t="shared" si="73"/>
        <v>-2361.3681649748942</v>
      </c>
      <c r="E197" s="95">
        <f t="shared" si="74"/>
        <v>6650.0105742943761</v>
      </c>
      <c r="F197" s="96">
        <f t="shared" si="50"/>
        <v>914.78150609472846</v>
      </c>
      <c r="G197" s="94">
        <f t="shared" si="51"/>
        <v>-5202.0992156007178</v>
      </c>
      <c r="H197" s="97">
        <f t="shared" si="52"/>
        <v>681.91435681998303</v>
      </c>
      <c r="I197" s="94">
        <f t="shared" si="53"/>
        <v>706.84330731827879</v>
      </c>
      <c r="J197" s="95">
        <f t="shared" si="54"/>
        <v>-193.68240345456235</v>
      </c>
      <c r="K197" s="94">
        <f t="shared" si="55"/>
        <v>246.44290648003073</v>
      </c>
      <c r="L197" s="94">
        <f t="shared" si="56"/>
        <v>426.54955272930772</v>
      </c>
      <c r="M197" s="93">
        <f t="shared" si="57"/>
        <v>-6155.3854293990271</v>
      </c>
      <c r="N197" s="93">
        <f t="shared" si="58"/>
        <v>22251.764124227746</v>
      </c>
      <c r="O197" s="93">
        <f t="shared" si="59"/>
        <v>23547.728991829212</v>
      </c>
      <c r="P197" s="93">
        <f t="shared" si="60"/>
        <v>6501.3199525924665</v>
      </c>
      <c r="Q197" s="93">
        <f t="shared" si="61"/>
        <v>11862647917167.182</v>
      </c>
      <c r="R197" s="93">
        <f t="shared" si="62"/>
        <v>13492181272812.053</v>
      </c>
      <c r="S197" s="93">
        <f t="shared" si="63"/>
        <v>551702115584.7489</v>
      </c>
      <c r="T197">
        <f t="shared" si="64"/>
        <v>0.5</v>
      </c>
      <c r="X197" s="99">
        <v>154</v>
      </c>
      <c r="Y197" s="99">
        <f t="shared" si="65"/>
        <v>5506.0297685041651</v>
      </c>
      <c r="Z197" s="99">
        <f t="shared" si="66"/>
        <v>9691.8557339453873</v>
      </c>
      <c r="AA197" s="99">
        <f t="shared" si="67"/>
        <v>-23145.779162047085</v>
      </c>
      <c r="AB197" s="99">
        <f t="shared" si="68"/>
        <v>11534.299013761771</v>
      </c>
      <c r="AC197" s="99">
        <f t="shared" si="69"/>
        <v>-9493.970231495834</v>
      </c>
      <c r="AD197" s="99">
        <f t="shared" si="70"/>
        <v>-12808.144266054613</v>
      </c>
    </row>
    <row r="198" spans="1:30" x14ac:dyDescent="0.25">
      <c r="A198">
        <v>77.5</v>
      </c>
      <c r="B198" s="95">
        <f t="shared" si="71"/>
        <v>-6401.4326344251822</v>
      </c>
      <c r="C198" s="95">
        <f t="shared" si="72"/>
        <v>-6489.7534647629818</v>
      </c>
      <c r="D198" s="95">
        <f t="shared" si="73"/>
        <v>-1903.9774119275298</v>
      </c>
      <c r="E198" s="95">
        <f t="shared" si="74"/>
        <v>4048.9609664940172</v>
      </c>
      <c r="F198" s="96">
        <f t="shared" si="50"/>
        <v>1292.6112223667205</v>
      </c>
      <c r="G198" s="94">
        <f t="shared" si="51"/>
        <v>-3529.752098312309</v>
      </c>
      <c r="H198" s="97">
        <f t="shared" si="52"/>
        <v>792.42539847481669</v>
      </c>
      <c r="I198" s="94">
        <f t="shared" si="53"/>
        <v>675.90656322369352</v>
      </c>
      <c r="J198" s="95">
        <f t="shared" si="54"/>
        <v>-240.38720793982162</v>
      </c>
      <c r="K198" s="94">
        <f t="shared" si="55"/>
        <v>291.49583838112017</v>
      </c>
      <c r="L198" s="94">
        <f t="shared" si="56"/>
        <v>740.57303183172553</v>
      </c>
      <c r="M198" s="93">
        <f t="shared" si="57"/>
        <v>-4497.1544999171228</v>
      </c>
      <c r="N198" s="93">
        <f t="shared" si="58"/>
        <v>21557.369841110838</v>
      </c>
      <c r="O198" s="93">
        <f t="shared" si="59"/>
        <v>21373.652091412434</v>
      </c>
      <c r="P198" s="93">
        <f t="shared" si="60"/>
        <v>8624.8657681928926</v>
      </c>
      <c r="Q198" s="93">
        <f t="shared" si="61"/>
        <v>10837323061542.336</v>
      </c>
      <c r="R198" s="93">
        <f t="shared" si="62"/>
        <v>10159551734262.539</v>
      </c>
      <c r="S198" s="93">
        <f t="shared" si="63"/>
        <v>990838688324.33606</v>
      </c>
      <c r="T198">
        <f t="shared" si="64"/>
        <v>0.5</v>
      </c>
      <c r="X198" s="99">
        <v>155</v>
      </c>
      <c r="Y198" s="99">
        <f t="shared" si="65"/>
        <v>5468.46106481675</v>
      </c>
      <c r="Z198" s="99">
        <f t="shared" si="66"/>
        <v>9613.0913087034969</v>
      </c>
      <c r="AA198" s="99">
        <f t="shared" si="67"/>
        <v>-23172.077254628275</v>
      </c>
      <c r="AB198" s="99">
        <f t="shared" si="68"/>
        <v>11479.163916092448</v>
      </c>
      <c r="AC198" s="99">
        <f t="shared" si="69"/>
        <v>-9531.5389351832491</v>
      </c>
      <c r="AD198" s="99">
        <f t="shared" si="70"/>
        <v>-12886.908691296503</v>
      </c>
    </row>
    <row r="199" spans="1:30" x14ac:dyDescent="0.25">
      <c r="A199">
        <v>78</v>
      </c>
      <c r="B199" s="95">
        <f t="shared" si="71"/>
        <v>-7030.2685347972674</v>
      </c>
      <c r="C199" s="95">
        <f t="shared" si="72"/>
        <v>-5347.7110060940504</v>
      </c>
      <c r="D199" s="95">
        <f t="shared" si="73"/>
        <v>-1257.6718007441696</v>
      </c>
      <c r="E199" s="95">
        <f t="shared" si="74"/>
        <v>2284.0849173378629</v>
      </c>
      <c r="F199" s="96">
        <f t="shared" si="50"/>
        <v>1359.2590420901865</v>
      </c>
      <c r="G199" s="94">
        <f t="shared" si="51"/>
        <v>-2772.8944818975956</v>
      </c>
      <c r="H199" s="97">
        <f t="shared" si="52"/>
        <v>847.6783175095353</v>
      </c>
      <c r="I199" s="94">
        <f t="shared" si="53"/>
        <v>639.49232669126502</v>
      </c>
      <c r="J199" s="95">
        <f t="shared" si="54"/>
        <v>-274.51015406287513</v>
      </c>
      <c r="K199" s="94">
        <f t="shared" si="55"/>
        <v>324.84115219339321</v>
      </c>
      <c r="L199" s="94">
        <f t="shared" si="56"/>
        <v>786.09087864352625</v>
      </c>
      <c r="M199" s="93">
        <f t="shared" si="57"/>
        <v>-3737.2279607822538</v>
      </c>
      <c r="N199" s="93">
        <f t="shared" si="58"/>
        <v>21332.925829885968</v>
      </c>
      <c r="O199" s="93">
        <f t="shared" si="59"/>
        <v>20093.933597134492</v>
      </c>
      <c r="P199" s="93">
        <f t="shared" si="60"/>
        <v>9863.5020730603483</v>
      </c>
      <c r="Q199" s="93">
        <f t="shared" si="61"/>
        <v>10519353354617.068</v>
      </c>
      <c r="R199" s="93">
        <f t="shared" si="62"/>
        <v>8485263102937.7686</v>
      </c>
      <c r="S199" s="93">
        <f t="shared" si="63"/>
        <v>1352319620843.3145</v>
      </c>
      <c r="T199">
        <f t="shared" si="64"/>
        <v>0.5</v>
      </c>
      <c r="X199" s="99">
        <v>156</v>
      </c>
      <c r="Y199" s="99">
        <f t="shared" si="65"/>
        <v>5432.2727117869963</v>
      </c>
      <c r="Z199" s="99">
        <f t="shared" si="66"/>
        <v>9533.6832153790019</v>
      </c>
      <c r="AA199" s="99">
        <f t="shared" si="67"/>
        <v>-23197.409101749101</v>
      </c>
      <c r="AB199" s="99">
        <f t="shared" si="68"/>
        <v>11423.578250765302</v>
      </c>
      <c r="AC199" s="99">
        <f t="shared" si="69"/>
        <v>-9567.7272882130037</v>
      </c>
      <c r="AD199" s="99">
        <f t="shared" si="70"/>
        <v>-12966.316784620998</v>
      </c>
    </row>
    <row r="200" spans="1:30" x14ac:dyDescent="0.25">
      <c r="A200">
        <v>78.5</v>
      </c>
      <c r="B200" s="95">
        <f t="shared" si="71"/>
        <v>-7319.2896746468059</v>
      </c>
      <c r="C200" s="95">
        <f t="shared" si="72"/>
        <v>-4898.8921678995175</v>
      </c>
      <c r="D200" s="95">
        <f t="shared" si="73"/>
        <v>-578.04227969907629</v>
      </c>
      <c r="E200" s="95">
        <f t="shared" si="74"/>
        <v>897.63767638906506</v>
      </c>
      <c r="F200" s="96">
        <f t="shared" si="50"/>
        <v>1372.8055083659683</v>
      </c>
      <c r="G200" s="94">
        <f t="shared" si="51"/>
        <v>-2510.5227105912445</v>
      </c>
      <c r="H200" s="97">
        <f t="shared" si="52"/>
        <v>865.85810765171925</v>
      </c>
      <c r="I200" s="94">
        <f t="shared" si="53"/>
        <v>619.8684536809177</v>
      </c>
      <c r="J200" s="95">
        <f t="shared" si="54"/>
        <v>-290.06510763886735</v>
      </c>
      <c r="K200" s="94">
        <f t="shared" si="55"/>
        <v>340.80494305915636</v>
      </c>
      <c r="L200" s="94">
        <f t="shared" si="56"/>
        <v>797.01250835311623</v>
      </c>
      <c r="M200" s="93">
        <f t="shared" si="57"/>
        <v>-3471.1961073313187</v>
      </c>
      <c r="N200" s="93">
        <f t="shared" si="58"/>
        <v>21300.007554588508</v>
      </c>
      <c r="O200" s="93">
        <f t="shared" si="59"/>
        <v>19564.697855735383</v>
      </c>
      <c r="P200" s="93">
        <f t="shared" si="60"/>
        <v>10363.951178515123</v>
      </c>
      <c r="Q200" s="93">
        <f t="shared" si="61"/>
        <v>10473262059613.309</v>
      </c>
      <c r="R200" s="93">
        <f t="shared" si="62"/>
        <v>7851286656856.1152</v>
      </c>
      <c r="S200" s="93">
        <f t="shared" si="63"/>
        <v>1523661449695.6111</v>
      </c>
      <c r="T200">
        <f t="shared" si="64"/>
        <v>0.5</v>
      </c>
      <c r="X200" s="99">
        <v>157</v>
      </c>
      <c r="Y200" s="99">
        <f t="shared" si="65"/>
        <v>5397.4757327377993</v>
      </c>
      <c r="Z200" s="99">
        <f t="shared" si="66"/>
        <v>9453.6556424463706</v>
      </c>
      <c r="AA200" s="99">
        <f t="shared" si="67"/>
        <v>-23221.766987083542</v>
      </c>
      <c r="AB200" s="99">
        <f t="shared" si="68"/>
        <v>11367.55894971246</v>
      </c>
      <c r="AC200" s="99">
        <f t="shared" si="69"/>
        <v>-9602.5242672622007</v>
      </c>
      <c r="AD200" s="99">
        <f t="shared" si="70"/>
        <v>-13046.344357553629</v>
      </c>
    </row>
    <row r="201" spans="1:30" x14ac:dyDescent="0.25">
      <c r="A201">
        <v>79</v>
      </c>
      <c r="B201" s="95">
        <f t="shared" si="71"/>
        <v>-7265.1094374048525</v>
      </c>
      <c r="C201" s="95">
        <f t="shared" si="72"/>
        <v>-5077.704007352796</v>
      </c>
      <c r="D201" s="95">
        <f t="shared" si="73"/>
        <v>108.36047448390786</v>
      </c>
      <c r="E201" s="95">
        <f t="shared" si="74"/>
        <v>-357.62367890655719</v>
      </c>
      <c r="F201" s="96">
        <f t="shared" si="50"/>
        <v>1385.5957792203517</v>
      </c>
      <c r="G201" s="94">
        <f t="shared" si="51"/>
        <v>-2603.183832035932</v>
      </c>
      <c r="H201" s="97">
        <f t="shared" si="52"/>
        <v>856.1850887102006</v>
      </c>
      <c r="I201" s="94">
        <f t="shared" si="53"/>
        <v>623.73439683940308</v>
      </c>
      <c r="J201" s="95">
        <f t="shared" si="54"/>
        <v>-284.00792879269233</v>
      </c>
      <c r="K201" s="94">
        <f t="shared" si="55"/>
        <v>336.25632391809967</v>
      </c>
      <c r="L201" s="94">
        <f t="shared" si="56"/>
        <v>813.41861930284335</v>
      </c>
      <c r="M201" s="93">
        <f t="shared" si="57"/>
        <v>-3563.1745527934345</v>
      </c>
      <c r="N201" s="93">
        <f t="shared" si="58"/>
        <v>21360.773440635166</v>
      </c>
      <c r="O201" s="93">
        <f t="shared" si="59"/>
        <v>19736.124132529607</v>
      </c>
      <c r="P201" s="93">
        <f t="shared" si="60"/>
        <v>10177.557591540481</v>
      </c>
      <c r="Q201" s="93">
        <f t="shared" si="61"/>
        <v>10558453167660.395</v>
      </c>
      <c r="R201" s="93">
        <f t="shared" si="62"/>
        <v>8052996214099.9902</v>
      </c>
      <c r="S201" s="93">
        <f t="shared" si="63"/>
        <v>1458054315301.7871</v>
      </c>
      <c r="T201">
        <f t="shared" si="64"/>
        <v>0.5</v>
      </c>
      <c r="X201" s="99">
        <v>158</v>
      </c>
      <c r="Y201" s="99">
        <f t="shared" si="65"/>
        <v>5364.0807271660633</v>
      </c>
      <c r="Z201" s="99">
        <f t="shared" si="66"/>
        <v>9373.0329670795618</v>
      </c>
      <c r="AA201" s="99">
        <f t="shared" si="67"/>
        <v>-23245.143490983755</v>
      </c>
      <c r="AB201" s="99">
        <f t="shared" si="68"/>
        <v>11311.123076955693</v>
      </c>
      <c r="AC201" s="99">
        <f t="shared" si="69"/>
        <v>-9635.9192728339367</v>
      </c>
      <c r="AD201" s="99">
        <f t="shared" si="70"/>
        <v>-13126.967032920438</v>
      </c>
    </row>
    <row r="202" spans="1:30" x14ac:dyDescent="0.25">
      <c r="A202">
        <v>79.5</v>
      </c>
      <c r="B202" s="95">
        <f t="shared" si="71"/>
        <v>-6864.5302553578103</v>
      </c>
      <c r="C202" s="95">
        <f t="shared" si="72"/>
        <v>-5907.3118048150573</v>
      </c>
      <c r="D202" s="95">
        <f t="shared" si="73"/>
        <v>801.15836409408371</v>
      </c>
      <c r="E202" s="95">
        <f t="shared" si="74"/>
        <v>-1659.2155949245232</v>
      </c>
      <c r="F202" s="96">
        <f t="shared" si="50"/>
        <v>1391.7539357009241</v>
      </c>
      <c r="G202" s="94">
        <f t="shared" si="51"/>
        <v>-3101.9238317937156</v>
      </c>
      <c r="H202" s="97">
        <f t="shared" si="52"/>
        <v>816.17876743824365</v>
      </c>
      <c r="I202" s="94">
        <f t="shared" si="53"/>
        <v>648.8626162615875</v>
      </c>
      <c r="J202" s="95">
        <f t="shared" si="54"/>
        <v>-257.49892089385315</v>
      </c>
      <c r="K202" s="94">
        <f t="shared" si="55"/>
        <v>311.83624976432139</v>
      </c>
      <c r="L202" s="94">
        <f t="shared" si="56"/>
        <v>833.07408915653355</v>
      </c>
      <c r="M202" s="93">
        <f t="shared" si="57"/>
        <v>-4062.6226978196246</v>
      </c>
      <c r="N202" s="93">
        <f t="shared" si="58"/>
        <v>21544.567541851757</v>
      </c>
      <c r="O202" s="93">
        <f t="shared" si="59"/>
        <v>20629.666363468383</v>
      </c>
      <c r="P202" s="93">
        <f t="shared" si="60"/>
        <v>9281.8883686456975</v>
      </c>
      <c r="Q202" s="93">
        <f t="shared" si="61"/>
        <v>10819011404157.801</v>
      </c>
      <c r="R202" s="93">
        <f t="shared" si="62"/>
        <v>9161423034340.1582</v>
      </c>
      <c r="S202" s="93">
        <f t="shared" si="63"/>
        <v>1171883475285.8264</v>
      </c>
      <c r="T202">
        <f t="shared" si="64"/>
        <v>0.5</v>
      </c>
      <c r="X202" s="99">
        <v>159</v>
      </c>
      <c r="Y202" s="99">
        <f t="shared" si="65"/>
        <v>5332.0978675139913</v>
      </c>
      <c r="Z202" s="99">
        <f t="shared" si="66"/>
        <v>9291.8397477265007</v>
      </c>
      <c r="AA202" s="99">
        <f t="shared" si="67"/>
        <v>-23267.531492740207</v>
      </c>
      <c r="AB202" s="99">
        <f t="shared" si="68"/>
        <v>11254.287823408551</v>
      </c>
      <c r="AC202" s="99">
        <f t="shared" si="69"/>
        <v>-9667.9021324860078</v>
      </c>
      <c r="AD202" s="99">
        <f t="shared" si="70"/>
        <v>-13208.160252273499</v>
      </c>
    </row>
    <row r="203" spans="1:30" x14ac:dyDescent="0.25">
      <c r="A203">
        <v>80</v>
      </c>
      <c r="B203" s="95">
        <f t="shared" si="71"/>
        <v>-6116.0125893855375</v>
      </c>
      <c r="C203" s="95">
        <f t="shared" si="72"/>
        <v>-7512.4005602257475</v>
      </c>
      <c r="D203" s="95">
        <f t="shared" si="73"/>
        <v>1497.0353319445458</v>
      </c>
      <c r="E203" s="95">
        <f t="shared" si="74"/>
        <v>-3210.177510821381</v>
      </c>
      <c r="F203" s="96">
        <f t="shared" si="50"/>
        <v>1299.5401960139916</v>
      </c>
      <c r="G203" s="94">
        <f t="shared" si="51"/>
        <v>-4296.0664439205348</v>
      </c>
      <c r="H203" s="97">
        <f t="shared" si="52"/>
        <v>732.44622977162157</v>
      </c>
      <c r="I203" s="94">
        <f t="shared" si="53"/>
        <v>682.28888065034505</v>
      </c>
      <c r="J203" s="95">
        <f t="shared" si="54"/>
        <v>-215.41936678982086</v>
      </c>
      <c r="K203" s="94">
        <f t="shared" si="55"/>
        <v>271.71662780170834</v>
      </c>
      <c r="L203" s="94">
        <f t="shared" si="56"/>
        <v>782.51333303219099</v>
      </c>
      <c r="M203" s="93">
        <f t="shared" si="57"/>
        <v>-5250.0719523725884</v>
      </c>
      <c r="N203" s="93">
        <f t="shared" si="58"/>
        <v>22024.941143210792</v>
      </c>
      <c r="O203" s="93">
        <f t="shared" si="59"/>
        <v>22348.361904173107</v>
      </c>
      <c r="P203" s="93">
        <f t="shared" si="60"/>
        <v>7570.3123759970904</v>
      </c>
      <c r="Q203" s="93">
        <f t="shared" si="61"/>
        <v>11520742569676.584</v>
      </c>
      <c r="R203" s="93">
        <f t="shared" si="62"/>
        <v>11575032219779.32</v>
      </c>
      <c r="S203" s="93">
        <f t="shared" si="63"/>
        <v>746751270154.41638</v>
      </c>
      <c r="T203">
        <f t="shared" si="64"/>
        <v>0.5</v>
      </c>
      <c r="X203" s="99">
        <v>160</v>
      </c>
      <c r="Y203" s="99">
        <f t="shared" si="65"/>
        <v>5301.5368960704582</v>
      </c>
      <c r="Z203" s="99">
        <f t="shared" si="66"/>
        <v>9210.1007166283453</v>
      </c>
      <c r="AA203" s="99">
        <f t="shared" si="67"/>
        <v>-23288.924172750678</v>
      </c>
      <c r="AB203" s="99">
        <f t="shared" si="68"/>
        <v>11197.070501639841</v>
      </c>
      <c r="AC203" s="99">
        <f t="shared" si="69"/>
        <v>-9698.4631039295418</v>
      </c>
      <c r="AD203" s="99">
        <f t="shared" si="70"/>
        <v>-13289.899283371655</v>
      </c>
    </row>
    <row r="204" spans="1:30" x14ac:dyDescent="0.25">
      <c r="A204">
        <v>80.5</v>
      </c>
      <c r="B204" s="95">
        <f t="shared" si="71"/>
        <v>-5042.6098744097671</v>
      </c>
      <c r="C204" s="95">
        <f t="shared" si="72"/>
        <v>-10191.505926616572</v>
      </c>
      <c r="D204" s="95">
        <f t="shared" si="73"/>
        <v>2146.8054299515416</v>
      </c>
      <c r="E204" s="95">
        <f t="shared" si="74"/>
        <v>-5358.2107327816484</v>
      </c>
      <c r="F204" s="96">
        <f t="shared" si="50"/>
        <v>489.94895336609562</v>
      </c>
      <c r="G204" s="94">
        <f t="shared" si="51"/>
        <v>-6628.6160177889178</v>
      </c>
      <c r="H204" s="97">
        <f t="shared" si="52"/>
        <v>587.613760450379</v>
      </c>
      <c r="I204" s="94">
        <f t="shared" si="53"/>
        <v>691.08834253917883</v>
      </c>
      <c r="J204" s="95">
        <f t="shared" si="54"/>
        <v>-164.49519833821185</v>
      </c>
      <c r="K204" s="94">
        <f t="shared" si="55"/>
        <v>222.0578419268119</v>
      </c>
      <c r="L204" s="94">
        <f t="shared" si="56"/>
        <v>66.830391253928425</v>
      </c>
      <c r="M204" s="93">
        <f t="shared" si="57"/>
        <v>-7541.7622022549085</v>
      </c>
      <c r="N204" s="93">
        <f t="shared" si="58"/>
        <v>23222.176766728811</v>
      </c>
      <c r="O204" s="93">
        <f t="shared" si="59"/>
        <v>25128.080526647798</v>
      </c>
      <c r="P204" s="93">
        <f t="shared" si="60"/>
        <v>4808.6828607385587</v>
      </c>
      <c r="Q204" s="93">
        <f t="shared" si="61"/>
        <v>13403859205078.889</v>
      </c>
      <c r="R204" s="93">
        <f t="shared" si="62"/>
        <v>16330344190061.672</v>
      </c>
      <c r="S204" s="93">
        <f t="shared" si="63"/>
        <v>333837310402.39734</v>
      </c>
      <c r="T204">
        <f t="shared" si="64"/>
        <v>0.5</v>
      </c>
      <c r="X204" s="99">
        <v>161</v>
      </c>
      <c r="Y204" s="99">
        <f t="shared" si="65"/>
        <v>5272.4071220034166</v>
      </c>
      <c r="Z204" s="99">
        <f t="shared" si="66"/>
        <v>9127.8407722857846</v>
      </c>
      <c r="AA204" s="99">
        <f t="shared" si="67"/>
        <v>-23309.315014597611</v>
      </c>
      <c r="AB204" s="99">
        <f t="shared" si="68"/>
        <v>11139.48854060005</v>
      </c>
      <c r="AC204" s="99">
        <f t="shared" si="69"/>
        <v>-9727.5928779965834</v>
      </c>
      <c r="AD204" s="99">
        <f t="shared" si="70"/>
        <v>-13372.159227714215</v>
      </c>
    </row>
    <row r="205" spans="1:30" x14ac:dyDescent="0.25">
      <c r="A205">
        <v>81</v>
      </c>
      <c r="B205" s="95">
        <f t="shared" si="71"/>
        <v>-3846.7199210924723</v>
      </c>
      <c r="C205" s="95">
        <f t="shared" si="72"/>
        <v>-14527.765297454625</v>
      </c>
      <c r="D205" s="95">
        <f t="shared" si="73"/>
        <v>2391.7799066345892</v>
      </c>
      <c r="E205" s="95">
        <f t="shared" si="74"/>
        <v>-8672.5187416761073</v>
      </c>
      <c r="F205" s="96">
        <f t="shared" si="50"/>
        <v>-4135.5678979606046</v>
      </c>
      <c r="G205" s="94">
        <f t="shared" si="51"/>
        <v>-1016.6938451965979</v>
      </c>
      <c r="H205" s="97">
        <f t="shared" si="52"/>
        <v>389.83646543323289</v>
      </c>
      <c r="I205" s="94">
        <f t="shared" si="53"/>
        <v>620.16320210765321</v>
      </c>
      <c r="J205" s="95">
        <f t="shared" si="54"/>
        <v>-112.12383757457741</v>
      </c>
      <c r="K205" s="94">
        <f t="shared" si="55"/>
        <v>170.25317203966634</v>
      </c>
      <c r="L205" s="94">
        <f t="shared" si="56"/>
        <v>-4413.2805258192602</v>
      </c>
      <c r="M205" s="93">
        <f t="shared" si="57"/>
        <v>-1807.1102193439174</v>
      </c>
      <c r="N205" s="93">
        <f t="shared" si="58"/>
        <v>26018.341541553436</v>
      </c>
      <c r="O205" s="93">
        <f t="shared" si="59"/>
        <v>29369.026674281362</v>
      </c>
      <c r="P205" s="93">
        <f t="shared" si="60"/>
        <v>1246.2185019863377</v>
      </c>
      <c r="Q205" s="93">
        <f t="shared" si="61"/>
        <v>18597864077900.934</v>
      </c>
      <c r="R205" s="93">
        <f t="shared" si="62"/>
        <v>25873519708030.547</v>
      </c>
      <c r="S205" s="93">
        <f t="shared" si="63"/>
        <v>136827023277.83572</v>
      </c>
      <c r="T205">
        <f t="shared" si="64"/>
        <v>0.5</v>
      </c>
      <c r="X205" s="99">
        <v>162</v>
      </c>
      <c r="Y205" s="99">
        <f t="shared" si="65"/>
        <v>5244.717418524232</v>
      </c>
      <c r="Z205" s="99">
        <f t="shared" si="66"/>
        <v>9045.0849718747377</v>
      </c>
      <c r="AA205" s="99">
        <f t="shared" si="67"/>
        <v>-23328.697807033037</v>
      </c>
      <c r="AB205" s="99">
        <f t="shared" si="68"/>
        <v>11081.559480312317</v>
      </c>
      <c r="AC205" s="99">
        <f t="shared" si="69"/>
        <v>-9755.2825814757671</v>
      </c>
      <c r="AD205" s="99">
        <f t="shared" si="70"/>
        <v>-13454.915028125262</v>
      </c>
    </row>
    <row r="206" spans="1:30" x14ac:dyDescent="0.25">
      <c r="A206">
        <v>81.5</v>
      </c>
      <c r="B206" s="95">
        <f t="shared" si="71"/>
        <v>-3684.7219422653288</v>
      </c>
      <c r="C206" s="95">
        <f t="shared" si="72"/>
        <v>-19118.19812959183</v>
      </c>
      <c r="D206" s="95">
        <f t="shared" si="73"/>
        <v>323.99595765428694</v>
      </c>
      <c r="E206" s="95">
        <f t="shared" si="74"/>
        <v>-9180.8656642744063</v>
      </c>
      <c r="F206" s="96">
        <f t="shared" si="50"/>
        <v>-2205.8687919623799</v>
      </c>
      <c r="G206" s="94">
        <f t="shared" si="51"/>
        <v>8104.0461852680219</v>
      </c>
      <c r="H206" s="97">
        <f t="shared" si="52"/>
        <v>256.44047508634355</v>
      </c>
      <c r="I206" s="94">
        <f t="shared" si="53"/>
        <v>498.80322034259746</v>
      </c>
      <c r="J206" s="95">
        <f t="shared" si="54"/>
        <v>-77.517830116693517</v>
      </c>
      <c r="K206" s="94">
        <f t="shared" si="55"/>
        <v>138.34759836310909</v>
      </c>
      <c r="L206" s="94">
        <f t="shared" si="56"/>
        <v>-2384.7914369320297</v>
      </c>
      <c r="M206" s="93">
        <f t="shared" si="57"/>
        <v>7466.8953665623158</v>
      </c>
      <c r="N206" s="93">
        <f t="shared" si="58"/>
        <v>29929.919583976905</v>
      </c>
      <c r="O206" s="93">
        <f t="shared" si="59"/>
        <v>33377.503807435387</v>
      </c>
      <c r="P206" s="93">
        <f t="shared" si="60"/>
        <v>4323.1368476757634</v>
      </c>
      <c r="Q206" s="93">
        <f t="shared" si="61"/>
        <v>27941391275931.539</v>
      </c>
      <c r="R206" s="93">
        <f t="shared" si="62"/>
        <v>37799461664348.719</v>
      </c>
      <c r="S206" s="93">
        <f t="shared" si="63"/>
        <v>288779123379.92468</v>
      </c>
      <c r="T206">
        <f t="shared" si="64"/>
        <v>0.5</v>
      </c>
      <c r="X206" s="99">
        <v>163</v>
      </c>
      <c r="Y206" s="99">
        <f t="shared" si="65"/>
        <v>5218.4762201848225</v>
      </c>
      <c r="Z206" s="99">
        <f t="shared" si="66"/>
        <v>8961.858523613686</v>
      </c>
      <c r="AA206" s="99">
        <f t="shared" si="67"/>
        <v>-23347.066645870626</v>
      </c>
      <c r="AB206" s="99">
        <f t="shared" si="68"/>
        <v>11023.300966529579</v>
      </c>
      <c r="AC206" s="99">
        <f t="shared" si="69"/>
        <v>-9781.5237798151775</v>
      </c>
      <c r="AD206" s="99">
        <f t="shared" si="70"/>
        <v>-13538.141476386314</v>
      </c>
    </row>
    <row r="207" spans="1:30" x14ac:dyDescent="0.25">
      <c r="A207">
        <v>82</v>
      </c>
      <c r="B207" s="95">
        <f t="shared" si="71"/>
        <v>-4074.1911614287801</v>
      </c>
      <c r="C207" s="95">
        <f t="shared" si="72"/>
        <v>-21682.619415412028</v>
      </c>
      <c r="D207" s="95">
        <f t="shared" si="73"/>
        <v>-778.938438326903</v>
      </c>
      <c r="E207" s="95">
        <f t="shared" si="74"/>
        <v>-5128.8425716403954</v>
      </c>
      <c r="F207" s="96">
        <f t="shared" si="50"/>
        <v>-672.71402552349309</v>
      </c>
      <c r="G207" s="94">
        <f t="shared" si="51"/>
        <v>6468.651394947643</v>
      </c>
      <c r="H207" s="97">
        <f t="shared" si="52"/>
        <v>209.16367546141953</v>
      </c>
      <c r="I207" s="94">
        <f t="shared" si="53"/>
        <v>433.69767161097042</v>
      </c>
      <c r="J207" s="95">
        <f t="shared" si="54"/>
        <v>-63.220521896510988</v>
      </c>
      <c r="K207" s="94">
        <f t="shared" si="55"/>
        <v>125.77017310667269</v>
      </c>
      <c r="L207" s="94">
        <f t="shared" si="56"/>
        <v>-818.65717908840168</v>
      </c>
      <c r="M207" s="93">
        <f t="shared" si="57"/>
        <v>5909.18355023</v>
      </c>
      <c r="N207" s="93">
        <f t="shared" si="58"/>
        <v>32399.199570255172</v>
      </c>
      <c r="O207" s="93">
        <f t="shared" si="59"/>
        <v>35460.115061637298</v>
      </c>
      <c r="P207" s="93">
        <f t="shared" si="60"/>
        <v>6746.4453052565668</v>
      </c>
      <c r="Q207" s="93">
        <f t="shared" si="61"/>
        <v>35231878782985.773</v>
      </c>
      <c r="R207" s="93">
        <f t="shared" si="62"/>
        <v>45241413374045.375</v>
      </c>
      <c r="S207" s="93">
        <f t="shared" si="63"/>
        <v>592131097969.18848</v>
      </c>
      <c r="T207">
        <f t="shared" si="64"/>
        <v>0.5</v>
      </c>
      <c r="X207" s="99">
        <v>164</v>
      </c>
      <c r="Y207" s="99">
        <f t="shared" si="65"/>
        <v>5193.6915203084063</v>
      </c>
      <c r="Z207" s="99">
        <f t="shared" si="66"/>
        <v>8878.1867790849974</v>
      </c>
      <c r="AA207" s="99">
        <f t="shared" si="67"/>
        <v>-23364.415935784116</v>
      </c>
      <c r="AB207" s="99">
        <f t="shared" si="68"/>
        <v>10964.730745359499</v>
      </c>
      <c r="AC207" s="99">
        <f t="shared" si="69"/>
        <v>-9806.3084796915937</v>
      </c>
      <c r="AD207" s="99">
        <f t="shared" si="70"/>
        <v>-13621.813220915003</v>
      </c>
    </row>
    <row r="208" spans="1:30" x14ac:dyDescent="0.25">
      <c r="A208">
        <v>82.5</v>
      </c>
      <c r="B208" s="95">
        <f t="shared" si="71"/>
        <v>-4631.8388869731043</v>
      </c>
      <c r="C208" s="95">
        <f t="shared" si="72"/>
        <v>-22629.877852495316</v>
      </c>
      <c r="D208" s="95">
        <f t="shared" si="73"/>
        <v>-1115.2954510886495</v>
      </c>
      <c r="E208" s="95">
        <f t="shared" si="74"/>
        <v>-1894.5168741665739</v>
      </c>
      <c r="F208" s="96">
        <f t="shared" si="50"/>
        <v>-114.0787500845301</v>
      </c>
      <c r="G208" s="94">
        <f t="shared" si="51"/>
        <v>5779.2490205412678</v>
      </c>
      <c r="H208" s="97">
        <f t="shared" si="52"/>
        <v>197.24638950246691</v>
      </c>
      <c r="I208" s="94">
        <f t="shared" si="53"/>
        <v>406.16970077808696</v>
      </c>
      <c r="J208" s="95">
        <f t="shared" si="54"/>
        <v>-58.002731492329865</v>
      </c>
      <c r="K208" s="94">
        <f t="shared" si="55"/>
        <v>123.15214746815198</v>
      </c>
      <c r="L208" s="94">
        <f t="shared" si="56"/>
        <v>-253.32240809466714</v>
      </c>
      <c r="M208" s="93">
        <f t="shared" si="57"/>
        <v>5249.9271722950289</v>
      </c>
      <c r="N208" s="93">
        <f t="shared" si="58"/>
        <v>33494.779423376211</v>
      </c>
      <c r="O208" s="93">
        <f t="shared" si="59"/>
        <v>36067.843083066618</v>
      </c>
      <c r="P208" s="93">
        <f t="shared" si="60"/>
        <v>7638.7550457613006</v>
      </c>
      <c r="Q208" s="93">
        <f t="shared" si="61"/>
        <v>38840827177092.008</v>
      </c>
      <c r="R208" s="93">
        <f t="shared" si="62"/>
        <v>47584575696465.742</v>
      </c>
      <c r="S208" s="93">
        <f t="shared" si="63"/>
        <v>760961927741.31287</v>
      </c>
      <c r="T208">
        <f t="shared" si="64"/>
        <v>0.5</v>
      </c>
      <c r="X208" s="99">
        <v>165</v>
      </c>
      <c r="Y208" s="99">
        <f t="shared" si="65"/>
        <v>5170.370868554659</v>
      </c>
      <c r="Z208" s="99">
        <f t="shared" si="66"/>
        <v>8794.0952255126049</v>
      </c>
      <c r="AA208" s="99">
        <f t="shared" si="67"/>
        <v>-23380.740392011739</v>
      </c>
      <c r="AB208" s="99">
        <f t="shared" si="68"/>
        <v>10905.866657858824</v>
      </c>
      <c r="AC208" s="99">
        <f t="shared" si="69"/>
        <v>-9829.629131445341</v>
      </c>
      <c r="AD208" s="99">
        <f t="shared" si="70"/>
        <v>-13705.904774487395</v>
      </c>
    </row>
    <row r="209" spans="1:30" x14ac:dyDescent="0.25">
      <c r="A209">
        <v>83</v>
      </c>
      <c r="B209" s="95">
        <f t="shared" si="71"/>
        <v>-5218.0063000385617</v>
      </c>
      <c r="C209" s="95">
        <f t="shared" si="72"/>
        <v>-22132.324034443289</v>
      </c>
      <c r="D209" s="95">
        <f t="shared" si="73"/>
        <v>-1172.3348261309145</v>
      </c>
      <c r="E209" s="95">
        <f t="shared" si="74"/>
        <v>995.10763610406002</v>
      </c>
      <c r="F209" s="96">
        <f t="shared" si="50"/>
        <v>321.91349640029455</v>
      </c>
      <c r="G209" s="94">
        <f t="shared" si="51"/>
        <v>6180.1517195202141</v>
      </c>
      <c r="H209" s="97">
        <f t="shared" si="52"/>
        <v>208.47616955485017</v>
      </c>
      <c r="I209" s="94">
        <f t="shared" si="53"/>
        <v>405.94236116811226</v>
      </c>
      <c r="J209" s="95">
        <f t="shared" si="54"/>
        <v>-59.128260504265718</v>
      </c>
      <c r="K209" s="94">
        <f t="shared" si="55"/>
        <v>128.52991718708401</v>
      </c>
      <c r="L209" s="94">
        <f t="shared" si="56"/>
        <v>172.56558734971009</v>
      </c>
      <c r="M209" s="93">
        <f t="shared" si="57"/>
        <v>5645.679441165018</v>
      </c>
      <c r="N209" s="93">
        <f t="shared" si="58"/>
        <v>33311.594729617173</v>
      </c>
      <c r="O209" s="93">
        <f t="shared" si="59"/>
        <v>35369.387690489661</v>
      </c>
      <c r="P209" s="93">
        <f t="shared" si="60"/>
        <v>7135.6550420514232</v>
      </c>
      <c r="Q209" s="93">
        <f t="shared" si="61"/>
        <v>38220816713782.578</v>
      </c>
      <c r="R209" s="93">
        <f t="shared" si="62"/>
        <v>44898378060075.305</v>
      </c>
      <c r="S209" s="93">
        <f t="shared" si="63"/>
        <v>661475057257.979</v>
      </c>
      <c r="T209">
        <f t="shared" si="64"/>
        <v>0.5</v>
      </c>
      <c r="X209" s="99">
        <v>166</v>
      </c>
      <c r="Y209" s="99">
        <f t="shared" si="65"/>
        <v>5148.5213686200177</v>
      </c>
      <c r="Z209" s="99">
        <f t="shared" si="66"/>
        <v>8709.6094779983396</v>
      </c>
      <c r="AA209" s="99">
        <f t="shared" si="67"/>
        <v>-23396.035041965988</v>
      </c>
      <c r="AB209" s="99">
        <f t="shared" si="68"/>
        <v>10846.726634598837</v>
      </c>
      <c r="AC209" s="99">
        <f t="shared" si="69"/>
        <v>-9851.4786313799814</v>
      </c>
      <c r="AD209" s="99">
        <f t="shared" si="70"/>
        <v>-13790.39052200166</v>
      </c>
    </row>
    <row r="210" spans="1:30" x14ac:dyDescent="0.25">
      <c r="A210">
        <v>83.5</v>
      </c>
      <c r="B210" s="95">
        <f t="shared" si="71"/>
        <v>-5723.6953390039453</v>
      </c>
      <c r="C210" s="95">
        <f t="shared" si="72"/>
        <v>-20089.732286511204</v>
      </c>
      <c r="D210" s="95">
        <f t="shared" si="73"/>
        <v>-1011.3780779307672</v>
      </c>
      <c r="E210" s="95">
        <f t="shared" si="74"/>
        <v>4085.1834958641671</v>
      </c>
      <c r="F210" s="96">
        <f t="shared" si="50"/>
        <v>1206.9502658890515</v>
      </c>
      <c r="G210" s="94">
        <f t="shared" si="51"/>
        <v>7804.4310002679376</v>
      </c>
      <c r="H210" s="97">
        <f t="shared" si="52"/>
        <v>247.81806120762823</v>
      </c>
      <c r="I210" s="94">
        <f t="shared" si="53"/>
        <v>434.83632931505474</v>
      </c>
      <c r="J210" s="95">
        <f t="shared" si="54"/>
        <v>-68.270935110683766</v>
      </c>
      <c r="K210" s="94">
        <f t="shared" si="55"/>
        <v>143.89256948561982</v>
      </c>
      <c r="L210" s="94">
        <f t="shared" si="56"/>
        <v>1027.4031397921069</v>
      </c>
      <c r="M210" s="93">
        <f t="shared" si="57"/>
        <v>7225.7021014672628</v>
      </c>
      <c r="N210" s="93">
        <f t="shared" si="58"/>
        <v>31755.754167633509</v>
      </c>
      <c r="O210" s="93">
        <f t="shared" si="59"/>
        <v>33304.727349844681</v>
      </c>
      <c r="P210" s="93">
        <f t="shared" si="60"/>
        <v>5140.924984090957</v>
      </c>
      <c r="Q210" s="93">
        <f t="shared" si="61"/>
        <v>33221580328987.426</v>
      </c>
      <c r="R210" s="93">
        <f t="shared" si="62"/>
        <v>37555426486502.648</v>
      </c>
      <c r="S210" s="93">
        <f t="shared" si="63"/>
        <v>368819189598.09338</v>
      </c>
      <c r="T210">
        <f t="shared" si="64"/>
        <v>0.5</v>
      </c>
      <c r="X210" s="99">
        <v>167</v>
      </c>
      <c r="Y210" s="99">
        <f t="shared" si="65"/>
        <v>5128.1496760738237</v>
      </c>
      <c r="Z210" s="99">
        <f t="shared" si="66"/>
        <v>8624.7552717193248</v>
      </c>
      <c r="AA210" s="99">
        <f t="shared" si="67"/>
        <v>-23410.295226748323</v>
      </c>
      <c r="AB210" s="99">
        <f t="shared" si="68"/>
        <v>10787.328690203527</v>
      </c>
      <c r="AC210" s="99">
        <f t="shared" si="69"/>
        <v>-9871.8503239261772</v>
      </c>
      <c r="AD210" s="99">
        <f t="shared" si="70"/>
        <v>-13875.244728280675</v>
      </c>
    </row>
    <row r="211" spans="1:30" x14ac:dyDescent="0.25">
      <c r="A211">
        <v>84</v>
      </c>
      <c r="B211" s="95">
        <f t="shared" si="71"/>
        <v>-5927.6468114970658</v>
      </c>
      <c r="C211" s="95">
        <f t="shared" si="72"/>
        <v>-16096.032788512133</v>
      </c>
      <c r="D211" s="95">
        <f t="shared" si="73"/>
        <v>-407.90294498624144</v>
      </c>
      <c r="E211" s="95">
        <f t="shared" si="74"/>
        <v>7987.3989959981354</v>
      </c>
      <c r="F211" s="96">
        <f t="shared" si="50"/>
        <v>3700.582106186459</v>
      </c>
      <c r="G211" s="94">
        <f t="shared" si="51"/>
        <v>4764.2468279650966</v>
      </c>
      <c r="H211" s="97">
        <f t="shared" si="52"/>
        <v>345.35014624207906</v>
      </c>
      <c r="I211" s="94">
        <f t="shared" si="53"/>
        <v>511.61941689738092</v>
      </c>
      <c r="J211" s="95">
        <f t="shared" si="54"/>
        <v>-94.980678080015934</v>
      </c>
      <c r="K211" s="94">
        <f t="shared" si="55"/>
        <v>176.13393127996778</v>
      </c>
      <c r="L211" s="94">
        <f t="shared" si="56"/>
        <v>3450.2126380243958</v>
      </c>
      <c r="M211" s="93">
        <f t="shared" si="57"/>
        <v>4076.4934797877477</v>
      </c>
      <c r="N211" s="93">
        <f t="shared" si="58"/>
        <v>28468.626526552565</v>
      </c>
      <c r="O211" s="93">
        <f t="shared" si="59"/>
        <v>29648.508420510279</v>
      </c>
      <c r="P211" s="93">
        <f t="shared" si="60"/>
        <v>1435.9026709266736</v>
      </c>
      <c r="Q211" s="93">
        <f t="shared" si="61"/>
        <v>24148524213498.262</v>
      </c>
      <c r="R211" s="93">
        <f t="shared" si="62"/>
        <v>26608733455517.156</v>
      </c>
      <c r="S211" s="93">
        <f t="shared" si="63"/>
        <v>140778202866.25916</v>
      </c>
      <c r="T211">
        <f t="shared" si="64"/>
        <v>0.5</v>
      </c>
      <c r="X211" s="99">
        <v>168</v>
      </c>
      <c r="Y211" s="99">
        <f t="shared" si="65"/>
        <v>5109.2619963309717</v>
      </c>
      <c r="Z211" s="99">
        <f t="shared" si="66"/>
        <v>8539.5584540887976</v>
      </c>
      <c r="AA211" s="99">
        <f t="shared" si="67"/>
        <v>-23423.516602568321</v>
      </c>
      <c r="AB211" s="99">
        <f t="shared" si="68"/>
        <v>10727.690917862157</v>
      </c>
      <c r="AC211" s="99">
        <f t="shared" si="69"/>
        <v>-9890.7380036690283</v>
      </c>
      <c r="AD211" s="99">
        <f t="shared" si="70"/>
        <v>-13960.441545911202</v>
      </c>
    </row>
    <row r="212" spans="1:30" x14ac:dyDescent="0.25">
      <c r="A212">
        <v>84.5</v>
      </c>
      <c r="B212" s="95">
        <f t="shared" si="71"/>
        <v>-5206.4527574435715</v>
      </c>
      <c r="C212" s="95">
        <f t="shared" si="72"/>
        <v>-10911.271583521793</v>
      </c>
      <c r="D212" s="95">
        <f t="shared" si="73"/>
        <v>1442.3881081069881</v>
      </c>
      <c r="E212" s="95">
        <f t="shared" si="74"/>
        <v>10369.522409980684</v>
      </c>
      <c r="F212" s="96">
        <f t="shared" si="50"/>
        <v>795.11256476510607</v>
      </c>
      <c r="G212" s="94">
        <f t="shared" si="51"/>
        <v>-7051.8688758448507</v>
      </c>
      <c r="H212" s="97">
        <f t="shared" si="52"/>
        <v>548.30218615665524</v>
      </c>
      <c r="I212" s="94">
        <f t="shared" si="53"/>
        <v>663.85899592706937</v>
      </c>
      <c r="J212" s="95">
        <f t="shared" si="54"/>
        <v>-153.75511950805881</v>
      </c>
      <c r="K212" s="94">
        <f t="shared" si="55"/>
        <v>217.33902009253703</v>
      </c>
      <c r="L212" s="94">
        <f t="shared" si="56"/>
        <v>400.56549811650956</v>
      </c>
      <c r="M212" s="93">
        <f t="shared" si="57"/>
        <v>-7933.0668918644569</v>
      </c>
      <c r="N212" s="93">
        <f t="shared" si="58"/>
        <v>23879.093927252772</v>
      </c>
      <c r="O212" s="93">
        <f t="shared" si="59"/>
        <v>25615.040879482411</v>
      </c>
      <c r="P212" s="93">
        <f t="shared" si="60"/>
        <v>4093.9373230146598</v>
      </c>
      <c r="Q212" s="93">
        <f t="shared" si="61"/>
        <v>14521335581025.723</v>
      </c>
      <c r="R212" s="93">
        <f t="shared" si="62"/>
        <v>17279671428016.336</v>
      </c>
      <c r="S212" s="93">
        <f t="shared" si="63"/>
        <v>269864507863.59241</v>
      </c>
      <c r="T212">
        <f t="shared" si="64"/>
        <v>0.5</v>
      </c>
      <c r="X212" s="99">
        <v>169</v>
      </c>
      <c r="Y212" s="99">
        <f t="shared" si="65"/>
        <v>5091.86408276168</v>
      </c>
      <c r="Z212" s="99">
        <f t="shared" si="66"/>
        <v>8454.0449768827257</v>
      </c>
      <c r="AA212" s="99">
        <f t="shared" si="67"/>
        <v>-23435.695142066823</v>
      </c>
      <c r="AB212" s="99">
        <f t="shared" si="68"/>
        <v>10667.831483817907</v>
      </c>
      <c r="AC212" s="99">
        <f t="shared" si="69"/>
        <v>-9908.13591723832</v>
      </c>
      <c r="AD212" s="99">
        <f t="shared" si="70"/>
        <v>-14045.955023117274</v>
      </c>
    </row>
    <row r="213" spans="1:30" x14ac:dyDescent="0.25">
      <c r="A213">
        <v>85</v>
      </c>
      <c r="B213" s="95">
        <f t="shared" si="71"/>
        <v>-4286.4805621988007</v>
      </c>
      <c r="C213" s="95">
        <f t="shared" si="72"/>
        <v>-7489.4775974926642</v>
      </c>
      <c r="D213" s="95">
        <f t="shared" si="73"/>
        <v>1839.9443904895411</v>
      </c>
      <c r="E213" s="95">
        <f t="shared" si="74"/>
        <v>6843.5879720582579</v>
      </c>
      <c r="F213" s="96">
        <f t="shared" si="50"/>
        <v>59.822923360742493</v>
      </c>
      <c r="G213" s="94">
        <f t="shared" si="51"/>
        <v>-4258.2867096105974</v>
      </c>
      <c r="H213" s="97">
        <f t="shared" si="52"/>
        <v>773.82795655609777</v>
      </c>
      <c r="I213" s="94">
        <f t="shared" si="53"/>
        <v>811.90582723376724</v>
      </c>
      <c r="J213" s="95">
        <f t="shared" si="54"/>
        <v>-210.1067006174712</v>
      </c>
      <c r="K213" s="94">
        <f t="shared" si="55"/>
        <v>233.85317643687321</v>
      </c>
      <c r="L213" s="94">
        <f t="shared" si="56"/>
        <v>-503.89833257788405</v>
      </c>
      <c r="M213" s="93">
        <f t="shared" si="57"/>
        <v>-5304.045713281238</v>
      </c>
      <c r="N213" s="93">
        <f t="shared" si="58"/>
        <v>20707.195983517871</v>
      </c>
      <c r="O213" s="93">
        <f t="shared" si="59"/>
        <v>23511.625204467549</v>
      </c>
      <c r="P213" s="93">
        <f t="shared" si="60"/>
        <v>7544.3393843785088</v>
      </c>
      <c r="Q213" s="93">
        <f t="shared" si="61"/>
        <v>9666727166678.5625</v>
      </c>
      <c r="R213" s="93">
        <f t="shared" si="62"/>
        <v>13431555363208.617</v>
      </c>
      <c r="S213" s="93">
        <f t="shared" si="63"/>
        <v>741415241616.32361</v>
      </c>
      <c r="T213">
        <f t="shared" si="64"/>
        <v>0.5</v>
      </c>
      <c r="X213" s="99">
        <v>170</v>
      </c>
      <c r="Y213" s="99">
        <f t="shared" si="65"/>
        <v>5075.9612349389599</v>
      </c>
      <c r="Z213" s="99">
        <f t="shared" si="66"/>
        <v>8368.2408883346507</v>
      </c>
      <c r="AA213" s="99">
        <f t="shared" si="67"/>
        <v>-23446.827135542728</v>
      </c>
      <c r="AB213" s="99">
        <f t="shared" si="68"/>
        <v>10607.768621834257</v>
      </c>
      <c r="AC213" s="99">
        <f t="shared" si="69"/>
        <v>-9924.0387650610392</v>
      </c>
      <c r="AD213" s="99">
        <f t="shared" si="70"/>
        <v>-14131.759111665349</v>
      </c>
    </row>
    <row r="214" spans="1:30" x14ac:dyDescent="0.25">
      <c r="A214">
        <v>85.5</v>
      </c>
      <c r="B214" s="95">
        <f t="shared" si="71"/>
        <v>-3351.5526361138445</v>
      </c>
      <c r="C214" s="95">
        <f t="shared" si="72"/>
        <v>-5132.2552888661849</v>
      </c>
      <c r="D214" s="95">
        <f t="shared" si="73"/>
        <v>1869.8558521699124</v>
      </c>
      <c r="E214" s="95">
        <f t="shared" si="74"/>
        <v>4714.4446172529588</v>
      </c>
      <c r="F214" s="96">
        <f t="shared" si="50"/>
        <v>141.23722269196276</v>
      </c>
      <c r="G214" s="94">
        <f t="shared" si="51"/>
        <v>-2505.7958982126952</v>
      </c>
      <c r="H214" s="97">
        <f t="shared" si="52"/>
        <v>1011.4898998030468</v>
      </c>
      <c r="I214" s="94">
        <f t="shared" si="53"/>
        <v>956.99721108546714</v>
      </c>
      <c r="J214" s="95">
        <f t="shared" si="54"/>
        <v>-253.31535379793743</v>
      </c>
      <c r="K214" s="94">
        <f t="shared" si="55"/>
        <v>230.24565104941274</v>
      </c>
      <c r="L214" s="94">
        <f t="shared" si="56"/>
        <v>-616.93732331314663</v>
      </c>
      <c r="M214" s="93">
        <f t="shared" si="57"/>
        <v>-3693.0387603475751</v>
      </c>
      <c r="N214" s="93">
        <f t="shared" si="58"/>
        <v>18380.365379339069</v>
      </c>
      <c r="O214" s="93">
        <f t="shared" si="59"/>
        <v>22497.9098974884</v>
      </c>
      <c r="P214" s="93">
        <f t="shared" si="60"/>
        <v>10004.487213026592</v>
      </c>
      <c r="Q214" s="93">
        <f t="shared" si="61"/>
        <v>6911444804309.6416</v>
      </c>
      <c r="R214" s="93">
        <f t="shared" si="62"/>
        <v>11803341321220.664</v>
      </c>
      <c r="S214" s="93">
        <f t="shared" si="63"/>
        <v>1399048150845.8308</v>
      </c>
      <c r="T214">
        <f t="shared" si="64"/>
        <v>0.5</v>
      </c>
      <c r="X214" s="99">
        <v>171</v>
      </c>
      <c r="Y214" s="99">
        <f t="shared" si="65"/>
        <v>5061.5582970243113</v>
      </c>
      <c r="Z214" s="99">
        <f t="shared" si="66"/>
        <v>8282.1723252011543</v>
      </c>
      <c r="AA214" s="99">
        <f t="shared" si="67"/>
        <v>-23456.909192082981</v>
      </c>
      <c r="AB214" s="99">
        <f t="shared" si="68"/>
        <v>10547.520627640808</v>
      </c>
      <c r="AC214" s="99">
        <f t="shared" si="69"/>
        <v>-9938.4417029756878</v>
      </c>
      <c r="AD214" s="99">
        <f t="shared" si="70"/>
        <v>-14217.827674798846</v>
      </c>
    </row>
    <row r="215" spans="1:30" x14ac:dyDescent="0.25">
      <c r="A215">
        <v>86</v>
      </c>
      <c r="B215" s="95">
        <f t="shared" si="71"/>
        <v>-2381.3154043558975</v>
      </c>
      <c r="C215" s="95">
        <f t="shared" si="72"/>
        <v>-3401.4819547928792</v>
      </c>
      <c r="D215" s="95">
        <f t="shared" si="73"/>
        <v>1940.4744635158938</v>
      </c>
      <c r="E215" s="95">
        <f t="shared" si="74"/>
        <v>3461.5466681466114</v>
      </c>
      <c r="F215" s="96">
        <f t="shared" si="50"/>
        <v>345.70456820379195</v>
      </c>
      <c r="G215" s="94">
        <f t="shared" si="51"/>
        <v>-1501.4543428770962</v>
      </c>
      <c r="H215" s="97">
        <f t="shared" si="52"/>
        <v>1265.6840565200557</v>
      </c>
      <c r="I215" s="94">
        <f t="shared" si="53"/>
        <v>1114.4075933780177</v>
      </c>
      <c r="J215" s="95">
        <f t="shared" si="54"/>
        <v>-281.10156468773778</v>
      </c>
      <c r="K215" s="94">
        <f t="shared" si="55"/>
        <v>213.81718516932455</v>
      </c>
      <c r="L215" s="94">
        <f t="shared" si="56"/>
        <v>-638.87792362852599</v>
      </c>
      <c r="M215" s="93">
        <f t="shared" si="57"/>
        <v>-2829.6791214244386</v>
      </c>
      <c r="N215" s="93">
        <f t="shared" si="58"/>
        <v>16496.644505862863</v>
      </c>
      <c r="O215" s="93">
        <f t="shared" si="59"/>
        <v>22136.344898501786</v>
      </c>
      <c r="P215" s="93">
        <f t="shared" si="60"/>
        <v>11890.463820072746</v>
      </c>
      <c r="Q215" s="93">
        <f t="shared" si="61"/>
        <v>5122006201011.4912</v>
      </c>
      <c r="R215" s="93">
        <f t="shared" si="62"/>
        <v>11256489235190.152</v>
      </c>
      <c r="S215" s="93">
        <f t="shared" si="63"/>
        <v>2146169083711.5613</v>
      </c>
      <c r="T215">
        <f t="shared" si="64"/>
        <v>0.5</v>
      </c>
      <c r="X215" s="99">
        <v>172</v>
      </c>
      <c r="Y215" s="99">
        <f t="shared" si="65"/>
        <v>5048.6596562921486</v>
      </c>
      <c r="Z215" s="99">
        <f t="shared" si="66"/>
        <v>8195.8655048003293</v>
      </c>
      <c r="AA215" s="99">
        <f t="shared" si="67"/>
        <v>-23465.938240595497</v>
      </c>
      <c r="AB215" s="99">
        <f t="shared" si="68"/>
        <v>10487.10585336023</v>
      </c>
      <c r="AC215" s="99">
        <f t="shared" si="69"/>
        <v>-9951.3403437078523</v>
      </c>
      <c r="AD215" s="99">
        <f t="shared" si="70"/>
        <v>-14304.134495199671</v>
      </c>
    </row>
    <row r="216" spans="1:30" x14ac:dyDescent="0.25">
      <c r="A216">
        <v>86.5</v>
      </c>
      <c r="B216" s="95">
        <f t="shared" si="71"/>
        <v>-1324.6520305470026</v>
      </c>
      <c r="C216" s="95">
        <f t="shared" si="72"/>
        <v>-2046.0722064388474</v>
      </c>
      <c r="D216" s="95">
        <f t="shared" si="73"/>
        <v>2113.3267476177898</v>
      </c>
      <c r="E216" s="95">
        <f t="shared" si="74"/>
        <v>2710.8194967080635</v>
      </c>
      <c r="F216" s="96">
        <f t="shared" si="50"/>
        <v>608.20983443188175</v>
      </c>
      <c r="G216" s="94">
        <f t="shared" si="51"/>
        <v>-790.43271269593765</v>
      </c>
      <c r="H216" s="97">
        <f t="shared" si="52"/>
        <v>1552.1643047439115</v>
      </c>
      <c r="I216" s="94">
        <f t="shared" si="53"/>
        <v>1308.3909765505296</v>
      </c>
      <c r="J216" s="95">
        <f t="shared" si="54"/>
        <v>-294.55938112961314</v>
      </c>
      <c r="K216" s="94">
        <f t="shared" si="55"/>
        <v>189.99825759472529</v>
      </c>
      <c r="L216" s="94">
        <f t="shared" si="56"/>
        <v>-649.39508918241677</v>
      </c>
      <c r="M216" s="93">
        <f t="shared" si="57"/>
        <v>-2288.8219468411926</v>
      </c>
      <c r="N216" s="93">
        <f t="shared" si="58"/>
        <v>14811.32128419057</v>
      </c>
      <c r="O216" s="93">
        <f t="shared" si="59"/>
        <v>22223.331824523761</v>
      </c>
      <c r="P216" s="93">
        <f t="shared" si="60"/>
        <v>13465.230335102271</v>
      </c>
      <c r="Q216" s="93">
        <f t="shared" si="61"/>
        <v>3820197332942.4731</v>
      </c>
      <c r="R216" s="93">
        <f t="shared" si="62"/>
        <v>11386456365980.207</v>
      </c>
      <c r="S216" s="93">
        <f t="shared" si="63"/>
        <v>2963385046730.3306</v>
      </c>
      <c r="T216">
        <f t="shared" si="64"/>
        <v>0.5</v>
      </c>
      <c r="X216" s="99">
        <v>173</v>
      </c>
      <c r="Y216" s="99">
        <f t="shared" si="65"/>
        <v>5037.2692417933904</v>
      </c>
      <c r="Z216" s="99">
        <f t="shared" si="66"/>
        <v>8109.3467170257372</v>
      </c>
      <c r="AA216" s="99">
        <f t="shared" si="67"/>
        <v>-23473.911530744626</v>
      </c>
      <c r="AB216" s="99">
        <f t="shared" si="68"/>
        <v>10426.542701918017</v>
      </c>
      <c r="AC216" s="99">
        <f t="shared" si="69"/>
        <v>-9962.7307582066096</v>
      </c>
      <c r="AD216" s="99">
        <f t="shared" si="70"/>
        <v>-14390.653282974263</v>
      </c>
    </row>
    <row r="217" spans="1:30" x14ac:dyDescent="0.25">
      <c r="A217">
        <v>87</v>
      </c>
      <c r="B217" s="95">
        <f t="shared" si="71"/>
        <v>-115.93619813013726</v>
      </c>
      <c r="C217" s="95">
        <f t="shared" si="72"/>
        <v>-888.2706362588001</v>
      </c>
      <c r="D217" s="95">
        <f t="shared" si="73"/>
        <v>2417.4316648337308</v>
      </c>
      <c r="E217" s="95">
        <f t="shared" si="74"/>
        <v>2315.6031403600946</v>
      </c>
      <c r="F217" s="96">
        <f t="shared" si="50"/>
        <v>954.829152854163</v>
      </c>
      <c r="G217" s="94">
        <f t="shared" si="51"/>
        <v>-149.88688447133268</v>
      </c>
      <c r="H217" s="97">
        <f t="shared" si="52"/>
        <v>1905.5061451851707</v>
      </c>
      <c r="I217" s="94">
        <f t="shared" si="53"/>
        <v>1580.0713776567691</v>
      </c>
      <c r="J217" s="95">
        <f t="shared" si="54"/>
        <v>-295.86653948665514</v>
      </c>
      <c r="K217" s="94">
        <f t="shared" si="55"/>
        <v>162.01290572408595</v>
      </c>
      <c r="L217" s="94">
        <f t="shared" si="56"/>
        <v>-654.81045284435243</v>
      </c>
      <c r="M217" s="93">
        <f t="shared" si="57"/>
        <v>-1891.9711678521878</v>
      </c>
      <c r="N217" s="93">
        <f t="shared" si="58"/>
        <v>13141.356453264678</v>
      </c>
      <c r="O217" s="93">
        <f t="shared" si="59"/>
        <v>22670.033761008101</v>
      </c>
      <c r="P217" s="93">
        <f t="shared" si="60"/>
        <v>14933.016602689864</v>
      </c>
      <c r="Q217" s="93">
        <f t="shared" si="61"/>
        <v>2779677106135.3545</v>
      </c>
      <c r="R217" s="93">
        <f t="shared" si="62"/>
        <v>12069854594487.385</v>
      </c>
      <c r="S217" s="93">
        <f t="shared" si="63"/>
        <v>3905389438263.7427</v>
      </c>
      <c r="T217">
        <f t="shared" si="64"/>
        <v>0.5</v>
      </c>
      <c r="X217" s="99">
        <v>174</v>
      </c>
      <c r="Y217" s="99">
        <f t="shared" si="65"/>
        <v>5027.3905231586332</v>
      </c>
      <c r="Z217" s="99">
        <f t="shared" si="66"/>
        <v>8022.6423163382688</v>
      </c>
      <c r="AA217" s="99">
        <f t="shared" si="67"/>
        <v>-23480.826633788958</v>
      </c>
      <c r="AB217" s="99">
        <f t="shared" si="68"/>
        <v>10365.849621436788</v>
      </c>
      <c r="AC217" s="99">
        <f t="shared" si="69"/>
        <v>-9972.6094768413677</v>
      </c>
      <c r="AD217" s="99">
        <f t="shared" si="70"/>
        <v>-14477.357683661732</v>
      </c>
    </row>
    <row r="218" spans="1:30" x14ac:dyDescent="0.25">
      <c r="A218">
        <v>87.5</v>
      </c>
      <c r="B218" s="95">
        <f t="shared" si="71"/>
        <v>1331.486922500269</v>
      </c>
      <c r="C218" s="95">
        <f t="shared" si="72"/>
        <v>232.05921280341403</v>
      </c>
      <c r="D218" s="95">
        <f t="shared" si="73"/>
        <v>2894.8462412608123</v>
      </c>
      <c r="E218" s="95">
        <f t="shared" si="74"/>
        <v>2240.6596981244284</v>
      </c>
      <c r="F218" s="96">
        <f t="shared" si="50"/>
        <v>1464.7414214139335</v>
      </c>
      <c r="G218" s="94">
        <f t="shared" si="51"/>
        <v>585.53002461063988</v>
      </c>
      <c r="H218" s="97">
        <f t="shared" si="52"/>
        <v>2399.1119578002426</v>
      </c>
      <c r="I218" s="94">
        <f t="shared" si="53"/>
        <v>2011.4872637622759</v>
      </c>
      <c r="J218" s="95">
        <f t="shared" si="54"/>
        <v>-287.0147958968314</v>
      </c>
      <c r="K218" s="94">
        <f t="shared" si="55"/>
        <v>131.42747814792082</v>
      </c>
      <c r="L218" s="94">
        <f t="shared" si="56"/>
        <v>-647.35574048947774</v>
      </c>
      <c r="M218" s="93">
        <f t="shared" si="57"/>
        <v>-1557.384717299557</v>
      </c>
      <c r="N218" s="93">
        <f t="shared" si="58"/>
        <v>11312.209433217704</v>
      </c>
      <c r="O218" s="93">
        <f t="shared" si="59"/>
        <v>23461.564345690564</v>
      </c>
      <c r="P218" s="93">
        <f t="shared" si="60"/>
        <v>16495.555598770879</v>
      </c>
      <c r="Q218" s="93">
        <f t="shared" si="61"/>
        <v>1891876208144.2705</v>
      </c>
      <c r="R218" s="93">
        <f t="shared" si="62"/>
        <v>13347796781689.893</v>
      </c>
      <c r="S218" s="93">
        <f t="shared" si="63"/>
        <v>5121077319606.5723</v>
      </c>
      <c r="T218">
        <f t="shared" si="64"/>
        <v>0.5</v>
      </c>
      <c r="X218" s="99">
        <v>175</v>
      </c>
      <c r="Y218" s="99">
        <f t="shared" si="65"/>
        <v>5019.0265095412724</v>
      </c>
      <c r="Z218" s="99">
        <f t="shared" si="66"/>
        <v>7935.7787137382929</v>
      </c>
      <c r="AA218" s="99">
        <f t="shared" si="67"/>
        <v>-23486.681443321111</v>
      </c>
      <c r="AB218" s="99">
        <f t="shared" si="68"/>
        <v>10305.045099616806</v>
      </c>
      <c r="AC218" s="99">
        <f t="shared" si="69"/>
        <v>-9980.9734904587276</v>
      </c>
      <c r="AD218" s="99">
        <f t="shared" si="70"/>
        <v>-14564.221286261707</v>
      </c>
    </row>
    <row r="219" spans="1:30" x14ac:dyDescent="0.25">
      <c r="A219">
        <v>88</v>
      </c>
      <c r="B219" s="95">
        <f t="shared" si="71"/>
        <v>3145.0953984841585</v>
      </c>
      <c r="C219" s="95">
        <f t="shared" si="72"/>
        <v>1498.7715680182882</v>
      </c>
      <c r="D219" s="95">
        <f t="shared" si="73"/>
        <v>3627.2169519677791</v>
      </c>
      <c r="E219" s="95">
        <f t="shared" si="74"/>
        <v>2533.4247104297483</v>
      </c>
      <c r="F219" s="96">
        <f t="shared" si="50"/>
        <v>2313.3435408794871</v>
      </c>
      <c r="G219" s="94">
        <f t="shared" si="51"/>
        <v>1652.0827269623201</v>
      </c>
      <c r="H219" s="97">
        <f t="shared" si="52"/>
        <v>3197.6984318313102</v>
      </c>
      <c r="I219" s="94">
        <f t="shared" si="53"/>
        <v>2799.472766078442</v>
      </c>
      <c r="J219" s="95">
        <f t="shared" si="54"/>
        <v>-269.11439360234613</v>
      </c>
      <c r="K219" s="94">
        <f t="shared" si="55"/>
        <v>98.846122470405433</v>
      </c>
      <c r="L219" s="94">
        <f t="shared" si="56"/>
        <v>-615.2404973494771</v>
      </c>
      <c r="M219" s="93">
        <f t="shared" si="57"/>
        <v>-1246.2361615865275</v>
      </c>
      <c r="N219" s="93">
        <f t="shared" si="58"/>
        <v>9110.6783385601284</v>
      </c>
      <c r="O219" s="93">
        <f t="shared" si="59"/>
        <v>24656.973169017863</v>
      </c>
      <c r="P219" s="93">
        <f t="shared" si="60"/>
        <v>18399.783756991725</v>
      </c>
      <c r="Q219" s="93">
        <f t="shared" si="61"/>
        <v>1122438445248.0425</v>
      </c>
      <c r="R219" s="93">
        <f t="shared" si="62"/>
        <v>15445955911868.184</v>
      </c>
      <c r="S219" s="93">
        <f t="shared" si="63"/>
        <v>6931861599083.124</v>
      </c>
      <c r="T219">
        <f t="shared" si="64"/>
        <v>0.5</v>
      </c>
      <c r="X219" s="99">
        <v>176</v>
      </c>
      <c r="Y219" s="99">
        <f t="shared" si="65"/>
        <v>5012.1797487008789</v>
      </c>
      <c r="Z219" s="99">
        <f t="shared" si="66"/>
        <v>7848.7823687206273</v>
      </c>
      <c r="AA219" s="99">
        <f t="shared" si="67"/>
        <v>-23491.474175909385</v>
      </c>
      <c r="AB219" s="99">
        <f t="shared" si="68"/>
        <v>10244.147658104439</v>
      </c>
      <c r="AC219" s="99">
        <f t="shared" si="69"/>
        <v>-9987.8202512991211</v>
      </c>
      <c r="AD219" s="99">
        <f t="shared" si="70"/>
        <v>-14651.217631279373</v>
      </c>
    </row>
    <row r="220" spans="1:30" x14ac:dyDescent="0.25">
      <c r="A220">
        <v>88.5</v>
      </c>
      <c r="B220" s="95">
        <f t="shared" si="71"/>
        <v>5537.0397596879202</v>
      </c>
      <c r="C220" s="95">
        <f t="shared" si="72"/>
        <v>3178.5046049737425</v>
      </c>
      <c r="D220" s="95">
        <f t="shared" si="73"/>
        <v>4783.8887224075224</v>
      </c>
      <c r="E220" s="95">
        <f t="shared" si="74"/>
        <v>3359.4660739109086</v>
      </c>
      <c r="F220" s="96">
        <f t="shared" si="50"/>
        <v>3818.3678329437753</v>
      </c>
      <c r="G220" s="94">
        <f t="shared" si="51"/>
        <v>3581.7766414489311</v>
      </c>
      <c r="H220" s="97">
        <f t="shared" si="52"/>
        <v>4607.912487988071</v>
      </c>
      <c r="I220" s="94">
        <f t="shared" si="53"/>
        <v>4461.8530135352448</v>
      </c>
      <c r="J220" s="95">
        <f t="shared" si="54"/>
        <v>-241.95202721341138</v>
      </c>
      <c r="K220" s="94">
        <f t="shared" si="55"/>
        <v>64.630617134369203</v>
      </c>
      <c r="L220" s="94">
        <f t="shared" si="56"/>
        <v>-547.59262783088445</v>
      </c>
      <c r="M220" s="93">
        <f t="shared" si="57"/>
        <v>-944.70698922068323</v>
      </c>
      <c r="N220" s="93">
        <f t="shared" si="58"/>
        <v>6212.3535440153109</v>
      </c>
      <c r="O220" s="93">
        <f t="shared" si="59"/>
        <v>26432.427037868583</v>
      </c>
      <c r="P220" s="93">
        <f t="shared" si="60"/>
        <v>21011.597668199713</v>
      </c>
      <c r="Q220" s="93">
        <f t="shared" si="61"/>
        <v>507127798859.65228</v>
      </c>
      <c r="R220" s="93">
        <f t="shared" si="62"/>
        <v>18955446979590.02</v>
      </c>
      <c r="S220" s="93">
        <f t="shared" si="63"/>
        <v>10075338556798.621</v>
      </c>
      <c r="T220">
        <f t="shared" si="64"/>
        <v>0.5</v>
      </c>
      <c r="X220" s="99">
        <v>177</v>
      </c>
      <c r="Y220" s="99">
        <f t="shared" si="65"/>
        <v>5006.852326227131</v>
      </c>
      <c r="Z220" s="99">
        <f t="shared" si="66"/>
        <v>7761.6797812147188</v>
      </c>
      <c r="AA220" s="99">
        <f t="shared" si="67"/>
        <v>-23495.203371641008</v>
      </c>
      <c r="AB220" s="99">
        <f t="shared" si="68"/>
        <v>10183.175846850303</v>
      </c>
      <c r="AC220" s="99">
        <f t="shared" si="69"/>
        <v>-9993.1476737728699</v>
      </c>
      <c r="AD220" s="99">
        <f t="shared" si="70"/>
        <v>-14738.32021878528</v>
      </c>
    </row>
    <row r="221" spans="1:30" x14ac:dyDescent="0.25">
      <c r="A221">
        <v>89</v>
      </c>
      <c r="B221" s="95">
        <f t="shared" si="71"/>
        <v>8883.5760791276261</v>
      </c>
      <c r="C221" s="95">
        <f t="shared" si="72"/>
        <v>5753.6818022914294</v>
      </c>
      <c r="D221" s="95">
        <f t="shared" si="73"/>
        <v>6693.0726388794101</v>
      </c>
      <c r="E221" s="95">
        <f t="shared" si="74"/>
        <v>5150.3543946353739</v>
      </c>
      <c r="F221" s="96">
        <f t="shared" si="50"/>
        <v>3042.2237285189067</v>
      </c>
      <c r="G221" s="94">
        <f t="shared" si="51"/>
        <v>5138.4029990390209</v>
      </c>
      <c r="H221" s="97">
        <f t="shared" si="52"/>
        <v>3686.5031260704982</v>
      </c>
      <c r="I221" s="94">
        <f t="shared" si="53"/>
        <v>5766.4542783496963</v>
      </c>
      <c r="J221" s="95">
        <f t="shared" si="54"/>
        <v>-204.06307201009781</v>
      </c>
      <c r="K221" s="94">
        <f t="shared" si="55"/>
        <v>30.000327306526657</v>
      </c>
      <c r="L221" s="94">
        <f t="shared" si="56"/>
        <v>-440.21632554149357</v>
      </c>
      <c r="M221" s="93">
        <f t="shared" si="57"/>
        <v>-658.05160661720254</v>
      </c>
      <c r="N221" s="93">
        <f t="shared" si="58"/>
        <v>2072.6865703101748</v>
      </c>
      <c r="O221" s="93">
        <f t="shared" si="59"/>
        <v>29194.043662277149</v>
      </c>
      <c r="P221" s="93">
        <f t="shared" si="60"/>
        <v>24969.361087054018</v>
      </c>
      <c r="Q221" s="93">
        <f t="shared" si="61"/>
        <v>158567123918.46439</v>
      </c>
      <c r="R221" s="93">
        <f t="shared" si="62"/>
        <v>25420218797499.188</v>
      </c>
      <c r="S221" s="93">
        <f t="shared" si="63"/>
        <v>16513298154072.797</v>
      </c>
      <c r="T221">
        <f t="shared" si="64"/>
        <v>0.5</v>
      </c>
      <c r="X221" s="99">
        <v>178</v>
      </c>
      <c r="Y221" s="99">
        <f t="shared" si="65"/>
        <v>5003.0458649045213</v>
      </c>
      <c r="Z221" s="99">
        <f t="shared" si="66"/>
        <v>7674.4974835125031</v>
      </c>
      <c r="AA221" s="99">
        <f t="shared" si="67"/>
        <v>-23497.867894566836</v>
      </c>
      <c r="AB221" s="99">
        <f t="shared" si="68"/>
        <v>10122.148238458753</v>
      </c>
      <c r="AC221" s="99">
        <f t="shared" si="69"/>
        <v>-9996.9541350954787</v>
      </c>
      <c r="AD221" s="99">
        <f t="shared" si="70"/>
        <v>-14825.502516487497</v>
      </c>
    </row>
    <row r="222" spans="1:30" x14ac:dyDescent="0.25">
      <c r="A222">
        <v>89.5</v>
      </c>
      <c r="B222" s="95">
        <f t="shared" si="71"/>
        <v>12990.668330697057</v>
      </c>
      <c r="C222" s="95">
        <f t="shared" si="72"/>
        <v>9613.4597493688707</v>
      </c>
      <c r="D222" s="95">
        <f t="shared" si="73"/>
        <v>8214.1845031388639</v>
      </c>
      <c r="E222" s="95">
        <f t="shared" si="74"/>
        <v>7719.5558941548843</v>
      </c>
      <c r="F222" s="96">
        <f t="shared" si="50"/>
        <v>-7059.5625681595411</v>
      </c>
      <c r="G222" s="94">
        <f t="shared" si="51"/>
        <v>-5083.6301044984648</v>
      </c>
      <c r="H222" s="97">
        <f t="shared" si="52"/>
        <v>-6577.8912586978377</v>
      </c>
      <c r="I222" s="94">
        <f t="shared" si="53"/>
        <v>-4648.4955447209186</v>
      </c>
      <c r="J222" s="95">
        <f t="shared" si="54"/>
        <v>-162.22990878649981</v>
      </c>
      <c r="K222" s="94">
        <f t="shared" si="55"/>
        <v>1.900791732183557</v>
      </c>
      <c r="L222" s="94">
        <f t="shared" si="56"/>
        <v>-319.44140067520425</v>
      </c>
      <c r="M222" s="93">
        <f t="shared" si="57"/>
        <v>-437.03535150972982</v>
      </c>
      <c r="N222" s="93">
        <f t="shared" si="58"/>
        <v>3662.0771669145165</v>
      </c>
      <c r="O222" s="93">
        <f t="shared" si="59"/>
        <v>32992.932732199115</v>
      </c>
      <c r="P222" s="93">
        <f t="shared" si="60"/>
        <v>30487.481821543537</v>
      </c>
      <c r="Q222" s="93">
        <f t="shared" si="61"/>
        <v>238056576885.94504</v>
      </c>
      <c r="R222" s="93">
        <f t="shared" si="62"/>
        <v>36521863754675.852</v>
      </c>
      <c r="S222" s="93">
        <f t="shared" si="63"/>
        <v>29488638261155.934</v>
      </c>
      <c r="T222">
        <f t="shared" si="64"/>
        <v>0.5</v>
      </c>
      <c r="X222" s="99">
        <v>179</v>
      </c>
      <c r="Y222" s="99">
        <f t="shared" si="65"/>
        <v>5000.7615242180436</v>
      </c>
      <c r="Z222" s="99">
        <f t="shared" si="66"/>
        <v>7587.2620321864169</v>
      </c>
      <c r="AA222" s="99">
        <f t="shared" si="67"/>
        <v>-23499.46693304737</v>
      </c>
      <c r="AB222" s="99">
        <f t="shared" si="68"/>
        <v>10061.083422530492</v>
      </c>
      <c r="AC222" s="99">
        <f t="shared" si="69"/>
        <v>-9999.2384757819564</v>
      </c>
      <c r="AD222" s="99">
        <f t="shared" si="70"/>
        <v>-14912.737967813582</v>
      </c>
    </row>
    <row r="223" spans="1:30" x14ac:dyDescent="0.25">
      <c r="A223">
        <v>90</v>
      </c>
      <c r="B223" s="95">
        <f t="shared" si="71"/>
        <v>15332.869940226603</v>
      </c>
      <c r="C223" s="95">
        <f t="shared" si="72"/>
        <v>12202.330170321697</v>
      </c>
      <c r="D223" s="95">
        <f t="shared" si="73"/>
        <v>4684.4032190590933</v>
      </c>
      <c r="E223" s="95">
        <f t="shared" si="74"/>
        <v>5177.7408419056519</v>
      </c>
      <c r="F223" s="96">
        <f t="shared" si="50"/>
        <v>-4656.1625023143824</v>
      </c>
      <c r="G223" s="94">
        <f t="shared" si="51"/>
        <v>-4110.168776644975</v>
      </c>
      <c r="H223" s="97">
        <f t="shared" si="52"/>
        <v>-4252.0243840572275</v>
      </c>
      <c r="I223" s="94">
        <f t="shared" si="53"/>
        <v>-3749.2799881120359</v>
      </c>
      <c r="J223" s="95">
        <f t="shared" si="54"/>
        <v>-140.95233609910917</v>
      </c>
      <c r="K223" s="94">
        <f t="shared" si="55"/>
        <v>-8.7856883093148816</v>
      </c>
      <c r="L223" s="94">
        <f t="shared" si="56"/>
        <v>-263.18578215804581</v>
      </c>
      <c r="M223" s="93">
        <f t="shared" si="57"/>
        <v>-352.10310022362421</v>
      </c>
      <c r="N223" s="93">
        <f t="shared" si="58"/>
        <v>7109.9515350029051</v>
      </c>
      <c r="O223" s="93">
        <f t="shared" si="59"/>
        <v>35401.44003274553</v>
      </c>
      <c r="P223" s="93">
        <f t="shared" si="60"/>
        <v>33961.630801558465</v>
      </c>
      <c r="Q223" s="93">
        <f t="shared" si="61"/>
        <v>656695239471.61853</v>
      </c>
      <c r="R223" s="93">
        <f t="shared" si="62"/>
        <v>45019366455490.594</v>
      </c>
      <c r="S223" s="93">
        <f t="shared" si="63"/>
        <v>40451523322444.945</v>
      </c>
      <c r="T223">
        <f t="shared" si="64"/>
        <v>0.5</v>
      </c>
      <c r="X223" s="99">
        <v>180</v>
      </c>
      <c r="Y223" s="99">
        <f t="shared" si="65"/>
        <v>5000</v>
      </c>
      <c r="Z223" s="99">
        <f t="shared" si="66"/>
        <v>7500.0000000000009</v>
      </c>
      <c r="AA223" s="99">
        <f t="shared" si="67"/>
        <v>-23500</v>
      </c>
      <c r="AB223" s="99">
        <f t="shared" si="68"/>
        <v>10000</v>
      </c>
      <c r="AC223" s="99">
        <f t="shared" si="69"/>
        <v>-10000</v>
      </c>
      <c r="AD223" s="99">
        <f t="shared" si="70"/>
        <v>-15000</v>
      </c>
    </row>
    <row r="224" spans="1:30" x14ac:dyDescent="0.25">
      <c r="A224">
        <v>90.5</v>
      </c>
      <c r="B224" s="95">
        <f t="shared" si="71"/>
        <v>16511.030924177554</v>
      </c>
      <c r="C224" s="95">
        <f t="shared" si="72"/>
        <v>13763.658397113279</v>
      </c>
      <c r="D224" s="95">
        <f t="shared" si="73"/>
        <v>2356.3219679019021</v>
      </c>
      <c r="E224" s="95">
        <f t="shared" si="74"/>
        <v>3122.6564535831644</v>
      </c>
      <c r="F224" s="96">
        <f t="shared" si="50"/>
        <v>-3463.3272692150908</v>
      </c>
      <c r="G224" s="94">
        <f t="shared" si="51"/>
        <v>-3307.9859139201494</v>
      </c>
      <c r="H224" s="97">
        <f t="shared" si="52"/>
        <v>-3096.3351300881818</v>
      </c>
      <c r="I224" s="94">
        <f t="shared" si="53"/>
        <v>-2978.6965787301174</v>
      </c>
      <c r="J224" s="95">
        <f t="shared" si="54"/>
        <v>-130.81638826484061</v>
      </c>
      <c r="K224" s="94">
        <f t="shared" si="55"/>
        <v>-13.484916358441307</v>
      </c>
      <c r="L224" s="94">
        <f t="shared" si="56"/>
        <v>-236.17575086206841</v>
      </c>
      <c r="M224" s="93">
        <f t="shared" si="57"/>
        <v>-315.80441883159068</v>
      </c>
      <c r="N224" s="93">
        <f t="shared" si="58"/>
        <v>9034.7628752128348</v>
      </c>
      <c r="O224" s="93">
        <f t="shared" si="59"/>
        <v>36704.502498690963</v>
      </c>
      <c r="P224" s="93">
        <f t="shared" si="60"/>
        <v>35917.57920304135</v>
      </c>
      <c r="Q224" s="93">
        <f t="shared" si="61"/>
        <v>1101033213961.2214</v>
      </c>
      <c r="R224" s="93">
        <f t="shared" si="62"/>
        <v>50125034409424.195</v>
      </c>
      <c r="S224" s="93">
        <f t="shared" si="63"/>
        <v>47689694698311.453</v>
      </c>
      <c r="T224">
        <f t="shared" si="64"/>
        <v>0.5</v>
      </c>
      <c r="X224" s="99">
        <v>181</v>
      </c>
      <c r="Y224" s="99">
        <f t="shared" si="65"/>
        <v>5000.7615242180436</v>
      </c>
      <c r="Z224" s="99">
        <f t="shared" si="66"/>
        <v>7412.737967813584</v>
      </c>
      <c r="AA224" s="99">
        <f t="shared" si="67"/>
        <v>-23499.46693304737</v>
      </c>
      <c r="AB224" s="99">
        <f t="shared" si="68"/>
        <v>9938.9165774695084</v>
      </c>
      <c r="AC224" s="99">
        <f t="shared" si="69"/>
        <v>-9999.2384757819564</v>
      </c>
      <c r="AD224" s="99">
        <f t="shared" si="70"/>
        <v>-15087.262032186416</v>
      </c>
    </row>
    <row r="225" spans="1:30" x14ac:dyDescent="0.25">
      <c r="A225">
        <v>91</v>
      </c>
      <c r="B225" s="95">
        <f t="shared" si="71"/>
        <v>16823.360090824732</v>
      </c>
      <c r="C225" s="95">
        <f t="shared" si="72"/>
        <v>14497.990145424823</v>
      </c>
      <c r="D225" s="95">
        <f t="shared" si="73"/>
        <v>624.65833329435668</v>
      </c>
      <c r="E225" s="95">
        <f t="shared" si="74"/>
        <v>1468.6634966230897</v>
      </c>
      <c r="F225" s="96">
        <f t="shared" si="50"/>
        <v>-3052.7622945038661</v>
      </c>
      <c r="G225" s="94">
        <f t="shared" si="51"/>
        <v>-3088.7734108658983</v>
      </c>
      <c r="H225" s="97">
        <f t="shared" si="52"/>
        <v>-2699.9367440474466</v>
      </c>
      <c r="I225" s="94">
        <f t="shared" si="53"/>
        <v>-2769.0361459189385</v>
      </c>
      <c r="J225" s="95">
        <f t="shared" si="54"/>
        <v>-127.82760569493269</v>
      </c>
      <c r="K225" s="94">
        <f t="shared" si="55"/>
        <v>-15.614200043420853</v>
      </c>
      <c r="L225" s="94">
        <f t="shared" si="56"/>
        <v>-224.99794476148702</v>
      </c>
      <c r="M225" s="93">
        <f t="shared" si="57"/>
        <v>-304.12306490353859</v>
      </c>
      <c r="N225" s="93">
        <f t="shared" si="58"/>
        <v>9773.950532129913</v>
      </c>
      <c r="O225" s="93">
        <f t="shared" si="59"/>
        <v>37097.058693741237</v>
      </c>
      <c r="P225" s="93">
        <f t="shared" si="60"/>
        <v>36693.193759515969</v>
      </c>
      <c r="Q225" s="93">
        <f t="shared" si="61"/>
        <v>1323254330642.697</v>
      </c>
      <c r="R225" s="93">
        <f t="shared" si="62"/>
        <v>51735839767851.078</v>
      </c>
      <c r="S225" s="93">
        <f t="shared" si="63"/>
        <v>50785728887922.352</v>
      </c>
      <c r="T225">
        <f t="shared" si="64"/>
        <v>0.5</v>
      </c>
      <c r="X225" s="99">
        <v>182</v>
      </c>
      <c r="Y225" s="99">
        <f t="shared" si="65"/>
        <v>5003.0458649045213</v>
      </c>
      <c r="Z225" s="99">
        <f t="shared" si="66"/>
        <v>7325.5025164874951</v>
      </c>
      <c r="AA225" s="99">
        <f t="shared" si="67"/>
        <v>-23497.867894566836</v>
      </c>
      <c r="AB225" s="99">
        <f t="shared" si="68"/>
        <v>9877.8517615412475</v>
      </c>
      <c r="AC225" s="99">
        <f t="shared" si="69"/>
        <v>-9996.9541350954787</v>
      </c>
      <c r="AD225" s="99">
        <f t="shared" si="70"/>
        <v>-15174.497483512505</v>
      </c>
    </row>
    <row r="226" spans="1:30" x14ac:dyDescent="0.25">
      <c r="A226">
        <v>91.5</v>
      </c>
      <c r="B226" s="95">
        <f t="shared" si="71"/>
        <v>16372.498683845943</v>
      </c>
      <c r="C226" s="95">
        <f t="shared" si="72"/>
        <v>14460.128541019893</v>
      </c>
      <c r="D226" s="95">
        <f t="shared" si="73"/>
        <v>-901.72281395757636</v>
      </c>
      <c r="E226" s="95">
        <f t="shared" si="74"/>
        <v>-75.723208809859443</v>
      </c>
      <c r="F226" s="96">
        <f t="shared" si="50"/>
        <v>-3096.0240129085628</v>
      </c>
      <c r="G226" s="94">
        <f t="shared" si="51"/>
        <v>-3319.1418686571778</v>
      </c>
      <c r="H226" s="97">
        <f t="shared" si="52"/>
        <v>-2739.3863226415742</v>
      </c>
      <c r="I226" s="94">
        <f t="shared" si="53"/>
        <v>-2991.9944867827116</v>
      </c>
      <c r="J226" s="95">
        <f t="shared" si="54"/>
        <v>-130.95080870719562</v>
      </c>
      <c r="K226" s="94">
        <f t="shared" si="55"/>
        <v>-16.057666108157587</v>
      </c>
      <c r="L226" s="94">
        <f t="shared" si="56"/>
        <v>-225.68688155979311</v>
      </c>
      <c r="M226" s="93">
        <f t="shared" si="57"/>
        <v>-311.08971576630847</v>
      </c>
      <c r="N226" s="93">
        <f t="shared" si="58"/>
        <v>9436.7435475982911</v>
      </c>
      <c r="O226" s="93">
        <f t="shared" si="59"/>
        <v>36644.936991469847</v>
      </c>
      <c r="P226" s="93">
        <f t="shared" si="60"/>
        <v>36396.193120220851</v>
      </c>
      <c r="Q226" s="93">
        <f t="shared" si="61"/>
        <v>1218021890810.2058</v>
      </c>
      <c r="R226" s="93">
        <f t="shared" si="62"/>
        <v>49883589232971.531</v>
      </c>
      <c r="S226" s="93">
        <f t="shared" si="63"/>
        <v>49584690368337.453</v>
      </c>
      <c r="T226">
        <f t="shared" si="64"/>
        <v>0.5</v>
      </c>
      <c r="X226" s="99">
        <v>183</v>
      </c>
      <c r="Y226" s="99">
        <f t="shared" si="65"/>
        <v>5006.852326227131</v>
      </c>
      <c r="Z226" s="99">
        <f t="shared" si="66"/>
        <v>7238.3202187852821</v>
      </c>
      <c r="AA226" s="99">
        <f t="shared" si="67"/>
        <v>-23495.203371641008</v>
      </c>
      <c r="AB226" s="99">
        <f t="shared" si="68"/>
        <v>9816.8241531496969</v>
      </c>
      <c r="AC226" s="99">
        <f t="shared" si="69"/>
        <v>-9993.1476737728699</v>
      </c>
      <c r="AD226" s="99">
        <f t="shared" si="70"/>
        <v>-15261.679781214718</v>
      </c>
    </row>
    <row r="227" spans="1:30" x14ac:dyDescent="0.25">
      <c r="A227">
        <v>92</v>
      </c>
      <c r="B227" s="95">
        <f t="shared" si="71"/>
        <v>15147.631273640012</v>
      </c>
      <c r="C227" s="95">
        <f t="shared" si="72"/>
        <v>13592.481469450668</v>
      </c>
      <c r="D227" s="95">
        <f t="shared" si="73"/>
        <v>-2449.734820411858</v>
      </c>
      <c r="E227" s="95">
        <f t="shared" si="74"/>
        <v>-1735.2941431384484</v>
      </c>
      <c r="F227" s="96">
        <f t="shared" si="50"/>
        <v>-3611.1765566755612</v>
      </c>
      <c r="G227" s="94">
        <f t="shared" si="51"/>
        <v>-4177.8307152422349</v>
      </c>
      <c r="H227" s="97">
        <f t="shared" si="52"/>
        <v>-3230.9825892133317</v>
      </c>
      <c r="I227" s="94">
        <f t="shared" si="53"/>
        <v>-3824.0309972669124</v>
      </c>
      <c r="J227" s="95">
        <f t="shared" si="54"/>
        <v>-141.04846858116656</v>
      </c>
      <c r="K227" s="94">
        <f t="shared" si="55"/>
        <v>-14.416732829795574</v>
      </c>
      <c r="L227" s="94">
        <f t="shared" si="56"/>
        <v>-239.14549888106296</v>
      </c>
      <c r="M227" s="93">
        <f t="shared" si="57"/>
        <v>-339.38298514552719</v>
      </c>
      <c r="N227" s="93">
        <f t="shared" si="58"/>
        <v>7975.9913606370246</v>
      </c>
      <c r="O227" s="93">
        <f t="shared" si="59"/>
        <v>35330.750165487625</v>
      </c>
      <c r="P227" s="93">
        <f t="shared" si="60"/>
        <v>34977.95080503483</v>
      </c>
      <c r="Q227" s="93">
        <f t="shared" si="61"/>
        <v>834202400566.21985</v>
      </c>
      <c r="R227" s="93">
        <f t="shared" si="62"/>
        <v>44752822285961.898</v>
      </c>
      <c r="S227" s="93">
        <f t="shared" si="63"/>
        <v>44112371403362.688</v>
      </c>
      <c r="T227">
        <f t="shared" si="64"/>
        <v>0.5</v>
      </c>
      <c r="X227" s="99">
        <v>184</v>
      </c>
      <c r="Y227" s="99">
        <f t="shared" si="65"/>
        <v>5012.179748700878</v>
      </c>
      <c r="Z227" s="99">
        <f t="shared" si="66"/>
        <v>7151.2176312793763</v>
      </c>
      <c r="AA227" s="99">
        <f t="shared" si="67"/>
        <v>-23491.474175909385</v>
      </c>
      <c r="AB227" s="99">
        <f t="shared" si="68"/>
        <v>9755.8523418955629</v>
      </c>
      <c r="AC227" s="99">
        <f t="shared" si="69"/>
        <v>-9987.8202512991229</v>
      </c>
      <c r="AD227" s="99">
        <f t="shared" si="70"/>
        <v>-15348.782368720624</v>
      </c>
    </row>
    <row r="228" spans="1:30" x14ac:dyDescent="0.25">
      <c r="A228">
        <v>92.5</v>
      </c>
      <c r="B228" s="95">
        <f t="shared" si="71"/>
        <v>13019.969724265193</v>
      </c>
      <c r="C228" s="95">
        <f t="shared" si="72"/>
        <v>11680.376719070884</v>
      </c>
      <c r="D228" s="95">
        <f t="shared" si="73"/>
        <v>-4255.323098749639</v>
      </c>
      <c r="E228" s="95">
        <f t="shared" si="74"/>
        <v>-3824.2095007595658</v>
      </c>
      <c r="F228" s="96">
        <f t="shared" si="50"/>
        <v>-4700.7356883263419</v>
      </c>
      <c r="G228" s="94">
        <f t="shared" si="51"/>
        <v>-6318.1035620044795</v>
      </c>
      <c r="H228" s="97">
        <f t="shared" si="52"/>
        <v>-4266.5820955837171</v>
      </c>
      <c r="I228" s="94">
        <f t="shared" si="53"/>
        <v>-5905.9931359817192</v>
      </c>
      <c r="J228" s="95">
        <f t="shared" si="54"/>
        <v>-161.35963326323878</v>
      </c>
      <c r="K228" s="94">
        <f t="shared" si="55"/>
        <v>-8.2115451164120117</v>
      </c>
      <c r="L228" s="94">
        <f t="shared" si="56"/>
        <v>-272.7939594793865</v>
      </c>
      <c r="M228" s="93">
        <f t="shared" si="57"/>
        <v>-403.89888090634827</v>
      </c>
      <c r="N228" s="93">
        <f t="shared" si="58"/>
        <v>5157.108361167936</v>
      </c>
      <c r="O228" s="93">
        <f t="shared" si="59"/>
        <v>33062.699020336877</v>
      </c>
      <c r="P228" s="93">
        <f t="shared" si="60"/>
        <v>32195.680001127072</v>
      </c>
      <c r="Q228" s="93">
        <f t="shared" si="61"/>
        <v>370613389018.32471</v>
      </c>
      <c r="R228" s="93">
        <f t="shared" si="62"/>
        <v>36751453082268.219</v>
      </c>
      <c r="S228" s="93">
        <f t="shared" si="63"/>
        <v>34587401062510.102</v>
      </c>
      <c r="T228">
        <f t="shared" si="64"/>
        <v>0.5</v>
      </c>
      <c r="X228" s="99">
        <v>185</v>
      </c>
      <c r="Y228" s="99">
        <f t="shared" si="65"/>
        <v>5019.0265095412724</v>
      </c>
      <c r="Z228" s="99">
        <f t="shared" si="66"/>
        <v>7064.2212862617107</v>
      </c>
      <c r="AA228" s="99">
        <f t="shared" si="67"/>
        <v>-23486.681443321111</v>
      </c>
      <c r="AB228" s="99">
        <f t="shared" si="68"/>
        <v>9694.954900383198</v>
      </c>
      <c r="AC228" s="99">
        <f t="shared" si="69"/>
        <v>-9980.9734904587276</v>
      </c>
      <c r="AD228" s="99">
        <f t="shared" si="70"/>
        <v>-15435.778713738289</v>
      </c>
    </row>
    <row r="229" spans="1:30" x14ac:dyDescent="0.25">
      <c r="A229">
        <v>93</v>
      </c>
      <c r="B229" s="95">
        <f t="shared" si="71"/>
        <v>9717.1242528087878</v>
      </c>
      <c r="C229" s="95">
        <f t="shared" si="72"/>
        <v>8188.7460781899808</v>
      </c>
      <c r="D229" s="95">
        <f t="shared" si="73"/>
        <v>-6605.69094291281</v>
      </c>
      <c r="E229" s="95">
        <f t="shared" si="74"/>
        <v>-6983.2612817618055</v>
      </c>
      <c r="F229" s="96">
        <f t="shared" si="50"/>
        <v>594.23576302520678</v>
      </c>
      <c r="G229" s="94">
        <f t="shared" si="51"/>
        <v>-3337.6615118505774</v>
      </c>
      <c r="H229" s="97">
        <f t="shared" si="52"/>
        <v>1146.5580886485191</v>
      </c>
      <c r="I229" s="94">
        <f t="shared" si="53"/>
        <v>-2791.6404810762097</v>
      </c>
      <c r="J229" s="95">
        <f t="shared" si="54"/>
        <v>-198.11724058806237</v>
      </c>
      <c r="K229" s="94">
        <f t="shared" si="55"/>
        <v>12.075213804020432</v>
      </c>
      <c r="L229" s="94">
        <f t="shared" si="56"/>
        <v>-354.20508503524991</v>
      </c>
      <c r="M229" s="93">
        <f t="shared" si="57"/>
        <v>-558.09624457838811</v>
      </c>
      <c r="N229" s="93">
        <f t="shared" si="58"/>
        <v>744.57360184945173</v>
      </c>
      <c r="O229" s="93">
        <f t="shared" si="59"/>
        <v>29772.270901396631</v>
      </c>
      <c r="P229" s="93">
        <f t="shared" si="60"/>
        <v>27464.735406542401</v>
      </c>
      <c r="Q229" s="93">
        <f t="shared" si="61"/>
        <v>129180890477.47955</v>
      </c>
      <c r="R229" s="93">
        <f t="shared" si="62"/>
        <v>26938738348174.281</v>
      </c>
      <c r="S229" s="93">
        <f t="shared" si="63"/>
        <v>21755385692251.805</v>
      </c>
      <c r="T229">
        <f t="shared" si="64"/>
        <v>0.5</v>
      </c>
      <c r="X229" s="99">
        <v>186</v>
      </c>
      <c r="Y229" s="99">
        <f t="shared" si="65"/>
        <v>5027.3905231586332</v>
      </c>
      <c r="Z229" s="99">
        <f t="shared" si="66"/>
        <v>6977.3576836617349</v>
      </c>
      <c r="AA229" s="99">
        <f t="shared" si="67"/>
        <v>-23480.826633788958</v>
      </c>
      <c r="AB229" s="99">
        <f t="shared" si="68"/>
        <v>9634.150378563214</v>
      </c>
      <c r="AC229" s="99">
        <f t="shared" si="69"/>
        <v>-9972.6094768413677</v>
      </c>
      <c r="AD229" s="99">
        <f t="shared" si="70"/>
        <v>-15522.642316338266</v>
      </c>
    </row>
    <row r="230" spans="1:30" x14ac:dyDescent="0.25">
      <c r="A230">
        <v>93.5</v>
      </c>
      <c r="B230" s="95">
        <f t="shared" si="71"/>
        <v>6562.8377221086848</v>
      </c>
      <c r="C230" s="95">
        <f t="shared" si="72"/>
        <v>3862.7000593464331</v>
      </c>
      <c r="D230" s="95">
        <f t="shared" si="73"/>
        <v>-6308.5730614002068</v>
      </c>
      <c r="E230" s="95">
        <f t="shared" si="74"/>
        <v>-8652.0920376870945</v>
      </c>
      <c r="F230" s="96">
        <f t="shared" si="50"/>
        <v>4335.0764465701641</v>
      </c>
      <c r="G230" s="94">
        <f t="shared" si="51"/>
        <v>4586.3708449948872</v>
      </c>
      <c r="H230" s="97">
        <f t="shared" si="52"/>
        <v>5083.586005265428</v>
      </c>
      <c r="I230" s="94">
        <f t="shared" si="53"/>
        <v>5379.5909475077524</v>
      </c>
      <c r="J230" s="95">
        <f t="shared" si="54"/>
        <v>-229.72846989863993</v>
      </c>
      <c r="K230" s="94">
        <f t="shared" si="55"/>
        <v>53.078384900942432</v>
      </c>
      <c r="L230" s="94">
        <f t="shared" si="56"/>
        <v>-518.78108879662432</v>
      </c>
      <c r="M230" s="93">
        <f t="shared" si="57"/>
        <v>-846.29848741380715</v>
      </c>
      <c r="N230" s="93">
        <f t="shared" si="58"/>
        <v>5004.4016008747194</v>
      </c>
      <c r="O230" s="93">
        <f t="shared" si="59"/>
        <v>27262.626403423175</v>
      </c>
      <c r="P230" s="93">
        <f t="shared" si="60"/>
        <v>22124.662024914356</v>
      </c>
      <c r="Q230" s="93">
        <f t="shared" si="61"/>
        <v>354020559182.53033</v>
      </c>
      <c r="R230" s="93">
        <f t="shared" si="62"/>
        <v>20765978089917.191</v>
      </c>
      <c r="S230" s="93">
        <f t="shared" si="63"/>
        <v>11670216599031.367</v>
      </c>
      <c r="T230">
        <f t="shared" si="64"/>
        <v>0.5</v>
      </c>
      <c r="X230" s="99">
        <v>187</v>
      </c>
      <c r="Y230" s="99">
        <f t="shared" si="65"/>
        <v>5037.2692417933904</v>
      </c>
      <c r="Z230" s="99">
        <f t="shared" si="66"/>
        <v>6890.6532829742609</v>
      </c>
      <c r="AA230" s="99">
        <f t="shared" si="67"/>
        <v>-23473.911530744626</v>
      </c>
      <c r="AB230" s="99">
        <f t="shared" si="68"/>
        <v>9573.457298081983</v>
      </c>
      <c r="AC230" s="99">
        <f t="shared" si="69"/>
        <v>-9962.7307582066096</v>
      </c>
      <c r="AD230" s="99">
        <f t="shared" si="70"/>
        <v>-15609.346717025739</v>
      </c>
    </row>
    <row r="231" spans="1:30" x14ac:dyDescent="0.25">
      <c r="A231">
        <v>94</v>
      </c>
      <c r="B231" s="95">
        <f t="shared" si="71"/>
        <v>4492.3203030511222</v>
      </c>
      <c r="C231" s="95">
        <f t="shared" si="72"/>
        <v>683.24675175160769</v>
      </c>
      <c r="D231" s="95">
        <f t="shared" si="73"/>
        <v>-4141.0348381151252</v>
      </c>
      <c r="E231" s="95">
        <f t="shared" si="74"/>
        <v>-6358.9066151896513</v>
      </c>
      <c r="F231" s="96">
        <f t="shared" si="50"/>
        <v>1845.0887603731351</v>
      </c>
      <c r="G231" s="94">
        <f t="shared" si="51"/>
        <v>2368.5367270741795</v>
      </c>
      <c r="H231" s="97">
        <f t="shared" si="52"/>
        <v>2807.5571540076057</v>
      </c>
      <c r="I231" s="94">
        <f t="shared" si="53"/>
        <v>3474.8615392116185</v>
      </c>
      <c r="J231" s="95">
        <f t="shared" si="54"/>
        <v>-238.05439775866154</v>
      </c>
      <c r="K231" s="94">
        <f t="shared" si="55"/>
        <v>90.55467412377142</v>
      </c>
      <c r="L231" s="94">
        <f t="shared" si="56"/>
        <v>-724.41399587580895</v>
      </c>
      <c r="M231" s="93">
        <f t="shared" si="57"/>
        <v>-1196.8794862612103</v>
      </c>
      <c r="N231" s="93">
        <f t="shared" si="58"/>
        <v>8763.7127116130341</v>
      </c>
      <c r="O231" s="93">
        <f t="shared" si="59"/>
        <v>26204.496654505638</v>
      </c>
      <c r="P231" s="93">
        <f t="shared" si="60"/>
        <v>18332.167722668368</v>
      </c>
      <c r="Q231" s="93">
        <f t="shared" si="61"/>
        <v>1027161403141.3694</v>
      </c>
      <c r="R231" s="93">
        <f t="shared" si="62"/>
        <v>18477638395856.547</v>
      </c>
      <c r="S231" s="93">
        <f t="shared" si="63"/>
        <v>6860948734508.5869</v>
      </c>
      <c r="T231">
        <f t="shared" si="64"/>
        <v>0.5</v>
      </c>
      <c r="X231" s="99">
        <v>188</v>
      </c>
      <c r="Y231" s="99">
        <f t="shared" si="65"/>
        <v>5048.6596562921486</v>
      </c>
      <c r="Z231" s="99">
        <f t="shared" si="66"/>
        <v>6804.1344951996725</v>
      </c>
      <c r="AA231" s="99">
        <f t="shared" si="67"/>
        <v>-23465.938240595497</v>
      </c>
      <c r="AB231" s="99">
        <f t="shared" si="68"/>
        <v>9512.89414663977</v>
      </c>
      <c r="AC231" s="99">
        <f t="shared" si="69"/>
        <v>-9951.3403437078523</v>
      </c>
      <c r="AD231" s="99">
        <f t="shared" si="70"/>
        <v>-15695.865504800327</v>
      </c>
    </row>
    <row r="232" spans="1:30" x14ac:dyDescent="0.25">
      <c r="A232">
        <v>94.5</v>
      </c>
      <c r="B232" s="95">
        <f t="shared" si="71"/>
        <v>2883.0750740868434</v>
      </c>
      <c r="C232" s="95">
        <f t="shared" si="72"/>
        <v>-1904.072374074673</v>
      </c>
      <c r="D232" s="95">
        <f t="shared" si="73"/>
        <v>-3218.4904579285576</v>
      </c>
      <c r="E232" s="95">
        <f t="shared" si="74"/>
        <v>-5174.6382516525618</v>
      </c>
      <c r="F232" s="96">
        <f t="shared" si="50"/>
        <v>547.59703966998165</v>
      </c>
      <c r="G232" s="94">
        <f t="shared" si="51"/>
        <v>815.38309813814362</v>
      </c>
      <c r="H232" s="97">
        <f t="shared" si="52"/>
        <v>1772.8784459362785</v>
      </c>
      <c r="I232" s="94">
        <f t="shared" si="53"/>
        <v>2342.6237299928539</v>
      </c>
      <c r="J232" s="95">
        <f t="shared" si="54"/>
        <v>-232.99932427898909</v>
      </c>
      <c r="K232" s="94">
        <f t="shared" si="55"/>
        <v>121.20926974838687</v>
      </c>
      <c r="L232" s="94">
        <f t="shared" si="56"/>
        <v>-992.28208198730783</v>
      </c>
      <c r="M232" s="93">
        <f t="shared" si="57"/>
        <v>-1648.449901603097</v>
      </c>
      <c r="N232" s="93">
        <f t="shared" si="58"/>
        <v>11793.523545485396</v>
      </c>
      <c r="O232" s="93">
        <f t="shared" si="59"/>
        <v>25794.225398982278</v>
      </c>
      <c r="P232" s="93">
        <f t="shared" si="60"/>
        <v>15285.489622748872</v>
      </c>
      <c r="Q232" s="93">
        <f t="shared" si="61"/>
        <v>2101899984048.3586</v>
      </c>
      <c r="R232" s="93">
        <f t="shared" si="62"/>
        <v>17638127036774.934</v>
      </c>
      <c r="S232" s="93">
        <f t="shared" si="63"/>
        <v>4159672467807.5317</v>
      </c>
      <c r="T232">
        <f t="shared" si="64"/>
        <v>0.5</v>
      </c>
      <c r="X232" s="99">
        <v>189</v>
      </c>
      <c r="Y232" s="99">
        <f t="shared" si="65"/>
        <v>5061.5582970243113</v>
      </c>
      <c r="Z232" s="99">
        <f t="shared" si="66"/>
        <v>6717.8276747988466</v>
      </c>
      <c r="AA232" s="99">
        <f t="shared" si="67"/>
        <v>-23456.909192082981</v>
      </c>
      <c r="AB232" s="99">
        <f t="shared" si="68"/>
        <v>9452.479372359192</v>
      </c>
      <c r="AC232" s="99">
        <f t="shared" si="69"/>
        <v>-9938.4417029756878</v>
      </c>
      <c r="AD232" s="99">
        <f t="shared" si="70"/>
        <v>-15782.172325201154</v>
      </c>
    </row>
    <row r="233" spans="1:30" x14ac:dyDescent="0.25">
      <c r="A233">
        <v>95</v>
      </c>
      <c r="B233" s="95">
        <f t="shared" si="71"/>
        <v>1410.7291050400599</v>
      </c>
      <c r="C233" s="95">
        <f t="shared" si="72"/>
        <v>-4287.5457253664181</v>
      </c>
      <c r="D233" s="95">
        <f t="shared" si="73"/>
        <v>-2944.6919380935669</v>
      </c>
      <c r="E233" s="95">
        <f t="shared" si="74"/>
        <v>-4766.9467025834902</v>
      </c>
      <c r="F233" s="96">
        <f t="shared" si="50"/>
        <v>-372.45033405840877</v>
      </c>
      <c r="G233" s="94">
        <f t="shared" si="51"/>
        <v>-475.90003230971615</v>
      </c>
      <c r="H233" s="97">
        <f t="shared" si="52"/>
        <v>1227.019270428897</v>
      </c>
      <c r="I233" s="94">
        <f t="shared" si="53"/>
        <v>1683.9084403046786</v>
      </c>
      <c r="J233" s="95">
        <f t="shared" si="54"/>
        <v>-219.36049536137691</v>
      </c>
      <c r="K233" s="94">
        <f t="shared" si="55"/>
        <v>146.38096126660778</v>
      </c>
      <c r="L233" s="94">
        <f t="shared" si="56"/>
        <v>-1380.1091091259289</v>
      </c>
      <c r="M233" s="93">
        <f t="shared" si="57"/>
        <v>-2306.1894338810025</v>
      </c>
      <c r="N233" s="93">
        <f t="shared" si="58"/>
        <v>14584.985729667686</v>
      </c>
      <c r="O233" s="93">
        <f t="shared" si="59"/>
        <v>25740.11040504383</v>
      </c>
      <c r="P233" s="93">
        <f t="shared" si="60"/>
        <v>12484.154927119538</v>
      </c>
      <c r="Q233" s="93">
        <f t="shared" si="61"/>
        <v>3665249464510.1333</v>
      </c>
      <c r="R233" s="93">
        <f t="shared" si="62"/>
        <v>17529348724709.434</v>
      </c>
      <c r="S233" s="93">
        <f t="shared" si="63"/>
        <v>2432162709379.7217</v>
      </c>
      <c r="T233">
        <f t="shared" si="64"/>
        <v>0.5</v>
      </c>
      <c r="X233" s="99">
        <v>190</v>
      </c>
      <c r="Y233" s="99">
        <f t="shared" si="65"/>
        <v>5075.9612349389599</v>
      </c>
      <c r="Z233" s="99">
        <f t="shared" si="66"/>
        <v>6631.7591116653475</v>
      </c>
      <c r="AA233" s="99">
        <f t="shared" si="67"/>
        <v>-23446.827135542728</v>
      </c>
      <c r="AB233" s="99">
        <f t="shared" si="68"/>
        <v>9392.2313781657431</v>
      </c>
      <c r="AC233" s="99">
        <f t="shared" si="69"/>
        <v>-9924.0387650610392</v>
      </c>
      <c r="AD233" s="99">
        <f t="shared" si="70"/>
        <v>-15868.240888334652</v>
      </c>
    </row>
    <row r="234" spans="1:30" x14ac:dyDescent="0.25">
      <c r="A234">
        <v>95.5</v>
      </c>
      <c r="B234" s="95">
        <f t="shared" si="71"/>
        <v>-154.72944752132571</v>
      </c>
      <c r="C234" s="95">
        <f t="shared" si="72"/>
        <v>-6789.9940847355929</v>
      </c>
      <c r="D234" s="95">
        <f t="shared" si="73"/>
        <v>-3130.9171051227713</v>
      </c>
      <c r="E234" s="95">
        <f t="shared" si="74"/>
        <v>-5004.8967187383478</v>
      </c>
      <c r="F234" s="96">
        <f t="shared" si="50"/>
        <v>-1353.6001637358968</v>
      </c>
      <c r="G234" s="94">
        <f t="shared" si="51"/>
        <v>-2043.9073774779752</v>
      </c>
      <c r="H234" s="97">
        <f t="shared" si="52"/>
        <v>877.66228474940715</v>
      </c>
      <c r="I234" s="94">
        <f t="shared" si="53"/>
        <v>1235.0687354379379</v>
      </c>
      <c r="J234" s="95">
        <f t="shared" si="54"/>
        <v>-197.50488518714323</v>
      </c>
      <c r="K234" s="94">
        <f t="shared" si="55"/>
        <v>167.09804208662385</v>
      </c>
      <c r="L234" s="94">
        <f t="shared" si="56"/>
        <v>-2033.7575632981607</v>
      </c>
      <c r="M234" s="93">
        <f t="shared" si="57"/>
        <v>-3446.0741550025368</v>
      </c>
      <c r="N234" s="93">
        <f t="shared" si="58"/>
        <v>17530.614966227939</v>
      </c>
      <c r="O234" s="93">
        <f t="shared" si="59"/>
        <v>25994.973834696069</v>
      </c>
      <c r="P234" s="93">
        <f t="shared" si="60"/>
        <v>9533.1444893798562</v>
      </c>
      <c r="Q234" s="93">
        <f t="shared" si="61"/>
        <v>6058143317360.7129</v>
      </c>
      <c r="R234" s="93">
        <f t="shared" si="62"/>
        <v>18045624836201.914</v>
      </c>
      <c r="S234" s="93">
        <f t="shared" si="63"/>
        <v>1247433703261.1155</v>
      </c>
      <c r="T234">
        <f t="shared" si="64"/>
        <v>0.5</v>
      </c>
      <c r="X234" s="99">
        <v>191</v>
      </c>
      <c r="Y234" s="99">
        <f t="shared" si="65"/>
        <v>5091.86408276168</v>
      </c>
      <c r="Z234" s="99">
        <f t="shared" si="66"/>
        <v>6545.9550231172761</v>
      </c>
      <c r="AA234" s="99">
        <f t="shared" si="67"/>
        <v>-23435.695142066823</v>
      </c>
      <c r="AB234" s="99">
        <f t="shared" si="68"/>
        <v>9332.1685161820933</v>
      </c>
      <c r="AC234" s="99">
        <f t="shared" si="69"/>
        <v>-9908.13591723832</v>
      </c>
      <c r="AD234" s="99">
        <f t="shared" si="70"/>
        <v>-15954.044976882724</v>
      </c>
    </row>
    <row r="235" spans="1:30" x14ac:dyDescent="0.25">
      <c r="A235">
        <v>96</v>
      </c>
      <c r="B235" s="95">
        <f t="shared" si="71"/>
        <v>-2058.5880410166856</v>
      </c>
      <c r="C235" s="95">
        <f t="shared" si="72"/>
        <v>-9803.4192884742606</v>
      </c>
      <c r="D235" s="95">
        <f t="shared" si="73"/>
        <v>-3807.7171869907197</v>
      </c>
      <c r="E235" s="95">
        <f t="shared" si="74"/>
        <v>-6026.8504074773355</v>
      </c>
      <c r="F235" s="96">
        <f t="shared" si="50"/>
        <v>-2804.7657599357544</v>
      </c>
      <c r="G235" s="94">
        <f t="shared" si="51"/>
        <v>-4688.3468534113272</v>
      </c>
      <c r="H235" s="97">
        <f t="shared" si="52"/>
        <v>620.01299339954517</v>
      </c>
      <c r="I235" s="94">
        <f t="shared" si="53"/>
        <v>889.68499069728739</v>
      </c>
      <c r="J235" s="95">
        <f t="shared" si="54"/>
        <v>-164.61054177291842</v>
      </c>
      <c r="K235" s="94">
        <f t="shared" si="55"/>
        <v>181.69426048989382</v>
      </c>
      <c r="L235" s="94">
        <f t="shared" si="56"/>
        <v>-3260.1682115623812</v>
      </c>
      <c r="M235" s="93">
        <f t="shared" si="57"/>
        <v>-5759.7261045985088</v>
      </c>
      <c r="N235" s="93">
        <f t="shared" si="58"/>
        <v>21090.705645276397</v>
      </c>
      <c r="O235" s="93">
        <f t="shared" si="59"/>
        <v>26722.082227945182</v>
      </c>
      <c r="P235" s="93">
        <f t="shared" si="60"/>
        <v>5971.2942821344368</v>
      </c>
      <c r="Q235" s="93">
        <f t="shared" si="61"/>
        <v>10183434864972.07</v>
      </c>
      <c r="R235" s="93">
        <f t="shared" si="62"/>
        <v>19574546823892.602</v>
      </c>
      <c r="S235" s="93">
        <f t="shared" si="63"/>
        <v>472404980452.15295</v>
      </c>
      <c r="T235">
        <f t="shared" si="64"/>
        <v>0.5</v>
      </c>
      <c r="X235" s="99">
        <v>192</v>
      </c>
      <c r="Y235" s="99">
        <f t="shared" si="65"/>
        <v>5109.2619963309717</v>
      </c>
      <c r="Z235" s="99">
        <f t="shared" si="66"/>
        <v>6460.4415459112042</v>
      </c>
      <c r="AA235" s="99">
        <f t="shared" si="67"/>
        <v>-23423.516602568321</v>
      </c>
      <c r="AB235" s="99">
        <f t="shared" si="68"/>
        <v>9272.3090821378428</v>
      </c>
      <c r="AC235" s="99">
        <f t="shared" si="69"/>
        <v>-9890.7380036690283</v>
      </c>
      <c r="AD235" s="99">
        <f t="shared" si="70"/>
        <v>-16039.558454088796</v>
      </c>
    </row>
    <row r="236" spans="1:30" x14ac:dyDescent="0.25">
      <c r="A236">
        <v>96.5</v>
      </c>
      <c r="B236" s="95">
        <f t="shared" si="71"/>
        <v>-4663.6380744959843</v>
      </c>
      <c r="C236" s="95">
        <f t="shared" si="72"/>
        <v>-13988.931205565759</v>
      </c>
      <c r="D236" s="95">
        <f t="shared" si="73"/>
        <v>-5210.1000669585974</v>
      </c>
      <c r="E236" s="95">
        <f t="shared" si="74"/>
        <v>-8371.0238341829991</v>
      </c>
      <c r="F236" s="96">
        <f t="shared" ref="F236:F299" si="75">SUM(H236,J236,L236)</f>
        <v>-1021.8403826011406</v>
      </c>
      <c r="G236" s="94">
        <f t="shared" ref="G236:G299" si="76">SUM(I236,K236,M236)</f>
        <v>-3174.4951171040248</v>
      </c>
      <c r="H236" s="97">
        <f t="shared" ref="H236:H299" si="77">$D$22*(($D$18-$B236)/$Q236)</f>
        <v>412.97485412137746</v>
      </c>
      <c r="I236" s="94">
        <f t="shared" ref="I236:I299" si="78">$D$22*(($E$18-$C236)/$Q236)</f>
        <v>605.19689484683795</v>
      </c>
      <c r="J236" s="95">
        <f t="shared" ref="J236:J299" si="79">$D$30*(($D$26-$B236)/$R236)</f>
        <v>-116.67463067334361</v>
      </c>
      <c r="K236" s="94">
        <f t="shared" ref="K236:K299" si="80">$D$30*(($E$26-$C236)/$R236)</f>
        <v>182.5008892104409</v>
      </c>
      <c r="L236" s="94">
        <f t="shared" ref="L236:L299" si="81">$D$38*(($D$34-$B236)/$S236)</f>
        <v>-1318.1406060491745</v>
      </c>
      <c r="M236" s="93">
        <f t="shared" ref="M236:M299" si="82">$D$38*(($E$34-$C236)/$S236)</f>
        <v>-3962.1929011613038</v>
      </c>
      <c r="N236" s="93">
        <f t="shared" ref="N236:N299" si="83">SQRT(($D$18-$B236)^2+($E$18-$C236)^2)</f>
        <v>26015.311759372518</v>
      </c>
      <c r="O236" s="93">
        <f t="shared" ref="O236:O299" si="84">SQRT(($D$26-$B236)^2+($E$26-$C236)^2)</f>
        <v>28472.31668648366</v>
      </c>
      <c r="P236" s="93">
        <f t="shared" ref="P236:P299" si="85">SQRT(($D$34-$B236)^2+($E$34-$C236)^2)</f>
        <v>1065.551243257441</v>
      </c>
      <c r="Q236" s="93">
        <f t="shared" ref="Q236:Q299" si="86">($N236^2+$D$39^2)^(3/2)</f>
        <v>18591599137331.719</v>
      </c>
      <c r="R236" s="93">
        <f t="shared" ref="R236:R299" si="87">($O236^2+$D$31^2)^(3/2)</f>
        <v>23606883484733.289</v>
      </c>
      <c r="S236" s="93">
        <f t="shared" ref="S236:S299" si="88">($P236^2+$D$23^2)^(3/2)</f>
        <v>133611461132.10518</v>
      </c>
      <c r="T236">
        <f t="shared" ref="T236:T299" si="89">A237-A236</f>
        <v>0.5</v>
      </c>
      <c r="X236" s="99">
        <v>193</v>
      </c>
      <c r="Y236" s="99">
        <f t="shared" ref="Y236:Y299" si="90">$D$19*COS(X236*PI()/180)+$D$18</f>
        <v>5128.1496760738237</v>
      </c>
      <c r="Z236" s="99">
        <f t="shared" ref="Z236:Z299" si="91">$D$19*SIN(X236*PI()/180)+$E$18</f>
        <v>6375.2447282806752</v>
      </c>
      <c r="AA236" s="99">
        <f t="shared" ref="AA236:AA299" si="92">$D$27*COS(X236*PI()/180)+$D$26</f>
        <v>-23410.295226748323</v>
      </c>
      <c r="AB236" s="99">
        <f t="shared" ref="AB236:AB299" si="93">$D$27*SIN($X236*PI()/180)+$E$26</f>
        <v>9212.671309796473</v>
      </c>
      <c r="AC236" s="99">
        <f t="shared" ref="AC236:AC299" si="94">$D$35*COS(X236*PI()/180)+$D$34</f>
        <v>-9871.8503239261772</v>
      </c>
      <c r="AD236" s="99">
        <f t="shared" ref="AD236:AD299" si="95">$D$35*SIN(X236*PI()/180)+$E$34</f>
        <v>-16124.755271719325</v>
      </c>
    </row>
    <row r="237" spans="1:30" x14ac:dyDescent="0.25">
      <c r="A237">
        <v>97</v>
      </c>
      <c r="B237" s="95">
        <f t="shared" ref="B237:B300" si="96">B236+(D236*$T236)+(F236*($T236)^2)</f>
        <v>-7524.1482036255684</v>
      </c>
      <c r="C237" s="95">
        <f t="shared" ref="C237:C300" si="97">C236+(E236*$T236)+(G236*($T236)^2)</f>
        <v>-18968.066901933267</v>
      </c>
      <c r="D237" s="95">
        <f t="shared" ref="D237:D300" si="98">D236+(F236*$T236)</f>
        <v>-5721.0202582591673</v>
      </c>
      <c r="E237" s="95">
        <f t="shared" ref="E237:E300" si="99">E236+(G236*$T236)</f>
        <v>-9958.2713927350123</v>
      </c>
      <c r="F237" s="96">
        <f t="shared" si="75"/>
        <v>4292.8671901605621</v>
      </c>
      <c r="G237" s="94">
        <f t="shared" si="76"/>
        <v>7004.5288469482539</v>
      </c>
      <c r="H237" s="97">
        <f t="shared" si="77"/>
        <v>276.50505822158237</v>
      </c>
      <c r="I237" s="94">
        <f t="shared" si="78"/>
        <v>417.62682526376148</v>
      </c>
      <c r="J237" s="95">
        <f t="shared" si="79"/>
        <v>-70.111479182941011</v>
      </c>
      <c r="K237" s="94">
        <f t="shared" si="80"/>
        <v>162.7940162093908</v>
      </c>
      <c r="L237" s="94">
        <f t="shared" si="81"/>
        <v>4086.4736111219208</v>
      </c>
      <c r="M237" s="93">
        <f t="shared" si="82"/>
        <v>6424.1080054751019</v>
      </c>
      <c r="N237" s="93">
        <f t="shared" si="83"/>
        <v>31743.571566347862</v>
      </c>
      <c r="O237" s="93">
        <f t="shared" si="84"/>
        <v>31540.383289997932</v>
      </c>
      <c r="P237" s="93">
        <f t="shared" si="85"/>
        <v>4702.8586085576144</v>
      </c>
      <c r="Q237" s="93">
        <f t="shared" si="86"/>
        <v>33184284590802.762</v>
      </c>
      <c r="R237" s="93">
        <f t="shared" si="87"/>
        <v>31957575204944.371</v>
      </c>
      <c r="S237" s="93">
        <f t="shared" si="88"/>
        <v>323418437170.36584</v>
      </c>
      <c r="T237">
        <f t="shared" si="89"/>
        <v>0.5</v>
      </c>
      <c r="X237" s="99">
        <v>194</v>
      </c>
      <c r="Y237" s="99">
        <f t="shared" si="90"/>
        <v>5148.5213686200177</v>
      </c>
      <c r="Z237" s="99">
        <f t="shared" si="91"/>
        <v>6290.3905220016622</v>
      </c>
      <c r="AA237" s="99">
        <f t="shared" si="92"/>
        <v>-23396.035041965988</v>
      </c>
      <c r="AB237" s="99">
        <f t="shared" si="93"/>
        <v>9153.2733654011645</v>
      </c>
      <c r="AC237" s="99">
        <f t="shared" si="94"/>
        <v>-9851.4786313799814</v>
      </c>
      <c r="AD237" s="99">
        <f t="shared" si="95"/>
        <v>-16209.609477998338</v>
      </c>
    </row>
    <row r="238" spans="1:30" x14ac:dyDescent="0.25">
      <c r="A238">
        <v>97.5</v>
      </c>
      <c r="B238" s="95">
        <f t="shared" si="96"/>
        <v>-9311.4415352150118</v>
      </c>
      <c r="C238" s="95">
        <f t="shared" si="97"/>
        <v>-22196.070386563712</v>
      </c>
      <c r="D238" s="95">
        <f t="shared" si="98"/>
        <v>-3574.5866631788863</v>
      </c>
      <c r="E238" s="95">
        <f t="shared" si="99"/>
        <v>-6456.0069692608849</v>
      </c>
      <c r="F238" s="96">
        <f t="shared" si="75"/>
        <v>2596.2224922687969</v>
      </c>
      <c r="G238" s="94">
        <f t="shared" si="76"/>
        <v>4530.8057982026803</v>
      </c>
      <c r="H238" s="97">
        <f t="shared" si="77"/>
        <v>220.85441060203547</v>
      </c>
      <c r="I238" s="94">
        <f t="shared" si="78"/>
        <v>339.61773959035872</v>
      </c>
      <c r="J238" s="95">
        <f t="shared" si="79"/>
        <v>-48.394526893977812</v>
      </c>
      <c r="K238" s="94">
        <f t="shared" si="80"/>
        <v>145.77396936512929</v>
      </c>
      <c r="L238" s="94">
        <f t="shared" si="81"/>
        <v>2423.7626085607394</v>
      </c>
      <c r="M238" s="93">
        <f t="shared" si="82"/>
        <v>4045.4140892471919</v>
      </c>
      <c r="N238" s="93">
        <f t="shared" si="83"/>
        <v>35422.992117716058</v>
      </c>
      <c r="O238" s="93">
        <f t="shared" si="84"/>
        <v>33923.9182641347</v>
      </c>
      <c r="P238" s="93">
        <f t="shared" si="85"/>
        <v>8388.7995040980913</v>
      </c>
      <c r="Q238" s="93">
        <f t="shared" si="86"/>
        <v>45783315421745.625</v>
      </c>
      <c r="R238" s="93">
        <f t="shared" si="87"/>
        <v>39665746399489.18</v>
      </c>
      <c r="S238" s="93">
        <f t="shared" si="88"/>
        <v>931388866603.04626</v>
      </c>
      <c r="T238">
        <f t="shared" si="89"/>
        <v>0.5</v>
      </c>
      <c r="X238" s="99">
        <v>195</v>
      </c>
      <c r="Y238" s="99">
        <f t="shared" si="90"/>
        <v>5170.370868554658</v>
      </c>
      <c r="Z238" s="99">
        <f t="shared" si="91"/>
        <v>6205.9047744873988</v>
      </c>
      <c r="AA238" s="99">
        <f t="shared" si="92"/>
        <v>-23380.740392011739</v>
      </c>
      <c r="AB238" s="99">
        <f t="shared" si="93"/>
        <v>9094.1333421411782</v>
      </c>
      <c r="AC238" s="99">
        <f t="shared" si="94"/>
        <v>-9829.629131445341</v>
      </c>
      <c r="AD238" s="99">
        <f t="shared" si="95"/>
        <v>-16294.095225512601</v>
      </c>
    </row>
    <row r="239" spans="1:30" x14ac:dyDescent="0.25">
      <c r="A239">
        <v>98</v>
      </c>
      <c r="B239" s="95">
        <f t="shared" si="96"/>
        <v>-10449.679243737255</v>
      </c>
      <c r="C239" s="95">
        <f t="shared" si="97"/>
        <v>-24291.372421643482</v>
      </c>
      <c r="D239" s="95">
        <f t="shared" si="98"/>
        <v>-2276.4754170444876</v>
      </c>
      <c r="E239" s="95">
        <f t="shared" si="99"/>
        <v>-4190.6040701595448</v>
      </c>
      <c r="F239" s="96">
        <f t="shared" si="75"/>
        <v>1859.4280272526721</v>
      </c>
      <c r="G239" s="94">
        <f t="shared" si="76"/>
        <v>3339.6644939661419</v>
      </c>
      <c r="H239" s="97">
        <f t="shared" si="77"/>
        <v>193.1487700594071</v>
      </c>
      <c r="I239" s="94">
        <f t="shared" si="78"/>
        <v>300.27192155698577</v>
      </c>
      <c r="J239" s="95">
        <f t="shared" si="79"/>
        <v>-37.48203420225861</v>
      </c>
      <c r="K239" s="94">
        <f t="shared" si="80"/>
        <v>134.58295556278253</v>
      </c>
      <c r="L239" s="94">
        <f t="shared" si="81"/>
        <v>1703.7612913955236</v>
      </c>
      <c r="M239" s="93">
        <f t="shared" si="82"/>
        <v>2904.8096168463735</v>
      </c>
      <c r="N239" s="93">
        <f t="shared" si="83"/>
        <v>37800.538906520524</v>
      </c>
      <c r="O239" s="93">
        <f t="shared" si="84"/>
        <v>35596.444332367719</v>
      </c>
      <c r="P239" s="93">
        <f t="shared" si="85"/>
        <v>10771.657501856329</v>
      </c>
      <c r="Q239" s="93">
        <f t="shared" si="86"/>
        <v>55436164621216.438</v>
      </c>
      <c r="R239" s="93">
        <f t="shared" si="87"/>
        <v>45760161416408.977</v>
      </c>
      <c r="S239" s="93">
        <f t="shared" si="88"/>
        <v>1674791764453.739</v>
      </c>
      <c r="T239">
        <f t="shared" si="89"/>
        <v>0.5</v>
      </c>
      <c r="X239" s="99">
        <v>196</v>
      </c>
      <c r="Y239" s="99">
        <f t="shared" si="90"/>
        <v>5193.6915203084054</v>
      </c>
      <c r="Z239" s="99">
        <f t="shared" si="91"/>
        <v>6121.8132209150053</v>
      </c>
      <c r="AA239" s="99">
        <f t="shared" si="92"/>
        <v>-23364.415935784116</v>
      </c>
      <c r="AB239" s="99">
        <f t="shared" si="93"/>
        <v>9035.2692546405033</v>
      </c>
      <c r="AC239" s="99">
        <f t="shared" si="94"/>
        <v>-9806.3084796915937</v>
      </c>
      <c r="AD239" s="99">
        <f t="shared" si="95"/>
        <v>-16378.186779084996</v>
      </c>
    </row>
    <row r="240" spans="1:30" x14ac:dyDescent="0.25">
      <c r="A240">
        <v>98.5</v>
      </c>
      <c r="B240" s="95">
        <f t="shared" si="96"/>
        <v>-11123.05994544633</v>
      </c>
      <c r="C240" s="95">
        <f t="shared" si="97"/>
        <v>-25551.758333231715</v>
      </c>
      <c r="D240" s="95">
        <f t="shared" si="98"/>
        <v>-1346.7614034181515</v>
      </c>
      <c r="E240" s="95">
        <f t="shared" si="99"/>
        <v>-2520.7718231764738</v>
      </c>
      <c r="F240" s="96">
        <f t="shared" si="75"/>
        <v>1545.7788911938742</v>
      </c>
      <c r="G240" s="94">
        <f t="shared" si="76"/>
        <v>2818.5456969047445</v>
      </c>
      <c r="H240" s="97">
        <f t="shared" si="77"/>
        <v>178.88172132019488</v>
      </c>
      <c r="I240" s="94">
        <f t="shared" si="78"/>
        <v>279.90051813407649</v>
      </c>
      <c r="J240" s="95">
        <f t="shared" si="79"/>
        <v>-31.963760141861794</v>
      </c>
      <c r="K240" s="94">
        <f t="shared" si="80"/>
        <v>128.01346736614761</v>
      </c>
      <c r="L240" s="94">
        <f t="shared" si="81"/>
        <v>1398.860930015541</v>
      </c>
      <c r="M240" s="93">
        <f t="shared" si="82"/>
        <v>2410.6317114045205</v>
      </c>
      <c r="N240" s="93">
        <f t="shared" si="83"/>
        <v>39225.022503209242</v>
      </c>
      <c r="O240" s="93">
        <f t="shared" si="84"/>
        <v>36643.247472305862</v>
      </c>
      <c r="P240" s="93">
        <f t="shared" si="85"/>
        <v>12199.650282629178</v>
      </c>
      <c r="Q240" s="93">
        <f t="shared" si="86"/>
        <v>61828610786498.203</v>
      </c>
      <c r="R240" s="93">
        <f t="shared" si="87"/>
        <v>49876752252781.188</v>
      </c>
      <c r="S240" s="93">
        <f t="shared" si="88"/>
        <v>2291883790274.3242</v>
      </c>
      <c r="T240">
        <f t="shared" si="89"/>
        <v>0.5</v>
      </c>
      <c r="X240" s="99">
        <v>197</v>
      </c>
      <c r="Y240" s="99">
        <f t="shared" si="90"/>
        <v>5218.4762201848225</v>
      </c>
      <c r="Z240" s="99">
        <f t="shared" si="91"/>
        <v>6038.1414763863177</v>
      </c>
      <c r="AA240" s="99">
        <f t="shared" si="92"/>
        <v>-23347.066645870626</v>
      </c>
      <c r="AB240" s="99">
        <f t="shared" si="93"/>
        <v>8976.6990334704224</v>
      </c>
      <c r="AC240" s="99">
        <f t="shared" si="94"/>
        <v>-9781.5237798151775</v>
      </c>
      <c r="AD240" s="99">
        <f t="shared" si="95"/>
        <v>-16461.858523613682</v>
      </c>
    </row>
    <row r="241" spans="1:30" x14ac:dyDescent="0.25">
      <c r="A241">
        <v>99</v>
      </c>
      <c r="B241" s="95">
        <f t="shared" si="96"/>
        <v>-11409.995924356937</v>
      </c>
      <c r="C241" s="95">
        <f t="shared" si="97"/>
        <v>-26107.507820593768</v>
      </c>
      <c r="D241" s="95">
        <f t="shared" si="98"/>
        <v>-573.87195782121444</v>
      </c>
      <c r="E241" s="95">
        <f t="shared" si="99"/>
        <v>-1111.4989747241016</v>
      </c>
      <c r="F241" s="96">
        <f t="shared" si="75"/>
        <v>1430.2507065000514</v>
      </c>
      <c r="G241" s="94">
        <f t="shared" si="76"/>
        <v>2626.9217021436293</v>
      </c>
      <c r="H241" s="97">
        <f t="shared" si="77"/>
        <v>173.07057093598428</v>
      </c>
      <c r="I241" s="94">
        <f t="shared" si="78"/>
        <v>271.67079278276049</v>
      </c>
      <c r="J241" s="95">
        <f t="shared" si="79"/>
        <v>-29.775715219377879</v>
      </c>
      <c r="K241" s="94">
        <f t="shared" si="80"/>
        <v>125.16022817683864</v>
      </c>
      <c r="L241" s="94">
        <f t="shared" si="81"/>
        <v>1286.9558507834449</v>
      </c>
      <c r="M241" s="93">
        <f t="shared" si="82"/>
        <v>2230.09068118403</v>
      </c>
      <c r="N241" s="93">
        <f t="shared" si="83"/>
        <v>39847.867036922464</v>
      </c>
      <c r="O241" s="93">
        <f t="shared" si="84"/>
        <v>37115.229906788998</v>
      </c>
      <c r="P241" s="93">
        <f t="shared" si="85"/>
        <v>12824.382158015422</v>
      </c>
      <c r="Q241" s="93">
        <f t="shared" si="86"/>
        <v>64772697004069.695</v>
      </c>
      <c r="R241" s="93">
        <f t="shared" si="87"/>
        <v>51811230899271.805</v>
      </c>
      <c r="S241" s="93">
        <f t="shared" si="88"/>
        <v>2607910765190.7593</v>
      </c>
      <c r="T241">
        <f t="shared" si="89"/>
        <v>0.5</v>
      </c>
      <c r="X241" s="99">
        <v>198</v>
      </c>
      <c r="Y241" s="99">
        <f t="shared" si="90"/>
        <v>5244.717418524232</v>
      </c>
      <c r="Z241" s="99">
        <f t="shared" si="91"/>
        <v>5954.9150281252614</v>
      </c>
      <c r="AA241" s="99">
        <f t="shared" si="92"/>
        <v>-23328.697807033037</v>
      </c>
      <c r="AB241" s="99">
        <f t="shared" si="93"/>
        <v>8918.4405196876833</v>
      </c>
      <c r="AC241" s="99">
        <f t="shared" si="94"/>
        <v>-9755.2825814757671</v>
      </c>
      <c r="AD241" s="99">
        <f t="shared" si="95"/>
        <v>-16545.084971874738</v>
      </c>
    </row>
    <row r="242" spans="1:30" x14ac:dyDescent="0.25">
      <c r="A242">
        <v>99.5</v>
      </c>
      <c r="B242" s="95">
        <f t="shared" si="96"/>
        <v>-11339.369226642531</v>
      </c>
      <c r="C242" s="95">
        <f t="shared" si="97"/>
        <v>-26006.526882419912</v>
      </c>
      <c r="D242" s="95">
        <f t="shared" si="98"/>
        <v>141.25339542881125</v>
      </c>
      <c r="E242" s="95">
        <f t="shared" si="99"/>
        <v>201.96187634771309</v>
      </c>
      <c r="F242" s="96">
        <f t="shared" si="75"/>
        <v>1448.882242800031</v>
      </c>
      <c r="G242" s="94">
        <f t="shared" si="76"/>
        <v>2664.7666449780459</v>
      </c>
      <c r="H242" s="97">
        <f t="shared" si="77"/>
        <v>174.08331574930494</v>
      </c>
      <c r="I242" s="94">
        <f t="shared" si="78"/>
        <v>273.34113004860427</v>
      </c>
      <c r="J242" s="95">
        <f t="shared" si="79"/>
        <v>-30.218080729226578</v>
      </c>
      <c r="K242" s="94">
        <f t="shared" si="80"/>
        <v>125.63151167455071</v>
      </c>
      <c r="L242" s="94">
        <f t="shared" si="81"/>
        <v>1305.0170077799526</v>
      </c>
      <c r="M242" s="93">
        <f t="shared" si="82"/>
        <v>2265.7940032548909</v>
      </c>
      <c r="N242" s="93">
        <f t="shared" si="83"/>
        <v>39724.753274417031</v>
      </c>
      <c r="O242" s="93">
        <f t="shared" si="84"/>
        <v>37033.451142539423</v>
      </c>
      <c r="P242" s="93">
        <f t="shared" si="85"/>
        <v>12701.623368890077</v>
      </c>
      <c r="Q242" s="93">
        <f t="shared" si="86"/>
        <v>64183448890647.961</v>
      </c>
      <c r="R242" s="93">
        <f t="shared" si="87"/>
        <v>51472515026653.688</v>
      </c>
      <c r="S242" s="93">
        <f t="shared" si="88"/>
        <v>2543481000896.8486</v>
      </c>
      <c r="T242">
        <f t="shared" si="89"/>
        <v>0.5</v>
      </c>
      <c r="X242" s="99">
        <v>199</v>
      </c>
      <c r="Y242" s="99">
        <f t="shared" si="90"/>
        <v>5272.4071220034166</v>
      </c>
      <c r="Z242" s="99">
        <f t="shared" si="91"/>
        <v>5872.1592277142163</v>
      </c>
      <c r="AA242" s="99">
        <f t="shared" si="92"/>
        <v>-23309.315014597611</v>
      </c>
      <c r="AB242" s="99">
        <f t="shared" si="93"/>
        <v>8860.5114593999515</v>
      </c>
      <c r="AC242" s="99">
        <f t="shared" si="94"/>
        <v>-9727.5928779965834</v>
      </c>
      <c r="AD242" s="99">
        <f t="shared" si="95"/>
        <v>-16627.840772285785</v>
      </c>
    </row>
    <row r="243" spans="1:30" x14ac:dyDescent="0.25">
      <c r="A243">
        <v>100</v>
      </c>
      <c r="B243" s="95">
        <f t="shared" si="96"/>
        <v>-10906.521968228119</v>
      </c>
      <c r="C243" s="95">
        <f t="shared" si="97"/>
        <v>-25239.354283001543</v>
      </c>
      <c r="D243" s="95">
        <f t="shared" si="98"/>
        <v>865.69451682882675</v>
      </c>
      <c r="E243" s="95">
        <f t="shared" si="99"/>
        <v>1534.345198836736</v>
      </c>
      <c r="F243" s="96">
        <f t="shared" si="75"/>
        <v>1611.5274142397154</v>
      </c>
      <c r="G243" s="94">
        <f t="shared" si="76"/>
        <v>2950.5772734986126</v>
      </c>
      <c r="H243" s="97">
        <f t="shared" si="77"/>
        <v>182.2067508628617</v>
      </c>
      <c r="I243" s="94">
        <f t="shared" si="78"/>
        <v>285.33351354756235</v>
      </c>
      <c r="J243" s="95">
        <f t="shared" si="79"/>
        <v>-33.415333669922759</v>
      </c>
      <c r="K243" s="94">
        <f t="shared" si="80"/>
        <v>129.49223361676428</v>
      </c>
      <c r="L243" s="94">
        <f t="shared" si="81"/>
        <v>1462.7359970467764</v>
      </c>
      <c r="M243" s="93">
        <f t="shared" si="82"/>
        <v>2535.7515263342862</v>
      </c>
      <c r="N243" s="93">
        <f t="shared" si="83"/>
        <v>38845.179619560215</v>
      </c>
      <c r="O243" s="93">
        <f t="shared" si="84"/>
        <v>36393.727934868351</v>
      </c>
      <c r="P243" s="93">
        <f t="shared" si="85"/>
        <v>11820.802760133654</v>
      </c>
      <c r="Q243" s="93">
        <f t="shared" si="86"/>
        <v>60078066552112.453</v>
      </c>
      <c r="R243" s="93">
        <f t="shared" si="87"/>
        <v>48873896204856.891</v>
      </c>
      <c r="S243" s="93">
        <f t="shared" si="88"/>
        <v>2114289712465.3167</v>
      </c>
      <c r="T243">
        <f t="shared" si="89"/>
        <v>0.5</v>
      </c>
      <c r="X243" s="99">
        <v>200</v>
      </c>
      <c r="Y243" s="99">
        <f t="shared" si="90"/>
        <v>5301.5368960704582</v>
      </c>
      <c r="Z243" s="99">
        <f t="shared" si="91"/>
        <v>5789.8992833716566</v>
      </c>
      <c r="AA243" s="99">
        <f t="shared" si="92"/>
        <v>-23288.924172750681</v>
      </c>
      <c r="AB243" s="99">
        <f t="shared" si="93"/>
        <v>8802.9294983601594</v>
      </c>
      <c r="AC243" s="99">
        <f t="shared" si="94"/>
        <v>-9698.4631039295418</v>
      </c>
      <c r="AD243" s="99">
        <f t="shared" si="95"/>
        <v>-16710.100716628342</v>
      </c>
    </row>
    <row r="244" spans="1:30" x14ac:dyDescent="0.25">
      <c r="A244">
        <v>100.5</v>
      </c>
      <c r="B244" s="95">
        <f t="shared" si="96"/>
        <v>-10070.792856253776</v>
      </c>
      <c r="C244" s="95">
        <f t="shared" si="97"/>
        <v>-23734.537365208522</v>
      </c>
      <c r="D244" s="95">
        <f t="shared" si="98"/>
        <v>1671.4582239486845</v>
      </c>
      <c r="E244" s="95">
        <f t="shared" si="99"/>
        <v>3009.6338355860426</v>
      </c>
      <c r="F244" s="96">
        <f t="shared" si="75"/>
        <v>2014.4730476055788</v>
      </c>
      <c r="G244" s="94">
        <f t="shared" si="76"/>
        <v>3643.6033765447919</v>
      </c>
      <c r="H244" s="97">
        <f t="shared" si="77"/>
        <v>199.88288141691766</v>
      </c>
      <c r="I244" s="94">
        <f t="shared" si="78"/>
        <v>311.06142009417181</v>
      </c>
      <c r="J244" s="95">
        <f t="shared" si="79"/>
        <v>-40.405234966764375</v>
      </c>
      <c r="K244" s="94">
        <f t="shared" si="80"/>
        <v>137.27701406600653</v>
      </c>
      <c r="L244" s="94">
        <f t="shared" si="81"/>
        <v>1854.9954011554255</v>
      </c>
      <c r="M244" s="93">
        <f t="shared" si="82"/>
        <v>3195.2649423846137</v>
      </c>
      <c r="N244" s="93">
        <f t="shared" si="83"/>
        <v>37127.254817684203</v>
      </c>
      <c r="O244" s="93">
        <f t="shared" si="84"/>
        <v>35165.43993394752</v>
      </c>
      <c r="P244" s="93">
        <f t="shared" si="85"/>
        <v>10099.75658990147</v>
      </c>
      <c r="Q244" s="93">
        <f t="shared" si="86"/>
        <v>52576000957789.367</v>
      </c>
      <c r="R244" s="93">
        <f t="shared" si="87"/>
        <v>44133632749308.57</v>
      </c>
      <c r="S244" s="93">
        <f t="shared" si="88"/>
        <v>1431303241610.9031</v>
      </c>
      <c r="T244">
        <f t="shared" si="89"/>
        <v>0.5</v>
      </c>
      <c r="X244" s="99">
        <v>201</v>
      </c>
      <c r="Y244" s="99">
        <f t="shared" si="90"/>
        <v>5332.0978675139913</v>
      </c>
      <c r="Z244" s="99">
        <f t="shared" si="91"/>
        <v>5708.1602522734975</v>
      </c>
      <c r="AA244" s="99">
        <f t="shared" si="92"/>
        <v>-23267.531492740207</v>
      </c>
      <c r="AB244" s="99">
        <f t="shared" si="93"/>
        <v>8745.712176591449</v>
      </c>
      <c r="AC244" s="99">
        <f t="shared" si="94"/>
        <v>-9667.9021324860078</v>
      </c>
      <c r="AD244" s="99">
        <f t="shared" si="95"/>
        <v>-16791.839747726503</v>
      </c>
    </row>
    <row r="245" spans="1:30" x14ac:dyDescent="0.25">
      <c r="A245">
        <v>101</v>
      </c>
      <c r="B245" s="95">
        <f t="shared" si="96"/>
        <v>-8731.4454823780397</v>
      </c>
      <c r="C245" s="95">
        <f t="shared" si="97"/>
        <v>-21318.819603279302</v>
      </c>
      <c r="D245" s="95">
        <f t="shared" si="98"/>
        <v>2678.6947477514741</v>
      </c>
      <c r="E245" s="95">
        <f t="shared" si="99"/>
        <v>4831.4355238584385</v>
      </c>
      <c r="F245" s="96">
        <f t="shared" si="75"/>
        <v>2970.4613749570299</v>
      </c>
      <c r="G245" s="94">
        <f t="shared" si="76"/>
        <v>5235.3822365695842</v>
      </c>
      <c r="H245" s="97">
        <f t="shared" si="77"/>
        <v>234.06558257640114</v>
      </c>
      <c r="I245" s="94">
        <f t="shared" si="78"/>
        <v>360.1160308718155</v>
      </c>
      <c r="J245" s="95">
        <f t="shared" si="79"/>
        <v>-53.985417565953639</v>
      </c>
      <c r="K245" s="94">
        <f t="shared" si="80"/>
        <v>150.04227483762614</v>
      </c>
      <c r="L245" s="94">
        <f t="shared" si="81"/>
        <v>2790.3812099465822</v>
      </c>
      <c r="M245" s="93">
        <f t="shared" si="82"/>
        <v>4725.2239308601429</v>
      </c>
      <c r="N245" s="93">
        <f t="shared" si="83"/>
        <v>34371.374909736391</v>
      </c>
      <c r="O245" s="93">
        <f t="shared" si="84"/>
        <v>33284.36242831414</v>
      </c>
      <c r="P245" s="93">
        <f t="shared" si="85"/>
        <v>7338.3354084387747</v>
      </c>
      <c r="Q245" s="93">
        <f t="shared" si="86"/>
        <v>41901768776954.148</v>
      </c>
      <c r="R245" s="93">
        <f t="shared" si="87"/>
        <v>37487328128129.891</v>
      </c>
      <c r="S245" s="93">
        <f t="shared" si="88"/>
        <v>700184003110.58118</v>
      </c>
      <c r="T245">
        <f t="shared" si="89"/>
        <v>0.5</v>
      </c>
      <c r="X245" s="99">
        <v>202</v>
      </c>
      <c r="Y245" s="99">
        <f t="shared" si="90"/>
        <v>5364.0807271660633</v>
      </c>
      <c r="Z245" s="99">
        <f t="shared" si="91"/>
        <v>5626.96703292044</v>
      </c>
      <c r="AA245" s="99">
        <f t="shared" si="92"/>
        <v>-23245.143490983755</v>
      </c>
      <c r="AB245" s="99">
        <f t="shared" si="93"/>
        <v>8688.8769230443086</v>
      </c>
      <c r="AC245" s="99">
        <f t="shared" si="94"/>
        <v>-9635.9192728339367</v>
      </c>
      <c r="AD245" s="99">
        <f t="shared" si="95"/>
        <v>-16873.032967079562</v>
      </c>
    </row>
    <row r="246" spans="1:30" x14ac:dyDescent="0.25">
      <c r="A246">
        <v>101.5</v>
      </c>
      <c r="B246" s="95">
        <f t="shared" si="96"/>
        <v>-6649.4827647630455</v>
      </c>
      <c r="C246" s="95">
        <f t="shared" si="97"/>
        <v>-17594.256282207687</v>
      </c>
      <c r="D246" s="95">
        <f t="shared" si="98"/>
        <v>4163.9254352299886</v>
      </c>
      <c r="E246" s="95">
        <f t="shared" si="99"/>
        <v>7449.1266421432301</v>
      </c>
      <c r="F246" s="96">
        <f t="shared" si="75"/>
        <v>4495.9363915294789</v>
      </c>
      <c r="G246" s="94">
        <f t="shared" si="76"/>
        <v>7348.1124380778392</v>
      </c>
      <c r="H246" s="97">
        <f t="shared" si="77"/>
        <v>306.42665797901043</v>
      </c>
      <c r="I246" s="94">
        <f t="shared" si="78"/>
        <v>461.84912742754057</v>
      </c>
      <c r="J246" s="95">
        <f t="shared" si="79"/>
        <v>-81.63639139261231</v>
      </c>
      <c r="K246" s="94">
        <f t="shared" si="80"/>
        <v>168.73469891463537</v>
      </c>
      <c r="L246" s="94">
        <f t="shared" si="81"/>
        <v>4271.1461249430804</v>
      </c>
      <c r="M246" s="93">
        <f t="shared" si="82"/>
        <v>6717.5286117356636</v>
      </c>
      <c r="N246" s="93">
        <f t="shared" si="83"/>
        <v>30115.228285557816</v>
      </c>
      <c r="O246" s="93">
        <f t="shared" si="84"/>
        <v>30654.188787448242</v>
      </c>
      <c r="P246" s="93">
        <f t="shared" si="85"/>
        <v>3074.2412151658482</v>
      </c>
      <c r="Q246" s="93">
        <f t="shared" si="86"/>
        <v>28449381158515.426</v>
      </c>
      <c r="R246" s="93">
        <f t="shared" si="87"/>
        <v>29370208862050.207</v>
      </c>
      <c r="S246" s="93">
        <f t="shared" si="88"/>
        <v>202209695181.50989</v>
      </c>
      <c r="T246">
        <f t="shared" si="89"/>
        <v>0.5</v>
      </c>
      <c r="X246" s="99">
        <v>203</v>
      </c>
      <c r="Y246" s="99">
        <f t="shared" si="90"/>
        <v>5397.4757327377984</v>
      </c>
      <c r="Z246" s="99">
        <f t="shared" si="91"/>
        <v>5546.3443575536321</v>
      </c>
      <c r="AA246" s="99">
        <f t="shared" si="92"/>
        <v>-23221.766987083542</v>
      </c>
      <c r="AB246" s="99">
        <f t="shared" si="93"/>
        <v>8632.4410502875435</v>
      </c>
      <c r="AC246" s="99">
        <f t="shared" si="94"/>
        <v>-9602.5242672622007</v>
      </c>
      <c r="AD246" s="99">
        <f t="shared" si="95"/>
        <v>-16953.655642446367</v>
      </c>
    </row>
    <row r="247" spans="1:30" x14ac:dyDescent="0.25">
      <c r="A247">
        <v>102</v>
      </c>
      <c r="B247" s="95">
        <f t="shared" si="96"/>
        <v>-3443.5359492656817</v>
      </c>
      <c r="C247" s="95">
        <f t="shared" si="97"/>
        <v>-12032.664851616611</v>
      </c>
      <c r="D247" s="95">
        <f t="shared" si="98"/>
        <v>6411.8936309947276</v>
      </c>
      <c r="E247" s="95">
        <f t="shared" si="99"/>
        <v>11123.182861182149</v>
      </c>
      <c r="F247" s="96">
        <f t="shared" si="75"/>
        <v>-3381.5197972684819</v>
      </c>
      <c r="G247" s="94">
        <f t="shared" si="76"/>
        <v>-6222.1273063881863</v>
      </c>
      <c r="H247" s="97">
        <f t="shared" si="77"/>
        <v>494.62212900964539</v>
      </c>
      <c r="I247" s="94">
        <f t="shared" si="78"/>
        <v>718.65678126640478</v>
      </c>
      <c r="J247" s="95">
        <f t="shared" si="79"/>
        <v>-138.67529587996273</v>
      </c>
      <c r="K247" s="94">
        <f t="shared" si="80"/>
        <v>184.54340902497685</v>
      </c>
      <c r="L247" s="94">
        <f t="shared" si="81"/>
        <v>-3737.4666303981644</v>
      </c>
      <c r="M247" s="93">
        <f t="shared" si="82"/>
        <v>-7125.327496679568</v>
      </c>
      <c r="N247" s="93">
        <f t="shared" si="83"/>
        <v>23711.888474450483</v>
      </c>
      <c r="O247" s="93">
        <f t="shared" si="84"/>
        <v>27560.022175733455</v>
      </c>
      <c r="P247" s="93">
        <f t="shared" si="85"/>
        <v>3350.769795742427</v>
      </c>
      <c r="Q247" s="93">
        <f t="shared" si="86"/>
        <v>14231104008308.453</v>
      </c>
      <c r="R247" s="93">
        <f t="shared" si="87"/>
        <v>21441799549200.258</v>
      </c>
      <c r="S247" s="93">
        <f t="shared" si="88"/>
        <v>218052159877.19385</v>
      </c>
      <c r="T247">
        <f t="shared" si="89"/>
        <v>0.5</v>
      </c>
      <c r="X247" s="99">
        <v>204</v>
      </c>
      <c r="Y247" s="99">
        <f t="shared" si="90"/>
        <v>5432.2727117869945</v>
      </c>
      <c r="Z247" s="99">
        <f t="shared" si="91"/>
        <v>5466.3167846210008</v>
      </c>
      <c r="AA247" s="99">
        <f t="shared" si="92"/>
        <v>-23197.409101749105</v>
      </c>
      <c r="AB247" s="99">
        <f t="shared" si="93"/>
        <v>8576.4217492347016</v>
      </c>
      <c r="AC247" s="99">
        <f t="shared" si="94"/>
        <v>-9567.7272882130055</v>
      </c>
      <c r="AD247" s="99">
        <f t="shared" si="95"/>
        <v>-17033.683215378998</v>
      </c>
    </row>
    <row r="248" spans="1:30" x14ac:dyDescent="0.25">
      <c r="A248">
        <v>102.5</v>
      </c>
      <c r="B248" s="95">
        <f t="shared" si="96"/>
        <v>-1082.9690830854383</v>
      </c>
      <c r="C248" s="95">
        <f t="shared" si="97"/>
        <v>-8026.6052476225832</v>
      </c>
      <c r="D248" s="95">
        <f t="shared" si="98"/>
        <v>4721.1337323604866</v>
      </c>
      <c r="E248" s="95">
        <f t="shared" si="99"/>
        <v>8012.1192079880566</v>
      </c>
      <c r="F248" s="96">
        <f t="shared" si="75"/>
        <v>-1872.6496182268411</v>
      </c>
      <c r="G248" s="94">
        <f t="shared" si="76"/>
        <v>-3114.1116062009728</v>
      </c>
      <c r="H248" s="97">
        <f t="shared" si="77"/>
        <v>756.63246977643632</v>
      </c>
      <c r="I248" s="94">
        <f t="shared" si="78"/>
        <v>1059.998777194269</v>
      </c>
      <c r="J248" s="95">
        <f t="shared" si="79"/>
        <v>-185.40006277620859</v>
      </c>
      <c r="K248" s="94">
        <f t="shared" si="80"/>
        <v>176.67327178509851</v>
      </c>
      <c r="L248" s="94">
        <f t="shared" si="81"/>
        <v>-2443.8820252270689</v>
      </c>
      <c r="M248" s="93">
        <f t="shared" si="82"/>
        <v>-4350.7836551803402</v>
      </c>
      <c r="N248" s="93">
        <f t="shared" si="83"/>
        <v>19076.364281805083</v>
      </c>
      <c r="O248" s="93">
        <f t="shared" si="84"/>
        <v>26130.682261761085</v>
      </c>
      <c r="P248" s="93">
        <f t="shared" si="85"/>
        <v>7998.210148311272</v>
      </c>
      <c r="Q248" s="93">
        <f t="shared" si="86"/>
        <v>7669547995491.084</v>
      </c>
      <c r="R248" s="93">
        <f t="shared" si="87"/>
        <v>18324656360211.754</v>
      </c>
      <c r="S248" s="93">
        <f t="shared" si="88"/>
        <v>839219148431.10559</v>
      </c>
      <c r="T248">
        <f t="shared" si="89"/>
        <v>0.5</v>
      </c>
      <c r="X248" s="99">
        <v>205</v>
      </c>
      <c r="Y248" s="99">
        <f t="shared" si="90"/>
        <v>5468.46106481675</v>
      </c>
      <c r="Z248" s="99">
        <f t="shared" si="91"/>
        <v>5386.9086912965031</v>
      </c>
      <c r="AA248" s="99">
        <f t="shared" si="92"/>
        <v>-23172.077254628275</v>
      </c>
      <c r="AB248" s="99">
        <f t="shared" si="93"/>
        <v>8520.8360839075522</v>
      </c>
      <c r="AC248" s="99">
        <f t="shared" si="94"/>
        <v>-9531.5389351832491</v>
      </c>
      <c r="AD248" s="99">
        <f t="shared" si="95"/>
        <v>-17113.091308703497</v>
      </c>
    </row>
    <row r="249" spans="1:30" x14ac:dyDescent="0.25">
      <c r="A249">
        <v>103</v>
      </c>
      <c r="B249" s="95">
        <f t="shared" si="96"/>
        <v>809.43537853809471</v>
      </c>
      <c r="C249" s="95">
        <f t="shared" si="97"/>
        <v>-4799.0735451787978</v>
      </c>
      <c r="D249" s="95">
        <f t="shared" si="98"/>
        <v>3784.8089232470661</v>
      </c>
      <c r="E249" s="95">
        <f t="shared" si="99"/>
        <v>6455.06340488757</v>
      </c>
      <c r="F249" s="96">
        <f t="shared" si="75"/>
        <v>-539.53825625747925</v>
      </c>
      <c r="G249" s="94">
        <f t="shared" si="76"/>
        <v>-886.29858910746384</v>
      </c>
      <c r="H249" s="97">
        <f t="shared" si="77"/>
        <v>1142.9970079949173</v>
      </c>
      <c r="I249" s="94">
        <f t="shared" si="78"/>
        <v>1529.5909274628107</v>
      </c>
      <c r="J249" s="95">
        <f t="shared" si="79"/>
        <v>-218.27871502676373</v>
      </c>
      <c r="K249" s="94">
        <f t="shared" si="80"/>
        <v>155.23356103932591</v>
      </c>
      <c r="L249" s="94">
        <f t="shared" si="81"/>
        <v>-1464.2565492256329</v>
      </c>
      <c r="M249" s="93">
        <f t="shared" si="82"/>
        <v>-2571.1230776096004</v>
      </c>
      <c r="N249" s="93">
        <f t="shared" si="83"/>
        <v>15353.621336055679</v>
      </c>
      <c r="O249" s="93">
        <f t="shared" si="84"/>
        <v>25535.175318943158</v>
      </c>
      <c r="P249" s="93">
        <f t="shared" si="85"/>
        <v>11739.183956054232</v>
      </c>
      <c r="Q249" s="93">
        <f t="shared" si="86"/>
        <v>4210132090630.8921</v>
      </c>
      <c r="R249" s="93">
        <f t="shared" si="87"/>
        <v>17121493706471.416</v>
      </c>
      <c r="S249" s="93">
        <f t="shared" si="88"/>
        <v>2077377255187.0359</v>
      </c>
      <c r="T249">
        <f t="shared" si="89"/>
        <v>0.5</v>
      </c>
      <c r="X249" s="99">
        <v>206</v>
      </c>
      <c r="Y249" s="99">
        <f t="shared" si="90"/>
        <v>5506.0297685041642</v>
      </c>
      <c r="Z249" s="99">
        <f t="shared" si="91"/>
        <v>5308.1442660546145</v>
      </c>
      <c r="AA249" s="99">
        <f t="shared" si="92"/>
        <v>-23145.779162047085</v>
      </c>
      <c r="AB249" s="99">
        <f t="shared" si="93"/>
        <v>8465.7009862382292</v>
      </c>
      <c r="AC249" s="99">
        <f t="shared" si="94"/>
        <v>-9493.9702314958358</v>
      </c>
      <c r="AD249" s="99">
        <f t="shared" si="95"/>
        <v>-17191.855733945384</v>
      </c>
    </row>
    <row r="250" spans="1:30" x14ac:dyDescent="0.25">
      <c r="A250">
        <v>103.5</v>
      </c>
      <c r="B250" s="95">
        <f t="shared" si="96"/>
        <v>2566.9552760972579</v>
      </c>
      <c r="C250" s="95">
        <f t="shared" si="97"/>
        <v>-1793.1164900118788</v>
      </c>
      <c r="D250" s="95">
        <f t="shared" si="98"/>
        <v>3515.0397951183263</v>
      </c>
      <c r="E250" s="95">
        <f t="shared" si="99"/>
        <v>6011.9141103338379</v>
      </c>
      <c r="F250" s="96">
        <f t="shared" si="75"/>
        <v>607.53656104299557</v>
      </c>
      <c r="G250" s="94">
        <f t="shared" si="76"/>
        <v>705.75404287501124</v>
      </c>
      <c r="H250" s="97">
        <f t="shared" si="77"/>
        <v>1809.6946188323614</v>
      </c>
      <c r="I250" s="94">
        <f t="shared" si="78"/>
        <v>2262.5590896924664</v>
      </c>
      <c r="J250" s="95">
        <f t="shared" si="79"/>
        <v>-238.705662417139</v>
      </c>
      <c r="K250" s="94">
        <f t="shared" si="80"/>
        <v>124.74361956539548</v>
      </c>
      <c r="L250" s="94">
        <f t="shared" si="81"/>
        <v>-963.45239537222687</v>
      </c>
      <c r="M250" s="93">
        <f t="shared" si="82"/>
        <v>-1681.5486663828506</v>
      </c>
      <c r="N250" s="93">
        <f t="shared" si="83"/>
        <v>11900.091090595444</v>
      </c>
      <c r="O250" s="93">
        <f t="shared" si="84"/>
        <v>25462.620976253878</v>
      </c>
      <c r="P250" s="93">
        <f t="shared" si="85"/>
        <v>15221.057262780805</v>
      </c>
      <c r="Q250" s="93">
        <f t="shared" si="86"/>
        <v>2150602138008.2332</v>
      </c>
      <c r="R250" s="93">
        <f t="shared" si="87"/>
        <v>16978643493164.633</v>
      </c>
      <c r="S250" s="93">
        <f t="shared" si="88"/>
        <v>4112344872048.2827</v>
      </c>
      <c r="T250">
        <f t="shared" si="89"/>
        <v>0.5</v>
      </c>
      <c r="X250" s="99">
        <v>207</v>
      </c>
      <c r="Y250" s="99">
        <f t="shared" si="90"/>
        <v>5544.9673790581592</v>
      </c>
      <c r="Z250" s="99">
        <f t="shared" si="91"/>
        <v>5230.0475013022688</v>
      </c>
      <c r="AA250" s="99">
        <f t="shared" si="92"/>
        <v>-23118.522834659288</v>
      </c>
      <c r="AB250" s="99">
        <f t="shared" si="93"/>
        <v>8411.0332509115888</v>
      </c>
      <c r="AC250" s="99">
        <f t="shared" si="94"/>
        <v>-9455.0326209418417</v>
      </c>
      <c r="AD250" s="99">
        <f t="shared" si="95"/>
        <v>-17269.95249869773</v>
      </c>
    </row>
    <row r="251" spans="1:30" x14ac:dyDescent="0.25">
      <c r="A251">
        <v>104</v>
      </c>
      <c r="B251" s="95">
        <f t="shared" si="96"/>
        <v>4476.3593139171699</v>
      </c>
      <c r="C251" s="95">
        <f t="shared" si="97"/>
        <v>1389.2790758737929</v>
      </c>
      <c r="D251" s="95">
        <f t="shared" si="98"/>
        <v>3818.808075639824</v>
      </c>
      <c r="E251" s="95">
        <f t="shared" si="99"/>
        <v>6364.7911317713433</v>
      </c>
      <c r="F251" s="96">
        <f t="shared" si="75"/>
        <v>2326.6710334259924</v>
      </c>
      <c r="G251" s="94">
        <f t="shared" si="76"/>
        <v>2519.2027654874637</v>
      </c>
      <c r="H251" s="97">
        <f t="shared" si="77"/>
        <v>3232.5149291051903</v>
      </c>
      <c r="I251" s="94">
        <f t="shared" si="78"/>
        <v>3576.0828296819491</v>
      </c>
      <c r="J251" s="95">
        <f t="shared" si="79"/>
        <v>-244.92946391181337</v>
      </c>
      <c r="K251" s="94">
        <f t="shared" si="80"/>
        <v>86.165562157002867</v>
      </c>
      <c r="L251" s="94">
        <f t="shared" si="81"/>
        <v>-660.91443176738437</v>
      </c>
      <c r="M251" s="93">
        <f t="shared" si="82"/>
        <v>-1143.0456263514882</v>
      </c>
      <c r="N251" s="93">
        <f t="shared" si="83"/>
        <v>8237.2032050631988</v>
      </c>
      <c r="O251" s="93">
        <f t="shared" si="84"/>
        <v>25946.804814796844</v>
      </c>
      <c r="P251" s="93">
        <f t="shared" si="85"/>
        <v>18931.715571319448</v>
      </c>
      <c r="Q251" s="93">
        <f t="shared" si="86"/>
        <v>894712495845.61536</v>
      </c>
      <c r="R251" s="93">
        <f t="shared" si="87"/>
        <v>17947275538734.203</v>
      </c>
      <c r="S251" s="93">
        <f t="shared" si="88"/>
        <v>7507492491316.8262</v>
      </c>
      <c r="T251">
        <f t="shared" si="89"/>
        <v>0.5</v>
      </c>
      <c r="X251" s="99">
        <v>208</v>
      </c>
      <c r="Y251" s="99">
        <f t="shared" si="90"/>
        <v>5585.2620357053656</v>
      </c>
      <c r="Z251" s="99">
        <f t="shared" si="91"/>
        <v>5152.6421860705459</v>
      </c>
      <c r="AA251" s="99">
        <f t="shared" si="92"/>
        <v>-23090.316575006244</v>
      </c>
      <c r="AB251" s="99">
        <f t="shared" si="93"/>
        <v>8356.849530249383</v>
      </c>
      <c r="AC251" s="99">
        <f t="shared" si="94"/>
        <v>-9414.7379642946344</v>
      </c>
      <c r="AD251" s="99">
        <f t="shared" si="95"/>
        <v>-17347.357813929455</v>
      </c>
    </row>
    <row r="252" spans="1:30" x14ac:dyDescent="0.25">
      <c r="A252">
        <v>104.5</v>
      </c>
      <c r="B252" s="95">
        <f t="shared" si="96"/>
        <v>6967.4311100935793</v>
      </c>
      <c r="C252" s="95">
        <f t="shared" si="97"/>
        <v>5201.4753331313295</v>
      </c>
      <c r="D252" s="95">
        <f t="shared" si="98"/>
        <v>4982.1435923528206</v>
      </c>
      <c r="E252" s="95">
        <f t="shared" si="99"/>
        <v>7624.3925145150752</v>
      </c>
      <c r="F252" s="96">
        <f t="shared" si="75"/>
        <v>5718.0944953914423</v>
      </c>
      <c r="G252" s="94">
        <f t="shared" si="76"/>
        <v>4128.0358498876813</v>
      </c>
      <c r="H252" s="97">
        <f t="shared" si="77"/>
        <v>6401.0128872497562</v>
      </c>
      <c r="I252" s="94">
        <f t="shared" si="78"/>
        <v>4851.6246616055678</v>
      </c>
      <c r="J252" s="95">
        <f t="shared" si="79"/>
        <v>-230.01545444996896</v>
      </c>
      <c r="K252" s="94">
        <f t="shared" si="80"/>
        <v>40.92843799000449</v>
      </c>
      <c r="L252" s="94">
        <f t="shared" si="81"/>
        <v>-452.90293740834437</v>
      </c>
      <c r="M252" s="93">
        <f t="shared" si="82"/>
        <v>-764.51724970789076</v>
      </c>
      <c r="N252" s="93">
        <f t="shared" si="83"/>
        <v>3805.2187474877178</v>
      </c>
      <c r="O252" s="93">
        <f t="shared" si="84"/>
        <v>27391.023705882009</v>
      </c>
      <c r="P252" s="93">
        <f t="shared" si="85"/>
        <v>23480.183410909489</v>
      </c>
      <c r="Q252" s="93">
        <f t="shared" si="86"/>
        <v>248062202910.94052</v>
      </c>
      <c r="R252" s="93">
        <f t="shared" si="87"/>
        <v>21055972446748.281</v>
      </c>
      <c r="S252" s="93">
        <f t="shared" si="88"/>
        <v>13835486058356.793</v>
      </c>
      <c r="T252">
        <f t="shared" si="89"/>
        <v>0.5</v>
      </c>
      <c r="X252" s="99">
        <v>209</v>
      </c>
      <c r="Y252" s="99">
        <f t="shared" si="90"/>
        <v>5626.9014643030205</v>
      </c>
      <c r="Z252" s="99">
        <f t="shared" si="91"/>
        <v>5075.951898768315</v>
      </c>
      <c r="AA252" s="99">
        <f t="shared" si="92"/>
        <v>-23061.168974987886</v>
      </c>
      <c r="AB252" s="99">
        <f t="shared" si="93"/>
        <v>8303.1663291378209</v>
      </c>
      <c r="AC252" s="99">
        <f t="shared" si="94"/>
        <v>-9373.0985356969795</v>
      </c>
      <c r="AD252" s="99">
        <f t="shared" si="95"/>
        <v>-17424.048101231685</v>
      </c>
    </row>
    <row r="253" spans="1:30" x14ac:dyDescent="0.25">
      <c r="A253">
        <v>105</v>
      </c>
      <c r="B253" s="95">
        <f t="shared" si="96"/>
        <v>10888.026530117852</v>
      </c>
      <c r="C253" s="95">
        <f t="shared" si="97"/>
        <v>10045.680552860787</v>
      </c>
      <c r="D253" s="95">
        <f t="shared" si="98"/>
        <v>7841.1908400485418</v>
      </c>
      <c r="E253" s="95">
        <f t="shared" si="99"/>
        <v>9688.4104394589158</v>
      </c>
      <c r="F253" s="96">
        <f t="shared" si="75"/>
        <v>-3026.9323922682547</v>
      </c>
      <c r="G253" s="94">
        <f t="shared" si="76"/>
        <v>-7753.6573894474568</v>
      </c>
      <c r="H253" s="97">
        <f t="shared" si="77"/>
        <v>-2536.5572885534798</v>
      </c>
      <c r="I253" s="94">
        <f t="shared" si="78"/>
        <v>-7271.4770805675453</v>
      </c>
      <c r="J253" s="95">
        <f t="shared" si="79"/>
        <v>-184.6715190332348</v>
      </c>
      <c r="K253" s="94">
        <f t="shared" si="80"/>
        <v>-0.27311220672690245</v>
      </c>
      <c r="L253" s="94">
        <f t="shared" si="81"/>
        <v>-305.70358468154012</v>
      </c>
      <c r="M253" s="93">
        <f t="shared" si="82"/>
        <v>-481.90719667318467</v>
      </c>
      <c r="N253" s="93">
        <f t="shared" si="83"/>
        <v>2696.1232530073166</v>
      </c>
      <c r="O253" s="93">
        <f t="shared" si="84"/>
        <v>30888.060308769374</v>
      </c>
      <c r="P253" s="93">
        <f t="shared" si="85"/>
        <v>29659.998337452376</v>
      </c>
      <c r="Q253" s="93">
        <f t="shared" si="86"/>
        <v>183307353619.31079</v>
      </c>
      <c r="R253" s="93">
        <f t="shared" si="87"/>
        <v>30038827882468.773</v>
      </c>
      <c r="S253" s="93">
        <f t="shared" si="88"/>
        <v>27212475269169.898</v>
      </c>
      <c r="T253">
        <f t="shared" si="89"/>
        <v>0.5</v>
      </c>
      <c r="X253" s="99">
        <v>210</v>
      </c>
      <c r="Y253" s="99">
        <f t="shared" si="90"/>
        <v>5669.8729810778068</v>
      </c>
      <c r="Z253" s="99">
        <f t="shared" si="91"/>
        <v>5000</v>
      </c>
      <c r="AA253" s="99">
        <f t="shared" si="92"/>
        <v>-23031.088913245534</v>
      </c>
      <c r="AB253" s="99">
        <f t="shared" si="93"/>
        <v>8250</v>
      </c>
      <c r="AC253" s="99">
        <f t="shared" si="94"/>
        <v>-9330.1270189221941</v>
      </c>
      <c r="AD253" s="99">
        <f t="shared" si="95"/>
        <v>-17500</v>
      </c>
    </row>
    <row r="254" spans="1:30" x14ac:dyDescent="0.25">
      <c r="A254">
        <v>105.5</v>
      </c>
      <c r="B254" s="95">
        <f t="shared" si="96"/>
        <v>14051.888852075059</v>
      </c>
      <c r="C254" s="95">
        <f t="shared" si="97"/>
        <v>12951.471425228381</v>
      </c>
      <c r="D254" s="95">
        <f t="shared" si="98"/>
        <v>6327.7246439144146</v>
      </c>
      <c r="E254" s="95">
        <f t="shared" si="99"/>
        <v>5811.5817447351874</v>
      </c>
      <c r="F254" s="96">
        <f t="shared" si="75"/>
        <v>-3936.3319292297301</v>
      </c>
      <c r="G254" s="94">
        <f t="shared" si="76"/>
        <v>-5136.5749901822992</v>
      </c>
      <c r="H254" s="97">
        <f t="shared" si="77"/>
        <v>-3536.0535592276269</v>
      </c>
      <c r="I254" s="94">
        <f t="shared" si="78"/>
        <v>-4757.4589629561324</v>
      </c>
      <c r="J254" s="95">
        <f t="shared" si="79"/>
        <v>-150.7784247100621</v>
      </c>
      <c r="K254" s="94">
        <f t="shared" si="80"/>
        <v>-13.068826049735518</v>
      </c>
      <c r="L254" s="94">
        <f t="shared" si="81"/>
        <v>-249.49994529204085</v>
      </c>
      <c r="M254" s="93">
        <f t="shared" si="82"/>
        <v>-366.04720117643109</v>
      </c>
      <c r="N254" s="93">
        <f t="shared" si="83"/>
        <v>6792.3739568468773</v>
      </c>
      <c r="O254" s="93">
        <f t="shared" si="84"/>
        <v>34179.559944036926</v>
      </c>
      <c r="P254" s="93">
        <f t="shared" si="85"/>
        <v>33826.900887713324</v>
      </c>
      <c r="Q254" s="93">
        <f t="shared" si="86"/>
        <v>599980743015.18958</v>
      </c>
      <c r="R254" s="93">
        <f t="shared" si="87"/>
        <v>40559701290194.914</v>
      </c>
      <c r="S254" s="93">
        <f t="shared" si="88"/>
        <v>39982155764022.141</v>
      </c>
      <c r="T254">
        <f t="shared" si="89"/>
        <v>0.5</v>
      </c>
      <c r="X254" s="99">
        <v>211</v>
      </c>
      <c r="Y254" s="99">
        <f t="shared" si="90"/>
        <v>5714.1634964894383</v>
      </c>
      <c r="Z254" s="99">
        <f t="shared" si="91"/>
        <v>4924.8096254497286</v>
      </c>
      <c r="AA254" s="99">
        <f t="shared" si="92"/>
        <v>-23000.085552457393</v>
      </c>
      <c r="AB254" s="99">
        <f t="shared" si="93"/>
        <v>8197.3667378148111</v>
      </c>
      <c r="AC254" s="99">
        <f t="shared" si="94"/>
        <v>-9285.8365035105617</v>
      </c>
      <c r="AD254" s="99">
        <f t="shared" si="95"/>
        <v>-17575.190374550271</v>
      </c>
    </row>
    <row r="255" spans="1:30" x14ac:dyDescent="0.25">
      <c r="A255">
        <v>106</v>
      </c>
      <c r="B255" s="95">
        <f t="shared" si="96"/>
        <v>16231.668191724833</v>
      </c>
      <c r="C255" s="95">
        <f t="shared" si="97"/>
        <v>14573.1185500504</v>
      </c>
      <c r="D255" s="95">
        <f t="shared" si="98"/>
        <v>4359.5586792995491</v>
      </c>
      <c r="E255" s="95">
        <f t="shared" si="99"/>
        <v>3243.2942496440378</v>
      </c>
      <c r="F255" s="96">
        <f t="shared" si="75"/>
        <v>-3041.3516713451891</v>
      </c>
      <c r="G255" s="94">
        <f t="shared" si="76"/>
        <v>-3376.8413348973463</v>
      </c>
      <c r="H255" s="97">
        <f t="shared" si="77"/>
        <v>-2685.5346368750033</v>
      </c>
      <c r="I255" s="94">
        <f t="shared" si="78"/>
        <v>-3048.1572947204509</v>
      </c>
      <c r="J255" s="95">
        <f t="shared" si="79"/>
        <v>-131.7841687807711</v>
      </c>
      <c r="K255" s="94">
        <f t="shared" si="80"/>
        <v>-16.633642802899239</v>
      </c>
      <c r="L255" s="94">
        <f t="shared" si="81"/>
        <v>-224.03286568941436</v>
      </c>
      <c r="M255" s="93">
        <f t="shared" si="82"/>
        <v>-312.05039737399619</v>
      </c>
      <c r="N255" s="93">
        <f t="shared" si="83"/>
        <v>9426.7011448768299</v>
      </c>
      <c r="O255" s="93">
        <f t="shared" si="84"/>
        <v>36519.134617732387</v>
      </c>
      <c r="P255" s="93">
        <f t="shared" si="85"/>
        <v>36405.398981179082</v>
      </c>
      <c r="Q255" s="93">
        <f t="shared" si="86"/>
        <v>1214988550257.0999</v>
      </c>
      <c r="R255" s="93">
        <f t="shared" si="87"/>
        <v>49376219059954.258</v>
      </c>
      <c r="S255" s="93">
        <f t="shared" si="88"/>
        <v>49621627768258.945</v>
      </c>
      <c r="T255">
        <f t="shared" si="89"/>
        <v>0.5</v>
      </c>
      <c r="X255" s="99">
        <v>212</v>
      </c>
      <c r="Y255" s="99">
        <f t="shared" si="90"/>
        <v>5759.7595192178696</v>
      </c>
      <c r="Z255" s="99">
        <f t="shared" si="91"/>
        <v>4850.4036788339763</v>
      </c>
      <c r="AA255" s="99">
        <f t="shared" si="92"/>
        <v>-22968.168336547493</v>
      </c>
      <c r="AB255" s="99">
        <f t="shared" si="93"/>
        <v>8145.2825751837827</v>
      </c>
      <c r="AC255" s="99">
        <f t="shared" si="94"/>
        <v>-9240.2404807821295</v>
      </c>
      <c r="AD255" s="99">
        <f t="shared" si="95"/>
        <v>-17649.596321166024</v>
      </c>
    </row>
    <row r="256" spans="1:30" x14ac:dyDescent="0.25">
      <c r="A256">
        <v>106.5</v>
      </c>
      <c r="B256" s="95">
        <f t="shared" si="96"/>
        <v>17651.109613538312</v>
      </c>
      <c r="C256" s="95">
        <f t="shared" si="97"/>
        <v>15350.555341148081</v>
      </c>
      <c r="D256" s="95">
        <f t="shared" si="98"/>
        <v>2838.8828436269546</v>
      </c>
      <c r="E256" s="95">
        <f t="shared" si="99"/>
        <v>1554.8735821953646</v>
      </c>
      <c r="F256" s="96">
        <f t="shared" si="75"/>
        <v>-2624.5305843751435</v>
      </c>
      <c r="G256" s="94">
        <f t="shared" si="76"/>
        <v>-2652.4094294032316</v>
      </c>
      <c r="H256" s="97">
        <f t="shared" si="77"/>
        <v>-2290.3644866167178</v>
      </c>
      <c r="I256" s="94">
        <f t="shared" si="78"/>
        <v>-2350.0686909214837</v>
      </c>
      <c r="J256" s="95">
        <f t="shared" si="79"/>
        <v>-121.39975105746024</v>
      </c>
      <c r="K256" s="94">
        <f t="shared" si="80"/>
        <v>-17.251977248526526</v>
      </c>
      <c r="L256" s="94">
        <f t="shared" si="81"/>
        <v>-212.76634670096539</v>
      </c>
      <c r="M256" s="93">
        <f t="shared" si="82"/>
        <v>-285.08876123322131</v>
      </c>
      <c r="N256" s="93">
        <f t="shared" si="83"/>
        <v>10962.239619840786</v>
      </c>
      <c r="O256" s="93">
        <f t="shared" si="84"/>
        <v>38029.389918711102</v>
      </c>
      <c r="P256" s="93">
        <f t="shared" si="85"/>
        <v>37871.215668903737</v>
      </c>
      <c r="Q256" s="93">
        <f t="shared" si="86"/>
        <v>1749115325977.9993</v>
      </c>
      <c r="R256" s="93">
        <f t="shared" si="87"/>
        <v>55699683315599.398</v>
      </c>
      <c r="S256" s="93">
        <f t="shared" si="88"/>
        <v>55742336339780.297</v>
      </c>
      <c r="T256">
        <f t="shared" si="89"/>
        <v>0.5</v>
      </c>
      <c r="X256" s="99">
        <v>213</v>
      </c>
      <c r="Y256" s="99">
        <f t="shared" si="90"/>
        <v>5806.6471602728798</v>
      </c>
      <c r="Z256" s="99">
        <f t="shared" si="91"/>
        <v>4776.8048249248641</v>
      </c>
      <c r="AA256" s="99">
        <f t="shared" si="92"/>
        <v>-22935.346987808985</v>
      </c>
      <c r="AB256" s="99">
        <f t="shared" si="93"/>
        <v>8093.7633774474052</v>
      </c>
      <c r="AC256" s="99">
        <f t="shared" si="94"/>
        <v>-9193.3528397271202</v>
      </c>
      <c r="AD256" s="99">
        <f t="shared" si="95"/>
        <v>-17723.195175075136</v>
      </c>
    </row>
    <row r="257" spans="1:30" x14ac:dyDescent="0.25">
      <c r="A257">
        <v>107</v>
      </c>
      <c r="B257" s="95">
        <f t="shared" si="96"/>
        <v>18414.418389258004</v>
      </c>
      <c r="C257" s="95">
        <f t="shared" si="97"/>
        <v>15464.889774894955</v>
      </c>
      <c r="D257" s="95">
        <f t="shared" si="98"/>
        <v>1526.6175514393829</v>
      </c>
      <c r="E257" s="95">
        <f t="shared" si="99"/>
        <v>228.66886749374885</v>
      </c>
      <c r="F257" s="96">
        <f t="shared" si="75"/>
        <v>-2519.905868150267</v>
      </c>
      <c r="G257" s="94">
        <f t="shared" si="76"/>
        <v>-2366.159368094749</v>
      </c>
      <c r="H257" s="97">
        <f t="shared" si="77"/>
        <v>-2192.4852202660186</v>
      </c>
      <c r="I257" s="94">
        <f t="shared" si="78"/>
        <v>-2075.3547428540724</v>
      </c>
      <c r="J257" s="95">
        <f t="shared" si="79"/>
        <v>-116.67361841571581</v>
      </c>
      <c r="K257" s="94">
        <f t="shared" si="80"/>
        <v>-16.598154833923981</v>
      </c>
      <c r="L257" s="94">
        <f t="shared" si="81"/>
        <v>-210.74702946853284</v>
      </c>
      <c r="M257" s="93">
        <f t="shared" si="82"/>
        <v>-274.20647040675232</v>
      </c>
      <c r="N257" s="93">
        <f t="shared" si="83"/>
        <v>11586.280937199368</v>
      </c>
      <c r="O257" s="93">
        <f t="shared" si="84"/>
        <v>38801.192770799134</v>
      </c>
      <c r="P257" s="93">
        <f t="shared" si="85"/>
        <v>38423.228618945112</v>
      </c>
      <c r="Q257" s="93">
        <f t="shared" si="86"/>
        <v>2009490930777.0562</v>
      </c>
      <c r="R257" s="93">
        <f t="shared" si="87"/>
        <v>59130879358335.305</v>
      </c>
      <c r="S257" s="93">
        <f t="shared" si="88"/>
        <v>58172875939835.336</v>
      </c>
      <c r="T257">
        <f t="shared" si="89"/>
        <v>0.5</v>
      </c>
      <c r="X257" s="99">
        <v>214</v>
      </c>
      <c r="Y257" s="99">
        <f t="shared" si="90"/>
        <v>5854.8121372247906</v>
      </c>
      <c r="Z257" s="99">
        <f t="shared" si="91"/>
        <v>4704.0354826462662</v>
      </c>
      <c r="AA257" s="99">
        <f t="shared" si="92"/>
        <v>-22901.631503942648</v>
      </c>
      <c r="AB257" s="99">
        <f t="shared" si="93"/>
        <v>8042.8248378523867</v>
      </c>
      <c r="AC257" s="99">
        <f t="shared" si="94"/>
        <v>-9145.1878627752085</v>
      </c>
      <c r="AD257" s="99">
        <f t="shared" si="95"/>
        <v>-17795.964517353732</v>
      </c>
    </row>
    <row r="258" spans="1:30" x14ac:dyDescent="0.25">
      <c r="A258">
        <v>107.5</v>
      </c>
      <c r="B258" s="95">
        <f t="shared" si="96"/>
        <v>18547.75069794013</v>
      </c>
      <c r="C258" s="95">
        <f t="shared" si="97"/>
        <v>14987.684366618143</v>
      </c>
      <c r="D258" s="95">
        <f t="shared" si="98"/>
        <v>266.66461736424935</v>
      </c>
      <c r="E258" s="95">
        <f t="shared" si="99"/>
        <v>-954.41081655362564</v>
      </c>
      <c r="F258" s="96">
        <f t="shared" si="75"/>
        <v>-2672.2482627825675</v>
      </c>
      <c r="G258" s="94">
        <f t="shared" si="76"/>
        <v>-2340.0743773405566</v>
      </c>
      <c r="H258" s="97">
        <f t="shared" si="77"/>
        <v>-2338.9556535539423</v>
      </c>
      <c r="I258" s="94">
        <f t="shared" si="78"/>
        <v>-2048.8854085963708</v>
      </c>
      <c r="J258" s="95">
        <f t="shared" si="79"/>
        <v>-116.47103701459854</v>
      </c>
      <c r="K258" s="94">
        <f t="shared" si="80"/>
        <v>-15.070159995419882</v>
      </c>
      <c r="L258" s="94">
        <f t="shared" si="81"/>
        <v>-216.82157221402687</v>
      </c>
      <c r="M258" s="93">
        <f t="shared" si="82"/>
        <v>-276.11880874876556</v>
      </c>
      <c r="N258" s="93">
        <f t="shared" si="83"/>
        <v>11363.514384565795</v>
      </c>
      <c r="O258" s="93">
        <f t="shared" si="84"/>
        <v>38869.088993846395</v>
      </c>
      <c r="P258" s="93">
        <f t="shared" si="85"/>
        <v>38128.175626487224</v>
      </c>
      <c r="Q258" s="93">
        <f t="shared" si="86"/>
        <v>1913500066903.9993</v>
      </c>
      <c r="R258" s="93">
        <f t="shared" si="87"/>
        <v>59439321273392.43</v>
      </c>
      <c r="S258" s="93">
        <f t="shared" si="88"/>
        <v>56865067934129.664</v>
      </c>
      <c r="T258">
        <f t="shared" si="89"/>
        <v>0.5</v>
      </c>
      <c r="X258" s="99">
        <v>215</v>
      </c>
      <c r="Y258" s="99">
        <f t="shared" si="90"/>
        <v>5904.2397785550402</v>
      </c>
      <c r="Z258" s="99">
        <f t="shared" si="91"/>
        <v>4632.1178182447711</v>
      </c>
      <c r="AA258" s="99">
        <f t="shared" si="92"/>
        <v>-22867.032155011471</v>
      </c>
      <c r="AB258" s="99">
        <f t="shared" si="93"/>
        <v>7992.4824727713394</v>
      </c>
      <c r="AC258" s="99">
        <f t="shared" si="94"/>
        <v>-9095.7602214449598</v>
      </c>
      <c r="AD258" s="99">
        <f t="shared" si="95"/>
        <v>-17867.882181755231</v>
      </c>
    </row>
    <row r="259" spans="1:30" x14ac:dyDescent="0.25">
      <c r="A259">
        <v>108</v>
      </c>
      <c r="B259" s="95">
        <f t="shared" si="96"/>
        <v>18013.020940926614</v>
      </c>
      <c r="C259" s="95">
        <f t="shared" si="97"/>
        <v>13925.460364006191</v>
      </c>
      <c r="D259" s="95">
        <f t="shared" si="98"/>
        <v>-1069.4595140270344</v>
      </c>
      <c r="E259" s="95">
        <f t="shared" si="99"/>
        <v>-2124.4480052239041</v>
      </c>
      <c r="F259" s="96">
        <f t="shared" si="75"/>
        <v>-3167.512880161763</v>
      </c>
      <c r="G259" s="94">
        <f t="shared" si="76"/>
        <v>-2561.2201405663177</v>
      </c>
      <c r="H259" s="97">
        <f t="shared" si="77"/>
        <v>-2814.5169297771554</v>
      </c>
      <c r="I259" s="94">
        <f t="shared" si="78"/>
        <v>-2256.8975058757601</v>
      </c>
      <c r="J259" s="95">
        <f t="shared" si="79"/>
        <v>-120.80259314752857</v>
      </c>
      <c r="K259" s="94">
        <f t="shared" si="80"/>
        <v>-12.474825192312903</v>
      </c>
      <c r="L259" s="94">
        <f t="shared" si="81"/>
        <v>-232.19335723707917</v>
      </c>
      <c r="M259" s="93">
        <f t="shared" si="82"/>
        <v>-291.84780949824454</v>
      </c>
      <c r="N259" s="93">
        <f t="shared" si="83"/>
        <v>10271.078107440473</v>
      </c>
      <c r="O259" s="93">
        <f t="shared" si="84"/>
        <v>38215.167147674605</v>
      </c>
      <c r="P259" s="93">
        <f t="shared" si="85"/>
        <v>36963.243771309084</v>
      </c>
      <c r="Q259" s="93">
        <f t="shared" si="86"/>
        <v>1490702688309.9609</v>
      </c>
      <c r="R259" s="93">
        <f t="shared" si="87"/>
        <v>56513066078176.492</v>
      </c>
      <c r="S259" s="93">
        <f t="shared" si="88"/>
        <v>51894635276684.719</v>
      </c>
      <c r="T259">
        <f t="shared" si="89"/>
        <v>0.5</v>
      </c>
      <c r="X259" s="99">
        <v>216</v>
      </c>
      <c r="Y259" s="99">
        <f t="shared" si="90"/>
        <v>5954.9150281252623</v>
      </c>
      <c r="Z259" s="99">
        <f t="shared" si="91"/>
        <v>4561.0737385376342</v>
      </c>
      <c r="AA259" s="99">
        <f t="shared" si="92"/>
        <v>-22831.559480312317</v>
      </c>
      <c r="AB259" s="99">
        <f t="shared" si="93"/>
        <v>7942.7516169763439</v>
      </c>
      <c r="AC259" s="99">
        <f t="shared" si="94"/>
        <v>-9045.0849718747377</v>
      </c>
      <c r="AD259" s="99">
        <f t="shared" si="95"/>
        <v>-17938.926261462366</v>
      </c>
    </row>
    <row r="260" spans="1:30" x14ac:dyDescent="0.25">
      <c r="A260">
        <v>108.5</v>
      </c>
      <c r="B260" s="95">
        <f t="shared" si="96"/>
        <v>16686.412963872655</v>
      </c>
      <c r="C260" s="95">
        <f t="shared" si="97"/>
        <v>12222.931326252659</v>
      </c>
      <c r="D260" s="95">
        <f t="shared" si="98"/>
        <v>-2653.2159541079159</v>
      </c>
      <c r="E260" s="95">
        <f t="shared" si="99"/>
        <v>-3405.0580755070632</v>
      </c>
      <c r="F260" s="96">
        <f t="shared" si="75"/>
        <v>-4358.6298655123464</v>
      </c>
      <c r="G260" s="94">
        <f t="shared" si="76"/>
        <v>-3137.5434631711114</v>
      </c>
      <c r="H260" s="97">
        <f t="shared" si="77"/>
        <v>-3966.5190637772585</v>
      </c>
      <c r="I260" s="94">
        <f t="shared" si="78"/>
        <v>-2801.7409698909482</v>
      </c>
      <c r="J260" s="95">
        <f t="shared" si="79"/>
        <v>-130.92238549950184</v>
      </c>
      <c r="K260" s="94">
        <f t="shared" si="80"/>
        <v>-7.9329497904623691</v>
      </c>
      <c r="L260" s="94">
        <f t="shared" si="81"/>
        <v>-261.18841623558615</v>
      </c>
      <c r="M260" s="93">
        <f t="shared" si="82"/>
        <v>-327.86954348970079</v>
      </c>
      <c r="N260" s="93">
        <f t="shared" si="83"/>
        <v>8186.2200456586197</v>
      </c>
      <c r="O260" s="93">
        <f t="shared" si="84"/>
        <v>36753.698043013836</v>
      </c>
      <c r="P260" s="93">
        <f t="shared" si="85"/>
        <v>34805.006783988596</v>
      </c>
      <c r="Q260" s="93">
        <f t="shared" si="86"/>
        <v>882637290968.76331</v>
      </c>
      <c r="R260" s="93">
        <f t="shared" si="87"/>
        <v>50325034688619.227</v>
      </c>
      <c r="S260" s="93">
        <f t="shared" si="88"/>
        <v>43474283579103.516</v>
      </c>
      <c r="T260">
        <f t="shared" si="89"/>
        <v>0.5</v>
      </c>
      <c r="X260" s="99">
        <v>217</v>
      </c>
      <c r="Y260" s="99">
        <f t="shared" si="90"/>
        <v>6006.8224497635347</v>
      </c>
      <c r="Z260" s="99">
        <f t="shared" si="91"/>
        <v>4490.9248842397592</v>
      </c>
      <c r="AA260" s="99">
        <f t="shared" si="92"/>
        <v>-22795.224285165525</v>
      </c>
      <c r="AB260" s="99">
        <f t="shared" si="93"/>
        <v>7893.647418967832</v>
      </c>
      <c r="AC260" s="99">
        <f t="shared" si="94"/>
        <v>-8993.1775502364653</v>
      </c>
      <c r="AD260" s="99">
        <f t="shared" si="95"/>
        <v>-18009.075115760239</v>
      </c>
    </row>
    <row r="261" spans="1:30" x14ac:dyDescent="0.25">
      <c r="A261">
        <v>109</v>
      </c>
      <c r="B261" s="95">
        <f t="shared" si="96"/>
        <v>14270.147520440611</v>
      </c>
      <c r="C261" s="95">
        <f t="shared" si="97"/>
        <v>9736.0164227063506</v>
      </c>
      <c r="D261" s="95">
        <f t="shared" si="98"/>
        <v>-4832.5308868640896</v>
      </c>
      <c r="E261" s="95">
        <f t="shared" si="99"/>
        <v>-4973.8298070926194</v>
      </c>
      <c r="F261" s="96">
        <f t="shared" si="75"/>
        <v>-7140.1278650366821</v>
      </c>
      <c r="G261" s="94">
        <f t="shared" si="76"/>
        <v>-3898.3981691912813</v>
      </c>
      <c r="H261" s="97">
        <f t="shared" si="77"/>
        <v>-6674.4047181045644</v>
      </c>
      <c r="I261" s="94">
        <f t="shared" si="78"/>
        <v>-3494.9796207346558</v>
      </c>
      <c r="J261" s="95">
        <f t="shared" si="79"/>
        <v>-150.54380380365313</v>
      </c>
      <c r="K261" s="94">
        <f t="shared" si="80"/>
        <v>1.1596416923439818</v>
      </c>
      <c r="L261" s="94">
        <f t="shared" si="81"/>
        <v>-315.17934312846501</v>
      </c>
      <c r="M261" s="93">
        <f t="shared" si="82"/>
        <v>-404.57819014896927</v>
      </c>
      <c r="N261" s="93">
        <f t="shared" si="83"/>
        <v>4820.1586373207265</v>
      </c>
      <c r="O261" s="93">
        <f t="shared" si="84"/>
        <v>34271.164240536717</v>
      </c>
      <c r="P261" s="93">
        <f t="shared" si="85"/>
        <v>31356.165166103165</v>
      </c>
      <c r="Q261" s="93">
        <f t="shared" si="86"/>
        <v>334987779099.16187</v>
      </c>
      <c r="R261" s="93">
        <f t="shared" si="87"/>
        <v>40883289394659.508</v>
      </c>
      <c r="S261" s="93">
        <f t="shared" si="88"/>
        <v>32012966164437.852</v>
      </c>
      <c r="T261">
        <f t="shared" si="89"/>
        <v>0.5</v>
      </c>
      <c r="X261" s="99">
        <v>218</v>
      </c>
      <c r="Y261" s="99">
        <f t="shared" si="90"/>
        <v>6059.946231966389</v>
      </c>
      <c r="Z261" s="99">
        <f t="shared" si="91"/>
        <v>4421.6926233717113</v>
      </c>
      <c r="AA261" s="99">
        <f t="shared" si="92"/>
        <v>-22758.037637623529</v>
      </c>
      <c r="AB261" s="99">
        <f t="shared" si="93"/>
        <v>7845.1848363601976</v>
      </c>
      <c r="AC261" s="99">
        <f t="shared" si="94"/>
        <v>-8940.053768033611</v>
      </c>
      <c r="AD261" s="99">
        <f t="shared" si="95"/>
        <v>-18078.307376628291</v>
      </c>
    </row>
    <row r="262" spans="1:30" x14ac:dyDescent="0.25">
      <c r="A262">
        <v>109.5</v>
      </c>
      <c r="B262" s="95">
        <f t="shared" si="96"/>
        <v>10068.850110749396</v>
      </c>
      <c r="C262" s="95">
        <f t="shared" si="97"/>
        <v>6274.5019768622205</v>
      </c>
      <c r="D262" s="95">
        <f t="shared" si="98"/>
        <v>-8402.5948193824297</v>
      </c>
      <c r="E262" s="95">
        <f t="shared" si="99"/>
        <v>-6923.02889168826</v>
      </c>
      <c r="F262" s="96">
        <f t="shared" si="75"/>
        <v>-876.27942988284929</v>
      </c>
      <c r="G262" s="94">
        <f t="shared" si="76"/>
        <v>4130.0680505351311</v>
      </c>
      <c r="H262" s="97">
        <f t="shared" si="77"/>
        <v>-264.16335963873411</v>
      </c>
      <c r="I262" s="94">
        <f t="shared" si="78"/>
        <v>4701.9775494775677</v>
      </c>
      <c r="J262" s="95">
        <f t="shared" si="79"/>
        <v>-190.32659696841421</v>
      </c>
      <c r="K262" s="94">
        <f t="shared" si="80"/>
        <v>23.581259614011103</v>
      </c>
      <c r="L262" s="94">
        <f t="shared" si="81"/>
        <v>-421.78947327570097</v>
      </c>
      <c r="M262" s="93">
        <f t="shared" si="82"/>
        <v>-595.49075855644821</v>
      </c>
      <c r="N262" s="93">
        <f t="shared" si="83"/>
        <v>1227.430544863867</v>
      </c>
      <c r="O262" s="93">
        <f t="shared" si="84"/>
        <v>30298.763712453969</v>
      </c>
      <c r="P262" s="93">
        <f t="shared" si="85"/>
        <v>26070.571110425386</v>
      </c>
      <c r="Q262" s="93">
        <f t="shared" si="86"/>
        <v>136467955803.90901</v>
      </c>
      <c r="R262" s="93">
        <f t="shared" si="87"/>
        <v>28373315027314.543</v>
      </c>
      <c r="S262" s="93">
        <f t="shared" si="88"/>
        <v>18706089097926.316</v>
      </c>
      <c r="T262">
        <f t="shared" si="89"/>
        <v>0.5</v>
      </c>
      <c r="X262" s="99">
        <v>219</v>
      </c>
      <c r="Y262" s="99">
        <f t="shared" si="90"/>
        <v>6114.2701927151465</v>
      </c>
      <c r="Z262" s="99">
        <f t="shared" si="91"/>
        <v>4353.398044750812</v>
      </c>
      <c r="AA262" s="99">
        <f t="shared" si="92"/>
        <v>-22720.010865099397</v>
      </c>
      <c r="AB262" s="99">
        <f t="shared" si="93"/>
        <v>7797.3786313255678</v>
      </c>
      <c r="AC262" s="99">
        <f t="shared" si="94"/>
        <v>-8885.7298072848535</v>
      </c>
      <c r="AD262" s="99">
        <f t="shared" si="95"/>
        <v>-18146.601955249189</v>
      </c>
    </row>
    <row r="263" spans="1:30" x14ac:dyDescent="0.25">
      <c r="A263">
        <v>110</v>
      </c>
      <c r="B263" s="95">
        <f t="shared" si="96"/>
        <v>5648.4828435874688</v>
      </c>
      <c r="C263" s="95">
        <f t="shared" si="97"/>
        <v>3845.5045436518731</v>
      </c>
      <c r="D263" s="95">
        <f t="shared" si="98"/>
        <v>-8840.7345343238539</v>
      </c>
      <c r="E263" s="95">
        <f t="shared" si="99"/>
        <v>-4857.994866420695</v>
      </c>
      <c r="F263" s="96">
        <f t="shared" si="75"/>
        <v>4501.1948020581131</v>
      </c>
      <c r="G263" s="94">
        <f t="shared" si="76"/>
        <v>3571.3402534146885</v>
      </c>
      <c r="H263" s="97">
        <f t="shared" si="77"/>
        <v>5254.2324133732573</v>
      </c>
      <c r="I263" s="94">
        <f t="shared" si="78"/>
        <v>4412.6146792213822</v>
      </c>
      <c r="J263" s="95">
        <f t="shared" si="79"/>
        <v>-244.52870775280505</v>
      </c>
      <c r="K263" s="94">
        <f t="shared" si="80"/>
        <v>58.676017212752193</v>
      </c>
      <c r="L263" s="94">
        <f t="shared" si="81"/>
        <v>-508.50890356234004</v>
      </c>
      <c r="M263" s="93">
        <f t="shared" si="82"/>
        <v>-899.95044301944597</v>
      </c>
      <c r="N263" s="93">
        <f t="shared" si="83"/>
        <v>5682.5204445757781</v>
      </c>
      <c r="O263" s="93">
        <f t="shared" si="84"/>
        <v>26376.551831124751</v>
      </c>
      <c r="P263" s="93">
        <f t="shared" si="85"/>
        <v>21645.859381761216</v>
      </c>
      <c r="Q263" s="93">
        <f t="shared" si="86"/>
        <v>433640706355.77588</v>
      </c>
      <c r="R263" s="93">
        <f t="shared" si="87"/>
        <v>18837556609779.68</v>
      </c>
      <c r="S263" s="93">
        <f t="shared" si="88"/>
        <v>10964473856451.098</v>
      </c>
      <c r="T263">
        <f t="shared" si="89"/>
        <v>0.5</v>
      </c>
      <c r="X263" s="99">
        <v>220</v>
      </c>
      <c r="Y263" s="99">
        <f t="shared" si="90"/>
        <v>6169.7777844051097</v>
      </c>
      <c r="Z263" s="99">
        <f t="shared" si="91"/>
        <v>4286.0619515673043</v>
      </c>
      <c r="AA263" s="99">
        <f t="shared" si="92"/>
        <v>-22681.155550916425</v>
      </c>
      <c r="AB263" s="99">
        <f t="shared" si="93"/>
        <v>7750.2433660971128</v>
      </c>
      <c r="AC263" s="99">
        <f t="shared" si="94"/>
        <v>-8830.2222155948912</v>
      </c>
      <c r="AD263" s="99">
        <f t="shared" si="95"/>
        <v>-18213.938048432698</v>
      </c>
    </row>
    <row r="264" spans="1:30" x14ac:dyDescent="0.25">
      <c r="A264">
        <v>110.5</v>
      </c>
      <c r="B264" s="95">
        <f t="shared" si="96"/>
        <v>2353.4142769400701</v>
      </c>
      <c r="C264" s="95">
        <f t="shared" si="97"/>
        <v>2309.3421737951976</v>
      </c>
      <c r="D264" s="95">
        <f t="shared" si="98"/>
        <v>-6590.1371332947974</v>
      </c>
      <c r="E264" s="95">
        <f t="shared" si="99"/>
        <v>-3072.3247397133509</v>
      </c>
      <c r="F264" s="96">
        <f t="shared" si="75"/>
        <v>2634.2676171623566</v>
      </c>
      <c r="G264" s="94">
        <f t="shared" si="76"/>
        <v>1213.8898628970492</v>
      </c>
      <c r="H264" s="97">
        <f t="shared" si="77"/>
        <v>3450.9183001245019</v>
      </c>
      <c r="I264" s="94">
        <f t="shared" si="78"/>
        <v>2342.5534913073034</v>
      </c>
      <c r="J264" s="95">
        <f t="shared" si="79"/>
        <v>-294.17181027457468</v>
      </c>
      <c r="K264" s="94">
        <f t="shared" si="80"/>
        <v>101.2093592015996</v>
      </c>
      <c r="L264" s="94">
        <f t="shared" si="81"/>
        <v>-522.47887268757086</v>
      </c>
      <c r="M264" s="93">
        <f t="shared" si="82"/>
        <v>-1229.8729876118537</v>
      </c>
      <c r="N264" s="93">
        <f t="shared" si="83"/>
        <v>9241.9263083431433</v>
      </c>
      <c r="O264" s="93">
        <f t="shared" si="84"/>
        <v>23639.402438223209</v>
      </c>
      <c r="P264" s="93">
        <f t="shared" si="85"/>
        <v>18806.542160052471</v>
      </c>
      <c r="Q264" s="93">
        <f t="shared" si="86"/>
        <v>1160196380759.6272</v>
      </c>
      <c r="R264" s="93">
        <f t="shared" si="87"/>
        <v>13646948614411.885</v>
      </c>
      <c r="S264" s="93">
        <f t="shared" si="88"/>
        <v>7369175890438.7617</v>
      </c>
      <c r="T264">
        <f t="shared" si="89"/>
        <v>0.5</v>
      </c>
      <c r="X264" s="99">
        <v>221</v>
      </c>
      <c r="Y264" s="99">
        <f t="shared" si="90"/>
        <v>6226.4520988861404</v>
      </c>
      <c r="Z264" s="99">
        <f t="shared" si="91"/>
        <v>4219.7048550474628</v>
      </c>
      <c r="AA264" s="99">
        <f t="shared" si="92"/>
        <v>-22641.4835307797</v>
      </c>
      <c r="AB264" s="99">
        <f t="shared" si="93"/>
        <v>7703.7933985332238</v>
      </c>
      <c r="AC264" s="99">
        <f t="shared" si="94"/>
        <v>-8773.5479011138596</v>
      </c>
      <c r="AD264" s="99">
        <f t="shared" si="95"/>
        <v>-18280.295144952535</v>
      </c>
    </row>
    <row r="265" spans="1:30" x14ac:dyDescent="0.25">
      <c r="A265">
        <v>111</v>
      </c>
      <c r="B265" s="95">
        <f t="shared" si="96"/>
        <v>-283.08738541673949</v>
      </c>
      <c r="C265" s="95">
        <f t="shared" si="97"/>
        <v>1076.6522696627844</v>
      </c>
      <c r="D265" s="95">
        <f t="shared" si="98"/>
        <v>-5273.0033247136189</v>
      </c>
      <c r="E265" s="95">
        <f t="shared" si="99"/>
        <v>-2465.3798082648264</v>
      </c>
      <c r="F265" s="96">
        <f t="shared" si="75"/>
        <v>1588.7335764654877</v>
      </c>
      <c r="G265" s="94">
        <f t="shared" si="76"/>
        <v>68.20685784904731</v>
      </c>
      <c r="H265" s="97">
        <f t="shared" si="77"/>
        <v>2386.847224935997</v>
      </c>
      <c r="I265" s="94">
        <f t="shared" si="78"/>
        <v>1490.9481102627992</v>
      </c>
      <c r="J265" s="95">
        <f t="shared" si="79"/>
        <v>-336.05594008363221</v>
      </c>
      <c r="K265" s="94">
        <f t="shared" si="80"/>
        <v>152.08993765046421</v>
      </c>
      <c r="L265" s="94">
        <f t="shared" si="81"/>
        <v>-462.05770838687698</v>
      </c>
      <c r="M265" s="93">
        <f t="shared" si="82"/>
        <v>-1574.8311900642161</v>
      </c>
      <c r="N265" s="93">
        <f t="shared" si="83"/>
        <v>12124.408531592177</v>
      </c>
      <c r="O265" s="93">
        <f t="shared" si="84"/>
        <v>21642.152798823568</v>
      </c>
      <c r="P265" s="93">
        <f t="shared" si="85"/>
        <v>16754.3431030067</v>
      </c>
      <c r="Q265" s="93">
        <f t="shared" si="86"/>
        <v>2255784077055.4111</v>
      </c>
      <c r="R265" s="93">
        <f t="shared" si="87"/>
        <v>10537075155537.49</v>
      </c>
      <c r="S265" s="93">
        <f t="shared" si="88"/>
        <v>5345154132851.4072</v>
      </c>
      <c r="T265">
        <f t="shared" si="89"/>
        <v>0.5</v>
      </c>
      <c r="X265" s="99">
        <v>222</v>
      </c>
      <c r="Y265" s="99">
        <f t="shared" si="90"/>
        <v>6284.2758726130287</v>
      </c>
      <c r="Z265" s="99">
        <f t="shared" si="91"/>
        <v>4154.3469682057093</v>
      </c>
      <c r="AA265" s="99">
        <f t="shared" si="92"/>
        <v>-22601.00688917088</v>
      </c>
      <c r="AB265" s="99">
        <f t="shared" si="93"/>
        <v>7658.0428777439956</v>
      </c>
      <c r="AC265" s="99">
        <f t="shared" si="94"/>
        <v>-8715.7241273869713</v>
      </c>
      <c r="AD265" s="99">
        <f t="shared" si="95"/>
        <v>-18345.653031794292</v>
      </c>
    </row>
    <row r="266" spans="1:30" x14ac:dyDescent="0.25">
      <c r="A266">
        <v>111.5</v>
      </c>
      <c r="B266" s="95">
        <f t="shared" si="96"/>
        <v>-2522.405653657177</v>
      </c>
      <c r="C266" s="95">
        <f t="shared" si="97"/>
        <v>-138.98592000736693</v>
      </c>
      <c r="D266" s="95">
        <f t="shared" si="98"/>
        <v>-4478.6365364808753</v>
      </c>
      <c r="E266" s="95">
        <f t="shared" si="99"/>
        <v>-2431.2763793403028</v>
      </c>
      <c r="F266" s="96">
        <f t="shared" si="75"/>
        <v>1073.3528101881068</v>
      </c>
      <c r="G266" s="94">
        <f t="shared" si="76"/>
        <v>-659.43605574361845</v>
      </c>
      <c r="H266" s="97">
        <f t="shared" si="77"/>
        <v>1761.6616327297938</v>
      </c>
      <c r="I266" s="94">
        <f t="shared" si="78"/>
        <v>1074.6583987486356</v>
      </c>
      <c r="J266" s="95">
        <f t="shared" si="79"/>
        <v>-364.0002094239785</v>
      </c>
      <c r="K266" s="94">
        <f t="shared" si="80"/>
        <v>211.16138325991673</v>
      </c>
      <c r="L266" s="94">
        <f t="shared" si="81"/>
        <v>-324.30861311770849</v>
      </c>
      <c r="M266" s="93">
        <f t="shared" si="82"/>
        <v>-1945.2558377521707</v>
      </c>
      <c r="N266" s="93">
        <f t="shared" si="83"/>
        <v>14668.495125295438</v>
      </c>
      <c r="O266" s="93">
        <f t="shared" si="84"/>
        <v>20205.576943542645</v>
      </c>
      <c r="P266" s="93">
        <f t="shared" si="85"/>
        <v>15066.128010566259</v>
      </c>
      <c r="Q266" s="93">
        <f t="shared" si="86"/>
        <v>3721893095690.6362</v>
      </c>
      <c r="R266" s="93">
        <f t="shared" si="87"/>
        <v>8623285481121.7129</v>
      </c>
      <c r="S266" s="93">
        <f t="shared" si="88"/>
        <v>4000095321870.2349</v>
      </c>
      <c r="T266">
        <f t="shared" si="89"/>
        <v>0.5</v>
      </c>
      <c r="X266" s="99">
        <v>223</v>
      </c>
      <c r="Y266" s="99">
        <f t="shared" si="90"/>
        <v>6343.2314919041473</v>
      </c>
      <c r="Z266" s="99">
        <f t="shared" si="91"/>
        <v>4090.0081996875083</v>
      </c>
      <c r="AA266" s="99">
        <f t="shared" si="92"/>
        <v>-22559.737955667097</v>
      </c>
      <c r="AB266" s="99">
        <f t="shared" si="93"/>
        <v>7613.0057397812561</v>
      </c>
      <c r="AC266" s="99">
        <f t="shared" si="94"/>
        <v>-8656.7685080958527</v>
      </c>
      <c r="AD266" s="99">
        <f t="shared" si="95"/>
        <v>-18409.991800312491</v>
      </c>
    </row>
    <row r="267" spans="1:30" x14ac:dyDescent="0.25">
      <c r="A267">
        <v>112</v>
      </c>
      <c r="B267" s="95">
        <f t="shared" si="96"/>
        <v>-4493.3857193505883</v>
      </c>
      <c r="C267" s="95">
        <f t="shared" si="97"/>
        <v>-1519.483123613423</v>
      </c>
      <c r="D267" s="95">
        <f t="shared" si="98"/>
        <v>-3941.960131386822</v>
      </c>
      <c r="E267" s="95">
        <f t="shared" si="99"/>
        <v>-2760.994407212112</v>
      </c>
      <c r="F267" s="96">
        <f t="shared" si="75"/>
        <v>891.17019210157366</v>
      </c>
      <c r="G267" s="94">
        <f t="shared" si="76"/>
        <v>-1257.8139562194829</v>
      </c>
      <c r="H267" s="97">
        <f t="shared" si="77"/>
        <v>1348.3250453562766</v>
      </c>
      <c r="I267" s="94">
        <f t="shared" si="78"/>
        <v>839.08585800621017</v>
      </c>
      <c r="J267" s="95">
        <f t="shared" si="79"/>
        <v>-368.07482422902655</v>
      </c>
      <c r="K267" s="94">
        <f t="shared" si="80"/>
        <v>273.4337521520963</v>
      </c>
      <c r="L267" s="94">
        <f t="shared" si="81"/>
        <v>-89.080029025676524</v>
      </c>
      <c r="M267" s="93">
        <f t="shared" si="82"/>
        <v>-2370.3335663777893</v>
      </c>
      <c r="N267" s="93">
        <f t="shared" si="83"/>
        <v>17070.714848155098</v>
      </c>
      <c r="O267" s="93">
        <f t="shared" si="84"/>
        <v>19317.183487352777</v>
      </c>
      <c r="P267" s="93">
        <f t="shared" si="85"/>
        <v>13490.033109073573</v>
      </c>
      <c r="Q267" s="93">
        <f t="shared" si="86"/>
        <v>5628256363746.9336</v>
      </c>
      <c r="R267" s="93">
        <f t="shared" si="87"/>
        <v>7566126762226.1748</v>
      </c>
      <c r="S267" s="93">
        <f t="shared" si="88"/>
        <v>2977801196856.2041</v>
      </c>
      <c r="T267">
        <f t="shared" si="89"/>
        <v>0.5</v>
      </c>
      <c r="X267" s="99">
        <v>224</v>
      </c>
      <c r="Y267" s="99">
        <f t="shared" si="90"/>
        <v>6403.3009983067441</v>
      </c>
      <c r="Z267" s="99">
        <f t="shared" si="91"/>
        <v>4026.7081477050133</v>
      </c>
      <c r="AA267" s="99">
        <f t="shared" si="92"/>
        <v>-22517.689301185281</v>
      </c>
      <c r="AB267" s="99">
        <f t="shared" si="93"/>
        <v>7568.6957033935087</v>
      </c>
      <c r="AC267" s="99">
        <f t="shared" si="94"/>
        <v>-8596.6990016932559</v>
      </c>
      <c r="AD267" s="99">
        <f t="shared" si="95"/>
        <v>-18473.291852294988</v>
      </c>
    </row>
    <row r="268" spans="1:30" x14ac:dyDescent="0.25">
      <c r="A268">
        <v>112.5</v>
      </c>
      <c r="B268" s="95">
        <f t="shared" si="96"/>
        <v>-6241.5732370186061</v>
      </c>
      <c r="C268" s="95">
        <f t="shared" si="97"/>
        <v>-3214.4338162743497</v>
      </c>
      <c r="D268" s="95">
        <f t="shared" si="98"/>
        <v>-3496.3750353360351</v>
      </c>
      <c r="E268" s="95">
        <f t="shared" si="99"/>
        <v>-3389.9013853218535</v>
      </c>
      <c r="F268" s="96">
        <f t="shared" si="75"/>
        <v>1015.6788591910463</v>
      </c>
      <c r="G268" s="94">
        <f t="shared" si="76"/>
        <v>-1882.6875595208853</v>
      </c>
      <c r="H268" s="97">
        <f t="shared" si="77"/>
        <v>1048.8652179619362</v>
      </c>
      <c r="I268" s="94">
        <f t="shared" si="78"/>
        <v>691.92785674426739</v>
      </c>
      <c r="J268" s="95">
        <f t="shared" si="79"/>
        <v>-338.6826570329473</v>
      </c>
      <c r="K268" s="94">
        <f t="shared" si="80"/>
        <v>325.29152011214427</v>
      </c>
      <c r="L268" s="94">
        <f t="shared" si="81"/>
        <v>305.49629826205745</v>
      </c>
      <c r="M268" s="93">
        <f t="shared" si="82"/>
        <v>-2899.9069363772969</v>
      </c>
      <c r="N268" s="93">
        <f t="shared" si="83"/>
        <v>19457.332633656712</v>
      </c>
      <c r="O268" s="93">
        <f t="shared" si="84"/>
        <v>19076.571182395903</v>
      </c>
      <c r="P268" s="93">
        <f t="shared" si="85"/>
        <v>11850.783702939585</v>
      </c>
      <c r="Q268" s="93">
        <f t="shared" si="86"/>
        <v>8107874791784.4072</v>
      </c>
      <c r="R268" s="93">
        <f t="shared" si="87"/>
        <v>7295726761847.1758</v>
      </c>
      <c r="S268" s="93">
        <f t="shared" si="88"/>
        <v>2127967606864.1228</v>
      </c>
      <c r="T268">
        <f t="shared" si="89"/>
        <v>0.5</v>
      </c>
      <c r="X268" s="99">
        <v>225</v>
      </c>
      <c r="Y268" s="99">
        <f t="shared" si="90"/>
        <v>6464.466094067262</v>
      </c>
      <c r="Z268" s="99">
        <f t="shared" si="91"/>
        <v>3964.4660940672625</v>
      </c>
      <c r="AA268" s="99">
        <f t="shared" si="92"/>
        <v>-22474.873734152916</v>
      </c>
      <c r="AB268" s="99">
        <f t="shared" si="93"/>
        <v>7525.1262658470841</v>
      </c>
      <c r="AC268" s="99">
        <f t="shared" si="94"/>
        <v>-8535.533905932738</v>
      </c>
      <c r="AD268" s="99">
        <f t="shared" si="95"/>
        <v>-18535.533905932738</v>
      </c>
    </row>
    <row r="269" spans="1:30" x14ac:dyDescent="0.25">
      <c r="A269">
        <v>113</v>
      </c>
      <c r="B269" s="95">
        <f t="shared" si="96"/>
        <v>-7735.8410398888627</v>
      </c>
      <c r="C269" s="95">
        <f t="shared" si="97"/>
        <v>-5380.0563988154972</v>
      </c>
      <c r="D269" s="95">
        <f t="shared" si="98"/>
        <v>-2988.535605740512</v>
      </c>
      <c r="E269" s="95">
        <f t="shared" si="99"/>
        <v>-4331.2451650822959</v>
      </c>
      <c r="F269" s="96">
        <f t="shared" si="75"/>
        <v>1565.7061349930573</v>
      </c>
      <c r="G269" s="94">
        <f t="shared" si="76"/>
        <v>-2663.1979468158756</v>
      </c>
      <c r="H269" s="97">
        <f t="shared" si="77"/>
        <v>817.19460612528042</v>
      </c>
      <c r="I269" s="94">
        <f t="shared" si="78"/>
        <v>593.46002211166547</v>
      </c>
      <c r="J269" s="95">
        <f t="shared" si="79"/>
        <v>-276.14384275424919</v>
      </c>
      <c r="K269" s="94">
        <f t="shared" si="80"/>
        <v>346.3024158085035</v>
      </c>
      <c r="L269" s="94">
        <f t="shared" si="81"/>
        <v>1024.655371622026</v>
      </c>
      <c r="M269" s="93">
        <f t="shared" si="82"/>
        <v>-3602.9603847360445</v>
      </c>
      <c r="N269" s="93">
        <f t="shared" si="83"/>
        <v>21919.304510610596</v>
      </c>
      <c r="O269" s="93">
        <f t="shared" si="84"/>
        <v>19671.190351110425</v>
      </c>
      <c r="P269" s="93">
        <f t="shared" si="85"/>
        <v>10001.406955299381</v>
      </c>
      <c r="Q269" s="93">
        <f t="shared" si="86"/>
        <v>11363834982616.371</v>
      </c>
      <c r="R269" s="93">
        <f t="shared" si="87"/>
        <v>7976183727526.8818</v>
      </c>
      <c r="S269" s="93">
        <f t="shared" si="88"/>
        <v>1398014452849.4194</v>
      </c>
      <c r="T269">
        <f t="shared" si="89"/>
        <v>0.5</v>
      </c>
      <c r="X269" s="99">
        <v>226</v>
      </c>
      <c r="Y269" s="99">
        <f t="shared" si="90"/>
        <v>6526.7081477050124</v>
      </c>
      <c r="Z269" s="99">
        <f t="shared" si="91"/>
        <v>3903.3009983067459</v>
      </c>
      <c r="AA269" s="99">
        <f t="shared" si="92"/>
        <v>-22431.30429660649</v>
      </c>
      <c r="AB269" s="99">
        <f t="shared" si="93"/>
        <v>7482.3106988147219</v>
      </c>
      <c r="AC269" s="99">
        <f t="shared" si="94"/>
        <v>-8473.2918522949876</v>
      </c>
      <c r="AD269" s="99">
        <f t="shared" si="95"/>
        <v>-18596.699001693254</v>
      </c>
    </row>
    <row r="270" spans="1:30" x14ac:dyDescent="0.25">
      <c r="A270">
        <v>113.5</v>
      </c>
      <c r="B270" s="95">
        <f t="shared" si="96"/>
        <v>-8838.6823090108537</v>
      </c>
      <c r="C270" s="95">
        <f t="shared" si="97"/>
        <v>-8211.4784680606135</v>
      </c>
      <c r="D270" s="95">
        <f t="shared" si="98"/>
        <v>-2205.6825382439833</v>
      </c>
      <c r="E270" s="95">
        <f t="shared" si="99"/>
        <v>-5662.8441384902335</v>
      </c>
      <c r="F270" s="96">
        <f t="shared" si="75"/>
        <v>2959.1150238802247</v>
      </c>
      <c r="G270" s="94">
        <f t="shared" si="76"/>
        <v>-3624.0507676382213</v>
      </c>
      <c r="H270" s="97">
        <f t="shared" si="77"/>
        <v>628.65338960759698</v>
      </c>
      <c r="I270" s="94">
        <f t="shared" si="78"/>
        <v>524.2975083224751</v>
      </c>
      <c r="J270" s="95">
        <f t="shared" si="79"/>
        <v>-197.68217595839644</v>
      </c>
      <c r="K270" s="94">
        <f t="shared" si="80"/>
        <v>322.550149602153</v>
      </c>
      <c r="L270" s="94">
        <f t="shared" si="81"/>
        <v>2528.143810231024</v>
      </c>
      <c r="M270" s="93">
        <f t="shared" si="82"/>
        <v>-4470.8984255628493</v>
      </c>
      <c r="N270" s="93">
        <f t="shared" si="83"/>
        <v>24530.52194292186</v>
      </c>
      <c r="O270" s="93">
        <f t="shared" si="84"/>
        <v>21359.610497193589</v>
      </c>
      <c r="P270" s="93">
        <f t="shared" si="85"/>
        <v>7798.686200836496</v>
      </c>
      <c r="Q270" s="93">
        <f t="shared" si="86"/>
        <v>15690539737708.93</v>
      </c>
      <c r="R270" s="93">
        <f t="shared" si="87"/>
        <v>10140064076668.938</v>
      </c>
      <c r="S270" s="93">
        <f t="shared" si="88"/>
        <v>795021766077.96082</v>
      </c>
      <c r="T270">
        <f t="shared" si="89"/>
        <v>0.5</v>
      </c>
      <c r="X270" s="99">
        <v>227</v>
      </c>
      <c r="Y270" s="99">
        <f t="shared" si="90"/>
        <v>6590.0081996875051</v>
      </c>
      <c r="Z270" s="99">
        <f t="shared" si="91"/>
        <v>3843.2314919041492</v>
      </c>
      <c r="AA270" s="99">
        <f t="shared" si="92"/>
        <v>-22386.994260218748</v>
      </c>
      <c r="AB270" s="99">
        <f t="shared" si="93"/>
        <v>7440.2620443329051</v>
      </c>
      <c r="AC270" s="99">
        <f t="shared" si="94"/>
        <v>-8409.9918003124949</v>
      </c>
      <c r="AD270" s="99">
        <f t="shared" si="95"/>
        <v>-18656.768508095851</v>
      </c>
    </row>
    <row r="271" spans="1:30" x14ac:dyDescent="0.25">
      <c r="A271">
        <v>114</v>
      </c>
      <c r="B271" s="95">
        <f t="shared" si="96"/>
        <v>-9201.7448221627892</v>
      </c>
      <c r="C271" s="95">
        <f t="shared" si="97"/>
        <v>-11948.913229215284</v>
      </c>
      <c r="D271" s="95">
        <f t="shared" si="98"/>
        <v>-726.12502630387098</v>
      </c>
      <c r="E271" s="95">
        <f t="shared" si="99"/>
        <v>-7474.8695223093437</v>
      </c>
      <c r="F271" s="96">
        <f t="shared" si="75"/>
        <v>6213.4507926594179</v>
      </c>
      <c r="G271" s="94">
        <f t="shared" si="76"/>
        <v>-3528.7946663859293</v>
      </c>
      <c r="H271" s="97">
        <f t="shared" si="77"/>
        <v>468.74971731048367</v>
      </c>
      <c r="I271" s="94">
        <f t="shared" si="78"/>
        <v>474.78355027759062</v>
      </c>
      <c r="J271" s="95">
        <f t="shared" si="79"/>
        <v>-128.52971558028054</v>
      </c>
      <c r="K271" s="94">
        <f t="shared" si="80"/>
        <v>261.25402004181342</v>
      </c>
      <c r="L271" s="94">
        <f t="shared" si="81"/>
        <v>5873.2307909292149</v>
      </c>
      <c r="M271" s="93">
        <f t="shared" si="82"/>
        <v>-4264.8322367053333</v>
      </c>
      <c r="N271" s="93">
        <f t="shared" si="83"/>
        <v>27330.701235295826</v>
      </c>
      <c r="O271" s="93">
        <f t="shared" si="84"/>
        <v>24461.339023637072</v>
      </c>
      <c r="P271" s="93">
        <f t="shared" si="85"/>
        <v>5192.6669480556247</v>
      </c>
      <c r="Q271" s="93">
        <f t="shared" si="86"/>
        <v>21448567768577.406</v>
      </c>
      <c r="R271" s="93">
        <f t="shared" si="87"/>
        <v>15088385867161.166</v>
      </c>
      <c r="S271" s="93">
        <f t="shared" si="88"/>
        <v>374585730167.23859</v>
      </c>
      <c r="T271">
        <f t="shared" si="89"/>
        <v>0.5</v>
      </c>
      <c r="X271" s="99">
        <v>228</v>
      </c>
      <c r="Y271" s="99">
        <f t="shared" si="90"/>
        <v>6654.3469682057075</v>
      </c>
      <c r="Z271" s="99">
        <f t="shared" si="91"/>
        <v>3784.2758726130301</v>
      </c>
      <c r="AA271" s="99">
        <f t="shared" si="92"/>
        <v>-22341.957122256004</v>
      </c>
      <c r="AB271" s="99">
        <f t="shared" si="93"/>
        <v>7398.9931108291203</v>
      </c>
      <c r="AC271" s="99">
        <f t="shared" si="94"/>
        <v>-8345.6530317942925</v>
      </c>
      <c r="AD271" s="99">
        <f t="shared" si="95"/>
        <v>-18715.724127386969</v>
      </c>
    </row>
    <row r="272" spans="1:30" x14ac:dyDescent="0.25">
      <c r="A272">
        <v>114.5</v>
      </c>
      <c r="B272" s="95">
        <f t="shared" si="96"/>
        <v>-8011.4446371498707</v>
      </c>
      <c r="C272" s="95">
        <f t="shared" si="97"/>
        <v>-16568.546656966439</v>
      </c>
      <c r="D272" s="95">
        <f t="shared" si="98"/>
        <v>2380.6003700258379</v>
      </c>
      <c r="E272" s="95">
        <f t="shared" si="99"/>
        <v>-9239.2668555023083</v>
      </c>
      <c r="F272" s="96">
        <f t="shared" si="75"/>
        <v>7390.0339369453259</v>
      </c>
      <c r="G272" s="94">
        <f t="shared" si="76"/>
        <v>4353.8089254901752</v>
      </c>
      <c r="H272" s="97">
        <f t="shared" si="77"/>
        <v>333.2184485143855</v>
      </c>
      <c r="I272" s="94">
        <f t="shared" si="78"/>
        <v>445.27709667932294</v>
      </c>
      <c r="J272" s="95">
        <f t="shared" si="79"/>
        <v>-85.094627457727384</v>
      </c>
      <c r="K272" s="94">
        <f t="shared" si="80"/>
        <v>188.58323721585757</v>
      </c>
      <c r="L272" s="94">
        <f t="shared" si="81"/>
        <v>7141.9101158886679</v>
      </c>
      <c r="M272" s="93">
        <f t="shared" si="82"/>
        <v>3719.9485915949945</v>
      </c>
      <c r="N272" s="93">
        <f t="shared" si="83"/>
        <v>30061.721110004415</v>
      </c>
      <c r="O272" s="93">
        <f t="shared" si="84"/>
        <v>29148.123973105459</v>
      </c>
      <c r="P272" s="93">
        <f t="shared" si="85"/>
        <v>3395.4583516366838</v>
      </c>
      <c r="Q272" s="93">
        <f t="shared" si="86"/>
        <v>28302065509320.32</v>
      </c>
      <c r="R272" s="93">
        <f t="shared" si="87"/>
        <v>25302151641930.445</v>
      </c>
      <c r="S272" s="93">
        <f t="shared" si="88"/>
        <v>220779693276.43039</v>
      </c>
      <c r="T272">
        <f t="shared" si="89"/>
        <v>0.5</v>
      </c>
      <c r="X272" s="99">
        <v>229</v>
      </c>
      <c r="Y272" s="99">
        <f t="shared" si="90"/>
        <v>6719.7048550474619</v>
      </c>
      <c r="Z272" s="99">
        <f t="shared" si="91"/>
        <v>3726.4520988861418</v>
      </c>
      <c r="AA272" s="99">
        <f t="shared" si="92"/>
        <v>-22296.206601466776</v>
      </c>
      <c r="AB272" s="99">
        <f t="shared" si="93"/>
        <v>7358.5164692202998</v>
      </c>
      <c r="AC272" s="99">
        <f t="shared" si="94"/>
        <v>-8280.295144952539</v>
      </c>
      <c r="AD272" s="99">
        <f t="shared" si="95"/>
        <v>-18773.54790111386</v>
      </c>
    </row>
    <row r="273" spans="1:30" x14ac:dyDescent="0.25">
      <c r="A273">
        <v>115</v>
      </c>
      <c r="B273" s="95">
        <f t="shared" si="96"/>
        <v>-4973.6359679006209</v>
      </c>
      <c r="C273" s="95">
        <f t="shared" si="97"/>
        <v>-20099.727853345048</v>
      </c>
      <c r="D273" s="95">
        <f t="shared" si="98"/>
        <v>6075.6173384985013</v>
      </c>
      <c r="E273" s="95">
        <f t="shared" si="99"/>
        <v>-7062.3623927572207</v>
      </c>
      <c r="F273" s="96">
        <f t="shared" si="75"/>
        <v>136.2758069021211</v>
      </c>
      <c r="G273" s="94">
        <f t="shared" si="76"/>
        <v>7919.0295885453297</v>
      </c>
      <c r="H273" s="97">
        <f t="shared" si="77"/>
        <v>243.9092754279564</v>
      </c>
      <c r="I273" s="94">
        <f t="shared" si="78"/>
        <v>449.57882221454952</v>
      </c>
      <c r="J273" s="95">
        <f t="shared" si="79"/>
        <v>-69.740900198915568</v>
      </c>
      <c r="K273" s="94">
        <f t="shared" si="80"/>
        <v>139.69993750653018</v>
      </c>
      <c r="L273" s="94">
        <f t="shared" si="81"/>
        <v>-37.892568326919729</v>
      </c>
      <c r="M273" s="93">
        <f t="shared" si="82"/>
        <v>7329.7508288242498</v>
      </c>
      <c r="N273" s="93">
        <f t="shared" si="83"/>
        <v>31399.916427881104</v>
      </c>
      <c r="O273" s="93">
        <f t="shared" si="84"/>
        <v>33642.01588595139</v>
      </c>
      <c r="P273" s="93">
        <f t="shared" si="85"/>
        <v>5099.795999878017</v>
      </c>
      <c r="Q273" s="93">
        <f t="shared" si="86"/>
        <v>32143826614593.711</v>
      </c>
      <c r="R273" s="93">
        <f t="shared" si="87"/>
        <v>38695378533344.414</v>
      </c>
      <c r="S273" s="93">
        <f t="shared" si="88"/>
        <v>364297685181.24799</v>
      </c>
      <c r="T273">
        <f t="shared" si="89"/>
        <v>0.5</v>
      </c>
      <c r="X273" s="99">
        <v>230</v>
      </c>
      <c r="Y273" s="99">
        <f t="shared" si="90"/>
        <v>6786.0619515673025</v>
      </c>
      <c r="Z273" s="99">
        <f t="shared" si="91"/>
        <v>3669.7777844051107</v>
      </c>
      <c r="AA273" s="99">
        <f t="shared" si="92"/>
        <v>-22249.756633902889</v>
      </c>
      <c r="AB273" s="99">
        <f t="shared" si="93"/>
        <v>7318.8444490835773</v>
      </c>
      <c r="AC273" s="99">
        <f t="shared" si="94"/>
        <v>-8213.9380484326975</v>
      </c>
      <c r="AD273" s="99">
        <f t="shared" si="95"/>
        <v>-18830.222215594891</v>
      </c>
    </row>
    <row r="274" spans="1:30" x14ac:dyDescent="0.25">
      <c r="A274">
        <v>115.5</v>
      </c>
      <c r="B274" s="95">
        <f t="shared" si="96"/>
        <v>-1901.75834692584</v>
      </c>
      <c r="C274" s="95">
        <f t="shared" si="97"/>
        <v>-21651.151652587327</v>
      </c>
      <c r="D274" s="95">
        <f t="shared" si="98"/>
        <v>6143.7552419495623</v>
      </c>
      <c r="E274" s="95">
        <f t="shared" si="99"/>
        <v>-3102.8475984845559</v>
      </c>
      <c r="F274" s="96">
        <f t="shared" si="75"/>
        <v>-2191.3405693179729</v>
      </c>
      <c r="G274" s="94">
        <f t="shared" si="76"/>
        <v>5561.7796237174161</v>
      </c>
      <c r="H274" s="97">
        <f t="shared" si="77"/>
        <v>192.30304955237355</v>
      </c>
      <c r="I274" s="94">
        <f t="shared" si="78"/>
        <v>471.01068576175709</v>
      </c>
      <c r="J274" s="95">
        <f t="shared" si="79"/>
        <v>-66.145233783685882</v>
      </c>
      <c r="K274" s="94">
        <f t="shared" si="80"/>
        <v>115.67824464470398</v>
      </c>
      <c r="L274" s="94">
        <f t="shared" si="81"/>
        <v>-2317.4983850866606</v>
      </c>
      <c r="M274" s="93">
        <f t="shared" si="82"/>
        <v>4975.0906933109554</v>
      </c>
      <c r="N274" s="93">
        <f t="shared" si="83"/>
        <v>31487.163962808143</v>
      </c>
      <c r="O274" s="93">
        <f t="shared" si="84"/>
        <v>36460.13921899024</v>
      </c>
      <c r="P274" s="93">
        <f t="shared" si="85"/>
        <v>7337.3646254332243</v>
      </c>
      <c r="Q274" s="93">
        <f t="shared" si="86"/>
        <v>32405862062109.387</v>
      </c>
      <c r="R274" s="93">
        <f t="shared" si="87"/>
        <v>49139481462118.016</v>
      </c>
      <c r="S274" s="93">
        <f t="shared" si="88"/>
        <v>699994246596.4729</v>
      </c>
      <c r="T274">
        <f t="shared" si="89"/>
        <v>0.5</v>
      </c>
      <c r="X274" s="99">
        <v>231</v>
      </c>
      <c r="Y274" s="99">
        <f t="shared" si="90"/>
        <v>6853.3980447508147</v>
      </c>
      <c r="Z274" s="99">
        <f t="shared" si="91"/>
        <v>3614.2701927151443</v>
      </c>
      <c r="AA274" s="99">
        <f t="shared" si="92"/>
        <v>-22202.62136867443</v>
      </c>
      <c r="AB274" s="99">
        <f t="shared" si="93"/>
        <v>7279.9891349006011</v>
      </c>
      <c r="AC274" s="99">
        <f t="shared" si="94"/>
        <v>-8146.6019552491853</v>
      </c>
      <c r="AD274" s="99">
        <f t="shared" si="95"/>
        <v>-18885.729807284857</v>
      </c>
    </row>
    <row r="275" spans="1:30" x14ac:dyDescent="0.25">
      <c r="A275">
        <v>116</v>
      </c>
      <c r="B275" s="95">
        <f t="shared" si="96"/>
        <v>622.28413171944794</v>
      </c>
      <c r="C275" s="95">
        <f t="shared" si="97"/>
        <v>-21812.130545900251</v>
      </c>
      <c r="D275" s="95">
        <f t="shared" si="98"/>
        <v>5048.0849572905754</v>
      </c>
      <c r="E275" s="95">
        <f t="shared" si="99"/>
        <v>-321.9577866258478</v>
      </c>
      <c r="F275" s="96">
        <f t="shared" si="75"/>
        <v>-2720.6401528779065</v>
      </c>
      <c r="G275" s="94">
        <f t="shared" si="76"/>
        <v>4021.2502392920337</v>
      </c>
      <c r="H275" s="97">
        <f t="shared" si="77"/>
        <v>161.99468382837711</v>
      </c>
      <c r="I275" s="94">
        <f t="shared" si="78"/>
        <v>506.35030820035587</v>
      </c>
      <c r="J275" s="95">
        <f t="shared" si="79"/>
        <v>-67.109513229942152</v>
      </c>
      <c r="K275" s="94">
        <f t="shared" si="80"/>
        <v>103.52376982620576</v>
      </c>
      <c r="L275" s="94">
        <f t="shared" si="81"/>
        <v>-2815.5253234763413</v>
      </c>
      <c r="M275" s="93">
        <f t="shared" si="82"/>
        <v>3411.3761612654721</v>
      </c>
      <c r="N275" s="93">
        <f t="shared" si="83"/>
        <v>30775.681179237923</v>
      </c>
      <c r="O275" s="93">
        <f t="shared" si="84"/>
        <v>37911.611053591056</v>
      </c>
      <c r="P275" s="93">
        <f t="shared" si="85"/>
        <v>8832.6214360274462</v>
      </c>
      <c r="Q275" s="93">
        <f t="shared" si="86"/>
        <v>30310627673081.129</v>
      </c>
      <c r="R275" s="93">
        <f t="shared" si="87"/>
        <v>55188097114533.617</v>
      </c>
      <c r="S275" s="93">
        <f t="shared" si="88"/>
        <v>1045567256272.9071</v>
      </c>
      <c r="T275">
        <f t="shared" si="89"/>
        <v>0.5</v>
      </c>
      <c r="X275" s="99">
        <v>232</v>
      </c>
      <c r="Y275" s="99">
        <f t="shared" si="90"/>
        <v>6921.6926233717095</v>
      </c>
      <c r="Z275" s="99">
        <f t="shared" si="91"/>
        <v>3559.9462319663894</v>
      </c>
      <c r="AA275" s="99">
        <f t="shared" si="92"/>
        <v>-22154.815163639803</v>
      </c>
      <c r="AB275" s="99">
        <f t="shared" si="93"/>
        <v>7241.9623623764728</v>
      </c>
      <c r="AC275" s="99">
        <f t="shared" si="94"/>
        <v>-8078.3073766282905</v>
      </c>
      <c r="AD275" s="99">
        <f t="shared" si="95"/>
        <v>-18940.053768033609</v>
      </c>
    </row>
    <row r="276" spans="1:30" x14ac:dyDescent="0.25">
      <c r="A276">
        <v>116.5</v>
      </c>
      <c r="B276" s="95">
        <f t="shared" si="96"/>
        <v>2466.1665721452591</v>
      </c>
      <c r="C276" s="95">
        <f t="shared" si="97"/>
        <v>-20967.796879390167</v>
      </c>
      <c r="D276" s="95">
        <f t="shared" si="98"/>
        <v>3687.7648808516224</v>
      </c>
      <c r="E276" s="95">
        <f t="shared" si="99"/>
        <v>1688.6673330201691</v>
      </c>
      <c r="F276" s="96">
        <f t="shared" si="75"/>
        <v>-3037.7150108877281</v>
      </c>
      <c r="G276" s="94">
        <f t="shared" si="76"/>
        <v>3146.9504044132741</v>
      </c>
      <c r="H276" s="97">
        <f t="shared" si="77"/>
        <v>148.0267537449985</v>
      </c>
      <c r="I276" s="94">
        <f t="shared" si="78"/>
        <v>559.34280983008932</v>
      </c>
      <c r="J276" s="95">
        <f t="shared" si="79"/>
        <v>-71.154053619193547</v>
      </c>
      <c r="K276" s="94">
        <f t="shared" si="80"/>
        <v>98.080118499451473</v>
      </c>
      <c r="L276" s="94">
        <f t="shared" si="81"/>
        <v>-3114.587711013533</v>
      </c>
      <c r="M276" s="93">
        <f t="shared" si="82"/>
        <v>2489.5274760837333</v>
      </c>
      <c r="N276" s="93">
        <f t="shared" si="83"/>
        <v>29447.820042999414</v>
      </c>
      <c r="O276" s="93">
        <f t="shared" si="84"/>
        <v>38258.764799853961</v>
      </c>
      <c r="P276" s="93">
        <f t="shared" si="85"/>
        <v>9558.1505991838349</v>
      </c>
      <c r="Q276" s="93">
        <f t="shared" si="86"/>
        <v>26648601408781.219</v>
      </c>
      <c r="R276" s="93">
        <f t="shared" si="87"/>
        <v>56705093412859.766</v>
      </c>
      <c r="S276" s="93">
        <f t="shared" si="88"/>
        <v>1255150292208.6819</v>
      </c>
      <c r="T276">
        <f t="shared" si="89"/>
        <v>0.5</v>
      </c>
      <c r="X276" s="99">
        <v>233</v>
      </c>
      <c r="Y276" s="99">
        <f t="shared" si="90"/>
        <v>6990.9248842397592</v>
      </c>
      <c r="Z276" s="99">
        <f t="shared" si="91"/>
        <v>3506.822449763536</v>
      </c>
      <c r="AA276" s="99">
        <f t="shared" si="92"/>
        <v>-22106.35258103217</v>
      </c>
      <c r="AB276" s="99">
        <f t="shared" si="93"/>
        <v>7204.7757148344754</v>
      </c>
      <c r="AC276" s="99">
        <f t="shared" si="94"/>
        <v>-8009.0751157602408</v>
      </c>
      <c r="AD276" s="99">
        <f t="shared" si="95"/>
        <v>-18993.177550236465</v>
      </c>
    </row>
    <row r="277" spans="1:30" x14ac:dyDescent="0.25">
      <c r="A277">
        <v>117</v>
      </c>
      <c r="B277" s="95">
        <f t="shared" si="96"/>
        <v>3550.6202598491382</v>
      </c>
      <c r="C277" s="95">
        <f t="shared" si="97"/>
        <v>-19336.725611776765</v>
      </c>
      <c r="D277" s="95">
        <f t="shared" si="98"/>
        <v>2168.9073754077581</v>
      </c>
      <c r="E277" s="95">
        <f t="shared" si="99"/>
        <v>3262.1425352268061</v>
      </c>
      <c r="F277" s="96">
        <f t="shared" si="75"/>
        <v>-3466.6989519809636</v>
      </c>
      <c r="G277" s="94">
        <f t="shared" si="76"/>
        <v>2530.4553168065831</v>
      </c>
      <c r="H277" s="97">
        <f t="shared" si="77"/>
        <v>153.00881460760024</v>
      </c>
      <c r="I277" s="94">
        <f t="shared" si="78"/>
        <v>636.68999799216897</v>
      </c>
      <c r="J277" s="95">
        <f t="shared" si="79"/>
        <v>-78.418661276384341</v>
      </c>
      <c r="K277" s="94">
        <f t="shared" si="80"/>
        <v>97.685187197820682</v>
      </c>
      <c r="L277" s="94">
        <f t="shared" si="81"/>
        <v>-3541.2891053121793</v>
      </c>
      <c r="M277" s="93">
        <f t="shared" si="82"/>
        <v>1796.0801316165937</v>
      </c>
      <c r="N277" s="93">
        <f t="shared" si="83"/>
        <v>27600.803259949942</v>
      </c>
      <c r="O277" s="93">
        <f t="shared" si="84"/>
        <v>37620.143330990853</v>
      </c>
      <c r="P277" s="93">
        <f t="shared" si="85"/>
        <v>9587.5072808307741</v>
      </c>
      <c r="Q277" s="93">
        <f t="shared" si="86"/>
        <v>22069887568057.336</v>
      </c>
      <c r="R277" s="93">
        <f t="shared" si="87"/>
        <v>53935619099485.797</v>
      </c>
      <c r="S277" s="93">
        <f t="shared" si="88"/>
        <v>1264255519818.2109</v>
      </c>
      <c r="T277">
        <f t="shared" si="89"/>
        <v>0.5</v>
      </c>
      <c r="X277" s="99">
        <v>234</v>
      </c>
      <c r="Y277" s="99">
        <f t="shared" si="90"/>
        <v>7061.0737385376342</v>
      </c>
      <c r="Z277" s="99">
        <f t="shared" si="91"/>
        <v>3454.9150281252632</v>
      </c>
      <c r="AA277" s="99">
        <f t="shared" si="92"/>
        <v>-22057.248383023656</v>
      </c>
      <c r="AB277" s="99">
        <f t="shared" si="93"/>
        <v>7168.4405196876842</v>
      </c>
      <c r="AC277" s="99">
        <f t="shared" si="94"/>
        <v>-7938.9262614623658</v>
      </c>
      <c r="AD277" s="99">
        <f t="shared" si="95"/>
        <v>-19045.084971874738</v>
      </c>
    </row>
    <row r="278" spans="1:30" x14ac:dyDescent="0.25">
      <c r="A278">
        <v>117.5</v>
      </c>
      <c r="B278" s="95">
        <f t="shared" si="96"/>
        <v>3768.3992095577764</v>
      </c>
      <c r="C278" s="95">
        <f t="shared" si="97"/>
        <v>-17073.040514961715</v>
      </c>
      <c r="D278" s="95">
        <f t="shared" si="98"/>
        <v>435.5578994172763</v>
      </c>
      <c r="E278" s="95">
        <f t="shared" si="99"/>
        <v>4527.3701936300977</v>
      </c>
      <c r="F278" s="96">
        <f t="shared" si="75"/>
        <v>-4096.936175500814</v>
      </c>
      <c r="G278" s="94">
        <f t="shared" si="76"/>
        <v>1840.3600591531599</v>
      </c>
      <c r="H278" s="97">
        <f t="shared" si="77"/>
        <v>189.12903841212568</v>
      </c>
      <c r="I278" s="94">
        <f t="shared" si="78"/>
        <v>745.79159990239168</v>
      </c>
      <c r="J278" s="95">
        <f t="shared" si="79"/>
        <v>-90.015633865425883</v>
      </c>
      <c r="K278" s="94">
        <f t="shared" si="80"/>
        <v>102.53096479626052</v>
      </c>
      <c r="L278" s="94">
        <f t="shared" si="81"/>
        <v>-4196.0495800475137</v>
      </c>
      <c r="M278" s="93">
        <f t="shared" si="82"/>
        <v>992.03749445450774</v>
      </c>
      <c r="N278" s="93">
        <f t="shared" si="83"/>
        <v>25350.88102140417</v>
      </c>
      <c r="O278" s="93">
        <f t="shared" si="84"/>
        <v>36026.189414225664</v>
      </c>
      <c r="P278" s="93">
        <f t="shared" si="85"/>
        <v>9010.123288548617</v>
      </c>
      <c r="Q278" s="93">
        <f t="shared" si="86"/>
        <v>17252023122874.119</v>
      </c>
      <c r="R278" s="93">
        <f t="shared" si="87"/>
        <v>47421439332782.078</v>
      </c>
      <c r="S278" s="93">
        <f t="shared" si="88"/>
        <v>1094153680145.399</v>
      </c>
      <c r="T278">
        <f t="shared" si="89"/>
        <v>0.5</v>
      </c>
      <c r="X278" s="99">
        <v>235</v>
      </c>
      <c r="Y278" s="99">
        <f t="shared" si="90"/>
        <v>7132.1178182447675</v>
      </c>
      <c r="Z278" s="99">
        <f t="shared" si="91"/>
        <v>3404.239778555042</v>
      </c>
      <c r="AA278" s="99">
        <f t="shared" si="92"/>
        <v>-22007.517527228661</v>
      </c>
      <c r="AB278" s="99">
        <f t="shared" si="93"/>
        <v>7132.9678449885296</v>
      </c>
      <c r="AC278" s="99">
        <f t="shared" si="94"/>
        <v>-7867.8821817552325</v>
      </c>
      <c r="AD278" s="99">
        <f t="shared" si="95"/>
        <v>-19095.760221444958</v>
      </c>
    </row>
    <row r="279" spans="1:30" x14ac:dyDescent="0.25">
      <c r="A279">
        <v>118</v>
      </c>
      <c r="B279" s="95">
        <f t="shared" si="96"/>
        <v>2961.9441153912112</v>
      </c>
      <c r="C279" s="95">
        <f t="shared" si="97"/>
        <v>-14349.265403358377</v>
      </c>
      <c r="D279" s="95">
        <f t="shared" si="98"/>
        <v>-1612.9101883331307</v>
      </c>
      <c r="E279" s="95">
        <f t="shared" si="99"/>
        <v>5447.5502232066774</v>
      </c>
      <c r="F279" s="96">
        <f t="shared" si="75"/>
        <v>-4804.6061265311218</v>
      </c>
      <c r="G279" s="94">
        <f t="shared" si="76"/>
        <v>589.99106001460314</v>
      </c>
      <c r="H279" s="97">
        <f t="shared" si="77"/>
        <v>284.20497196632692</v>
      </c>
      <c r="I279" s="94">
        <f t="shared" si="78"/>
        <v>882.29902735298742</v>
      </c>
      <c r="J279" s="95">
        <f t="shared" si="79"/>
        <v>-108.22030124894178</v>
      </c>
      <c r="K279" s="94">
        <f t="shared" si="80"/>
        <v>114.75878627261368</v>
      </c>
      <c r="L279" s="94">
        <f t="shared" si="81"/>
        <v>-4980.5907972485074</v>
      </c>
      <c r="M279" s="93">
        <f t="shared" si="82"/>
        <v>-407.06675361099786</v>
      </c>
      <c r="N279" s="93">
        <f t="shared" si="83"/>
        <v>22954.838908196885</v>
      </c>
      <c r="O279" s="93">
        <f t="shared" si="84"/>
        <v>33468.456839859442</v>
      </c>
      <c r="P279" s="93">
        <f t="shared" si="85"/>
        <v>7988.4923240796243</v>
      </c>
      <c r="Q279" s="93">
        <f t="shared" si="86"/>
        <v>12966407372388.201</v>
      </c>
      <c r="R279" s="93">
        <f t="shared" si="87"/>
        <v>38105938258349.539</v>
      </c>
      <c r="S279" s="93">
        <f t="shared" si="88"/>
        <v>837022024074.72998</v>
      </c>
      <c r="T279">
        <f t="shared" si="89"/>
        <v>0.5</v>
      </c>
      <c r="X279" s="99">
        <v>236</v>
      </c>
      <c r="Y279" s="99">
        <f t="shared" si="90"/>
        <v>7204.0354826462644</v>
      </c>
      <c r="Z279" s="99">
        <f t="shared" si="91"/>
        <v>3354.8121372247933</v>
      </c>
      <c r="AA279" s="99">
        <f t="shared" si="92"/>
        <v>-21957.175162147614</v>
      </c>
      <c r="AB279" s="99">
        <f t="shared" si="93"/>
        <v>7098.3684960573555</v>
      </c>
      <c r="AC279" s="99">
        <f t="shared" si="94"/>
        <v>-7795.9645173537356</v>
      </c>
      <c r="AD279" s="99">
        <f t="shared" si="95"/>
        <v>-19145.187862775208</v>
      </c>
    </row>
    <row r="280" spans="1:30" x14ac:dyDescent="0.25">
      <c r="A280">
        <v>118.5</v>
      </c>
      <c r="B280" s="95">
        <f t="shared" si="96"/>
        <v>954.33748959186551</v>
      </c>
      <c r="C280" s="95">
        <f t="shared" si="97"/>
        <v>-11477.992526751388</v>
      </c>
      <c r="D280" s="95">
        <f t="shared" si="98"/>
        <v>-4015.2132515986914</v>
      </c>
      <c r="E280" s="95">
        <f t="shared" si="99"/>
        <v>5742.545753213979</v>
      </c>
      <c r="F280" s="96">
        <f t="shared" si="75"/>
        <v>-4680.307800459791</v>
      </c>
      <c r="G280" s="94">
        <f t="shared" si="76"/>
        <v>-1840.7138994572279</v>
      </c>
      <c r="H280" s="97">
        <f t="shared" si="77"/>
        <v>469.33195826944609</v>
      </c>
      <c r="I280" s="94">
        <f t="shared" si="78"/>
        <v>984.66844041048194</v>
      </c>
      <c r="J280" s="95">
        <f t="shared" si="79"/>
        <v>-136.49556903886645</v>
      </c>
      <c r="K280" s="94">
        <f t="shared" si="80"/>
        <v>139.90663332628003</v>
      </c>
      <c r="L280" s="94">
        <f t="shared" si="81"/>
        <v>-5013.1441896903707</v>
      </c>
      <c r="M280" s="93">
        <f t="shared" si="82"/>
        <v>-2965.2889731939899</v>
      </c>
      <c r="N280" s="93">
        <f t="shared" si="83"/>
        <v>21023.515657416454</v>
      </c>
      <c r="O280" s="93">
        <f t="shared" si="84"/>
        <v>30006.473011783699</v>
      </c>
      <c r="P280" s="93">
        <f t="shared" si="85"/>
        <v>6917.9962114457849</v>
      </c>
      <c r="Q280" s="93">
        <f t="shared" si="86"/>
        <v>10091573206284.832</v>
      </c>
      <c r="R280" s="93">
        <f t="shared" si="87"/>
        <v>27570720990331.914</v>
      </c>
      <c r="S280" s="93">
        <f t="shared" si="88"/>
        <v>621901884542.026</v>
      </c>
      <c r="T280">
        <f t="shared" si="89"/>
        <v>0.5</v>
      </c>
      <c r="X280" s="99">
        <v>237</v>
      </c>
      <c r="Y280" s="99">
        <f t="shared" si="90"/>
        <v>7276.804824924865</v>
      </c>
      <c r="Z280" s="99">
        <f t="shared" si="91"/>
        <v>3306.6471602728798</v>
      </c>
      <c r="AA280" s="99">
        <f t="shared" si="92"/>
        <v>-21906.236622552595</v>
      </c>
      <c r="AB280" s="99">
        <f t="shared" si="93"/>
        <v>7064.6530121910164</v>
      </c>
      <c r="AC280" s="99">
        <f t="shared" si="94"/>
        <v>-7723.195175075135</v>
      </c>
      <c r="AD280" s="99">
        <f t="shared" si="95"/>
        <v>-19193.352839727122</v>
      </c>
    </row>
    <row r="281" spans="1:30" x14ac:dyDescent="0.25">
      <c r="A281">
        <v>119</v>
      </c>
      <c r="B281" s="95">
        <f t="shared" si="96"/>
        <v>-2223.3460863224282</v>
      </c>
      <c r="C281" s="95">
        <f t="shared" si="97"/>
        <v>-9066.8981250087054</v>
      </c>
      <c r="D281" s="95">
        <f t="shared" si="98"/>
        <v>-6355.3671518285864</v>
      </c>
      <c r="E281" s="95">
        <f t="shared" si="99"/>
        <v>4822.1888034853655</v>
      </c>
      <c r="F281" s="96">
        <f t="shared" si="75"/>
        <v>-2100.2693373715888</v>
      </c>
      <c r="G281" s="94">
        <f t="shared" si="76"/>
        <v>-4450.6079663818573</v>
      </c>
      <c r="H281" s="97">
        <f t="shared" si="77"/>
        <v>672.98365661173477</v>
      </c>
      <c r="I281" s="94">
        <f t="shared" si="78"/>
        <v>912.12762856793699</v>
      </c>
      <c r="J281" s="95">
        <f t="shared" si="79"/>
        <v>-175.45520099448058</v>
      </c>
      <c r="K281" s="94">
        <f t="shared" si="80"/>
        <v>188.18988427798027</v>
      </c>
      <c r="L281" s="94">
        <f t="shared" si="81"/>
        <v>-2597.797792988843</v>
      </c>
      <c r="M281" s="93">
        <f t="shared" si="82"/>
        <v>-5550.9254792277743</v>
      </c>
      <c r="N281" s="93">
        <f t="shared" si="83"/>
        <v>20588.159291943288</v>
      </c>
      <c r="O281" s="93">
        <f t="shared" si="84"/>
        <v>26068.295465490806</v>
      </c>
      <c r="P281" s="93">
        <f t="shared" si="85"/>
        <v>6550.6873544206182</v>
      </c>
      <c r="Q281" s="93">
        <f t="shared" si="86"/>
        <v>9510080938273.2383</v>
      </c>
      <c r="R281" s="93">
        <f t="shared" si="87"/>
        <v>18196024515335.27</v>
      </c>
      <c r="S281" s="93">
        <f t="shared" si="88"/>
        <v>559648096316.65015</v>
      </c>
      <c r="T281">
        <f t="shared" si="89"/>
        <v>0.5</v>
      </c>
      <c r="X281" s="99">
        <v>238</v>
      </c>
      <c r="Y281" s="99">
        <f t="shared" si="90"/>
        <v>7350.4036788339745</v>
      </c>
      <c r="Z281" s="99">
        <f t="shared" si="91"/>
        <v>3259.7595192178705</v>
      </c>
      <c r="AA281" s="99">
        <f t="shared" si="92"/>
        <v>-21854.717424816219</v>
      </c>
      <c r="AB281" s="99">
        <f t="shared" si="93"/>
        <v>7031.831663452509</v>
      </c>
      <c r="AC281" s="99">
        <f t="shared" si="94"/>
        <v>-7649.5963211660255</v>
      </c>
      <c r="AD281" s="99">
        <f t="shared" si="95"/>
        <v>-19240.240480782129</v>
      </c>
    </row>
    <row r="282" spans="1:30" x14ac:dyDescent="0.25">
      <c r="A282">
        <v>119.5</v>
      </c>
      <c r="B282" s="95">
        <f t="shared" si="96"/>
        <v>-5926.0969965796185</v>
      </c>
      <c r="C282" s="95">
        <f t="shared" si="97"/>
        <v>-7768.4557148614867</v>
      </c>
      <c r="D282" s="95">
        <f t="shared" si="98"/>
        <v>-7405.5018205143806</v>
      </c>
      <c r="E282" s="95">
        <f t="shared" si="99"/>
        <v>2596.8848202944368</v>
      </c>
      <c r="F282" s="96">
        <f t="shared" si="75"/>
        <v>1212.6215796568049</v>
      </c>
      <c r="G282" s="94">
        <f t="shared" si="76"/>
        <v>-4525.3715151219658</v>
      </c>
      <c r="H282" s="97">
        <f t="shared" si="77"/>
        <v>720.2784904838694</v>
      </c>
      <c r="I282" s="94">
        <f t="shared" si="78"/>
        <v>690.53580652448238</v>
      </c>
      <c r="J282" s="95">
        <f t="shared" si="79"/>
        <v>-209.49599222439073</v>
      </c>
      <c r="K282" s="94">
        <f t="shared" si="80"/>
        <v>264.49097022875549</v>
      </c>
      <c r="L282" s="94">
        <f t="shared" si="81"/>
        <v>701.83908139732614</v>
      </c>
      <c r="M282" s="93">
        <f t="shared" si="82"/>
        <v>-5480.3982918752035</v>
      </c>
      <c r="N282" s="93">
        <f t="shared" si="83"/>
        <v>22062.781000162893</v>
      </c>
      <c r="O282" s="93">
        <f t="shared" si="84"/>
        <v>22666.99724799646</v>
      </c>
      <c r="P282" s="93">
        <f t="shared" si="85"/>
        <v>7290.6027456578158</v>
      </c>
      <c r="Q282" s="93">
        <f t="shared" si="86"/>
        <v>11577306552451.576</v>
      </c>
      <c r="R282" s="93">
        <f t="shared" si="87"/>
        <v>12065118084919.664</v>
      </c>
      <c r="S282" s="93">
        <f t="shared" si="88"/>
        <v>690903750371</v>
      </c>
      <c r="T282">
        <f t="shared" si="89"/>
        <v>0.5</v>
      </c>
      <c r="X282" s="99">
        <v>239</v>
      </c>
      <c r="Y282" s="99">
        <f t="shared" si="90"/>
        <v>7424.8096254497277</v>
      </c>
      <c r="Z282" s="99">
        <f t="shared" si="91"/>
        <v>3214.1634964894392</v>
      </c>
      <c r="AA282" s="99">
        <f t="shared" si="92"/>
        <v>-21802.633262185191</v>
      </c>
      <c r="AB282" s="99">
        <f t="shared" si="93"/>
        <v>6999.9144475426074</v>
      </c>
      <c r="AC282" s="99">
        <f t="shared" si="94"/>
        <v>-7575.1903745502723</v>
      </c>
      <c r="AD282" s="99">
        <f t="shared" si="95"/>
        <v>-19285.83650351056</v>
      </c>
    </row>
    <row r="283" spans="1:30" x14ac:dyDescent="0.25">
      <c r="A283">
        <v>120</v>
      </c>
      <c r="B283" s="95">
        <f t="shared" si="96"/>
        <v>-9325.6925119226071</v>
      </c>
      <c r="C283" s="95">
        <f t="shared" si="97"/>
        <v>-7601.3561834947595</v>
      </c>
      <c r="D283" s="95">
        <f t="shared" si="98"/>
        <v>-6799.1910306859781</v>
      </c>
      <c r="E283" s="95">
        <f t="shared" si="99"/>
        <v>334.19906273345396</v>
      </c>
      <c r="F283" s="96">
        <f t="shared" si="75"/>
        <v>2753.2314875673001</v>
      </c>
      <c r="G283" s="94">
        <f t="shared" si="76"/>
        <v>-3114.2533567749415</v>
      </c>
      <c r="H283" s="97">
        <f t="shared" si="77"/>
        <v>645.2342289605391</v>
      </c>
      <c r="I283" s="94">
        <f t="shared" si="78"/>
        <v>504.19470905399101</v>
      </c>
      <c r="J283" s="95">
        <f t="shared" si="79"/>
        <v>-210.57404485389347</v>
      </c>
      <c r="K283" s="94">
        <f t="shared" si="80"/>
        <v>347.2252200540795</v>
      </c>
      <c r="L283" s="94">
        <f t="shared" si="81"/>
        <v>2318.5713034606542</v>
      </c>
      <c r="M283" s="93">
        <f t="shared" si="82"/>
        <v>-3965.6732858830119</v>
      </c>
      <c r="N283" s="93">
        <f t="shared" si="83"/>
        <v>24526.176824897862</v>
      </c>
      <c r="O283" s="93">
        <f t="shared" si="84"/>
        <v>20585.154355706796</v>
      </c>
      <c r="P283" s="93">
        <f t="shared" si="85"/>
        <v>8570.3877410076693</v>
      </c>
      <c r="Q283" s="93">
        <f t="shared" si="86"/>
        <v>15682535864740.578</v>
      </c>
      <c r="R283" s="93">
        <f t="shared" si="87"/>
        <v>9103902795348.291</v>
      </c>
      <c r="S283" s="93">
        <f t="shared" si="88"/>
        <v>976863337986.12122</v>
      </c>
      <c r="T283">
        <f t="shared" si="89"/>
        <v>0.5</v>
      </c>
      <c r="X283" s="99">
        <v>240</v>
      </c>
      <c r="Y283" s="99">
        <f t="shared" si="90"/>
        <v>7499.9999999999982</v>
      </c>
      <c r="Z283" s="99">
        <f t="shared" si="91"/>
        <v>3169.8729810778077</v>
      </c>
      <c r="AA283" s="99">
        <f t="shared" si="92"/>
        <v>-21750</v>
      </c>
      <c r="AB283" s="99">
        <f t="shared" si="93"/>
        <v>6968.9110867544659</v>
      </c>
      <c r="AC283" s="99">
        <f t="shared" si="94"/>
        <v>-7500.0000000000018</v>
      </c>
      <c r="AD283" s="99">
        <f t="shared" si="95"/>
        <v>-19330.12701892219</v>
      </c>
    </row>
    <row r="284" spans="1:30" x14ac:dyDescent="0.25">
      <c r="A284">
        <v>120.5</v>
      </c>
      <c r="B284" s="95">
        <f t="shared" si="96"/>
        <v>-12036.980155373771</v>
      </c>
      <c r="C284" s="95">
        <f t="shared" si="97"/>
        <v>-8212.8199913217686</v>
      </c>
      <c r="D284" s="95">
        <f t="shared" si="98"/>
        <v>-5422.5752869023281</v>
      </c>
      <c r="E284" s="95">
        <f t="shared" si="99"/>
        <v>-1222.9276156540168</v>
      </c>
      <c r="F284" s="96">
        <f t="shared" si="75"/>
        <v>3162.0538795819139</v>
      </c>
      <c r="G284" s="94">
        <f t="shared" si="76"/>
        <v>-1891.3622724565598</v>
      </c>
      <c r="H284" s="97">
        <f t="shared" si="77"/>
        <v>553.42466400054445</v>
      </c>
      <c r="I284" s="94">
        <f t="shared" si="78"/>
        <v>394.60316535601999</v>
      </c>
      <c r="J284" s="95">
        <f t="shared" si="79"/>
        <v>-173.93724120515188</v>
      </c>
      <c r="K284" s="94">
        <f t="shared" si="80"/>
        <v>397.82491136128044</v>
      </c>
      <c r="L284" s="94">
        <f t="shared" si="81"/>
        <v>2782.566456786521</v>
      </c>
      <c r="M284" s="93">
        <f t="shared" si="82"/>
        <v>-2683.7903491738602</v>
      </c>
      <c r="N284" s="93">
        <f t="shared" si="83"/>
        <v>27065.128975270345</v>
      </c>
      <c r="O284" s="93">
        <f t="shared" si="84"/>
        <v>19877.537500460188</v>
      </c>
      <c r="P284" s="93">
        <f t="shared" si="85"/>
        <v>9776.7531510888475</v>
      </c>
      <c r="Q284" s="93">
        <f t="shared" si="86"/>
        <v>20849334295708.883</v>
      </c>
      <c r="R284" s="93">
        <f t="shared" si="87"/>
        <v>8222009284815.5391</v>
      </c>
      <c r="S284" s="93">
        <f t="shared" si="88"/>
        <v>1324156763363.8418</v>
      </c>
      <c r="T284">
        <f t="shared" si="89"/>
        <v>0.5</v>
      </c>
      <c r="X284" s="99">
        <v>241</v>
      </c>
      <c r="Y284" s="99">
        <f t="shared" si="90"/>
        <v>7575.9518987683159</v>
      </c>
      <c r="Z284" s="99">
        <f t="shared" si="91"/>
        <v>3126.9014643030205</v>
      </c>
      <c r="AA284" s="99">
        <f t="shared" si="92"/>
        <v>-21696.833670862179</v>
      </c>
      <c r="AB284" s="99">
        <f t="shared" si="93"/>
        <v>6938.831025012114</v>
      </c>
      <c r="AC284" s="99">
        <f t="shared" si="94"/>
        <v>-7424.0481012316841</v>
      </c>
      <c r="AD284" s="99">
        <f t="shared" si="95"/>
        <v>-19373.09853569698</v>
      </c>
    </row>
    <row r="285" spans="1:30" x14ac:dyDescent="0.25">
      <c r="A285">
        <v>121</v>
      </c>
      <c r="B285" s="95">
        <f t="shared" si="96"/>
        <v>-13957.754328929455</v>
      </c>
      <c r="C285" s="95">
        <f t="shared" si="97"/>
        <v>-9297.1243672629171</v>
      </c>
      <c r="D285" s="95">
        <f t="shared" si="98"/>
        <v>-3841.5483471113712</v>
      </c>
      <c r="E285" s="95">
        <f t="shared" si="99"/>
        <v>-2168.6087518822969</v>
      </c>
      <c r="F285" s="96">
        <f t="shared" si="75"/>
        <v>3254.6927427295454</v>
      </c>
      <c r="G285" s="94">
        <f t="shared" si="76"/>
        <v>-1109.394955612747</v>
      </c>
      <c r="H285" s="97">
        <f t="shared" si="77"/>
        <v>479.61645884866579</v>
      </c>
      <c r="I285" s="94">
        <f t="shared" si="78"/>
        <v>336.26596204550299</v>
      </c>
      <c r="J285" s="95">
        <f t="shared" si="79"/>
        <v>-125.56103178752731</v>
      </c>
      <c r="K285" s="94">
        <f t="shared" si="80"/>
        <v>401.00435798011398</v>
      </c>
      <c r="L285" s="94">
        <f t="shared" si="81"/>
        <v>2900.6373156684072</v>
      </c>
      <c r="M285" s="93">
        <f t="shared" si="82"/>
        <v>-1846.6652756383639</v>
      </c>
      <c r="N285" s="93">
        <f t="shared" si="83"/>
        <v>29259.483582159064</v>
      </c>
      <c r="O285" s="93">
        <f t="shared" si="84"/>
        <v>20220.972815252557</v>
      </c>
      <c r="P285" s="93">
        <f t="shared" si="85"/>
        <v>10619.0467133317</v>
      </c>
      <c r="Q285" s="93">
        <f t="shared" si="86"/>
        <v>26154754703008.254</v>
      </c>
      <c r="R285" s="93">
        <f t="shared" si="87"/>
        <v>8642437465171.9658</v>
      </c>
      <c r="S285" s="93">
        <f t="shared" si="88"/>
        <v>1616978852682.5952</v>
      </c>
      <c r="T285">
        <f t="shared" si="89"/>
        <v>0.5</v>
      </c>
      <c r="X285" s="99">
        <v>242</v>
      </c>
      <c r="Y285" s="99">
        <f t="shared" si="90"/>
        <v>7652.6421860705468</v>
      </c>
      <c r="Z285" s="99">
        <f t="shared" si="91"/>
        <v>3085.2620357053647</v>
      </c>
      <c r="AA285" s="99">
        <f t="shared" si="92"/>
        <v>-21643.150469750617</v>
      </c>
      <c r="AB285" s="99">
        <f t="shared" si="93"/>
        <v>6909.6834249937556</v>
      </c>
      <c r="AC285" s="99">
        <f t="shared" si="94"/>
        <v>-7347.3578139294532</v>
      </c>
      <c r="AD285" s="99">
        <f t="shared" si="95"/>
        <v>-19414.737964294636</v>
      </c>
    </row>
    <row r="286" spans="1:30" x14ac:dyDescent="0.25">
      <c r="A286">
        <v>121.5</v>
      </c>
      <c r="B286" s="95">
        <f t="shared" si="96"/>
        <v>-15064.855316802754</v>
      </c>
      <c r="C286" s="95">
        <f t="shared" si="97"/>
        <v>-10658.777482107253</v>
      </c>
      <c r="D286" s="95">
        <f t="shared" si="98"/>
        <v>-2214.2019757465987</v>
      </c>
      <c r="E286" s="95">
        <f t="shared" si="99"/>
        <v>-2723.3062296886706</v>
      </c>
      <c r="F286" s="96">
        <f t="shared" si="75"/>
        <v>3350.6244394786818</v>
      </c>
      <c r="G286" s="94">
        <f t="shared" si="76"/>
        <v>-619.41054153416962</v>
      </c>
      <c r="H286" s="97">
        <f t="shared" si="77"/>
        <v>425.83503187313789</v>
      </c>
      <c r="I286" s="94">
        <f t="shared" si="78"/>
        <v>308.50541485817473</v>
      </c>
      <c r="J286" s="95">
        <f t="shared" si="79"/>
        <v>-88.852899620858153</v>
      </c>
      <c r="K286" s="94">
        <f t="shared" si="80"/>
        <v>371.94295197808208</v>
      </c>
      <c r="L286" s="94">
        <f t="shared" si="81"/>
        <v>3013.642307226402</v>
      </c>
      <c r="M286" s="93">
        <f t="shared" si="82"/>
        <v>-1299.8589083704264</v>
      </c>
      <c r="N286" s="93">
        <f t="shared" si="83"/>
        <v>30951.384002931769</v>
      </c>
      <c r="O286" s="93">
        <f t="shared" si="84"/>
        <v>21240.073919346694</v>
      </c>
      <c r="P286" s="93">
        <f t="shared" si="85"/>
        <v>10961.182668764886</v>
      </c>
      <c r="Q286" s="93">
        <f t="shared" si="86"/>
        <v>30819276414854.078</v>
      </c>
      <c r="R286" s="93">
        <f t="shared" si="87"/>
        <v>9975186555759.457</v>
      </c>
      <c r="S286" s="93">
        <f t="shared" si="88"/>
        <v>1748696554934.5938</v>
      </c>
      <c r="T286">
        <f t="shared" si="89"/>
        <v>0.5</v>
      </c>
      <c r="X286" s="99">
        <v>243</v>
      </c>
      <c r="Y286" s="99">
        <f t="shared" si="90"/>
        <v>7730.047501302266</v>
      </c>
      <c r="Z286" s="99">
        <f t="shared" si="91"/>
        <v>3044.967379058161</v>
      </c>
      <c r="AA286" s="99">
        <f t="shared" si="92"/>
        <v>-21588.966749088413</v>
      </c>
      <c r="AB286" s="99">
        <f t="shared" si="93"/>
        <v>6881.4771653407133</v>
      </c>
      <c r="AC286" s="99">
        <f t="shared" si="94"/>
        <v>-7269.952498697734</v>
      </c>
      <c r="AD286" s="99">
        <f t="shared" si="95"/>
        <v>-19455.032620941838</v>
      </c>
    </row>
    <row r="287" spans="1:30" x14ac:dyDescent="0.25">
      <c r="A287">
        <v>122</v>
      </c>
      <c r="B287" s="95">
        <f t="shared" si="96"/>
        <v>-15334.300194806381</v>
      </c>
      <c r="C287" s="95">
        <f t="shared" si="97"/>
        <v>-12175.28323233513</v>
      </c>
      <c r="D287" s="95">
        <f t="shared" si="98"/>
        <v>-538.8897560072578</v>
      </c>
      <c r="E287" s="95">
        <f t="shared" si="99"/>
        <v>-3033.0115004557556</v>
      </c>
      <c r="F287" s="96">
        <f t="shared" si="75"/>
        <v>3592.5459392982625</v>
      </c>
      <c r="G287" s="94">
        <f t="shared" si="76"/>
        <v>-263.55465631256914</v>
      </c>
      <c r="H287" s="97">
        <f t="shared" si="77"/>
        <v>387.6872490353424</v>
      </c>
      <c r="I287" s="94">
        <f t="shared" si="78"/>
        <v>301.08810473079274</v>
      </c>
      <c r="J287" s="95">
        <f t="shared" si="79"/>
        <v>-69.506563529485817</v>
      </c>
      <c r="K287" s="94">
        <f t="shared" si="80"/>
        <v>330.35295821152403</v>
      </c>
      <c r="L287" s="94">
        <f t="shared" si="81"/>
        <v>3274.3652537924058</v>
      </c>
      <c r="M287" s="93">
        <f t="shared" si="82"/>
        <v>-894.9957192548859</v>
      </c>
      <c r="N287" s="93">
        <f t="shared" si="83"/>
        <v>32077.149758561383</v>
      </c>
      <c r="O287" s="93">
        <f t="shared" si="84"/>
        <v>22660.801863713194</v>
      </c>
      <c r="P287" s="93">
        <f t="shared" si="85"/>
        <v>10713.39280218467</v>
      </c>
      <c r="Q287" s="93">
        <f t="shared" si="86"/>
        <v>34215746315224.047</v>
      </c>
      <c r="R287" s="93">
        <f t="shared" si="87"/>
        <v>12055458094477.438</v>
      </c>
      <c r="S287" s="93">
        <f t="shared" si="88"/>
        <v>1652542251478.7473</v>
      </c>
      <c r="T287">
        <f t="shared" si="89"/>
        <v>0.5</v>
      </c>
      <c r="X287" s="99">
        <v>244</v>
      </c>
      <c r="Y287" s="99">
        <f t="shared" si="90"/>
        <v>7808.1442660546109</v>
      </c>
      <c r="Z287" s="99">
        <f t="shared" si="91"/>
        <v>3006.029768504166</v>
      </c>
      <c r="AA287" s="99">
        <f t="shared" si="92"/>
        <v>-21534.299013761771</v>
      </c>
      <c r="AB287" s="99">
        <f t="shared" si="93"/>
        <v>6854.2208379529166</v>
      </c>
      <c r="AC287" s="99">
        <f t="shared" si="94"/>
        <v>-7191.8557339453891</v>
      </c>
      <c r="AD287" s="99">
        <f t="shared" si="95"/>
        <v>-19493.970231495834</v>
      </c>
    </row>
    <row r="288" spans="1:30" x14ac:dyDescent="0.25">
      <c r="A288">
        <v>122.5</v>
      </c>
      <c r="B288" s="95">
        <f t="shared" si="96"/>
        <v>-14705.608587985445</v>
      </c>
      <c r="C288" s="95">
        <f t="shared" si="97"/>
        <v>-13757.67764664115</v>
      </c>
      <c r="D288" s="95">
        <f t="shared" si="98"/>
        <v>1257.3832136418735</v>
      </c>
      <c r="E288" s="95">
        <f t="shared" si="99"/>
        <v>-3164.7888286120401</v>
      </c>
      <c r="F288" s="96">
        <f t="shared" si="75"/>
        <v>4127.1819380604984</v>
      </c>
      <c r="G288" s="94">
        <f t="shared" si="76"/>
        <v>107.11939074211205</v>
      </c>
      <c r="H288" s="97">
        <f t="shared" si="77"/>
        <v>360.82488892442501</v>
      </c>
      <c r="I288" s="94">
        <f t="shared" si="78"/>
        <v>310.46793072608864</v>
      </c>
      <c r="J288" s="95">
        <f t="shared" si="79"/>
        <v>-63.942616323302722</v>
      </c>
      <c r="K288" s="94">
        <f t="shared" si="80"/>
        <v>286.93157499548022</v>
      </c>
      <c r="L288" s="94">
        <f t="shared" si="81"/>
        <v>3830.2996654593762</v>
      </c>
      <c r="M288" s="93">
        <f t="shared" si="82"/>
        <v>-490.28011497945681</v>
      </c>
      <c r="N288" s="93">
        <f t="shared" si="83"/>
        <v>32592.26832595803</v>
      </c>
      <c r="O288" s="93">
        <f t="shared" si="84"/>
        <v>24340.456601824993</v>
      </c>
      <c r="P288" s="93">
        <f t="shared" si="85"/>
        <v>9784.7944737144007</v>
      </c>
      <c r="Q288" s="93">
        <f t="shared" si="86"/>
        <v>35850704328185.664</v>
      </c>
      <c r="R288" s="93">
        <f t="shared" si="87"/>
        <v>14870253955053.434</v>
      </c>
      <c r="S288" s="93">
        <f t="shared" si="88"/>
        <v>1326748614196.4917</v>
      </c>
      <c r="T288">
        <f t="shared" si="89"/>
        <v>0.5</v>
      </c>
      <c r="X288" s="99">
        <v>245</v>
      </c>
      <c r="Y288" s="99">
        <f t="shared" si="90"/>
        <v>7886.9086912965004</v>
      </c>
      <c r="Z288" s="99">
        <f t="shared" si="91"/>
        <v>2968.4610648167518</v>
      </c>
      <c r="AA288" s="99">
        <f t="shared" si="92"/>
        <v>-21479.16391609245</v>
      </c>
      <c r="AB288" s="99">
        <f t="shared" si="93"/>
        <v>6827.9227453717258</v>
      </c>
      <c r="AC288" s="99">
        <f t="shared" si="94"/>
        <v>-7113.0913087034996</v>
      </c>
      <c r="AD288" s="99">
        <f t="shared" si="95"/>
        <v>-19531.538935183249</v>
      </c>
    </row>
    <row r="289" spans="1:30" x14ac:dyDescent="0.25">
      <c r="A289">
        <v>123</v>
      </c>
      <c r="B289" s="95">
        <f t="shared" si="96"/>
        <v>-13045.121496649383</v>
      </c>
      <c r="C289" s="95">
        <f t="shared" si="97"/>
        <v>-15313.292213261642</v>
      </c>
      <c r="D289" s="95">
        <f t="shared" si="98"/>
        <v>3320.9741826721229</v>
      </c>
      <c r="E289" s="95">
        <f t="shared" si="99"/>
        <v>-3111.2291332409841</v>
      </c>
      <c r="F289" s="96">
        <f t="shared" si="75"/>
        <v>5222.6776436534101</v>
      </c>
      <c r="G289" s="94">
        <f t="shared" si="76"/>
        <v>775.62061577903671</v>
      </c>
      <c r="H289" s="97">
        <f t="shared" si="77"/>
        <v>341.6190607810683</v>
      </c>
      <c r="I289" s="94">
        <f t="shared" si="78"/>
        <v>338.18244179583178</v>
      </c>
      <c r="J289" s="95">
        <f t="shared" si="79"/>
        <v>-67.243350743287422</v>
      </c>
      <c r="K289" s="94">
        <f t="shared" si="80"/>
        <v>244.74195860411396</v>
      </c>
      <c r="L289" s="94">
        <f t="shared" si="81"/>
        <v>4948.3019336156294</v>
      </c>
      <c r="M289" s="93">
        <f t="shared" si="82"/>
        <v>192.696215379091</v>
      </c>
      <c r="N289" s="93">
        <f t="shared" si="83"/>
        <v>32427.209661070065</v>
      </c>
      <c r="O289" s="93">
        <f t="shared" si="84"/>
        <v>26251.344683088922</v>
      </c>
      <c r="P289" s="93">
        <f t="shared" si="85"/>
        <v>8051.219280751232</v>
      </c>
      <c r="Q289" s="93">
        <f t="shared" si="86"/>
        <v>35321206526273.383</v>
      </c>
      <c r="R289" s="93">
        <f t="shared" si="87"/>
        <v>18575176269297.105</v>
      </c>
      <c r="S289" s="93">
        <f t="shared" si="88"/>
        <v>851285111882.25708</v>
      </c>
      <c r="T289">
        <f t="shared" si="89"/>
        <v>0.5</v>
      </c>
      <c r="X289" s="99">
        <v>246</v>
      </c>
      <c r="Y289" s="99">
        <f t="shared" si="90"/>
        <v>7966.3167846209999</v>
      </c>
      <c r="Z289" s="99">
        <f t="shared" si="91"/>
        <v>2932.2727117869954</v>
      </c>
      <c r="AA289" s="99">
        <f t="shared" si="92"/>
        <v>-21423.578250765298</v>
      </c>
      <c r="AB289" s="99">
        <f t="shared" si="93"/>
        <v>6802.5908982508972</v>
      </c>
      <c r="AC289" s="99">
        <f t="shared" si="94"/>
        <v>-7033.6832153790001</v>
      </c>
      <c r="AD289" s="99">
        <f t="shared" si="95"/>
        <v>-19567.727288213006</v>
      </c>
    </row>
    <row r="290" spans="1:30" x14ac:dyDescent="0.25">
      <c r="A290">
        <v>123.5</v>
      </c>
      <c r="B290" s="95">
        <f t="shared" si="96"/>
        <v>-10078.964994399968</v>
      </c>
      <c r="C290" s="95">
        <f t="shared" si="97"/>
        <v>-16675.001625937373</v>
      </c>
      <c r="D290" s="95">
        <f t="shared" si="98"/>
        <v>5932.3130044988284</v>
      </c>
      <c r="E290" s="95">
        <f t="shared" si="99"/>
        <v>-2723.4188253514658</v>
      </c>
      <c r="F290" s="96">
        <f t="shared" si="75"/>
        <v>7027.2487275756803</v>
      </c>
      <c r="G290" s="94">
        <f t="shared" si="76"/>
        <v>2830.8764833548157</v>
      </c>
      <c r="H290" s="97">
        <f t="shared" si="77"/>
        <v>326.27660171315023</v>
      </c>
      <c r="I290" s="94">
        <f t="shared" si="78"/>
        <v>392.83585479234711</v>
      </c>
      <c r="J290" s="95">
        <f t="shared" si="79"/>
        <v>-75.571431566212894</v>
      </c>
      <c r="K290" s="94">
        <f t="shared" si="80"/>
        <v>203.19130602454948</v>
      </c>
      <c r="L290" s="94">
        <f t="shared" si="81"/>
        <v>6776.543557428743</v>
      </c>
      <c r="M290" s="93">
        <f t="shared" si="82"/>
        <v>2234.8493225379193</v>
      </c>
      <c r="N290" s="93">
        <f t="shared" si="83"/>
        <v>31426.032820902066</v>
      </c>
      <c r="O290" s="93">
        <f t="shared" si="84"/>
        <v>28460.194084477054</v>
      </c>
      <c r="P290" s="93">
        <f t="shared" si="85"/>
        <v>5348.0385059602104</v>
      </c>
      <c r="Q290" s="93">
        <f t="shared" si="86"/>
        <v>32222112867265.406</v>
      </c>
      <c r="R290" s="93">
        <f t="shared" si="87"/>
        <v>23577191726581.219</v>
      </c>
      <c r="S290" s="93">
        <f t="shared" si="88"/>
        <v>392433078875.31537</v>
      </c>
      <c r="T290">
        <f t="shared" si="89"/>
        <v>0.5</v>
      </c>
      <c r="X290" s="99">
        <v>247</v>
      </c>
      <c r="Y290" s="99">
        <f t="shared" si="90"/>
        <v>8046.3443575536312</v>
      </c>
      <c r="Z290" s="99">
        <f t="shared" si="91"/>
        <v>2897.4757327377984</v>
      </c>
      <c r="AA290" s="99">
        <f t="shared" si="92"/>
        <v>-21367.55894971246</v>
      </c>
      <c r="AB290" s="99">
        <f t="shared" si="93"/>
        <v>6778.2330129164593</v>
      </c>
      <c r="AC290" s="99">
        <f t="shared" si="94"/>
        <v>-6953.6556424463688</v>
      </c>
      <c r="AD290" s="99">
        <f t="shared" si="95"/>
        <v>-19602.524267262201</v>
      </c>
    </row>
    <row r="291" spans="1:30" x14ac:dyDescent="0.25">
      <c r="A291">
        <v>124</v>
      </c>
      <c r="B291" s="95">
        <f t="shared" si="96"/>
        <v>-5355.9963102566344</v>
      </c>
      <c r="C291" s="95">
        <f t="shared" si="97"/>
        <v>-17328.991917774401</v>
      </c>
      <c r="D291" s="95">
        <f t="shared" si="98"/>
        <v>9445.9373682866681</v>
      </c>
      <c r="E291" s="95">
        <f t="shared" si="99"/>
        <v>-1307.9805836740579</v>
      </c>
      <c r="F291" s="96">
        <f t="shared" si="75"/>
        <v>1326.6982691567141</v>
      </c>
      <c r="G291" s="94">
        <f t="shared" si="76"/>
        <v>7883.4296317619774</v>
      </c>
      <c r="H291" s="97">
        <f t="shared" si="77"/>
        <v>309.43199862268665</v>
      </c>
      <c r="I291" s="94">
        <f t="shared" si="78"/>
        <v>500.31821040305186</v>
      </c>
      <c r="J291" s="95">
        <f t="shared" si="79"/>
        <v>-86.576767616447171</v>
      </c>
      <c r="K291" s="94">
        <f t="shared" si="80"/>
        <v>161.57164615535424</v>
      </c>
      <c r="L291" s="94">
        <f t="shared" si="81"/>
        <v>1103.8430381504747</v>
      </c>
      <c r="M291" s="93">
        <f t="shared" si="82"/>
        <v>7221.5397752035715</v>
      </c>
      <c r="N291" s="93">
        <f t="shared" si="83"/>
        <v>29193.928518332745</v>
      </c>
      <c r="O291" s="93">
        <f t="shared" si="84"/>
        <v>31005.171234924601</v>
      </c>
      <c r="P291" s="93">
        <f t="shared" si="85"/>
        <v>2356.0425985059824</v>
      </c>
      <c r="Q291" s="93">
        <f t="shared" si="86"/>
        <v>25984322571456.484</v>
      </c>
      <c r="R291" s="93">
        <f t="shared" si="87"/>
        <v>30377442311903.086</v>
      </c>
      <c r="S291" s="93">
        <f t="shared" si="88"/>
        <v>168863892533.31152</v>
      </c>
      <c r="T291">
        <f t="shared" si="89"/>
        <v>0.5</v>
      </c>
      <c r="X291" s="99">
        <v>248</v>
      </c>
      <c r="Y291" s="99">
        <f t="shared" si="90"/>
        <v>8126.9670329204382</v>
      </c>
      <c r="Z291" s="99">
        <f t="shared" si="91"/>
        <v>2864.0807271660633</v>
      </c>
      <c r="AA291" s="99">
        <f t="shared" si="92"/>
        <v>-21311.123076955693</v>
      </c>
      <c r="AB291" s="99">
        <f t="shared" si="93"/>
        <v>6754.8565090162447</v>
      </c>
      <c r="AC291" s="99">
        <f t="shared" si="94"/>
        <v>-6873.0329670795618</v>
      </c>
      <c r="AD291" s="99">
        <f t="shared" si="95"/>
        <v>-19635.919272833937</v>
      </c>
    </row>
    <row r="292" spans="1:30" x14ac:dyDescent="0.25">
      <c r="A292">
        <v>124.5</v>
      </c>
      <c r="B292" s="95">
        <f t="shared" si="96"/>
        <v>-301.35305882412183</v>
      </c>
      <c r="C292" s="95">
        <f t="shared" si="97"/>
        <v>-16012.124801670936</v>
      </c>
      <c r="D292" s="95">
        <f t="shared" si="98"/>
        <v>10109.286502865025</v>
      </c>
      <c r="E292" s="95">
        <f t="shared" si="99"/>
        <v>2633.7342322069308</v>
      </c>
      <c r="F292" s="96">
        <f t="shared" si="75"/>
        <v>-7173.0234108549666</v>
      </c>
      <c r="G292" s="94">
        <f t="shared" si="76"/>
        <v>2408.9881566636714</v>
      </c>
      <c r="H292" s="97">
        <f t="shared" si="77"/>
        <v>301.55594889683226</v>
      </c>
      <c r="I292" s="94">
        <f t="shared" si="78"/>
        <v>688.28056515111405</v>
      </c>
      <c r="J292" s="95">
        <f t="shared" si="79"/>
        <v>-100.1049588141055</v>
      </c>
      <c r="K292" s="94">
        <f t="shared" si="80"/>
        <v>132.18891072643405</v>
      </c>
      <c r="L292" s="94">
        <f t="shared" si="81"/>
        <v>-7374.4744009376936</v>
      </c>
      <c r="M292" s="93">
        <f t="shared" si="82"/>
        <v>1588.518680786123</v>
      </c>
      <c r="N292" s="93">
        <f t="shared" si="83"/>
        <v>25669.785498361583</v>
      </c>
      <c r="O292" s="93">
        <f t="shared" si="84"/>
        <v>32629.240383600747</v>
      </c>
      <c r="P292" s="93">
        <f t="shared" si="85"/>
        <v>4806.4206736384267</v>
      </c>
      <c r="Q292" s="93">
        <f t="shared" si="86"/>
        <v>17886484641864.613</v>
      </c>
      <c r="R292" s="93">
        <f t="shared" si="87"/>
        <v>35340569805380.172</v>
      </c>
      <c r="S292" s="93">
        <f t="shared" si="88"/>
        <v>333611000813.23175</v>
      </c>
      <c r="T292">
        <f t="shared" si="89"/>
        <v>0.5</v>
      </c>
      <c r="X292" s="99">
        <v>249</v>
      </c>
      <c r="Y292" s="99">
        <f t="shared" si="90"/>
        <v>8208.1602522734956</v>
      </c>
      <c r="Z292" s="99">
        <f t="shared" si="91"/>
        <v>2832.0978675139922</v>
      </c>
      <c r="AA292" s="99">
        <f t="shared" si="92"/>
        <v>-21254.287823408551</v>
      </c>
      <c r="AB292" s="99">
        <f t="shared" si="93"/>
        <v>6732.4685072597949</v>
      </c>
      <c r="AC292" s="99">
        <f t="shared" si="94"/>
        <v>-6791.8397477265034</v>
      </c>
      <c r="AD292" s="99">
        <f t="shared" si="95"/>
        <v>-19667.902132486008</v>
      </c>
    </row>
    <row r="293" spans="1:30" x14ac:dyDescent="0.25">
      <c r="A293">
        <v>125</v>
      </c>
      <c r="B293" s="95">
        <f t="shared" si="96"/>
        <v>2960.0343398946488</v>
      </c>
      <c r="C293" s="95">
        <f t="shared" si="97"/>
        <v>-14093.010646401553</v>
      </c>
      <c r="D293" s="95">
        <f t="shared" si="98"/>
        <v>6522.7747974375416</v>
      </c>
      <c r="E293" s="95">
        <f t="shared" si="99"/>
        <v>3838.2283105387664</v>
      </c>
      <c r="F293" s="96">
        <f t="shared" si="75"/>
        <v>-4765.4894593292402</v>
      </c>
      <c r="G293" s="94">
        <f t="shared" si="76"/>
        <v>450.55229531490477</v>
      </c>
      <c r="H293" s="97">
        <f t="shared" si="77"/>
        <v>293.08323765775282</v>
      </c>
      <c r="I293" s="94">
        <f t="shared" si="78"/>
        <v>898.94607112770905</v>
      </c>
      <c r="J293" s="95">
        <f t="shared" si="79"/>
        <v>-110.02828794218784</v>
      </c>
      <c r="K293" s="94">
        <f t="shared" si="80"/>
        <v>115.45769808324384</v>
      </c>
      <c r="L293" s="94">
        <f t="shared" si="81"/>
        <v>-4948.5444090448054</v>
      </c>
      <c r="M293" s="93">
        <f t="shared" si="82"/>
        <v>-563.85147389604811</v>
      </c>
      <c r="N293" s="93">
        <f t="shared" si="83"/>
        <v>22711.653952785418</v>
      </c>
      <c r="O293" s="93">
        <f t="shared" si="84"/>
        <v>33281.170936383234</v>
      </c>
      <c r="P293" s="93">
        <f t="shared" si="85"/>
        <v>8011.5402002263563</v>
      </c>
      <c r="Q293" s="93">
        <f t="shared" si="86"/>
        <v>12577032481774.633</v>
      </c>
      <c r="R293" s="93">
        <f t="shared" si="87"/>
        <v>37476663591389.047</v>
      </c>
      <c r="S293" s="93">
        <f t="shared" si="88"/>
        <v>842240442759.56189</v>
      </c>
      <c r="T293">
        <f t="shared" si="89"/>
        <v>0.5</v>
      </c>
      <c r="X293" s="99">
        <v>250</v>
      </c>
      <c r="Y293" s="99">
        <f t="shared" si="90"/>
        <v>8289.8992833716529</v>
      </c>
      <c r="Z293" s="99">
        <f t="shared" si="91"/>
        <v>2801.5368960704591</v>
      </c>
      <c r="AA293" s="99">
        <f t="shared" si="92"/>
        <v>-21197.070501639842</v>
      </c>
      <c r="AB293" s="99">
        <f t="shared" si="93"/>
        <v>6711.0758272493213</v>
      </c>
      <c r="AC293" s="99">
        <f t="shared" si="94"/>
        <v>-6710.1007166283471</v>
      </c>
      <c r="AD293" s="99">
        <f t="shared" si="95"/>
        <v>-19698.463103929542</v>
      </c>
    </row>
    <row r="294" spans="1:30" x14ac:dyDescent="0.25">
      <c r="A294">
        <v>125.5</v>
      </c>
      <c r="B294" s="95">
        <f t="shared" si="96"/>
        <v>5030.0493737811094</v>
      </c>
      <c r="C294" s="95">
        <f t="shared" si="97"/>
        <v>-12061.258417303445</v>
      </c>
      <c r="D294" s="95">
        <f t="shared" si="98"/>
        <v>4140.030067772921</v>
      </c>
      <c r="E294" s="95">
        <f t="shared" si="99"/>
        <v>4063.5044581962188</v>
      </c>
      <c r="F294" s="96">
        <f t="shared" si="75"/>
        <v>-3206.2521053522037</v>
      </c>
      <c r="G294" s="94">
        <f t="shared" si="76"/>
        <v>254.93359870669212</v>
      </c>
      <c r="H294" s="97">
        <f t="shared" si="77"/>
        <v>289.47275013578718</v>
      </c>
      <c r="I294" s="94">
        <f t="shared" si="78"/>
        <v>1139.3375298944577</v>
      </c>
      <c r="J294" s="95">
        <f t="shared" si="79"/>
        <v>-119.05940187604392</v>
      </c>
      <c r="K294" s="94">
        <f t="shared" si="80"/>
        <v>104.93787657280221</v>
      </c>
      <c r="L294" s="94">
        <f t="shared" si="81"/>
        <v>-3376.6654536119468</v>
      </c>
      <c r="M294" s="93">
        <f t="shared" si="82"/>
        <v>-989.3418077605678</v>
      </c>
      <c r="N294" s="93">
        <f t="shared" si="83"/>
        <v>20182.74609897222</v>
      </c>
      <c r="O294" s="93">
        <f t="shared" si="84"/>
        <v>33364.689337815842</v>
      </c>
      <c r="P294" s="93">
        <f t="shared" si="85"/>
        <v>10451.702853141045</v>
      </c>
      <c r="Q294" s="93">
        <f t="shared" si="86"/>
        <v>8989654678899.9297</v>
      </c>
      <c r="R294" s="93">
        <f t="shared" si="87"/>
        <v>37756415105209.961</v>
      </c>
      <c r="S294" s="93">
        <f t="shared" si="88"/>
        <v>1555298161292.4131</v>
      </c>
      <c r="T294">
        <f t="shared" si="89"/>
        <v>0.5</v>
      </c>
      <c r="X294" s="99">
        <v>251</v>
      </c>
      <c r="Y294" s="99">
        <f t="shared" si="90"/>
        <v>8372.1592277142172</v>
      </c>
      <c r="Z294" s="99">
        <f t="shared" si="91"/>
        <v>2772.4071220034157</v>
      </c>
      <c r="AA294" s="99">
        <f t="shared" si="92"/>
        <v>-21139.488540600047</v>
      </c>
      <c r="AB294" s="99">
        <f t="shared" si="93"/>
        <v>6690.6849854023912</v>
      </c>
      <c r="AC294" s="99">
        <f t="shared" si="94"/>
        <v>-6627.8407722857828</v>
      </c>
      <c r="AD294" s="99">
        <f t="shared" si="95"/>
        <v>-19727.592877996583</v>
      </c>
    </row>
    <row r="295" spans="1:30" x14ac:dyDescent="0.25">
      <c r="A295">
        <v>126</v>
      </c>
      <c r="B295" s="95">
        <f t="shared" si="96"/>
        <v>6298.5013813295191</v>
      </c>
      <c r="C295" s="95">
        <f t="shared" si="97"/>
        <v>-9965.7727885286622</v>
      </c>
      <c r="D295" s="95">
        <f t="shared" si="98"/>
        <v>2536.9040150968194</v>
      </c>
      <c r="E295" s="95">
        <f t="shared" si="99"/>
        <v>4190.9712575495651</v>
      </c>
      <c r="F295" s="96">
        <f t="shared" si="75"/>
        <v>-2316.0286654611941</v>
      </c>
      <c r="G295" s="94">
        <f t="shared" si="76"/>
        <v>422.87891291246297</v>
      </c>
      <c r="H295" s="97">
        <f t="shared" si="77"/>
        <v>304.09129194422837</v>
      </c>
      <c r="I295" s="94">
        <f t="shared" si="78"/>
        <v>1434.8754272872654</v>
      </c>
      <c r="J295" s="95">
        <f t="shared" si="79"/>
        <v>-129.02082952835462</v>
      </c>
      <c r="K295" s="94">
        <f t="shared" si="80"/>
        <v>97.952371125581948</v>
      </c>
      <c r="L295" s="94">
        <f t="shared" si="81"/>
        <v>-2491.099127877068</v>
      </c>
      <c r="M295" s="93">
        <f t="shared" si="82"/>
        <v>-1109.9488855003844</v>
      </c>
      <c r="N295" s="93">
        <f t="shared" si="83"/>
        <v>17853.691806585208</v>
      </c>
      <c r="O295" s="93">
        <f t="shared" si="84"/>
        <v>33018.831868298163</v>
      </c>
      <c r="P295" s="93">
        <f t="shared" si="85"/>
        <v>12369.299781338616</v>
      </c>
      <c r="Q295" s="93">
        <f t="shared" si="86"/>
        <v>6373415470805.7676</v>
      </c>
      <c r="R295" s="93">
        <f t="shared" si="87"/>
        <v>36606980970198.227</v>
      </c>
      <c r="S295" s="93">
        <f t="shared" si="88"/>
        <v>2374807739747.145</v>
      </c>
      <c r="T295">
        <f t="shared" si="89"/>
        <v>0.5</v>
      </c>
      <c r="X295" s="99">
        <v>252</v>
      </c>
      <c r="Y295" s="99">
        <f t="shared" si="90"/>
        <v>8454.9150281252623</v>
      </c>
      <c r="Z295" s="99">
        <f t="shared" si="91"/>
        <v>2744.717418524232</v>
      </c>
      <c r="AA295" s="99">
        <f t="shared" si="92"/>
        <v>-21081.559480312317</v>
      </c>
      <c r="AB295" s="99">
        <f t="shared" si="93"/>
        <v>6671.302192966963</v>
      </c>
      <c r="AC295" s="99">
        <f t="shared" si="94"/>
        <v>-6545.0849718747377</v>
      </c>
      <c r="AD295" s="99">
        <f t="shared" si="95"/>
        <v>-19755.282581475767</v>
      </c>
    </row>
    <row r="296" spans="1:30" x14ac:dyDescent="0.25">
      <c r="A296">
        <v>126.5</v>
      </c>
      <c r="B296" s="95">
        <f t="shared" si="96"/>
        <v>6987.9462225126299</v>
      </c>
      <c r="C296" s="95">
        <f t="shared" si="97"/>
        <v>-7764.5674315257638</v>
      </c>
      <c r="D296" s="95">
        <f t="shared" si="98"/>
        <v>1378.8896823662224</v>
      </c>
      <c r="E296" s="95">
        <f t="shared" si="99"/>
        <v>4402.4107140057968</v>
      </c>
      <c r="F296" s="96">
        <f t="shared" si="75"/>
        <v>-1689.6067983385428</v>
      </c>
      <c r="G296" s="94">
        <f t="shared" si="76"/>
        <v>771.45865688494064</v>
      </c>
      <c r="H296" s="97">
        <f t="shared" si="77"/>
        <v>361.32710727966202</v>
      </c>
      <c r="I296" s="94">
        <f t="shared" si="78"/>
        <v>1831.1432668076495</v>
      </c>
      <c r="J296" s="95">
        <f t="shared" si="79"/>
        <v>-141.20699993361262</v>
      </c>
      <c r="K296" s="94">
        <f t="shared" si="80"/>
        <v>92.948209227999968</v>
      </c>
      <c r="L296" s="94">
        <f t="shared" si="81"/>
        <v>-1909.7269056845921</v>
      </c>
      <c r="M296" s="93">
        <f t="shared" si="82"/>
        <v>-1152.6328191507089</v>
      </c>
      <c r="N296" s="93">
        <f t="shared" si="83"/>
        <v>15558.903779832081</v>
      </c>
      <c r="O296" s="93">
        <f t="shared" si="84"/>
        <v>32309.891633034917</v>
      </c>
      <c r="P296" s="93">
        <f t="shared" si="85"/>
        <v>14002.22621895506</v>
      </c>
      <c r="Q296" s="93">
        <f t="shared" si="86"/>
        <v>4364764331694.4917</v>
      </c>
      <c r="R296" s="93">
        <f t="shared" si="87"/>
        <v>34324668553256.598</v>
      </c>
      <c r="S296" s="93">
        <f t="shared" si="88"/>
        <v>3286791396906.959</v>
      </c>
      <c r="T296">
        <f t="shared" si="89"/>
        <v>0.5</v>
      </c>
      <c r="X296" s="99">
        <v>253</v>
      </c>
      <c r="Y296" s="99">
        <f t="shared" si="90"/>
        <v>8538.141476386314</v>
      </c>
      <c r="Z296" s="99">
        <f t="shared" si="91"/>
        <v>2718.4762201848234</v>
      </c>
      <c r="AA296" s="99">
        <f t="shared" si="92"/>
        <v>-21023.300966529579</v>
      </c>
      <c r="AB296" s="99">
        <f t="shared" si="93"/>
        <v>6652.9333541293763</v>
      </c>
      <c r="AC296" s="99">
        <f t="shared" si="94"/>
        <v>-6461.858523613686</v>
      </c>
      <c r="AD296" s="99">
        <f t="shared" si="95"/>
        <v>-19781.523779815176</v>
      </c>
    </row>
    <row r="297" spans="1:30" x14ac:dyDescent="0.25">
      <c r="A297">
        <v>127</v>
      </c>
      <c r="B297" s="95">
        <f t="shared" si="96"/>
        <v>7254.9893641111048</v>
      </c>
      <c r="C297" s="95">
        <f t="shared" si="97"/>
        <v>-5370.4974103016302</v>
      </c>
      <c r="D297" s="95">
        <f t="shared" si="98"/>
        <v>534.08628319695094</v>
      </c>
      <c r="E297" s="95">
        <f t="shared" si="99"/>
        <v>4788.1400424482672</v>
      </c>
      <c r="F297" s="96">
        <f t="shared" si="75"/>
        <v>-1104.9332956020185</v>
      </c>
      <c r="G297" s="94">
        <f t="shared" si="76"/>
        <v>1354.0587457917193</v>
      </c>
      <c r="H297" s="97">
        <f t="shared" si="77"/>
        <v>515.15412596675719</v>
      </c>
      <c r="I297" s="94">
        <f t="shared" si="78"/>
        <v>2415.3967775116889</v>
      </c>
      <c r="J297" s="95">
        <f t="shared" si="79"/>
        <v>-156.82201320561182</v>
      </c>
      <c r="K297" s="94">
        <f t="shared" si="80"/>
        <v>88.440039937390694</v>
      </c>
      <c r="L297" s="94">
        <f t="shared" si="81"/>
        <v>-1463.2654083631637</v>
      </c>
      <c r="M297" s="93">
        <f t="shared" si="82"/>
        <v>-1149.7780716573604</v>
      </c>
      <c r="N297" s="93">
        <f t="shared" si="83"/>
        <v>13159.969110135635</v>
      </c>
      <c r="O297" s="93">
        <f t="shared" si="84"/>
        <v>31290.360111029382</v>
      </c>
      <c r="P297" s="93">
        <f t="shared" si="85"/>
        <v>15585.637120101441</v>
      </c>
      <c r="Q297" s="93">
        <f t="shared" si="86"/>
        <v>2790008146122.2358</v>
      </c>
      <c r="R297" s="93">
        <f t="shared" si="87"/>
        <v>31212728478112.145</v>
      </c>
      <c r="S297" s="93">
        <f t="shared" si="88"/>
        <v>4385190403152.2129</v>
      </c>
      <c r="T297">
        <f t="shared" si="89"/>
        <v>0.5</v>
      </c>
      <c r="X297" s="99">
        <v>254</v>
      </c>
      <c r="Y297" s="99">
        <f t="shared" si="90"/>
        <v>8621.8132209150062</v>
      </c>
      <c r="Z297" s="99">
        <f t="shared" si="91"/>
        <v>2693.6915203084054</v>
      </c>
      <c r="AA297" s="99">
        <f t="shared" si="92"/>
        <v>-20964.730745359495</v>
      </c>
      <c r="AB297" s="99">
        <f t="shared" si="93"/>
        <v>6635.5840642158837</v>
      </c>
      <c r="AC297" s="99">
        <f t="shared" si="94"/>
        <v>-6378.1867790849947</v>
      </c>
      <c r="AD297" s="99">
        <f t="shared" si="95"/>
        <v>-19806.308479691594</v>
      </c>
    </row>
    <row r="298" spans="1:30" x14ac:dyDescent="0.25">
      <c r="A298">
        <v>127.5</v>
      </c>
      <c r="B298" s="95">
        <f t="shared" si="96"/>
        <v>7245.7991818090759</v>
      </c>
      <c r="C298" s="95">
        <f t="shared" si="97"/>
        <v>-2637.9127026295669</v>
      </c>
      <c r="D298" s="95">
        <f t="shared" si="98"/>
        <v>-18.380364604058286</v>
      </c>
      <c r="E298" s="95">
        <f t="shared" si="99"/>
        <v>5465.1694153441267</v>
      </c>
      <c r="F298" s="96">
        <f t="shared" si="75"/>
        <v>-341.77642828833109</v>
      </c>
      <c r="G298" s="94">
        <f t="shared" si="76"/>
        <v>2361.8999141852382</v>
      </c>
      <c r="H298" s="97">
        <f t="shared" si="77"/>
        <v>915.68219343249359</v>
      </c>
      <c r="I298" s="94">
        <f t="shared" si="78"/>
        <v>3370.5262445127437</v>
      </c>
      <c r="J298" s="95">
        <f t="shared" si="79"/>
        <v>-176.99415372938401</v>
      </c>
      <c r="K298" s="94">
        <f t="shared" si="80"/>
        <v>82.0984052910879</v>
      </c>
      <c r="L298" s="94">
        <f t="shared" si="81"/>
        <v>-1080.4644679914406</v>
      </c>
      <c r="M298" s="93">
        <f t="shared" si="82"/>
        <v>-1090.7247356185933</v>
      </c>
      <c r="N298" s="93">
        <f t="shared" si="83"/>
        <v>10505.374629829317</v>
      </c>
      <c r="O298" s="93">
        <f t="shared" si="84"/>
        <v>30034.154067240743</v>
      </c>
      <c r="P298" s="93">
        <f t="shared" si="85"/>
        <v>17400.597689418697</v>
      </c>
      <c r="Q298" s="93">
        <f t="shared" si="86"/>
        <v>1574887211414.2686</v>
      </c>
      <c r="R298" s="93">
        <f t="shared" si="87"/>
        <v>27646068016270.465</v>
      </c>
      <c r="S298" s="93">
        <f t="shared" si="88"/>
        <v>5934378822968.084</v>
      </c>
      <c r="T298">
        <f t="shared" si="89"/>
        <v>0.5</v>
      </c>
      <c r="X298" s="99">
        <v>255</v>
      </c>
      <c r="Y298" s="99">
        <f t="shared" si="90"/>
        <v>8705.9047744873969</v>
      </c>
      <c r="Z298" s="99">
        <f t="shared" si="91"/>
        <v>2670.370868554658</v>
      </c>
      <c r="AA298" s="99">
        <f t="shared" si="92"/>
        <v>-20905.866657858824</v>
      </c>
      <c r="AB298" s="99">
        <f t="shared" si="93"/>
        <v>6619.2596079882605</v>
      </c>
      <c r="AC298" s="99">
        <f t="shared" si="94"/>
        <v>-6294.0952255126031</v>
      </c>
      <c r="AD298" s="99">
        <f t="shared" si="95"/>
        <v>-19829.629131445341</v>
      </c>
    </row>
    <row r="299" spans="1:30" x14ac:dyDescent="0.25">
      <c r="A299">
        <v>128</v>
      </c>
      <c r="B299" s="95">
        <f t="shared" si="96"/>
        <v>7151.1648924349638</v>
      </c>
      <c r="C299" s="95">
        <f t="shared" si="97"/>
        <v>685.14698358880605</v>
      </c>
      <c r="D299" s="95">
        <f t="shared" si="98"/>
        <v>-189.26857874822383</v>
      </c>
      <c r="E299" s="95">
        <f t="shared" si="99"/>
        <v>6646.1193724367458</v>
      </c>
      <c r="F299" s="96">
        <f t="shared" si="75"/>
        <v>1157.6955922715306</v>
      </c>
      <c r="G299" s="94">
        <f t="shared" si="76"/>
        <v>4138.8930376528779</v>
      </c>
      <c r="H299" s="97">
        <f t="shared" si="77"/>
        <v>2102.0327067244693</v>
      </c>
      <c r="I299" s="94">
        <f t="shared" si="78"/>
        <v>5028.3864776786522</v>
      </c>
      <c r="J299" s="95">
        <f t="shared" si="79"/>
        <v>-201.65742550329969</v>
      </c>
      <c r="K299" s="94">
        <f t="shared" si="80"/>
        <v>69.183377054827645</v>
      </c>
      <c r="L299" s="94">
        <f t="shared" si="81"/>
        <v>-742.67968894963906</v>
      </c>
      <c r="M299" s="93">
        <f t="shared" si="82"/>
        <v>-958.6768170806015</v>
      </c>
      <c r="N299" s="93">
        <f t="shared" si="83"/>
        <v>7386.3443668288201</v>
      </c>
      <c r="O299" s="93">
        <f t="shared" si="84"/>
        <v>28704.568307736969</v>
      </c>
      <c r="P299" s="93">
        <f t="shared" si="85"/>
        <v>19841.235952932191</v>
      </c>
      <c r="Q299" s="93">
        <f t="shared" si="86"/>
        <v>709621010858.05005</v>
      </c>
      <c r="R299" s="93">
        <f t="shared" si="87"/>
        <v>24180595451840.922</v>
      </c>
      <c r="S299" s="93">
        <f t="shared" si="88"/>
        <v>8566728233500.1504</v>
      </c>
      <c r="T299">
        <f t="shared" si="89"/>
        <v>0.5</v>
      </c>
      <c r="X299" s="99">
        <v>256</v>
      </c>
      <c r="Y299" s="99">
        <f t="shared" si="90"/>
        <v>8790.3905220016604</v>
      </c>
      <c r="Z299" s="99">
        <f t="shared" si="91"/>
        <v>2648.5213686200177</v>
      </c>
      <c r="AA299" s="99">
        <f t="shared" si="92"/>
        <v>-20846.726634598836</v>
      </c>
      <c r="AB299" s="99">
        <f t="shared" si="93"/>
        <v>6603.9649580340119</v>
      </c>
      <c r="AC299" s="99">
        <f t="shared" si="94"/>
        <v>-6209.6094779983387</v>
      </c>
      <c r="AD299" s="99">
        <f t="shared" si="95"/>
        <v>-19851.478631379981</v>
      </c>
    </row>
    <row r="300" spans="1:30" x14ac:dyDescent="0.25">
      <c r="A300">
        <v>128.5</v>
      </c>
      <c r="B300" s="95">
        <f t="shared" si="96"/>
        <v>7345.9545011287346</v>
      </c>
      <c r="C300" s="95">
        <f t="shared" si="97"/>
        <v>5042.9299292203987</v>
      </c>
      <c r="D300" s="95">
        <f t="shared" si="98"/>
        <v>389.57921738754146</v>
      </c>
      <c r="E300" s="95">
        <f t="shared" si="99"/>
        <v>8715.5658912631843</v>
      </c>
      <c r="F300" s="96">
        <f t="shared" ref="F300:F363" si="100">SUM(H300,J300,L300)</f>
        <v>5226.1898254054349</v>
      </c>
      <c r="G300" s="94">
        <f t="shared" ref="G300:G363" si="101">SUM(I300,K300,M300)</f>
        <v>4762.1112389103073</v>
      </c>
      <c r="H300" s="97">
        <f t="shared" ref="H300:H363" si="102">$D$22*(($D$18-$B300)/$Q300)</f>
        <v>5913.4630726607256</v>
      </c>
      <c r="I300" s="94">
        <f t="shared" ref="I300:I363" si="103">$D$22*(($E$18-$C300)/$Q300)</f>
        <v>5474.5832867878116</v>
      </c>
      <c r="J300" s="95">
        <f t="shared" ref="J300:J363" si="104">$D$30*(($D$26-$B300)/$R300)</f>
        <v>-223.45683175825545</v>
      </c>
      <c r="K300" s="94">
        <f t="shared" ref="K300:K363" si="105">$D$30*(($E$26-$C300)/$R300)</f>
        <v>40.506582894166655</v>
      </c>
      <c r="L300" s="94">
        <f t="shared" ref="L300:L363" si="106">$D$38*(($D$34-$B300)/$S300)</f>
        <v>-463.81641549703573</v>
      </c>
      <c r="M300" s="93">
        <f t="shared" ref="M300:M363" si="107">$D$38*(($E$34-$C300)/$S300)</f>
        <v>-752.97863077167085</v>
      </c>
      <c r="N300" s="93">
        <f t="shared" ref="N300:N363" si="108">SQRT(($D$18-$B300)^2+($E$18-$C300)^2)</f>
        <v>3616.7873648860946</v>
      </c>
      <c r="O300" s="93">
        <f t="shared" ref="O300:O363" si="109">SQRT(($D$26-$B300)^2+($E$26-$C300)^2)</f>
        <v>27791.613326045357</v>
      </c>
      <c r="P300" s="93">
        <f t="shared" ref="P300:P363" si="110">SQRT(($D$34-$B300)^2+($E$34-$C300)^2)</f>
        <v>23540.213097837062</v>
      </c>
      <c r="Q300" s="93">
        <f t="shared" ref="Q300:Q363" si="111">($N300^2+$D$39^2)^(3/2)</f>
        <v>234998503671.36969</v>
      </c>
      <c r="R300" s="93">
        <f t="shared" ref="R300:R363" si="112">($O300^2+$D$31^2)^(3/2)</f>
        <v>21978203603449.613</v>
      </c>
      <c r="S300" s="93">
        <f t="shared" ref="S300:S363" si="113">($P300^2+$D$23^2)^(3/2)</f>
        <v>13937252853493.766</v>
      </c>
      <c r="T300">
        <f t="shared" ref="T300:T363" si="114">A301-A300</f>
        <v>0.5</v>
      </c>
      <c r="X300" s="99">
        <v>257</v>
      </c>
      <c r="Y300" s="99">
        <f t="shared" ref="Y300:Y363" si="115">$D$19*COS(X300*PI()/180)+$D$18</f>
        <v>8875.2447282806734</v>
      </c>
      <c r="Z300" s="99">
        <f t="shared" ref="Z300:Z363" si="116">$D$19*SIN(X300*PI()/180)+$E$18</f>
        <v>2628.1496760738246</v>
      </c>
      <c r="AA300" s="99">
        <f t="shared" ref="AA300:AA363" si="117">$D$27*COS(X300*PI()/180)+$D$26</f>
        <v>-20787.328690203529</v>
      </c>
      <c r="AB300" s="99">
        <f t="shared" ref="AB300:AB363" si="118">$D$27*SIN($X300*PI()/180)+$E$26</f>
        <v>6589.7047732516767</v>
      </c>
      <c r="AC300" s="99">
        <f t="shared" ref="AC300:AC363" si="119">$D$35*COS(X300*PI()/180)+$D$34</f>
        <v>-6124.7552717193266</v>
      </c>
      <c r="AD300" s="99">
        <f t="shared" ref="AD300:AD363" si="120">$D$35*SIN(X300*PI()/180)+$E$34</f>
        <v>-19871.850323926177</v>
      </c>
    </row>
    <row r="301" spans="1:30" x14ac:dyDescent="0.25">
      <c r="A301">
        <v>129</v>
      </c>
      <c r="B301" s="95">
        <f t="shared" ref="B301:B364" si="121">B300+(D300*$T300)+(F300*($T300)^2)</f>
        <v>8847.2915661738643</v>
      </c>
      <c r="C301" s="95">
        <f t="shared" ref="C301:C364" si="122">C300+(E300*$T300)+(G300*($T300)^2)</f>
        <v>10591.240684579567</v>
      </c>
      <c r="D301" s="95">
        <f t="shared" ref="D301:D364" si="123">D300+(F300*$T300)</f>
        <v>3002.674130090259</v>
      </c>
      <c r="E301" s="95">
        <f t="shared" ref="E301:E364" si="124">E300+(G300*$T300)</f>
        <v>11096.621510718338</v>
      </c>
      <c r="F301" s="96">
        <f t="shared" si="100"/>
        <v>2315.0028570426125</v>
      </c>
      <c r="G301" s="94">
        <f t="shared" si="101"/>
        <v>-8054.5876941599199</v>
      </c>
      <c r="H301" s="97">
        <f t="shared" si="102"/>
        <v>2807.7448574345403</v>
      </c>
      <c r="I301" s="94">
        <f t="shared" si="103"/>
        <v>-7529.5841346553661</v>
      </c>
      <c r="J301" s="95">
        <f t="shared" si="104"/>
        <v>-211.00527103048904</v>
      </c>
      <c r="K301" s="94">
        <f t="shared" si="105"/>
        <v>-4.3246659953425262</v>
      </c>
      <c r="L301" s="94">
        <f t="shared" si="106"/>
        <v>-281.73672936143873</v>
      </c>
      <c r="M301" s="93">
        <f t="shared" si="107"/>
        <v>-520.67889350921075</v>
      </c>
      <c r="N301" s="93">
        <f t="shared" si="108"/>
        <v>3299.1674257930367</v>
      </c>
      <c r="O301" s="93">
        <f t="shared" si="109"/>
        <v>28853.34982720287</v>
      </c>
      <c r="P301" s="93">
        <f t="shared" si="110"/>
        <v>29097.406817355914</v>
      </c>
      <c r="Q301" s="93">
        <f t="shared" si="111"/>
        <v>214961385460.31284</v>
      </c>
      <c r="R301" s="93">
        <f t="shared" si="112"/>
        <v>24552995378154.758</v>
      </c>
      <c r="S301" s="93">
        <f t="shared" si="113"/>
        <v>25734752177447.723</v>
      </c>
      <c r="T301">
        <f t="shared" si="114"/>
        <v>0.5</v>
      </c>
      <c r="X301" s="99">
        <v>258</v>
      </c>
      <c r="Y301" s="99">
        <f t="shared" si="115"/>
        <v>8960.4415459112006</v>
      </c>
      <c r="Z301" s="99">
        <f t="shared" si="116"/>
        <v>2609.2619963309717</v>
      </c>
      <c r="AA301" s="99">
        <f t="shared" si="117"/>
        <v>-20727.690917862161</v>
      </c>
      <c r="AB301" s="99">
        <f t="shared" si="118"/>
        <v>6576.4833974316807</v>
      </c>
      <c r="AC301" s="99">
        <f t="shared" si="119"/>
        <v>-6039.5584540887994</v>
      </c>
      <c r="AD301" s="99">
        <f t="shared" si="120"/>
        <v>-19890.73800366903</v>
      </c>
    </row>
    <row r="302" spans="1:30" x14ac:dyDescent="0.25">
      <c r="A302">
        <v>129.5</v>
      </c>
      <c r="B302" s="95">
        <f t="shared" si="121"/>
        <v>10927.379345479647</v>
      </c>
      <c r="C302" s="95">
        <f t="shared" si="122"/>
        <v>14125.904516398756</v>
      </c>
      <c r="D302" s="95">
        <f t="shared" si="123"/>
        <v>4160.1755586115651</v>
      </c>
      <c r="E302" s="95">
        <f t="shared" si="124"/>
        <v>7069.327663638378</v>
      </c>
      <c r="F302" s="96">
        <f t="shared" si="100"/>
        <v>-1233.2224360325022</v>
      </c>
      <c r="G302" s="94">
        <f t="shared" si="101"/>
        <v>-6381.0300191170481</v>
      </c>
      <c r="H302" s="97">
        <f t="shared" si="102"/>
        <v>-833.33889370917336</v>
      </c>
      <c r="I302" s="94">
        <f t="shared" si="103"/>
        <v>-5954.0078894710923</v>
      </c>
      <c r="J302" s="95">
        <f t="shared" si="104"/>
        <v>-179.4603793297558</v>
      </c>
      <c r="K302" s="94">
        <f t="shared" si="105"/>
        <v>-23.941129357263041</v>
      </c>
      <c r="L302" s="94">
        <f t="shared" si="106"/>
        <v>-220.42316299357299</v>
      </c>
      <c r="M302" s="93">
        <f t="shared" si="107"/>
        <v>-403.08100028869308</v>
      </c>
      <c r="N302" s="93">
        <f t="shared" si="108"/>
        <v>6690.4890038662861</v>
      </c>
      <c r="O302" s="93">
        <f t="shared" si="109"/>
        <v>31201.376271851226</v>
      </c>
      <c r="P302" s="93">
        <f t="shared" si="110"/>
        <v>33196.381229182029</v>
      </c>
      <c r="Q302" s="93">
        <f t="shared" si="111"/>
        <v>582685739827.90173</v>
      </c>
      <c r="R302" s="93">
        <f t="shared" si="112"/>
        <v>30950472412100.738</v>
      </c>
      <c r="S302" s="93">
        <f t="shared" si="113"/>
        <v>37834301125721.25</v>
      </c>
      <c r="T302">
        <f t="shared" si="114"/>
        <v>0.5</v>
      </c>
      <c r="X302" s="99">
        <v>259</v>
      </c>
      <c r="Y302" s="99">
        <f t="shared" si="115"/>
        <v>9045.9550231172725</v>
      </c>
      <c r="Z302" s="99">
        <f t="shared" si="116"/>
        <v>2591.8640827616809</v>
      </c>
      <c r="AA302" s="99">
        <f t="shared" si="117"/>
        <v>-20667.83148381791</v>
      </c>
      <c r="AB302" s="99">
        <f t="shared" si="118"/>
        <v>6564.3048579331771</v>
      </c>
      <c r="AC302" s="99">
        <f t="shared" si="119"/>
        <v>-5954.0449768827275</v>
      </c>
      <c r="AD302" s="99">
        <f t="shared" si="120"/>
        <v>-19908.13591723832</v>
      </c>
    </row>
    <row r="303" spans="1:30" x14ac:dyDescent="0.25">
      <c r="A303">
        <v>130</v>
      </c>
      <c r="B303" s="95">
        <f t="shared" si="121"/>
        <v>12699.161515777303</v>
      </c>
      <c r="C303" s="95">
        <f t="shared" si="122"/>
        <v>16065.310843438683</v>
      </c>
      <c r="D303" s="95">
        <f t="shared" si="123"/>
        <v>3543.5643405953142</v>
      </c>
      <c r="E303" s="95">
        <f t="shared" si="124"/>
        <v>3878.8126540798539</v>
      </c>
      <c r="F303" s="96">
        <f t="shared" si="100"/>
        <v>-1655.4357473352823</v>
      </c>
      <c r="G303" s="94">
        <f t="shared" si="101"/>
        <v>-4504.7093226279912</v>
      </c>
      <c r="H303" s="97">
        <f t="shared" si="102"/>
        <v>-1301.4368610378385</v>
      </c>
      <c r="I303" s="94">
        <f t="shared" si="103"/>
        <v>-4129.8792950106326</v>
      </c>
      <c r="J303" s="95">
        <f t="shared" si="104"/>
        <v>-157.03899492071986</v>
      </c>
      <c r="K303" s="94">
        <f t="shared" si="105"/>
        <v>-29.128891218687027</v>
      </c>
      <c r="L303" s="94">
        <f t="shared" si="106"/>
        <v>-196.95989137672376</v>
      </c>
      <c r="M303" s="93">
        <f t="shared" si="107"/>
        <v>-345.70113639867111</v>
      </c>
      <c r="N303" s="93">
        <f t="shared" si="108"/>
        <v>8980.5357709315722</v>
      </c>
      <c r="O303" s="93">
        <f t="shared" si="109"/>
        <v>33256.926488514036</v>
      </c>
      <c r="P303" s="93">
        <f t="shared" si="110"/>
        <v>35753.515297954145</v>
      </c>
      <c r="Q303" s="93">
        <f t="shared" si="111"/>
        <v>1085936403918.9867</v>
      </c>
      <c r="R303" s="93">
        <f t="shared" si="112"/>
        <v>37395715904184.68</v>
      </c>
      <c r="S303" s="93">
        <f t="shared" si="113"/>
        <v>47051504923162.797</v>
      </c>
      <c r="T303">
        <f t="shared" si="114"/>
        <v>0.5</v>
      </c>
      <c r="X303" s="99">
        <v>260</v>
      </c>
      <c r="Y303" s="99">
        <f t="shared" si="115"/>
        <v>9131.7591116653475</v>
      </c>
      <c r="Z303" s="99">
        <f t="shared" si="116"/>
        <v>2575.9612349389599</v>
      </c>
      <c r="AA303" s="99">
        <f t="shared" si="117"/>
        <v>-20607.768621834257</v>
      </c>
      <c r="AB303" s="99">
        <f t="shared" si="118"/>
        <v>6553.1728644572722</v>
      </c>
      <c r="AC303" s="99">
        <f t="shared" si="119"/>
        <v>-5868.2408883346516</v>
      </c>
      <c r="AD303" s="99">
        <f t="shared" si="120"/>
        <v>-19924.038765061039</v>
      </c>
    </row>
    <row r="304" spans="1:30" x14ac:dyDescent="0.25">
      <c r="A304">
        <v>130.5</v>
      </c>
      <c r="B304" s="95">
        <f t="shared" si="121"/>
        <v>14057.084749241139</v>
      </c>
      <c r="C304" s="95">
        <f t="shared" si="122"/>
        <v>16878.539839821609</v>
      </c>
      <c r="D304" s="95">
        <f t="shared" si="123"/>
        <v>2715.8464669276732</v>
      </c>
      <c r="E304" s="95">
        <f t="shared" si="124"/>
        <v>1626.4579927658583</v>
      </c>
      <c r="F304" s="96">
        <f t="shared" si="100"/>
        <v>-1776.0877558747504</v>
      </c>
      <c r="G304" s="94">
        <f t="shared" si="101"/>
        <v>-3681.5460755346221</v>
      </c>
      <c r="H304" s="97">
        <f t="shared" si="102"/>
        <v>-1442.8659365361841</v>
      </c>
      <c r="I304" s="94">
        <f t="shared" si="103"/>
        <v>-3335.393886424783</v>
      </c>
      <c r="J304" s="95">
        <f t="shared" si="104"/>
        <v>-143.6331126988282</v>
      </c>
      <c r="K304" s="94">
        <f t="shared" si="105"/>
        <v>-29.009708120672045</v>
      </c>
      <c r="L304" s="94">
        <f t="shared" si="106"/>
        <v>-189.58870663973821</v>
      </c>
      <c r="M304" s="93">
        <f t="shared" si="107"/>
        <v>-317.1424809891667</v>
      </c>
      <c r="N304" s="93">
        <f t="shared" si="108"/>
        <v>10218.461048007483</v>
      </c>
      <c r="O304" s="93">
        <f t="shared" si="109"/>
        <v>34744.774167419862</v>
      </c>
      <c r="P304" s="93">
        <f t="shared" si="110"/>
        <v>37140.460167569989</v>
      </c>
      <c r="Q304" s="93">
        <f t="shared" si="111"/>
        <v>1472267487512.2878</v>
      </c>
      <c r="R304" s="93">
        <f t="shared" si="112"/>
        <v>42583920283072.758</v>
      </c>
      <c r="S304" s="93">
        <f t="shared" si="113"/>
        <v>52631121431387.031</v>
      </c>
      <c r="T304">
        <f t="shared" si="114"/>
        <v>0.5</v>
      </c>
      <c r="X304" s="99">
        <v>261</v>
      </c>
      <c r="Y304" s="99">
        <f t="shared" si="115"/>
        <v>9217.8276747988457</v>
      </c>
      <c r="Z304" s="99">
        <f t="shared" si="116"/>
        <v>2561.5582970243113</v>
      </c>
      <c r="AA304" s="99">
        <f t="shared" si="117"/>
        <v>-20547.52062764081</v>
      </c>
      <c r="AB304" s="99">
        <f t="shared" si="118"/>
        <v>6543.0908079170185</v>
      </c>
      <c r="AC304" s="99">
        <f t="shared" si="119"/>
        <v>-5782.1723252011552</v>
      </c>
      <c r="AD304" s="99">
        <f t="shared" si="120"/>
        <v>-19938.441702975688</v>
      </c>
    </row>
    <row r="305" spans="1:30" x14ac:dyDescent="0.25">
      <c r="A305">
        <v>131</v>
      </c>
      <c r="B305" s="95">
        <f t="shared" si="121"/>
        <v>14970.986043736288</v>
      </c>
      <c r="C305" s="95">
        <f t="shared" si="122"/>
        <v>16771.38231732088</v>
      </c>
      <c r="D305" s="95">
        <f t="shared" si="123"/>
        <v>1827.8025889902979</v>
      </c>
      <c r="E305" s="95">
        <f t="shared" si="124"/>
        <v>-214.31504500145275</v>
      </c>
      <c r="F305" s="96">
        <f t="shared" si="100"/>
        <v>-1976.7841737370741</v>
      </c>
      <c r="G305" s="94">
        <f t="shared" si="101"/>
        <v>-3405.1032700901351</v>
      </c>
      <c r="H305" s="97">
        <f t="shared" si="102"/>
        <v>-1647.096767224625</v>
      </c>
      <c r="I305" s="94">
        <f t="shared" si="103"/>
        <v>-3071.9989370730364</v>
      </c>
      <c r="J305" s="95">
        <f t="shared" si="104"/>
        <v>-136.97476826493099</v>
      </c>
      <c r="K305" s="94">
        <f t="shared" si="105"/>
        <v>-26.522229673143762</v>
      </c>
      <c r="L305" s="94">
        <f t="shared" si="106"/>
        <v>-192.71263824751802</v>
      </c>
      <c r="M305" s="93">
        <f t="shared" si="107"/>
        <v>-306.5821033439554</v>
      </c>
      <c r="N305" s="93">
        <f t="shared" si="108"/>
        <v>10519.944501799961</v>
      </c>
      <c r="O305" s="93">
        <f t="shared" si="109"/>
        <v>35620.520537444761</v>
      </c>
      <c r="P305" s="93">
        <f t="shared" si="110"/>
        <v>37526.803992779343</v>
      </c>
      <c r="Q305" s="93">
        <f t="shared" si="111"/>
        <v>1580236363648.6885</v>
      </c>
      <c r="R305" s="93">
        <f t="shared" si="112"/>
        <v>45852186042195.07</v>
      </c>
      <c r="S305" s="93">
        <f t="shared" si="113"/>
        <v>54261017518531.68</v>
      </c>
      <c r="T305">
        <f t="shared" si="114"/>
        <v>0.5</v>
      </c>
      <c r="X305" s="99">
        <v>262</v>
      </c>
      <c r="Y305" s="99">
        <f t="shared" si="115"/>
        <v>9304.1344951996762</v>
      </c>
      <c r="Z305" s="99">
        <f t="shared" si="116"/>
        <v>2548.6596562921486</v>
      </c>
      <c r="AA305" s="99">
        <f t="shared" si="117"/>
        <v>-20487.105853360226</v>
      </c>
      <c r="AB305" s="99">
        <f t="shared" si="118"/>
        <v>6534.0617594045034</v>
      </c>
      <c r="AC305" s="99">
        <f t="shared" si="119"/>
        <v>-5695.8655048003247</v>
      </c>
      <c r="AD305" s="99">
        <f t="shared" si="120"/>
        <v>-19951.340343707852</v>
      </c>
    </row>
    <row r="306" spans="1:30" x14ac:dyDescent="0.25">
      <c r="A306">
        <v>131.5</v>
      </c>
      <c r="B306" s="95">
        <f t="shared" si="121"/>
        <v>15390.691294797167</v>
      </c>
      <c r="C306" s="95">
        <f t="shared" si="122"/>
        <v>15812.948977297621</v>
      </c>
      <c r="D306" s="95">
        <f t="shared" si="123"/>
        <v>839.41050212176083</v>
      </c>
      <c r="E306" s="95">
        <f t="shared" si="124"/>
        <v>-1916.8666800465203</v>
      </c>
      <c r="F306" s="96">
        <f t="shared" si="100"/>
        <v>-2406.7722530174424</v>
      </c>
      <c r="G306" s="94">
        <f t="shared" si="101"/>
        <v>-3517.9360989840952</v>
      </c>
      <c r="H306" s="97">
        <f t="shared" si="102"/>
        <v>-2064.970469878961</v>
      </c>
      <c r="I306" s="94">
        <f t="shared" si="103"/>
        <v>-3184.3771451535135</v>
      </c>
      <c r="J306" s="95">
        <f t="shared" si="104"/>
        <v>-135.83074561750868</v>
      </c>
      <c r="K306" s="94">
        <f t="shared" si="105"/>
        <v>-22.31030717218421</v>
      </c>
      <c r="L306" s="94">
        <f t="shared" si="106"/>
        <v>-205.97103752097246</v>
      </c>
      <c r="M306" s="93">
        <f t="shared" si="107"/>
        <v>-311.24864665839721</v>
      </c>
      <c r="N306" s="93">
        <f t="shared" si="108"/>
        <v>9907.8087050041249</v>
      </c>
      <c r="O306" s="93">
        <f t="shared" si="109"/>
        <v>35864.904936947722</v>
      </c>
      <c r="P306" s="93">
        <f t="shared" si="110"/>
        <v>36948.858117095631</v>
      </c>
      <c r="Q306" s="93">
        <f t="shared" si="111"/>
        <v>1366876380440.2732</v>
      </c>
      <c r="R306" s="93">
        <f t="shared" si="112"/>
        <v>46793303187983</v>
      </c>
      <c r="S306" s="93">
        <f t="shared" si="113"/>
        <v>51835156651437.344</v>
      </c>
      <c r="T306">
        <f t="shared" si="114"/>
        <v>0.5</v>
      </c>
      <c r="X306" s="99">
        <v>263</v>
      </c>
      <c r="Y306" s="99">
        <f t="shared" si="115"/>
        <v>9390.6532829742646</v>
      </c>
      <c r="Z306" s="99">
        <f t="shared" si="116"/>
        <v>2537.2692417933895</v>
      </c>
      <c r="AA306" s="99">
        <f t="shared" si="117"/>
        <v>-20426.542701918013</v>
      </c>
      <c r="AB306" s="99">
        <f t="shared" si="118"/>
        <v>6526.0884692553727</v>
      </c>
      <c r="AC306" s="99">
        <f t="shared" si="119"/>
        <v>-5609.3467170257354</v>
      </c>
      <c r="AD306" s="99">
        <f t="shared" si="120"/>
        <v>-19962.73075820661</v>
      </c>
    </row>
    <row r="307" spans="1:30" x14ac:dyDescent="0.25">
      <c r="A307">
        <v>132</v>
      </c>
      <c r="B307" s="95">
        <f t="shared" si="121"/>
        <v>15208.703482603687</v>
      </c>
      <c r="C307" s="95">
        <f t="shared" si="122"/>
        <v>13975.031612528337</v>
      </c>
      <c r="D307" s="95">
        <f t="shared" si="123"/>
        <v>-363.97562438696036</v>
      </c>
      <c r="E307" s="95">
        <f t="shared" si="124"/>
        <v>-3675.8347295385679</v>
      </c>
      <c r="F307" s="96">
        <f t="shared" si="100"/>
        <v>-3362.8892040328365</v>
      </c>
      <c r="G307" s="94">
        <f t="shared" si="101"/>
        <v>-4066.5547750154165</v>
      </c>
      <c r="H307" s="97">
        <f t="shared" si="102"/>
        <v>-2989.8139319075276</v>
      </c>
      <c r="I307" s="94">
        <f t="shared" si="103"/>
        <v>-3716.6906869119352</v>
      </c>
      <c r="J307" s="95">
        <f t="shared" si="104"/>
        <v>-140.09290796734834</v>
      </c>
      <c r="K307" s="94">
        <f t="shared" si="105"/>
        <v>-15.816365920329302</v>
      </c>
      <c r="L307" s="94">
        <f t="shared" si="106"/>
        <v>-232.98236415796032</v>
      </c>
      <c r="M307" s="93">
        <f t="shared" si="107"/>
        <v>-334.04772218315179</v>
      </c>
      <c r="N307" s="93">
        <f t="shared" si="108"/>
        <v>8310.0316697909821</v>
      </c>
      <c r="O307" s="93">
        <f t="shared" si="109"/>
        <v>35432.381760848482</v>
      </c>
      <c r="P307" s="93">
        <f t="shared" si="110"/>
        <v>35326.253033612476</v>
      </c>
      <c r="Q307" s="93">
        <f t="shared" si="111"/>
        <v>912187456496.95422</v>
      </c>
      <c r="R307" s="93">
        <f t="shared" si="112"/>
        <v>45136369609086.219</v>
      </c>
      <c r="S307" s="93">
        <f t="shared" si="113"/>
        <v>45416538020647.594</v>
      </c>
      <c r="T307">
        <f t="shared" si="114"/>
        <v>0.5</v>
      </c>
      <c r="X307" s="99">
        <v>264</v>
      </c>
      <c r="Y307" s="99">
        <f t="shared" si="115"/>
        <v>9477.357683661734</v>
      </c>
      <c r="Z307" s="99">
        <f t="shared" si="116"/>
        <v>2527.3905231586332</v>
      </c>
      <c r="AA307" s="99">
        <f t="shared" si="117"/>
        <v>-20365.849621436788</v>
      </c>
      <c r="AB307" s="99">
        <f t="shared" si="118"/>
        <v>6519.1733662110437</v>
      </c>
      <c r="AC307" s="99">
        <f t="shared" si="119"/>
        <v>-5522.6423163382669</v>
      </c>
      <c r="AD307" s="99">
        <f t="shared" si="120"/>
        <v>-19972.609476841368</v>
      </c>
    </row>
    <row r="308" spans="1:30" x14ac:dyDescent="0.25">
      <c r="A308">
        <v>132.5</v>
      </c>
      <c r="B308" s="95">
        <f t="shared" si="121"/>
        <v>14185.993369401998</v>
      </c>
      <c r="C308" s="95">
        <f t="shared" si="122"/>
        <v>11120.475554005199</v>
      </c>
      <c r="D308" s="95">
        <f t="shared" si="123"/>
        <v>-2045.4202264033786</v>
      </c>
      <c r="E308" s="95">
        <f t="shared" si="124"/>
        <v>-5709.1121170462757</v>
      </c>
      <c r="F308" s="96">
        <f t="shared" si="100"/>
        <v>-5718.284815068414</v>
      </c>
      <c r="G308" s="94">
        <f t="shared" si="101"/>
        <v>-4961.5126919396889</v>
      </c>
      <c r="H308" s="97">
        <f t="shared" si="102"/>
        <v>-5282.3731280040784</v>
      </c>
      <c r="I308" s="94">
        <f t="shared" si="103"/>
        <v>-4568.7369972601882</v>
      </c>
      <c r="J308" s="95">
        <f t="shared" si="104"/>
        <v>-151.04673510267469</v>
      </c>
      <c r="K308" s="94">
        <f t="shared" si="105"/>
        <v>-4.9506876212737803</v>
      </c>
      <c r="L308" s="94">
        <f t="shared" si="106"/>
        <v>-284.86495196166089</v>
      </c>
      <c r="M308" s="93">
        <f t="shared" si="107"/>
        <v>-387.82500705822707</v>
      </c>
      <c r="N308" s="93">
        <f t="shared" si="108"/>
        <v>5534.4723078019597</v>
      </c>
      <c r="O308" s="93">
        <f t="shared" si="109"/>
        <v>34204.350719169059</v>
      </c>
      <c r="P308" s="93">
        <f t="shared" si="110"/>
        <v>32409.590937531451</v>
      </c>
      <c r="Q308" s="93">
        <f t="shared" si="111"/>
        <v>414923548520.63214</v>
      </c>
      <c r="R308" s="93">
        <f t="shared" si="112"/>
        <v>40647103565141.055</v>
      </c>
      <c r="S308" s="93">
        <f t="shared" si="113"/>
        <v>35265000371853.383</v>
      </c>
      <c r="T308">
        <f t="shared" si="114"/>
        <v>0.5</v>
      </c>
      <c r="X308" s="99">
        <v>265</v>
      </c>
      <c r="Y308" s="99">
        <f t="shared" si="115"/>
        <v>9564.2212862617089</v>
      </c>
      <c r="Z308" s="99">
        <f t="shared" si="116"/>
        <v>2519.0265095412724</v>
      </c>
      <c r="AA308" s="99">
        <f t="shared" si="117"/>
        <v>-20305.045099616804</v>
      </c>
      <c r="AB308" s="99">
        <f t="shared" si="118"/>
        <v>6513.3185566788907</v>
      </c>
      <c r="AC308" s="99">
        <f t="shared" si="119"/>
        <v>-5435.7787137382911</v>
      </c>
      <c r="AD308" s="99">
        <f t="shared" si="120"/>
        <v>-19980.973490458728</v>
      </c>
    </row>
    <row r="309" spans="1:30" x14ac:dyDescent="0.25">
      <c r="A309">
        <v>133</v>
      </c>
      <c r="B309" s="95">
        <f t="shared" si="121"/>
        <v>11733.712052433206</v>
      </c>
      <c r="C309" s="95">
        <f t="shared" si="122"/>
        <v>7025.5413224971389</v>
      </c>
      <c r="D309" s="95">
        <f t="shared" si="123"/>
        <v>-4904.5626339375858</v>
      </c>
      <c r="E309" s="95">
        <f t="shared" si="124"/>
        <v>-8189.8684630161206</v>
      </c>
      <c r="F309" s="96">
        <f t="shared" si="100"/>
        <v>-6619.2325304639062</v>
      </c>
      <c r="G309" s="94">
        <f t="shared" si="101"/>
        <v>1153.156611287448</v>
      </c>
      <c r="H309" s="97">
        <f t="shared" si="102"/>
        <v>-6051.865000695765</v>
      </c>
      <c r="I309" s="94">
        <f t="shared" si="103"/>
        <v>1656.1919037397868</v>
      </c>
      <c r="J309" s="95">
        <f t="shared" si="104"/>
        <v>-172.879771083599</v>
      </c>
      <c r="K309" s="94">
        <f t="shared" si="105"/>
        <v>16.204336083174702</v>
      </c>
      <c r="L309" s="94">
        <f t="shared" si="106"/>
        <v>-394.48775868454226</v>
      </c>
      <c r="M309" s="93">
        <f t="shared" si="107"/>
        <v>-519.23962853551359</v>
      </c>
      <c r="N309" s="93">
        <f t="shared" si="108"/>
        <v>1797.4616873274165</v>
      </c>
      <c r="O309" s="93">
        <f t="shared" si="109"/>
        <v>31872.807925423145</v>
      </c>
      <c r="P309" s="93">
        <f t="shared" si="110"/>
        <v>27661.192844900546</v>
      </c>
      <c r="Q309" s="93">
        <f t="shared" si="111"/>
        <v>149998307594.38232</v>
      </c>
      <c r="R309" s="93">
        <f t="shared" si="112"/>
        <v>32966241836115.148</v>
      </c>
      <c r="S309" s="93">
        <f t="shared" si="113"/>
        <v>22210451272519.668</v>
      </c>
      <c r="T309">
        <f t="shared" si="114"/>
        <v>0.5</v>
      </c>
      <c r="X309" s="99">
        <v>266</v>
      </c>
      <c r="Y309" s="99">
        <f t="shared" si="115"/>
        <v>9651.2176312793727</v>
      </c>
      <c r="Z309" s="99">
        <f t="shared" si="116"/>
        <v>2512.1797487008789</v>
      </c>
      <c r="AA309" s="99">
        <f t="shared" si="117"/>
        <v>-20244.147658104441</v>
      </c>
      <c r="AB309" s="99">
        <f t="shared" si="118"/>
        <v>6508.5258240906151</v>
      </c>
      <c r="AC309" s="99">
        <f t="shared" si="119"/>
        <v>-5348.7823687206283</v>
      </c>
      <c r="AD309" s="99">
        <f t="shared" si="120"/>
        <v>-19987.820251299119</v>
      </c>
    </row>
    <row r="310" spans="1:30" x14ac:dyDescent="0.25">
      <c r="A310">
        <v>133.5</v>
      </c>
      <c r="B310" s="95">
        <f t="shared" si="121"/>
        <v>7626.6226028484371</v>
      </c>
      <c r="C310" s="95">
        <f t="shared" si="122"/>
        <v>3218.8962438109406</v>
      </c>
      <c r="D310" s="95">
        <f t="shared" si="123"/>
        <v>-8214.1788991695394</v>
      </c>
      <c r="E310" s="95">
        <f t="shared" si="124"/>
        <v>-7613.2901573723966</v>
      </c>
      <c r="F310" s="96">
        <f t="shared" si="100"/>
        <v>2853.1921075880782</v>
      </c>
      <c r="G310" s="94">
        <f t="shared" si="101"/>
        <v>5781.8001955879836</v>
      </c>
      <c r="H310" s="97">
        <f t="shared" si="102"/>
        <v>3627.3801342583733</v>
      </c>
      <c r="I310" s="94">
        <f t="shared" si="103"/>
        <v>6543.076856018195</v>
      </c>
      <c r="J310" s="95">
        <f t="shared" si="104"/>
        <v>-210.73565228515909</v>
      </c>
      <c r="K310" s="94">
        <f t="shared" si="105"/>
        <v>51.726204242081501</v>
      </c>
      <c r="L310" s="94">
        <f t="shared" si="106"/>
        <v>-563.45237438513573</v>
      </c>
      <c r="M310" s="93">
        <f t="shared" si="107"/>
        <v>-813.00286467229307</v>
      </c>
      <c r="N310" s="93">
        <f t="shared" si="108"/>
        <v>4894.9739162293799</v>
      </c>
      <c r="O310" s="93">
        <f t="shared" si="109"/>
        <v>28446.680730665532</v>
      </c>
      <c r="P310" s="93">
        <f t="shared" si="110"/>
        <v>22166.636612204195</v>
      </c>
      <c r="Q310" s="93">
        <f t="shared" si="111"/>
        <v>342588163684.50677</v>
      </c>
      <c r="R310" s="93">
        <f t="shared" si="112"/>
        <v>23544123193608.984</v>
      </c>
      <c r="S310" s="93">
        <f t="shared" si="113"/>
        <v>11733527863837.248</v>
      </c>
      <c r="T310">
        <f t="shared" si="114"/>
        <v>0.5</v>
      </c>
      <c r="X310" s="99">
        <v>267</v>
      </c>
      <c r="Y310" s="99">
        <f t="shared" si="115"/>
        <v>9738.3202187852785</v>
      </c>
      <c r="Z310" s="99">
        <f t="shared" si="116"/>
        <v>2506.852326227131</v>
      </c>
      <c r="AA310" s="99">
        <f t="shared" si="117"/>
        <v>-20183.175846850307</v>
      </c>
      <c r="AB310" s="99">
        <f t="shared" si="118"/>
        <v>6504.7966283589922</v>
      </c>
      <c r="AC310" s="99">
        <f t="shared" si="119"/>
        <v>-5261.6797812147215</v>
      </c>
      <c r="AD310" s="99">
        <f t="shared" si="120"/>
        <v>-19993.14767377287</v>
      </c>
    </row>
    <row r="311" spans="1:30" x14ac:dyDescent="0.25">
      <c r="A311">
        <v>134</v>
      </c>
      <c r="B311" s="95">
        <f t="shared" si="121"/>
        <v>4232.8311801606869</v>
      </c>
      <c r="C311" s="95">
        <f t="shared" si="122"/>
        <v>857.70121402173822</v>
      </c>
      <c r="D311" s="95">
        <f t="shared" si="123"/>
        <v>-6787.5828453755003</v>
      </c>
      <c r="E311" s="95">
        <f t="shared" si="124"/>
        <v>-4722.3900595784053</v>
      </c>
      <c r="F311" s="96">
        <f t="shared" si="100"/>
        <v>1968.468044723516</v>
      </c>
      <c r="G311" s="94">
        <f t="shared" si="101"/>
        <v>2242.3216293792138</v>
      </c>
      <c r="H311" s="97">
        <f t="shared" si="102"/>
        <v>2914.9844931469147</v>
      </c>
      <c r="I311" s="94">
        <f t="shared" si="103"/>
        <v>3357.3142324823925</v>
      </c>
      <c r="J311" s="95">
        <f t="shared" si="104"/>
        <v>-243.78499129285794</v>
      </c>
      <c r="K311" s="94">
        <f t="shared" si="105"/>
        <v>91.972548043048661</v>
      </c>
      <c r="L311" s="94">
        <f t="shared" si="106"/>
        <v>-702.73145713054112</v>
      </c>
      <c r="M311" s="93">
        <f t="shared" si="107"/>
        <v>-1206.9651511462275</v>
      </c>
      <c r="N311" s="93">
        <f t="shared" si="108"/>
        <v>8796.6112429011573</v>
      </c>
      <c r="O311" s="93">
        <f t="shared" si="109"/>
        <v>25900.033476778895</v>
      </c>
      <c r="P311" s="93">
        <f t="shared" si="110"/>
        <v>18349.710062955597</v>
      </c>
      <c r="Q311" s="93">
        <f t="shared" si="111"/>
        <v>1035917185781.1865</v>
      </c>
      <c r="R311" s="93">
        <f t="shared" si="112"/>
        <v>17852125633729.938</v>
      </c>
      <c r="S311" s="93">
        <f t="shared" si="113"/>
        <v>6879297990981.9248</v>
      </c>
      <c r="T311">
        <f t="shared" si="114"/>
        <v>0.5</v>
      </c>
      <c r="X311" s="99">
        <v>268</v>
      </c>
      <c r="Y311" s="99">
        <f t="shared" si="115"/>
        <v>9825.5025164874914</v>
      </c>
      <c r="Z311" s="99">
        <f t="shared" si="116"/>
        <v>2503.0458649045213</v>
      </c>
      <c r="AA311" s="99">
        <f t="shared" si="117"/>
        <v>-20122.148238458754</v>
      </c>
      <c r="AB311" s="99">
        <f t="shared" si="118"/>
        <v>6502.1321054331656</v>
      </c>
      <c r="AC311" s="99">
        <f t="shared" si="119"/>
        <v>-5174.4974835125086</v>
      </c>
      <c r="AD311" s="99">
        <f t="shared" si="120"/>
        <v>-19996.954135095479</v>
      </c>
    </row>
    <row r="312" spans="1:30" x14ac:dyDescent="0.25">
      <c r="A312">
        <v>134.5</v>
      </c>
      <c r="B312" s="95">
        <f t="shared" si="121"/>
        <v>1331.1567686538158</v>
      </c>
      <c r="C312" s="95">
        <f t="shared" si="122"/>
        <v>-942.91340842266095</v>
      </c>
      <c r="D312" s="95">
        <f t="shared" si="123"/>
        <v>-5803.3488230137427</v>
      </c>
      <c r="E312" s="95">
        <f t="shared" si="124"/>
        <v>-3601.2292448887983</v>
      </c>
      <c r="F312" s="96">
        <f t="shared" si="100"/>
        <v>974.21193768579747</v>
      </c>
      <c r="G312" s="94">
        <f t="shared" si="101"/>
        <v>378.89239384986604</v>
      </c>
      <c r="H312" s="97">
        <f t="shared" si="102"/>
        <v>2022.1964354887446</v>
      </c>
      <c r="I312" s="94">
        <f t="shared" si="103"/>
        <v>1969.4933849900908</v>
      </c>
      <c r="J312" s="95">
        <f t="shared" si="104"/>
        <v>-269.35973884520899</v>
      </c>
      <c r="K312" s="94">
        <f t="shared" si="105"/>
        <v>138.1819246778937</v>
      </c>
      <c r="L312" s="94">
        <f t="shared" si="106"/>
        <v>-778.62475895773809</v>
      </c>
      <c r="M312" s="93">
        <f t="shared" si="107"/>
        <v>-1728.7829158181185</v>
      </c>
      <c r="N312" s="93">
        <f t="shared" si="108"/>
        <v>12100.893760040193</v>
      </c>
      <c r="O312" s="93">
        <f t="shared" si="109"/>
        <v>23974.269602078013</v>
      </c>
      <c r="P312" s="93">
        <f t="shared" si="110"/>
        <v>15417.043473778442</v>
      </c>
      <c r="Q312" s="93">
        <f t="shared" si="111"/>
        <v>2244586936327.6929</v>
      </c>
      <c r="R312" s="93">
        <f t="shared" si="112"/>
        <v>14222451698303.902</v>
      </c>
      <c r="S312" s="93">
        <f t="shared" si="113"/>
        <v>4257488468033.6104</v>
      </c>
      <c r="T312">
        <f t="shared" si="114"/>
        <v>0.5</v>
      </c>
      <c r="X312" s="99">
        <v>269</v>
      </c>
      <c r="Y312" s="99">
        <f t="shared" si="115"/>
        <v>9912.7379678135821</v>
      </c>
      <c r="Z312" s="99">
        <f t="shared" si="116"/>
        <v>2500.7615242180436</v>
      </c>
      <c r="AA312" s="99">
        <f t="shared" si="117"/>
        <v>-20061.083422530493</v>
      </c>
      <c r="AB312" s="99">
        <f t="shared" si="118"/>
        <v>6500.5330669526302</v>
      </c>
      <c r="AC312" s="99">
        <f t="shared" si="119"/>
        <v>-5087.2620321864179</v>
      </c>
      <c r="AD312" s="99">
        <f t="shared" si="120"/>
        <v>-19999.238475781956</v>
      </c>
    </row>
    <row r="313" spans="1:30" x14ac:dyDescent="0.25">
      <c r="A313">
        <v>135</v>
      </c>
      <c r="B313" s="95">
        <f t="shared" si="121"/>
        <v>-1326.9646584316063</v>
      </c>
      <c r="C313" s="95">
        <f t="shared" si="122"/>
        <v>-2648.8049324045933</v>
      </c>
      <c r="D313" s="95">
        <f t="shared" si="123"/>
        <v>-5316.2428541708441</v>
      </c>
      <c r="E313" s="95">
        <f t="shared" si="124"/>
        <v>-3411.7830479638651</v>
      </c>
      <c r="F313" s="96">
        <f t="shared" si="100"/>
        <v>435.02837648951322</v>
      </c>
      <c r="G313" s="94">
        <f t="shared" si="101"/>
        <v>-962.98171144826847</v>
      </c>
      <c r="H313" s="97">
        <f t="shared" si="102"/>
        <v>1445.4178100740321</v>
      </c>
      <c r="I313" s="94">
        <f t="shared" si="103"/>
        <v>1295.0745272560928</v>
      </c>
      <c r="J313" s="95">
        <f t="shared" si="104"/>
        <v>-282.06257564855639</v>
      </c>
      <c r="K313" s="94">
        <f t="shared" si="105"/>
        <v>191.06451805229324</v>
      </c>
      <c r="L313" s="94">
        <f t="shared" si="106"/>
        <v>-728.32685793596261</v>
      </c>
      <c r="M313" s="93">
        <f t="shared" si="107"/>
        <v>-2449.1207567566544</v>
      </c>
      <c r="N313" s="93">
        <f t="shared" si="108"/>
        <v>15208.496636070195</v>
      </c>
      <c r="O313" s="93">
        <f t="shared" si="109"/>
        <v>22553.813759217861</v>
      </c>
      <c r="P313" s="93">
        <f t="shared" si="110"/>
        <v>12885.77542168897</v>
      </c>
      <c r="Q313" s="93">
        <f t="shared" si="111"/>
        <v>4103162964413.8857</v>
      </c>
      <c r="R313" s="93">
        <f t="shared" si="112"/>
        <v>11889461754152.643</v>
      </c>
      <c r="S313" s="93">
        <f t="shared" si="113"/>
        <v>2640568292407.5078</v>
      </c>
      <c r="T313">
        <f t="shared" si="114"/>
        <v>0.5</v>
      </c>
      <c r="X313" s="99">
        <v>270</v>
      </c>
      <c r="Y313" s="99">
        <f t="shared" si="115"/>
        <v>9999.9999999999982</v>
      </c>
      <c r="Z313" s="99">
        <f t="shared" si="116"/>
        <v>2500</v>
      </c>
      <c r="AA313" s="99">
        <f t="shared" si="117"/>
        <v>-20000</v>
      </c>
      <c r="AB313" s="99">
        <f t="shared" si="118"/>
        <v>6500</v>
      </c>
      <c r="AC313" s="99">
        <f t="shared" si="119"/>
        <v>-5000.0000000000009</v>
      </c>
      <c r="AD313" s="99">
        <f t="shared" si="120"/>
        <v>-20000</v>
      </c>
    </row>
    <row r="314" spans="1:30" x14ac:dyDescent="0.25">
      <c r="A314">
        <v>135.5</v>
      </c>
      <c r="B314" s="95">
        <f t="shared" si="121"/>
        <v>-3876.3289913946501</v>
      </c>
      <c r="C314" s="95">
        <f t="shared" si="122"/>
        <v>-4595.4418842485929</v>
      </c>
      <c r="D314" s="95">
        <f t="shared" si="123"/>
        <v>-5098.7286659260872</v>
      </c>
      <c r="E314" s="95">
        <f t="shared" si="124"/>
        <v>-3893.2739036879993</v>
      </c>
      <c r="F314" s="96">
        <f t="shared" si="100"/>
        <v>398.84155454718092</v>
      </c>
      <c r="G314" s="94">
        <f t="shared" si="101"/>
        <v>-2334.1158935399044</v>
      </c>
      <c r="H314" s="97">
        <f t="shared" si="102"/>
        <v>1046.8529120141934</v>
      </c>
      <c r="I314" s="94">
        <f t="shared" si="103"/>
        <v>912.49988137903506</v>
      </c>
      <c r="J314" s="95">
        <f t="shared" si="104"/>
        <v>-270.89985324368962</v>
      </c>
      <c r="K314" s="94">
        <f t="shared" si="105"/>
        <v>245.22350166779705</v>
      </c>
      <c r="L314" s="94">
        <f t="shared" si="106"/>
        <v>-377.11150422332281</v>
      </c>
      <c r="M314" s="93">
        <f t="shared" si="107"/>
        <v>-3491.8392765867366</v>
      </c>
      <c r="N314" s="93">
        <f t="shared" si="108"/>
        <v>18407.939065866522</v>
      </c>
      <c r="O314" s="93">
        <f t="shared" si="109"/>
        <v>21748.556057591933</v>
      </c>
      <c r="P314" s="93">
        <f t="shared" si="110"/>
        <v>10465.059298428681</v>
      </c>
      <c r="Q314" s="93">
        <f t="shared" si="111"/>
        <v>6940448640214.4209</v>
      </c>
      <c r="R314" s="93">
        <f t="shared" si="112"/>
        <v>10689266398371.912</v>
      </c>
      <c r="S314" s="93">
        <f t="shared" si="113"/>
        <v>1560155968969.4546</v>
      </c>
      <c r="T314">
        <f t="shared" si="114"/>
        <v>0.5</v>
      </c>
      <c r="X314" s="99">
        <v>271</v>
      </c>
      <c r="Y314" s="99">
        <f t="shared" si="115"/>
        <v>10087.262032186416</v>
      </c>
      <c r="Z314" s="99">
        <f t="shared" si="116"/>
        <v>2500.7615242180436</v>
      </c>
      <c r="AA314" s="99">
        <f t="shared" si="117"/>
        <v>-19938.91657746951</v>
      </c>
      <c r="AB314" s="99">
        <f t="shared" si="118"/>
        <v>6500.5330669526302</v>
      </c>
      <c r="AC314" s="99">
        <f t="shared" si="119"/>
        <v>-4912.737967813584</v>
      </c>
      <c r="AD314" s="99">
        <f t="shared" si="120"/>
        <v>-19999.238475781956</v>
      </c>
    </row>
    <row r="315" spans="1:30" x14ac:dyDescent="0.25">
      <c r="A315">
        <v>136</v>
      </c>
      <c r="B315" s="95">
        <f t="shared" si="121"/>
        <v>-6325.9829357208982</v>
      </c>
      <c r="C315" s="95">
        <f t="shared" si="122"/>
        <v>-7125.6078094775685</v>
      </c>
      <c r="D315" s="95">
        <f t="shared" si="123"/>
        <v>-4899.3078886524963</v>
      </c>
      <c r="E315" s="95">
        <f t="shared" si="124"/>
        <v>-5060.3318504579511</v>
      </c>
      <c r="F315" s="96">
        <f t="shared" si="100"/>
        <v>1357.7717971729501</v>
      </c>
      <c r="G315" s="94">
        <f t="shared" si="101"/>
        <v>-3974.8312257839298</v>
      </c>
      <c r="H315" s="97">
        <f t="shared" si="102"/>
        <v>752.25599339622579</v>
      </c>
      <c r="I315" s="94">
        <f t="shared" si="103"/>
        <v>673.90742566988524</v>
      </c>
      <c r="J315" s="95">
        <f t="shared" si="104"/>
        <v>-224.67741664817331</v>
      </c>
      <c r="K315" s="94">
        <f t="shared" si="105"/>
        <v>281.39041388318293</v>
      </c>
      <c r="L315" s="94">
        <f t="shared" si="106"/>
        <v>830.19322042489762</v>
      </c>
      <c r="M315" s="93">
        <f t="shared" si="107"/>
        <v>-4930.1290653369979</v>
      </c>
      <c r="N315" s="93">
        <f t="shared" si="108"/>
        <v>21919.081244753423</v>
      </c>
      <c r="O315" s="93">
        <f t="shared" si="109"/>
        <v>21914.953468310974</v>
      </c>
      <c r="P315" s="93">
        <f t="shared" si="110"/>
        <v>7985.2541046596425</v>
      </c>
      <c r="Q315" s="93">
        <f t="shared" si="111"/>
        <v>11363504911392.137</v>
      </c>
      <c r="R315" s="93">
        <f t="shared" si="112"/>
        <v>10930233460122.762</v>
      </c>
      <c r="S315" s="93">
        <f t="shared" si="113"/>
        <v>836290907377.396</v>
      </c>
      <c r="T315">
        <f t="shared" si="114"/>
        <v>0.5</v>
      </c>
      <c r="X315" s="99">
        <v>272</v>
      </c>
      <c r="Y315" s="99">
        <f t="shared" si="115"/>
        <v>10174.497483512507</v>
      </c>
      <c r="Z315" s="99">
        <f t="shared" si="116"/>
        <v>2503.0458649045213</v>
      </c>
      <c r="AA315" s="99">
        <f t="shared" si="117"/>
        <v>-19877.851761541246</v>
      </c>
      <c r="AB315" s="99">
        <f t="shared" si="118"/>
        <v>6502.1321054331647</v>
      </c>
      <c r="AC315" s="99">
        <f t="shared" si="119"/>
        <v>-4825.5025164874933</v>
      </c>
      <c r="AD315" s="99">
        <f t="shared" si="120"/>
        <v>-19996.954135095479</v>
      </c>
    </row>
    <row r="316" spans="1:30" x14ac:dyDescent="0.25">
      <c r="A316">
        <v>136.5</v>
      </c>
      <c r="B316" s="95">
        <f t="shared" si="121"/>
        <v>-8436.1939307539087</v>
      </c>
      <c r="C316" s="95">
        <f t="shared" si="122"/>
        <v>-10649.481541152527</v>
      </c>
      <c r="D316" s="95">
        <f t="shared" si="123"/>
        <v>-4220.421990066021</v>
      </c>
      <c r="E316" s="95">
        <f t="shared" si="124"/>
        <v>-7047.747463349916</v>
      </c>
      <c r="F316" s="96">
        <f t="shared" si="100"/>
        <v>4700.0471809261935</v>
      </c>
      <c r="G316" s="94">
        <f t="shared" si="101"/>
        <v>-4684.3493104299159</v>
      </c>
      <c r="H316" s="97">
        <f t="shared" si="102"/>
        <v>527.65739091594276</v>
      </c>
      <c r="I316" s="94">
        <f t="shared" si="103"/>
        <v>519.45147205825617</v>
      </c>
      <c r="J316" s="95">
        <f t="shared" si="104"/>
        <v>-151.66144042791404</v>
      </c>
      <c r="K316" s="94">
        <f t="shared" si="105"/>
        <v>270.82174293372509</v>
      </c>
      <c r="L316" s="94">
        <f t="shared" si="106"/>
        <v>4324.0512304381646</v>
      </c>
      <c r="M316" s="93">
        <f t="shared" si="107"/>
        <v>-5474.6225254218971</v>
      </c>
      <c r="N316" s="93">
        <f t="shared" si="108"/>
        <v>25870.773603914582</v>
      </c>
      <c r="O316" s="93">
        <f t="shared" si="109"/>
        <v>23666.911474155888</v>
      </c>
      <c r="P316" s="93">
        <f t="shared" si="110"/>
        <v>5543.8650407926225</v>
      </c>
      <c r="Q316" s="93">
        <f t="shared" si="111"/>
        <v>18294387106146.512</v>
      </c>
      <c r="R316" s="93">
        <f t="shared" si="112"/>
        <v>13693622953442.967</v>
      </c>
      <c r="S316" s="93">
        <f t="shared" si="113"/>
        <v>416088255892.08789</v>
      </c>
      <c r="T316">
        <f t="shared" si="114"/>
        <v>0.5</v>
      </c>
      <c r="X316" s="99">
        <v>273</v>
      </c>
      <c r="Y316" s="99">
        <f t="shared" si="115"/>
        <v>10261.67978121472</v>
      </c>
      <c r="Z316" s="99">
        <f t="shared" si="116"/>
        <v>2506.852326227131</v>
      </c>
      <c r="AA316" s="99">
        <f t="shared" si="117"/>
        <v>-19816.824153149697</v>
      </c>
      <c r="AB316" s="99">
        <f t="shared" si="118"/>
        <v>6504.7966283589922</v>
      </c>
      <c r="AC316" s="99">
        <f t="shared" si="119"/>
        <v>-4738.3202187852803</v>
      </c>
      <c r="AD316" s="99">
        <f t="shared" si="120"/>
        <v>-19993.14767377287</v>
      </c>
    </row>
    <row r="317" spans="1:30" x14ac:dyDescent="0.25">
      <c r="A317">
        <v>137</v>
      </c>
      <c r="B317" s="95">
        <f t="shared" si="121"/>
        <v>-9371.3931305553706</v>
      </c>
      <c r="C317" s="95">
        <f t="shared" si="122"/>
        <v>-15344.442600434963</v>
      </c>
      <c r="D317" s="95">
        <f t="shared" si="123"/>
        <v>-1870.3983996029242</v>
      </c>
      <c r="E317" s="95">
        <f t="shared" si="124"/>
        <v>-9389.9221185648748</v>
      </c>
      <c r="F317" s="96">
        <f t="shared" si="100"/>
        <v>8054.2006093593918</v>
      </c>
      <c r="G317" s="94">
        <f t="shared" si="101"/>
        <v>1254.3742726917571</v>
      </c>
      <c r="H317" s="97">
        <f t="shared" si="102"/>
        <v>362.22524752370634</v>
      </c>
      <c r="I317" s="94">
        <f t="shared" si="103"/>
        <v>427.16772199679275</v>
      </c>
      <c r="J317" s="95">
        <f t="shared" si="104"/>
        <v>-89.764007997814318</v>
      </c>
      <c r="K317" s="94">
        <f t="shared" si="105"/>
        <v>214.04674913942557</v>
      </c>
      <c r="L317" s="94">
        <f t="shared" si="106"/>
        <v>7781.7393698334999</v>
      </c>
      <c r="M317" s="93">
        <f t="shared" si="107"/>
        <v>613.15980155553893</v>
      </c>
      <c r="N317" s="93">
        <f t="shared" si="108"/>
        <v>29951.952015571467</v>
      </c>
      <c r="O317" s="93">
        <f t="shared" si="109"/>
        <v>27482.868385813515</v>
      </c>
      <c r="P317" s="93">
        <f t="shared" si="110"/>
        <v>4384.9422580988548</v>
      </c>
      <c r="Q317" s="93">
        <f t="shared" si="111"/>
        <v>28001465370323.961</v>
      </c>
      <c r="R317" s="93">
        <f t="shared" si="112"/>
        <v>21265071645968.477</v>
      </c>
      <c r="S317" s="93">
        <f t="shared" si="113"/>
        <v>294131682139.15387</v>
      </c>
      <c r="T317">
        <f t="shared" si="114"/>
        <v>0.5</v>
      </c>
      <c r="X317" s="99">
        <v>274</v>
      </c>
      <c r="Y317" s="99">
        <f t="shared" si="115"/>
        <v>10348.782368720626</v>
      </c>
      <c r="Z317" s="99">
        <f t="shared" si="116"/>
        <v>2512.179748700878</v>
      </c>
      <c r="AA317" s="99">
        <f t="shared" si="117"/>
        <v>-19755.852341895563</v>
      </c>
      <c r="AB317" s="99">
        <f t="shared" si="118"/>
        <v>6508.5258240906151</v>
      </c>
      <c r="AC317" s="99">
        <f t="shared" si="119"/>
        <v>-4651.2176312793736</v>
      </c>
      <c r="AD317" s="99">
        <f t="shared" si="120"/>
        <v>-19987.820251299123</v>
      </c>
    </row>
    <row r="318" spans="1:30" x14ac:dyDescent="0.25">
      <c r="A318">
        <v>137.5</v>
      </c>
      <c r="B318" s="95">
        <f t="shared" si="121"/>
        <v>-8293.0421780169854</v>
      </c>
      <c r="C318" s="95">
        <f t="shared" si="122"/>
        <v>-19725.810091544459</v>
      </c>
      <c r="D318" s="95">
        <f t="shared" si="123"/>
        <v>2156.7019050767717</v>
      </c>
      <c r="E318" s="95">
        <f t="shared" si="124"/>
        <v>-8762.7349822189972</v>
      </c>
      <c r="F318" s="96">
        <f t="shared" si="100"/>
        <v>4084.5480287356295</v>
      </c>
      <c r="G318" s="94">
        <f t="shared" si="101"/>
        <v>6127.3513266905311</v>
      </c>
      <c r="H318" s="97">
        <f t="shared" si="102"/>
        <v>262.22525110484543</v>
      </c>
      <c r="I318" s="94">
        <f t="shared" si="103"/>
        <v>390.27378925346142</v>
      </c>
      <c r="J318" s="95">
        <f t="shared" si="104"/>
        <v>-63.333366553191958</v>
      </c>
      <c r="K318" s="94">
        <f t="shared" si="105"/>
        <v>160.81339449973885</v>
      </c>
      <c r="L318" s="94">
        <f t="shared" si="106"/>
        <v>3885.6561441839758</v>
      </c>
      <c r="M318" s="93">
        <f t="shared" si="107"/>
        <v>5576.2641429373307</v>
      </c>
      <c r="N318" s="93">
        <f t="shared" si="108"/>
        <v>32800.611690447979</v>
      </c>
      <c r="O318" s="93">
        <f t="shared" si="109"/>
        <v>31948.030409467432</v>
      </c>
      <c r="P318" s="93">
        <f t="shared" si="110"/>
        <v>5759.9833166027747</v>
      </c>
      <c r="Q318" s="93">
        <f t="shared" si="111"/>
        <v>36526667229877.398</v>
      </c>
      <c r="R318" s="93">
        <f t="shared" si="112"/>
        <v>33197411514720.254</v>
      </c>
      <c r="S318" s="93">
        <f t="shared" si="113"/>
        <v>443743035518.99951</v>
      </c>
      <c r="T318">
        <f t="shared" si="114"/>
        <v>0.5</v>
      </c>
      <c r="X318" s="99">
        <v>275</v>
      </c>
      <c r="Y318" s="99">
        <f t="shared" si="115"/>
        <v>10435.778713738289</v>
      </c>
      <c r="Z318" s="99">
        <f t="shared" si="116"/>
        <v>2519.0265095412724</v>
      </c>
      <c r="AA318" s="99">
        <f t="shared" si="117"/>
        <v>-19694.954900383196</v>
      </c>
      <c r="AB318" s="99">
        <f t="shared" si="118"/>
        <v>6513.3185566788907</v>
      </c>
      <c r="AC318" s="99">
        <f t="shared" si="119"/>
        <v>-4564.2212862617107</v>
      </c>
      <c r="AD318" s="99">
        <f t="shared" si="120"/>
        <v>-19980.973490458728</v>
      </c>
    </row>
    <row r="319" spans="1:30" x14ac:dyDescent="0.25">
      <c r="A319">
        <v>138</v>
      </c>
      <c r="B319" s="95">
        <f t="shared" si="121"/>
        <v>-6193.554218294692</v>
      </c>
      <c r="C319" s="95">
        <f t="shared" si="122"/>
        <v>-22575.339750981326</v>
      </c>
      <c r="D319" s="95">
        <f t="shared" si="123"/>
        <v>4198.9759194445869</v>
      </c>
      <c r="E319" s="95">
        <f t="shared" si="124"/>
        <v>-5699.0593188737312</v>
      </c>
      <c r="F319" s="96">
        <f t="shared" si="100"/>
        <v>965.42199977315954</v>
      </c>
      <c r="G319" s="94">
        <f t="shared" si="101"/>
        <v>5682.5112458181602</v>
      </c>
      <c r="H319" s="97">
        <f t="shared" si="102"/>
        <v>206.09103152194331</v>
      </c>
      <c r="I319" s="94">
        <f t="shared" si="103"/>
        <v>382.76080155708843</v>
      </c>
      <c r="J319" s="95">
        <f t="shared" si="104"/>
        <v>-55.175128375065604</v>
      </c>
      <c r="K319" s="94">
        <f t="shared" si="105"/>
        <v>130.18184267260219</v>
      </c>
      <c r="L319" s="94">
        <f t="shared" si="106"/>
        <v>814.50609662628187</v>
      </c>
      <c r="M319" s="93">
        <f t="shared" si="107"/>
        <v>5169.5686015884694</v>
      </c>
      <c r="N319" s="93">
        <f t="shared" si="108"/>
        <v>34157.828668664049</v>
      </c>
      <c r="O319" s="93">
        <f t="shared" si="109"/>
        <v>35380.371747835445</v>
      </c>
      <c r="P319" s="93">
        <f t="shared" si="110"/>
        <v>7668.7902575834523</v>
      </c>
      <c r="Q319" s="93">
        <f t="shared" si="111"/>
        <v>41141650360369.922</v>
      </c>
      <c r="R319" s="93">
        <f t="shared" si="112"/>
        <v>44939815159663.68</v>
      </c>
      <c r="S319" s="93">
        <f t="shared" si="113"/>
        <v>767266850300.8479</v>
      </c>
      <c r="T319">
        <f t="shared" si="114"/>
        <v>0.5</v>
      </c>
      <c r="X319" s="99">
        <v>276</v>
      </c>
      <c r="Y319" s="99">
        <f t="shared" si="115"/>
        <v>10522.642316338264</v>
      </c>
      <c r="Z319" s="99">
        <f t="shared" si="116"/>
        <v>2527.3905231586332</v>
      </c>
      <c r="AA319" s="99">
        <f t="shared" si="117"/>
        <v>-19634.150378563216</v>
      </c>
      <c r="AB319" s="99">
        <f t="shared" si="118"/>
        <v>6519.1733662110437</v>
      </c>
      <c r="AC319" s="99">
        <f t="shared" si="119"/>
        <v>-4477.3576836617349</v>
      </c>
      <c r="AD319" s="99">
        <f t="shared" si="120"/>
        <v>-19972.609476841368</v>
      </c>
    </row>
    <row r="320" spans="1:30" x14ac:dyDescent="0.25">
      <c r="A320">
        <v>138.5</v>
      </c>
      <c r="B320" s="95">
        <f t="shared" si="121"/>
        <v>-3852.7107586291086</v>
      </c>
      <c r="C320" s="95">
        <f t="shared" si="122"/>
        <v>-24004.241598963654</v>
      </c>
      <c r="D320" s="95">
        <f t="shared" si="123"/>
        <v>4681.6869193311668</v>
      </c>
      <c r="E320" s="95">
        <f t="shared" si="124"/>
        <v>-2857.8036959646511</v>
      </c>
      <c r="F320" s="96">
        <f t="shared" si="100"/>
        <v>-420.98688824563794</v>
      </c>
      <c r="G320" s="94">
        <f t="shared" si="101"/>
        <v>4741.4902365188718</v>
      </c>
      <c r="H320" s="97">
        <f t="shared" si="102"/>
        <v>172.45288014515575</v>
      </c>
      <c r="I320" s="94">
        <f t="shared" si="103"/>
        <v>392.19740419006399</v>
      </c>
      <c r="J320" s="95">
        <f t="shared" si="104"/>
        <v>-53.668493159935984</v>
      </c>
      <c r="K320" s="94">
        <f t="shared" si="105"/>
        <v>113.01936692798439</v>
      </c>
      <c r="L320" s="94">
        <f t="shared" si="106"/>
        <v>-539.77127523085767</v>
      </c>
      <c r="M320" s="93">
        <f t="shared" si="107"/>
        <v>4236.2734654008236</v>
      </c>
      <c r="N320" s="93">
        <f t="shared" si="108"/>
        <v>34415.328475667797</v>
      </c>
      <c r="O320" s="93">
        <f t="shared" si="109"/>
        <v>37643.371216791704</v>
      </c>
      <c r="P320" s="93">
        <f t="shared" si="110"/>
        <v>9077.0391304583973</v>
      </c>
      <c r="Q320" s="93">
        <f t="shared" si="111"/>
        <v>42059386806589.844</v>
      </c>
      <c r="R320" s="93">
        <f t="shared" si="112"/>
        <v>54034727448570.109</v>
      </c>
      <c r="S320" s="93">
        <f t="shared" si="113"/>
        <v>1112914431732.1721</v>
      </c>
      <c r="T320">
        <f t="shared" si="114"/>
        <v>0.5</v>
      </c>
      <c r="X320" s="99">
        <v>277</v>
      </c>
      <c r="Y320" s="99">
        <f t="shared" si="115"/>
        <v>10609.346717025739</v>
      </c>
      <c r="Z320" s="99">
        <f t="shared" si="116"/>
        <v>2537.2692417933904</v>
      </c>
      <c r="AA320" s="99">
        <f t="shared" si="117"/>
        <v>-19573.457298081983</v>
      </c>
      <c r="AB320" s="99">
        <f t="shared" si="118"/>
        <v>6526.0884692553736</v>
      </c>
      <c r="AC320" s="99">
        <f t="shared" si="119"/>
        <v>-4390.6532829742619</v>
      </c>
      <c r="AD320" s="99">
        <f t="shared" si="120"/>
        <v>-19962.73075820661</v>
      </c>
    </row>
    <row r="321" spans="1:30" x14ac:dyDescent="0.25">
      <c r="A321">
        <v>139</v>
      </c>
      <c r="B321" s="95">
        <f t="shared" si="121"/>
        <v>-1617.1140210249346</v>
      </c>
      <c r="C321" s="95">
        <f t="shared" si="122"/>
        <v>-24247.770887816259</v>
      </c>
      <c r="D321" s="95">
        <f t="shared" si="123"/>
        <v>4471.193475208348</v>
      </c>
      <c r="E321" s="95">
        <f t="shared" si="124"/>
        <v>-487.05857770521516</v>
      </c>
      <c r="F321" s="96">
        <f t="shared" si="100"/>
        <v>-1218.1555258308144</v>
      </c>
      <c r="G321" s="94">
        <f t="shared" si="101"/>
        <v>4114.8348109864219</v>
      </c>
      <c r="H321" s="97">
        <f t="shared" si="102"/>
        <v>152.4054486617716</v>
      </c>
      <c r="I321" s="94">
        <f t="shared" si="103"/>
        <v>416.50045419300125</v>
      </c>
      <c r="J321" s="95">
        <f t="shared" si="104"/>
        <v>-55.54154471368026</v>
      </c>
      <c r="K321" s="94">
        <f t="shared" si="105"/>
        <v>103.47527043822633</v>
      </c>
      <c r="L321" s="94">
        <f t="shared" si="106"/>
        <v>-1315.0194297789058</v>
      </c>
      <c r="M321" s="93">
        <f t="shared" si="107"/>
        <v>3594.859086355194</v>
      </c>
      <c r="N321" s="93">
        <f t="shared" si="108"/>
        <v>33806.483025046655</v>
      </c>
      <c r="O321" s="93">
        <f t="shared" si="109"/>
        <v>38869.529296099703</v>
      </c>
      <c r="P321" s="93">
        <f t="shared" si="110"/>
        <v>9847.0901255288627</v>
      </c>
      <c r="Q321" s="93">
        <f t="shared" si="111"/>
        <v>39911346548335.266</v>
      </c>
      <c r="R321" s="93">
        <f t="shared" si="112"/>
        <v>59441325004182.211</v>
      </c>
      <c r="S321" s="93">
        <f t="shared" si="113"/>
        <v>1346957251329.5879</v>
      </c>
      <c r="T321">
        <f t="shared" si="114"/>
        <v>0.5</v>
      </c>
      <c r="X321" s="99">
        <v>278</v>
      </c>
      <c r="Y321" s="99">
        <f t="shared" si="115"/>
        <v>10695.865504800327</v>
      </c>
      <c r="Z321" s="99">
        <f t="shared" si="116"/>
        <v>2548.6596562921486</v>
      </c>
      <c r="AA321" s="99">
        <f t="shared" si="117"/>
        <v>-19512.89414663977</v>
      </c>
      <c r="AB321" s="99">
        <f t="shared" si="118"/>
        <v>6534.0617594045034</v>
      </c>
      <c r="AC321" s="99">
        <f t="shared" si="119"/>
        <v>-4304.1344951996725</v>
      </c>
      <c r="AD321" s="99">
        <f t="shared" si="120"/>
        <v>-19951.340343707852</v>
      </c>
    </row>
    <row r="322" spans="1:30" x14ac:dyDescent="0.25">
      <c r="A322">
        <v>139.5</v>
      </c>
      <c r="B322" s="95">
        <f t="shared" si="121"/>
        <v>313.94383512153581</v>
      </c>
      <c r="C322" s="95">
        <f t="shared" si="122"/>
        <v>-23462.591473922264</v>
      </c>
      <c r="D322" s="95">
        <f t="shared" si="123"/>
        <v>3862.1157122929408</v>
      </c>
      <c r="E322" s="95">
        <f t="shared" si="124"/>
        <v>1570.3588277879958</v>
      </c>
      <c r="F322" s="96">
        <f t="shared" si="100"/>
        <v>-1911.1168625728992</v>
      </c>
      <c r="G322" s="94">
        <f t="shared" si="101"/>
        <v>3733.5069712054424</v>
      </c>
      <c r="H322" s="97">
        <f t="shared" si="102"/>
        <v>143.3899212114525</v>
      </c>
      <c r="I322" s="94">
        <f t="shared" si="103"/>
        <v>458.36235887692806</v>
      </c>
      <c r="J322" s="95">
        <f t="shared" si="104"/>
        <v>-60.095408339623553</v>
      </c>
      <c r="K322" s="94">
        <f t="shared" si="105"/>
        <v>98.993485216325197</v>
      </c>
      <c r="L322" s="94">
        <f t="shared" si="106"/>
        <v>-1994.4113754447283</v>
      </c>
      <c r="M322" s="93">
        <f t="shared" si="107"/>
        <v>3176.151127112189</v>
      </c>
      <c r="N322" s="93">
        <f t="shared" si="108"/>
        <v>32442.283440136944</v>
      </c>
      <c r="O322" s="93">
        <f t="shared" si="109"/>
        <v>39145.898154047856</v>
      </c>
      <c r="P322" s="93">
        <f t="shared" si="110"/>
        <v>9992.6699904143734</v>
      </c>
      <c r="Q322" s="93">
        <f t="shared" si="111"/>
        <v>35369341899754.461</v>
      </c>
      <c r="R322" s="93">
        <f t="shared" si="112"/>
        <v>60707968376209.961</v>
      </c>
      <c r="S322" s="93">
        <f t="shared" si="113"/>
        <v>1395085547507.6353</v>
      </c>
      <c r="T322">
        <f t="shared" si="114"/>
        <v>0.5</v>
      </c>
      <c r="X322" s="99">
        <v>279</v>
      </c>
      <c r="Y322" s="99">
        <f t="shared" si="115"/>
        <v>10782.172325201154</v>
      </c>
      <c r="Z322" s="99">
        <f t="shared" si="116"/>
        <v>2561.5582970243113</v>
      </c>
      <c r="AA322" s="99">
        <f t="shared" si="117"/>
        <v>-19452.479372359194</v>
      </c>
      <c r="AB322" s="99">
        <f t="shared" si="118"/>
        <v>6543.0908079170176</v>
      </c>
      <c r="AC322" s="99">
        <f t="shared" si="119"/>
        <v>-4217.8276747988466</v>
      </c>
      <c r="AD322" s="99">
        <f t="shared" si="120"/>
        <v>-19938.441702975688</v>
      </c>
    </row>
    <row r="323" spans="1:30" x14ac:dyDescent="0.25">
      <c r="A323">
        <v>140</v>
      </c>
      <c r="B323" s="95">
        <f t="shared" si="121"/>
        <v>1767.2224756247815</v>
      </c>
      <c r="C323" s="95">
        <f t="shared" si="122"/>
        <v>-21744.035317226906</v>
      </c>
      <c r="D323" s="95">
        <f t="shared" si="123"/>
        <v>2906.5572810064914</v>
      </c>
      <c r="E323" s="95">
        <f t="shared" si="124"/>
        <v>3437.1123133907167</v>
      </c>
      <c r="F323" s="96">
        <f t="shared" si="100"/>
        <v>-2745.99269114974</v>
      </c>
      <c r="G323" s="94">
        <f t="shared" si="101"/>
        <v>3439.632164017687</v>
      </c>
      <c r="H323" s="97">
        <f t="shared" si="102"/>
        <v>147.68549297722851</v>
      </c>
      <c r="I323" s="94">
        <f t="shared" si="103"/>
        <v>524.60056884579751</v>
      </c>
      <c r="J323" s="95">
        <f t="shared" si="104"/>
        <v>-67.714353023628547</v>
      </c>
      <c r="K323" s="94">
        <f t="shared" si="105"/>
        <v>98.750624535229662</v>
      </c>
      <c r="L323" s="94">
        <f t="shared" si="106"/>
        <v>-2825.96383110334</v>
      </c>
      <c r="M323" s="93">
        <f t="shared" si="107"/>
        <v>2816.2809706366597</v>
      </c>
      <c r="N323" s="93">
        <f t="shared" si="108"/>
        <v>30380.787142552319</v>
      </c>
      <c r="O323" s="93">
        <f t="shared" si="109"/>
        <v>38490.203331818004</v>
      </c>
      <c r="P323" s="93">
        <f t="shared" si="110"/>
        <v>9553.9160763848558</v>
      </c>
      <c r="Q323" s="93">
        <f t="shared" si="111"/>
        <v>29188190015391.133</v>
      </c>
      <c r="R323" s="93">
        <f t="shared" si="112"/>
        <v>57731790247268.695</v>
      </c>
      <c r="S323" s="93">
        <f t="shared" si="113"/>
        <v>1253841030603.3574</v>
      </c>
      <c r="T323">
        <f t="shared" si="114"/>
        <v>0.5</v>
      </c>
      <c r="X323" s="99">
        <v>280</v>
      </c>
      <c r="Y323" s="99">
        <f t="shared" si="115"/>
        <v>10868.240888334651</v>
      </c>
      <c r="Z323" s="99">
        <f t="shared" si="116"/>
        <v>2575.961234938959</v>
      </c>
      <c r="AA323" s="99">
        <f t="shared" si="117"/>
        <v>-19392.231378165747</v>
      </c>
      <c r="AB323" s="99">
        <f t="shared" si="118"/>
        <v>6553.1728644572713</v>
      </c>
      <c r="AC323" s="99">
        <f t="shared" si="119"/>
        <v>-4131.7591116653502</v>
      </c>
      <c r="AD323" s="99">
        <f t="shared" si="120"/>
        <v>-19924.038765061043</v>
      </c>
    </row>
    <row r="324" spans="1:30" x14ac:dyDescent="0.25">
      <c r="A324">
        <v>140.5</v>
      </c>
      <c r="B324" s="95">
        <f t="shared" si="121"/>
        <v>2534.0029433405921</v>
      </c>
      <c r="C324" s="95">
        <f t="shared" si="122"/>
        <v>-19165.571119527125</v>
      </c>
      <c r="D324" s="95">
        <f t="shared" si="123"/>
        <v>1533.5609354316214</v>
      </c>
      <c r="E324" s="95">
        <f t="shared" si="124"/>
        <v>5156.92839539956</v>
      </c>
      <c r="F324" s="96">
        <f t="shared" si="100"/>
        <v>-3902.1520220502298</v>
      </c>
      <c r="G324" s="94">
        <f t="shared" si="101"/>
        <v>2940.3063582005252</v>
      </c>
      <c r="H324" s="97">
        <f t="shared" si="102"/>
        <v>175.45602880670165</v>
      </c>
      <c r="I324" s="94">
        <f t="shared" si="103"/>
        <v>626.65912924807867</v>
      </c>
      <c r="J324" s="95">
        <f t="shared" si="104"/>
        <v>-79.750903547626038</v>
      </c>
      <c r="K324" s="94">
        <f t="shared" si="105"/>
        <v>103.22092595413571</v>
      </c>
      <c r="L324" s="94">
        <f t="shared" si="106"/>
        <v>-3997.8571473093052</v>
      </c>
      <c r="M324" s="93">
        <f t="shared" si="107"/>
        <v>2210.4263029983108</v>
      </c>
      <c r="N324" s="93">
        <f t="shared" si="108"/>
        <v>27691.041785758189</v>
      </c>
      <c r="O324" s="93">
        <f t="shared" si="109"/>
        <v>36856.638850805117</v>
      </c>
      <c r="P324" s="93">
        <f t="shared" si="110"/>
        <v>8608.9013876396075</v>
      </c>
      <c r="Q324" s="93">
        <f t="shared" si="111"/>
        <v>22280151580280.465</v>
      </c>
      <c r="R324" s="93">
        <f t="shared" si="112"/>
        <v>50745259403757.508</v>
      </c>
      <c r="S324" s="93">
        <f t="shared" si="113"/>
        <v>986727281924.54199</v>
      </c>
      <c r="T324">
        <f t="shared" si="114"/>
        <v>0.5</v>
      </c>
      <c r="X324" s="99">
        <v>281</v>
      </c>
      <c r="Y324" s="99">
        <f t="shared" si="115"/>
        <v>10954.044976882722</v>
      </c>
      <c r="Z324" s="99">
        <f t="shared" si="116"/>
        <v>2591.8640827616791</v>
      </c>
      <c r="AA324" s="99">
        <f t="shared" si="117"/>
        <v>-19332.168516182093</v>
      </c>
      <c r="AB324" s="99">
        <f t="shared" si="118"/>
        <v>6564.3048579331753</v>
      </c>
      <c r="AC324" s="99">
        <f t="shared" si="119"/>
        <v>-4045.9550231172789</v>
      </c>
      <c r="AD324" s="99">
        <f t="shared" si="120"/>
        <v>-19908.13591723832</v>
      </c>
    </row>
    <row r="325" spans="1:30" x14ac:dyDescent="0.25">
      <c r="A325">
        <v>141</v>
      </c>
      <c r="B325" s="95">
        <f t="shared" si="121"/>
        <v>2325.2454055438452</v>
      </c>
      <c r="C325" s="95">
        <f t="shared" si="122"/>
        <v>-15852.030332277212</v>
      </c>
      <c r="D325" s="95">
        <f t="shared" si="123"/>
        <v>-417.51507559349352</v>
      </c>
      <c r="E325" s="95">
        <f t="shared" si="124"/>
        <v>6627.0815744998226</v>
      </c>
      <c r="F325" s="96">
        <f t="shared" si="100"/>
        <v>-5267.092806991408</v>
      </c>
      <c r="G325" s="94">
        <f t="shared" si="101"/>
        <v>1520.0965126085803</v>
      </c>
      <c r="H325" s="97">
        <f t="shared" si="102"/>
        <v>254.60105124346495</v>
      </c>
      <c r="I325" s="94">
        <f t="shared" si="103"/>
        <v>774.67642751231995</v>
      </c>
      <c r="J325" s="95">
        <f t="shared" si="104"/>
        <v>-99.042492484773931</v>
      </c>
      <c r="K325" s="94">
        <f t="shared" si="105"/>
        <v>114.68852742218446</v>
      </c>
      <c r="L325" s="94">
        <f t="shared" si="106"/>
        <v>-5422.6513657500991</v>
      </c>
      <c r="M325" s="93">
        <f t="shared" si="107"/>
        <v>630.73155767407582</v>
      </c>
      <c r="N325" s="93">
        <f t="shared" si="108"/>
        <v>24580.870178346431</v>
      </c>
      <c r="O325" s="93">
        <f t="shared" si="109"/>
        <v>34157.635379498061</v>
      </c>
      <c r="P325" s="93">
        <f t="shared" si="110"/>
        <v>7374.6305628527334</v>
      </c>
      <c r="Q325" s="93">
        <f t="shared" si="111"/>
        <v>15783485924541.355</v>
      </c>
      <c r="R325" s="93">
        <f t="shared" si="112"/>
        <v>40482509143714.016</v>
      </c>
      <c r="S325" s="93">
        <f t="shared" si="113"/>
        <v>707308891278.73511</v>
      </c>
      <c r="T325">
        <f t="shared" si="114"/>
        <v>0.5</v>
      </c>
      <c r="X325" s="99">
        <v>282</v>
      </c>
      <c r="Y325" s="99">
        <f t="shared" si="115"/>
        <v>11039.558454088792</v>
      </c>
      <c r="Z325" s="99">
        <f t="shared" si="116"/>
        <v>2609.2619963309708</v>
      </c>
      <c r="AA325" s="99">
        <f t="shared" si="117"/>
        <v>-19272.309082137846</v>
      </c>
      <c r="AB325" s="99">
        <f t="shared" si="118"/>
        <v>6576.4833974316798</v>
      </c>
      <c r="AC325" s="99">
        <f t="shared" si="119"/>
        <v>-3960.441545911207</v>
      </c>
      <c r="AD325" s="99">
        <f t="shared" si="120"/>
        <v>-19890.73800366903</v>
      </c>
    </row>
    <row r="326" spans="1:30" x14ac:dyDescent="0.25">
      <c r="A326">
        <v>141.5</v>
      </c>
      <c r="B326" s="95">
        <f t="shared" si="121"/>
        <v>799.71466599924634</v>
      </c>
      <c r="C326" s="95">
        <f t="shared" si="122"/>
        <v>-12158.465416875157</v>
      </c>
      <c r="D326" s="95">
        <f t="shared" si="123"/>
        <v>-3051.0614790891977</v>
      </c>
      <c r="E326" s="95">
        <f t="shared" si="124"/>
        <v>7387.1298308041132</v>
      </c>
      <c r="F326" s="96">
        <f t="shared" si="100"/>
        <v>-5267.7708246589527</v>
      </c>
      <c r="G326" s="94">
        <f t="shared" si="101"/>
        <v>-1660.0623012848014</v>
      </c>
      <c r="H326" s="97">
        <f t="shared" si="102"/>
        <v>435.95875635194079</v>
      </c>
      <c r="I326" s="94">
        <f t="shared" si="103"/>
        <v>931.52329778904118</v>
      </c>
      <c r="J326" s="95">
        <f t="shared" si="104"/>
        <v>-130.47366124701841</v>
      </c>
      <c r="K326" s="94">
        <f t="shared" si="105"/>
        <v>138.99691207212288</v>
      </c>
      <c r="L326" s="94">
        <f t="shared" si="106"/>
        <v>-5573.2559197638748</v>
      </c>
      <c r="M326" s="93">
        <f t="shared" si="107"/>
        <v>-2730.5825111459653</v>
      </c>
      <c r="N326" s="93">
        <f t="shared" si="108"/>
        <v>21704.849982745927</v>
      </c>
      <c r="O326" s="93">
        <f t="shared" si="109"/>
        <v>30391.211226567404</v>
      </c>
      <c r="P326" s="93">
        <f t="shared" si="110"/>
        <v>6458.406072251978</v>
      </c>
      <c r="Q326" s="93">
        <f t="shared" si="111"/>
        <v>11049802454590.232</v>
      </c>
      <c r="R326" s="93">
        <f t="shared" si="112"/>
        <v>28630390413995.535</v>
      </c>
      <c r="S326" s="93">
        <f t="shared" si="113"/>
        <v>544874224628.34991</v>
      </c>
      <c r="T326">
        <f t="shared" si="114"/>
        <v>0.5</v>
      </c>
      <c r="X326" s="99">
        <v>283</v>
      </c>
      <c r="Y326" s="99">
        <f t="shared" si="115"/>
        <v>11124.755271719325</v>
      </c>
      <c r="Z326" s="99">
        <f t="shared" si="116"/>
        <v>2628.1496760738237</v>
      </c>
      <c r="AA326" s="99">
        <f t="shared" si="117"/>
        <v>-19212.671309796471</v>
      </c>
      <c r="AB326" s="99">
        <f t="shared" si="118"/>
        <v>6589.7047732516767</v>
      </c>
      <c r="AC326" s="99">
        <f t="shared" si="119"/>
        <v>-3875.2447282806752</v>
      </c>
      <c r="AD326" s="99">
        <f t="shared" si="120"/>
        <v>-19871.850323926177</v>
      </c>
    </row>
    <row r="327" spans="1:30" x14ac:dyDescent="0.25">
      <c r="A327">
        <v>142</v>
      </c>
      <c r="B327" s="95">
        <f t="shared" si="121"/>
        <v>-2042.7587797100907</v>
      </c>
      <c r="C327" s="95">
        <f t="shared" si="122"/>
        <v>-8879.9160767943013</v>
      </c>
      <c r="D327" s="95">
        <f t="shared" si="123"/>
        <v>-5684.9468914186746</v>
      </c>
      <c r="E327" s="95">
        <f t="shared" si="124"/>
        <v>6557.0986801617128</v>
      </c>
      <c r="F327" s="96">
        <f t="shared" si="100"/>
        <v>-2067.6437049903448</v>
      </c>
      <c r="G327" s="94">
        <f t="shared" si="101"/>
        <v>-4212.5442055558997</v>
      </c>
      <c r="H327" s="97">
        <f t="shared" si="102"/>
        <v>687.10526700008961</v>
      </c>
      <c r="I327" s="94">
        <f t="shared" si="103"/>
        <v>934.56381675160878</v>
      </c>
      <c r="J327" s="95">
        <f t="shared" si="104"/>
        <v>-177.48470653504063</v>
      </c>
      <c r="K327" s="94">
        <f t="shared" si="105"/>
        <v>186.60418508550472</v>
      </c>
      <c r="L327" s="94">
        <f t="shared" si="106"/>
        <v>-2577.2642654553938</v>
      </c>
      <c r="M327" s="93">
        <f t="shared" si="107"/>
        <v>-5333.7122073930132</v>
      </c>
      <c r="N327" s="93">
        <f t="shared" si="108"/>
        <v>20330.511299746224</v>
      </c>
      <c r="O327" s="93">
        <f t="shared" si="109"/>
        <v>26055.973275056818</v>
      </c>
      <c r="P327" s="93">
        <f t="shared" si="110"/>
        <v>6797.1098903918428</v>
      </c>
      <c r="Q327" s="93">
        <f t="shared" si="111"/>
        <v>9177012686006.7344</v>
      </c>
      <c r="R327" s="93">
        <f t="shared" si="112"/>
        <v>18170690122950.41</v>
      </c>
      <c r="S327" s="93">
        <f t="shared" si="113"/>
        <v>600795154321.9093</v>
      </c>
      <c r="T327">
        <f t="shared" si="114"/>
        <v>0.5</v>
      </c>
      <c r="X327" s="99">
        <v>284</v>
      </c>
      <c r="Y327" s="99">
        <f t="shared" si="115"/>
        <v>11209.609477998338</v>
      </c>
      <c r="Z327" s="99">
        <f t="shared" si="116"/>
        <v>2648.5213686200168</v>
      </c>
      <c r="AA327" s="99">
        <f t="shared" si="117"/>
        <v>-19153.273365401164</v>
      </c>
      <c r="AB327" s="99">
        <f t="shared" si="118"/>
        <v>6603.9649580340119</v>
      </c>
      <c r="AC327" s="99">
        <f t="shared" si="119"/>
        <v>-3790.3905220016627</v>
      </c>
      <c r="AD327" s="99">
        <f t="shared" si="120"/>
        <v>-19851.478631379985</v>
      </c>
    </row>
    <row r="328" spans="1:30" x14ac:dyDescent="0.25">
      <c r="A328">
        <v>142.5</v>
      </c>
      <c r="B328" s="95">
        <f t="shared" si="121"/>
        <v>-5402.1431516670136</v>
      </c>
      <c r="C328" s="95">
        <f t="shared" si="122"/>
        <v>-6654.5027881024198</v>
      </c>
      <c r="D328" s="95">
        <f t="shared" si="123"/>
        <v>-6718.7687439138472</v>
      </c>
      <c r="E328" s="95">
        <f t="shared" si="124"/>
        <v>4450.8265773837629</v>
      </c>
      <c r="F328" s="96">
        <f t="shared" si="100"/>
        <v>806.0956138713866</v>
      </c>
      <c r="G328" s="94">
        <f t="shared" si="101"/>
        <v>-3723.1372062491182</v>
      </c>
      <c r="H328" s="97">
        <f t="shared" si="102"/>
        <v>810.59736121382196</v>
      </c>
      <c r="I328" s="94">
        <f t="shared" si="103"/>
        <v>744.93546101652032</v>
      </c>
      <c r="J328" s="95">
        <f t="shared" si="104"/>
        <v>-232.59091294681176</v>
      </c>
      <c r="K328" s="94">
        <f t="shared" si="105"/>
        <v>265.35991196559257</v>
      </c>
      <c r="L328" s="94">
        <f t="shared" si="106"/>
        <v>228.08916560437638</v>
      </c>
      <c r="M328" s="93">
        <f t="shared" si="107"/>
        <v>-4733.4325792312311</v>
      </c>
      <c r="N328" s="93">
        <f t="shared" si="108"/>
        <v>20918.316443797339</v>
      </c>
      <c r="O328" s="93">
        <f t="shared" si="109"/>
        <v>22146.554758773058</v>
      </c>
      <c r="P328" s="93">
        <f t="shared" si="110"/>
        <v>8355.1805981811649</v>
      </c>
      <c r="Q328" s="93">
        <f t="shared" si="111"/>
        <v>9948889154692.5234</v>
      </c>
      <c r="R328" s="93">
        <f t="shared" si="112"/>
        <v>11271691646206.895</v>
      </c>
      <c r="S328" s="93">
        <f t="shared" si="113"/>
        <v>923155035751.72559</v>
      </c>
      <c r="T328">
        <f t="shared" si="114"/>
        <v>0.5</v>
      </c>
      <c r="X328" s="99">
        <v>285</v>
      </c>
      <c r="Y328" s="99">
        <f t="shared" si="115"/>
        <v>11294.095225512605</v>
      </c>
      <c r="Z328" s="99">
        <f t="shared" si="116"/>
        <v>2670.370868554659</v>
      </c>
      <c r="AA328" s="99">
        <f t="shared" si="117"/>
        <v>-19094.133342141176</v>
      </c>
      <c r="AB328" s="99">
        <f t="shared" si="118"/>
        <v>6619.2596079882615</v>
      </c>
      <c r="AC328" s="99">
        <f t="shared" si="119"/>
        <v>-3705.9047744873942</v>
      </c>
      <c r="AD328" s="99">
        <f t="shared" si="120"/>
        <v>-19829.629131445341</v>
      </c>
    </row>
    <row r="329" spans="1:30" x14ac:dyDescent="0.25">
      <c r="A329">
        <v>143</v>
      </c>
      <c r="B329" s="95">
        <f t="shared" si="121"/>
        <v>-8560.0036201560906</v>
      </c>
      <c r="C329" s="95">
        <f t="shared" si="122"/>
        <v>-5359.8738009728177</v>
      </c>
      <c r="D329" s="95">
        <f t="shared" si="123"/>
        <v>-6315.720936978154</v>
      </c>
      <c r="E329" s="95">
        <f t="shared" si="124"/>
        <v>2589.2579742592038</v>
      </c>
      <c r="F329" s="96">
        <f t="shared" si="100"/>
        <v>1756.0830994099892</v>
      </c>
      <c r="G329" s="94">
        <f t="shared" si="101"/>
        <v>-2463.5662326690795</v>
      </c>
      <c r="H329" s="97">
        <f t="shared" si="102"/>
        <v>785.64901587195118</v>
      </c>
      <c r="I329" s="94">
        <f t="shared" si="103"/>
        <v>544.36127291481705</v>
      </c>
      <c r="J329" s="95">
        <f t="shared" si="104"/>
        <v>-278.40381582843077</v>
      </c>
      <c r="K329" s="94">
        <f t="shared" si="105"/>
        <v>373.79797465393267</v>
      </c>
      <c r="L329" s="94">
        <f t="shared" si="106"/>
        <v>1248.8378993664689</v>
      </c>
      <c r="M329" s="93">
        <f t="shared" si="107"/>
        <v>-3381.7254802378293</v>
      </c>
      <c r="N329" s="93">
        <f t="shared" si="108"/>
        <v>22579.860242197123</v>
      </c>
      <c r="O329" s="93">
        <f t="shared" si="109"/>
        <v>19152.003559749381</v>
      </c>
      <c r="P329" s="93">
        <f t="shared" si="110"/>
        <v>10276.461400146196</v>
      </c>
      <c r="Q329" s="93">
        <f t="shared" si="111"/>
        <v>12369385023448.699</v>
      </c>
      <c r="R329" s="93">
        <f t="shared" si="112"/>
        <v>7379780522304.8076</v>
      </c>
      <c r="S329" s="93">
        <f t="shared" si="113"/>
        <v>1492598469012.55</v>
      </c>
      <c r="T329">
        <f t="shared" si="114"/>
        <v>0.5</v>
      </c>
      <c r="X329" s="99">
        <v>286</v>
      </c>
      <c r="Y329" s="99">
        <f t="shared" si="115"/>
        <v>11378.186779084997</v>
      </c>
      <c r="Z329" s="99">
        <f t="shared" si="116"/>
        <v>2693.6915203084063</v>
      </c>
      <c r="AA329" s="99">
        <f t="shared" si="117"/>
        <v>-19035.269254640501</v>
      </c>
      <c r="AB329" s="99">
        <f t="shared" si="118"/>
        <v>6635.5840642158837</v>
      </c>
      <c r="AC329" s="99">
        <f t="shared" si="119"/>
        <v>-3621.8132209150031</v>
      </c>
      <c r="AD329" s="99">
        <f t="shared" si="120"/>
        <v>-19806.308479691594</v>
      </c>
    </row>
    <row r="330" spans="1:30" x14ac:dyDescent="0.25">
      <c r="A330">
        <v>143.5</v>
      </c>
      <c r="B330" s="95">
        <f t="shared" si="121"/>
        <v>-11278.843313792671</v>
      </c>
      <c r="C330" s="95">
        <f t="shared" si="122"/>
        <v>-4681.1363720104855</v>
      </c>
      <c r="D330" s="95">
        <f t="shared" si="123"/>
        <v>-5437.6793872731596</v>
      </c>
      <c r="E330" s="95">
        <f t="shared" si="124"/>
        <v>1357.4748579246641</v>
      </c>
      <c r="F330" s="96">
        <f t="shared" si="100"/>
        <v>1886.8183504759238</v>
      </c>
      <c r="G330" s="94">
        <f t="shared" si="101"/>
        <v>-1513.4055470418652</v>
      </c>
      <c r="H330" s="97">
        <f t="shared" si="102"/>
        <v>711.06455084401625</v>
      </c>
      <c r="I330" s="94">
        <f t="shared" si="103"/>
        <v>407.05099123123034</v>
      </c>
      <c r="J330" s="95">
        <f t="shared" si="104"/>
        <v>-295.72640739370593</v>
      </c>
      <c r="K330" s="94">
        <f t="shared" si="105"/>
        <v>497.82384057129116</v>
      </c>
      <c r="L330" s="94">
        <f t="shared" si="106"/>
        <v>1471.4802070256135</v>
      </c>
      <c r="M330" s="93">
        <f t="shared" si="107"/>
        <v>-2418.2803788443866</v>
      </c>
      <c r="N330" s="93">
        <f t="shared" si="108"/>
        <v>24518.753151138328</v>
      </c>
      <c r="O330" s="93">
        <f t="shared" si="109"/>
        <v>17076.133611533613</v>
      </c>
      <c r="P330" s="93">
        <f t="shared" si="110"/>
        <v>12079.023964385693</v>
      </c>
      <c r="Q330" s="93">
        <f t="shared" si="111"/>
        <v>15668867604249.307</v>
      </c>
      <c r="R330" s="93">
        <f t="shared" si="112"/>
        <v>5296350576228.9873</v>
      </c>
      <c r="S330" s="93">
        <f t="shared" si="113"/>
        <v>2234209237459.4761</v>
      </c>
      <c r="T330">
        <f t="shared" si="114"/>
        <v>0.5</v>
      </c>
      <c r="X330" s="99">
        <v>287</v>
      </c>
      <c r="Y330" s="99">
        <f t="shared" si="115"/>
        <v>11461.858523613684</v>
      </c>
      <c r="Z330" s="99">
        <f t="shared" si="116"/>
        <v>2718.4762201848225</v>
      </c>
      <c r="AA330" s="99">
        <f t="shared" si="117"/>
        <v>-18976.699033470421</v>
      </c>
      <c r="AB330" s="99">
        <f t="shared" si="118"/>
        <v>6652.9333541293763</v>
      </c>
      <c r="AC330" s="99">
        <f t="shared" si="119"/>
        <v>-3538.1414763863168</v>
      </c>
      <c r="AD330" s="99">
        <f t="shared" si="120"/>
        <v>-19781.523779815179</v>
      </c>
    </row>
    <row r="331" spans="1:30" x14ac:dyDescent="0.25">
      <c r="A331">
        <v>144</v>
      </c>
      <c r="B331" s="95">
        <f t="shared" si="121"/>
        <v>-13525.978419810272</v>
      </c>
      <c r="C331" s="95">
        <f t="shared" si="122"/>
        <v>-4380.7503298086194</v>
      </c>
      <c r="D331" s="95">
        <f t="shared" si="123"/>
        <v>-4494.2702120351978</v>
      </c>
      <c r="E331" s="95">
        <f t="shared" si="124"/>
        <v>600.77208440373147</v>
      </c>
      <c r="F331" s="96">
        <f t="shared" si="100"/>
        <v>1824.4359993228281</v>
      </c>
      <c r="G331" s="94">
        <f t="shared" si="101"/>
        <v>-886.24472996365978</v>
      </c>
      <c r="H331" s="97">
        <f t="shared" si="102"/>
        <v>638.0988451915274</v>
      </c>
      <c r="I331" s="94">
        <f t="shared" si="103"/>
        <v>322.24347613428085</v>
      </c>
      <c r="J331" s="95">
        <f t="shared" si="104"/>
        <v>-275.79326992770461</v>
      </c>
      <c r="K331" s="94">
        <f t="shared" si="105"/>
        <v>612.61985434339624</v>
      </c>
      <c r="L331" s="94">
        <f t="shared" si="106"/>
        <v>1462.1304240590055</v>
      </c>
      <c r="M331" s="93">
        <f t="shared" si="107"/>
        <v>-1821.1080604413369</v>
      </c>
      <c r="N331" s="93">
        <f t="shared" si="108"/>
        <v>26355.718336039074</v>
      </c>
      <c r="O331" s="93">
        <f t="shared" si="109"/>
        <v>15770.825453001915</v>
      </c>
      <c r="P331" s="93">
        <f t="shared" si="110"/>
        <v>13618.398274868092</v>
      </c>
      <c r="Q331" s="93">
        <f t="shared" si="111"/>
        <v>19304491127338.305</v>
      </c>
      <c r="R331" s="93">
        <f t="shared" si="112"/>
        <v>4215831272101.7529</v>
      </c>
      <c r="S331" s="93">
        <f t="shared" si="113"/>
        <v>3053210430432.8604</v>
      </c>
      <c r="T331">
        <f t="shared" si="114"/>
        <v>0.5</v>
      </c>
      <c r="X331" s="99">
        <v>288</v>
      </c>
      <c r="Y331" s="99">
        <f t="shared" si="115"/>
        <v>11545.084971874736</v>
      </c>
      <c r="Z331" s="99">
        <f t="shared" si="116"/>
        <v>2744.717418524232</v>
      </c>
      <c r="AA331" s="99">
        <f t="shared" si="117"/>
        <v>-18918.440519687683</v>
      </c>
      <c r="AB331" s="99">
        <f t="shared" si="118"/>
        <v>6671.3021929669621</v>
      </c>
      <c r="AC331" s="99">
        <f t="shared" si="119"/>
        <v>-3454.9150281252641</v>
      </c>
      <c r="AD331" s="99">
        <f t="shared" si="120"/>
        <v>-19755.282581475767</v>
      </c>
    </row>
    <row r="332" spans="1:30" x14ac:dyDescent="0.25">
      <c r="A332">
        <v>144.5</v>
      </c>
      <c r="B332" s="95">
        <f t="shared" si="121"/>
        <v>-15317.004525997163</v>
      </c>
      <c r="C332" s="95">
        <f t="shared" si="122"/>
        <v>-4301.9254700976689</v>
      </c>
      <c r="D332" s="95">
        <f t="shared" si="123"/>
        <v>-3582.0522123737837</v>
      </c>
      <c r="E332" s="95">
        <f t="shared" si="124"/>
        <v>157.64971942190158</v>
      </c>
      <c r="F332" s="96">
        <f t="shared" si="100"/>
        <v>1753.1277802093052</v>
      </c>
      <c r="G332" s="94">
        <f t="shared" si="101"/>
        <v>-485.95678465306491</v>
      </c>
      <c r="H332" s="97">
        <f t="shared" si="102"/>
        <v>580.13094969078963</v>
      </c>
      <c r="I332" s="94">
        <f t="shared" si="103"/>
        <v>270.43729538054464</v>
      </c>
      <c r="J332" s="95">
        <f t="shared" si="104"/>
        <v>-228.01751682157885</v>
      </c>
      <c r="K332" s="94">
        <f t="shared" si="105"/>
        <v>696.36828597477017</v>
      </c>
      <c r="L332" s="94">
        <f t="shared" si="106"/>
        <v>1401.0143473400944</v>
      </c>
      <c r="M332" s="93">
        <f t="shared" si="107"/>
        <v>-1452.7623660083798</v>
      </c>
      <c r="N332" s="93">
        <f t="shared" si="108"/>
        <v>27932.707762963135</v>
      </c>
      <c r="O332" s="93">
        <f t="shared" si="109"/>
        <v>15049.103586651248</v>
      </c>
      <c r="P332" s="93">
        <f t="shared" si="110"/>
        <v>14862.347763283933</v>
      </c>
      <c r="Q332" s="93">
        <f t="shared" si="111"/>
        <v>22849931689895.426</v>
      </c>
      <c r="R332" s="93">
        <f t="shared" si="112"/>
        <v>3688487097664.3149</v>
      </c>
      <c r="S332" s="93">
        <f t="shared" si="113"/>
        <v>3855757043395.1455</v>
      </c>
      <c r="T332">
        <f t="shared" si="114"/>
        <v>0.5</v>
      </c>
      <c r="X332" s="99">
        <v>289</v>
      </c>
      <c r="Y332" s="99">
        <f t="shared" si="115"/>
        <v>11627.840772285781</v>
      </c>
      <c r="Z332" s="99">
        <f t="shared" si="116"/>
        <v>2772.4071220034148</v>
      </c>
      <c r="AA332" s="99">
        <f t="shared" si="117"/>
        <v>-18860.511459399953</v>
      </c>
      <c r="AB332" s="99">
        <f t="shared" si="118"/>
        <v>6690.6849854023912</v>
      </c>
      <c r="AC332" s="99">
        <f t="shared" si="119"/>
        <v>-3372.1592277142181</v>
      </c>
      <c r="AD332" s="99">
        <f t="shared" si="120"/>
        <v>-19727.592877996583</v>
      </c>
    </row>
    <row r="333" spans="1:30" x14ac:dyDescent="0.25">
      <c r="A333">
        <v>145</v>
      </c>
      <c r="B333" s="95">
        <f t="shared" si="121"/>
        <v>-16669.748687131727</v>
      </c>
      <c r="C333" s="95">
        <f t="shared" si="122"/>
        <v>-4344.589806549985</v>
      </c>
      <c r="D333" s="95">
        <f t="shared" si="123"/>
        <v>-2705.488322269131</v>
      </c>
      <c r="E333" s="95">
        <f t="shared" si="124"/>
        <v>-85.328672904630878</v>
      </c>
      <c r="F333" s="96">
        <f t="shared" si="100"/>
        <v>1707.5084563978867</v>
      </c>
      <c r="G333" s="94">
        <f t="shared" si="101"/>
        <v>-243.417616555</v>
      </c>
      <c r="H333" s="97">
        <f t="shared" si="102"/>
        <v>538.0687719374364</v>
      </c>
      <c r="I333" s="94">
        <f t="shared" si="103"/>
        <v>238.96752706890439</v>
      </c>
      <c r="J333" s="95">
        <f t="shared" si="104"/>
        <v>-172.46852579607014</v>
      </c>
      <c r="K333" s="94">
        <f t="shared" si="105"/>
        <v>742.88395218864628</v>
      </c>
      <c r="L333" s="94">
        <f t="shared" si="106"/>
        <v>1341.9082102565203</v>
      </c>
      <c r="M333" s="93">
        <f t="shared" si="107"/>
        <v>-1225.2690958125506</v>
      </c>
      <c r="N333" s="93">
        <f t="shared" si="108"/>
        <v>29181.668950219286</v>
      </c>
      <c r="O333" s="93">
        <f t="shared" si="109"/>
        <v>14726.093525610879</v>
      </c>
      <c r="P333" s="93">
        <f t="shared" si="110"/>
        <v>15802.556780834269</v>
      </c>
      <c r="Q333" s="93">
        <f t="shared" si="111"/>
        <v>25952533368207.055</v>
      </c>
      <c r="R333" s="93">
        <f t="shared" si="112"/>
        <v>3467846768671.228</v>
      </c>
      <c r="S333" s="93">
        <f t="shared" si="113"/>
        <v>4553415857671.8027</v>
      </c>
      <c r="T333">
        <f t="shared" si="114"/>
        <v>0.5</v>
      </c>
      <c r="X333" s="99">
        <v>290</v>
      </c>
      <c r="Y333" s="99">
        <f t="shared" si="115"/>
        <v>11710.100716628342</v>
      </c>
      <c r="Z333" s="99">
        <f t="shared" si="116"/>
        <v>2801.5368960704573</v>
      </c>
      <c r="AA333" s="99">
        <f t="shared" si="117"/>
        <v>-18802.929498360161</v>
      </c>
      <c r="AB333" s="99">
        <f t="shared" si="118"/>
        <v>6711.0758272493204</v>
      </c>
      <c r="AC333" s="99">
        <f t="shared" si="119"/>
        <v>-3289.8992833716593</v>
      </c>
      <c r="AD333" s="99">
        <f t="shared" si="120"/>
        <v>-19698.463103929542</v>
      </c>
    </row>
    <row r="334" spans="1:30" x14ac:dyDescent="0.25">
      <c r="A334">
        <v>145.5</v>
      </c>
      <c r="B334" s="95">
        <f t="shared" si="121"/>
        <v>-17595.615734166819</v>
      </c>
      <c r="C334" s="95">
        <f t="shared" si="122"/>
        <v>-4448.1085471410506</v>
      </c>
      <c r="D334" s="95">
        <f t="shared" si="123"/>
        <v>-1851.7340940701877</v>
      </c>
      <c r="E334" s="95">
        <f t="shared" si="124"/>
        <v>-207.03748118213088</v>
      </c>
      <c r="F334" s="96">
        <f t="shared" si="100"/>
        <v>1685.2942729791976</v>
      </c>
      <c r="G334" s="94">
        <f t="shared" si="101"/>
        <v>-109.82734957059688</v>
      </c>
      <c r="H334" s="97">
        <f t="shared" si="102"/>
        <v>510.06099817956994</v>
      </c>
      <c r="I334" s="94">
        <f t="shared" si="103"/>
        <v>220.84175365462696</v>
      </c>
      <c r="J334" s="95">
        <f t="shared" si="104"/>
        <v>-126.44237384388383</v>
      </c>
      <c r="K334" s="94">
        <f t="shared" si="105"/>
        <v>759.80082227895059</v>
      </c>
      <c r="L334" s="94">
        <f t="shared" si="106"/>
        <v>1301.6756486435115</v>
      </c>
      <c r="M334" s="93">
        <f t="shared" si="107"/>
        <v>-1090.4699255041744</v>
      </c>
      <c r="N334" s="93">
        <f t="shared" si="108"/>
        <v>30071.1706722911</v>
      </c>
      <c r="O334" s="93">
        <f t="shared" si="109"/>
        <v>14646.805258750337</v>
      </c>
      <c r="P334" s="93">
        <f t="shared" si="110"/>
        <v>16431.431737852563</v>
      </c>
      <c r="Q334" s="93">
        <f t="shared" si="111"/>
        <v>28328044414021.301</v>
      </c>
      <c r="R334" s="93">
        <f t="shared" si="112"/>
        <v>3415104355046.9126</v>
      </c>
      <c r="S334" s="93">
        <f t="shared" si="113"/>
        <v>5066583970583.7441</v>
      </c>
      <c r="T334">
        <f t="shared" si="114"/>
        <v>0.5</v>
      </c>
      <c r="X334" s="99">
        <v>291</v>
      </c>
      <c r="Y334" s="99">
        <f t="shared" si="115"/>
        <v>11791.839747726497</v>
      </c>
      <c r="Z334" s="99">
        <f t="shared" si="116"/>
        <v>2832.0978675139895</v>
      </c>
      <c r="AA334" s="99">
        <f t="shared" si="117"/>
        <v>-18745.712176591453</v>
      </c>
      <c r="AB334" s="99">
        <f t="shared" si="118"/>
        <v>6732.4685072597931</v>
      </c>
      <c r="AC334" s="99">
        <f t="shared" si="119"/>
        <v>-3208.160252273502</v>
      </c>
      <c r="AD334" s="99">
        <f t="shared" si="120"/>
        <v>-19667.902132486011</v>
      </c>
    </row>
    <row r="335" spans="1:30" x14ac:dyDescent="0.25">
      <c r="A335">
        <v>146</v>
      </c>
      <c r="B335" s="95">
        <f t="shared" si="121"/>
        <v>-18100.159212957115</v>
      </c>
      <c r="C335" s="95">
        <f t="shared" si="122"/>
        <v>-4579.0841251247657</v>
      </c>
      <c r="D335" s="95">
        <f t="shared" si="123"/>
        <v>-1009.0869575805889</v>
      </c>
      <c r="E335" s="95">
        <f t="shared" si="124"/>
        <v>-261.95115596742932</v>
      </c>
      <c r="F335" s="96">
        <f t="shared" si="100"/>
        <v>1681.8123439683645</v>
      </c>
      <c r="G335" s="94">
        <f t="shared" si="101"/>
        <v>-52.357501338245129</v>
      </c>
      <c r="H335" s="97">
        <f t="shared" si="102"/>
        <v>494.24877319963826</v>
      </c>
      <c r="I335" s="94">
        <f t="shared" si="103"/>
        <v>212.45689268071169</v>
      </c>
      <c r="J335" s="95">
        <f t="shared" si="104"/>
        <v>-98.841625098286499</v>
      </c>
      <c r="K335" s="94">
        <f t="shared" si="105"/>
        <v>758.49533139822722</v>
      </c>
      <c r="L335" s="94">
        <f t="shared" si="106"/>
        <v>1286.4051958670127</v>
      </c>
      <c r="M335" s="93">
        <f t="shared" si="107"/>
        <v>-1023.309725417184</v>
      </c>
      <c r="N335" s="93">
        <f t="shared" si="108"/>
        <v>30586.324086025437</v>
      </c>
      <c r="O335" s="93">
        <f t="shared" si="109"/>
        <v>14702.349776262865</v>
      </c>
      <c r="P335" s="93">
        <f t="shared" si="110"/>
        <v>16739.464121531844</v>
      </c>
      <c r="Q335" s="93">
        <f t="shared" si="111"/>
        <v>29768832530978.488</v>
      </c>
      <c r="R335" s="93">
        <f t="shared" si="112"/>
        <v>3451994318848.979</v>
      </c>
      <c r="S335" s="93">
        <f t="shared" si="113"/>
        <v>5332089256234.7979</v>
      </c>
      <c r="T335">
        <f t="shared" si="114"/>
        <v>0.5</v>
      </c>
      <c r="X335" s="99">
        <v>292</v>
      </c>
      <c r="Y335" s="99">
        <f t="shared" si="115"/>
        <v>11873.03296707956</v>
      </c>
      <c r="Z335" s="99">
        <f t="shared" si="116"/>
        <v>2864.0807271660633</v>
      </c>
      <c r="AA335" s="99">
        <f t="shared" si="117"/>
        <v>-18688.876923044307</v>
      </c>
      <c r="AB335" s="99">
        <f t="shared" si="118"/>
        <v>6754.8565090162447</v>
      </c>
      <c r="AC335" s="99">
        <f t="shared" si="119"/>
        <v>-3126.96703292044</v>
      </c>
      <c r="AD335" s="99">
        <f t="shared" si="120"/>
        <v>-19635.919272833937</v>
      </c>
    </row>
    <row r="336" spans="1:30" x14ac:dyDescent="0.25">
      <c r="A336">
        <v>146.5</v>
      </c>
      <c r="B336" s="95">
        <f t="shared" si="121"/>
        <v>-18184.249605755318</v>
      </c>
      <c r="C336" s="95">
        <f t="shared" si="122"/>
        <v>-4723.1490784430425</v>
      </c>
      <c r="D336" s="95">
        <f t="shared" si="123"/>
        <v>-168.18078559640662</v>
      </c>
      <c r="E336" s="95">
        <f t="shared" si="124"/>
        <v>-288.12990663655188</v>
      </c>
      <c r="F336" s="96">
        <f t="shared" si="100"/>
        <v>1696.9159995334094</v>
      </c>
      <c r="G336" s="94">
        <f t="shared" si="101"/>
        <v>-54.006809228852717</v>
      </c>
      <c r="H336" s="97">
        <f t="shared" si="102"/>
        <v>489.42101913992741</v>
      </c>
      <c r="I336" s="94">
        <f t="shared" si="103"/>
        <v>212.25564500568646</v>
      </c>
      <c r="J336" s="95">
        <f t="shared" si="104"/>
        <v>-92.092530725666137</v>
      </c>
      <c r="K336" s="94">
        <f t="shared" si="105"/>
        <v>746.7392341936428</v>
      </c>
      <c r="L336" s="94">
        <f t="shared" si="106"/>
        <v>1299.5875111191481</v>
      </c>
      <c r="M336" s="93">
        <f t="shared" si="107"/>
        <v>-1013.001688428182</v>
      </c>
      <c r="N336" s="93">
        <f t="shared" si="108"/>
        <v>30720.633119018912</v>
      </c>
      <c r="O336" s="93">
        <f t="shared" si="109"/>
        <v>14834.691377991587</v>
      </c>
      <c r="P336" s="93">
        <f t="shared" si="110"/>
        <v>16716.402200556357</v>
      </c>
      <c r="Q336" s="93">
        <f t="shared" si="111"/>
        <v>30152441369730.316</v>
      </c>
      <c r="R336" s="93">
        <f t="shared" si="112"/>
        <v>3540988218853.5776</v>
      </c>
      <c r="S336" s="93">
        <f t="shared" si="113"/>
        <v>5311883110365.5762</v>
      </c>
      <c r="T336">
        <f t="shared" si="114"/>
        <v>0.5</v>
      </c>
      <c r="X336" s="99">
        <v>293</v>
      </c>
      <c r="Y336" s="99">
        <f t="shared" si="115"/>
        <v>11953.655642446367</v>
      </c>
      <c r="Z336" s="99">
        <f t="shared" si="116"/>
        <v>2897.4757327377974</v>
      </c>
      <c r="AA336" s="99">
        <f t="shared" si="117"/>
        <v>-18632.441050287543</v>
      </c>
      <c r="AB336" s="99">
        <f t="shared" si="118"/>
        <v>6778.2330129164584</v>
      </c>
      <c r="AC336" s="99">
        <f t="shared" si="119"/>
        <v>-3046.3443575536326</v>
      </c>
      <c r="AD336" s="99">
        <f t="shared" si="120"/>
        <v>-19602.524267262204</v>
      </c>
    </row>
    <row r="337" spans="1:30" x14ac:dyDescent="0.25">
      <c r="A337">
        <v>147</v>
      </c>
      <c r="B337" s="95">
        <f t="shared" si="121"/>
        <v>-17844.11099867017</v>
      </c>
      <c r="C337" s="95">
        <f t="shared" si="122"/>
        <v>-4880.7157340685317</v>
      </c>
      <c r="D337" s="95">
        <f t="shared" si="123"/>
        <v>680.27721417029807</v>
      </c>
      <c r="E337" s="95">
        <f t="shared" si="124"/>
        <v>-315.13331125097824</v>
      </c>
      <c r="F337" s="96">
        <f t="shared" si="100"/>
        <v>1735.1198319238124</v>
      </c>
      <c r="G337" s="94">
        <f t="shared" si="101"/>
        <v>-113.37164171693371</v>
      </c>
      <c r="H337" s="97">
        <f t="shared" si="102"/>
        <v>495.10643825699049</v>
      </c>
      <c r="I337" s="94">
        <f t="shared" si="103"/>
        <v>220.14608656242279</v>
      </c>
      <c r="J337" s="95">
        <f t="shared" si="104"/>
        <v>-105.23042978051423</v>
      </c>
      <c r="K337" s="94">
        <f t="shared" si="105"/>
        <v>726.338003103029</v>
      </c>
      <c r="L337" s="94">
        <f t="shared" si="106"/>
        <v>1345.2438234473361</v>
      </c>
      <c r="M337" s="93">
        <f t="shared" si="107"/>
        <v>-1059.8557313823856</v>
      </c>
      <c r="N337" s="93">
        <f t="shared" si="108"/>
        <v>30472.55551137904</v>
      </c>
      <c r="O337" s="93">
        <f t="shared" si="109"/>
        <v>15036.075224080574</v>
      </c>
      <c r="P337" s="93">
        <f t="shared" si="110"/>
        <v>16351.486213824364</v>
      </c>
      <c r="Q337" s="93">
        <f t="shared" si="111"/>
        <v>29446481200794.566</v>
      </c>
      <c r="R337" s="93">
        <f t="shared" si="112"/>
        <v>3679406702180.8315</v>
      </c>
      <c r="S337" s="93">
        <f t="shared" si="113"/>
        <v>4999213284115.5713</v>
      </c>
      <c r="T337">
        <f t="shared" si="114"/>
        <v>0.5</v>
      </c>
      <c r="X337" s="99">
        <v>294</v>
      </c>
      <c r="Y337" s="99">
        <f t="shared" si="115"/>
        <v>12033.683215379002</v>
      </c>
      <c r="Z337" s="99">
        <f t="shared" si="116"/>
        <v>2932.2727117869963</v>
      </c>
      <c r="AA337" s="99">
        <f t="shared" si="117"/>
        <v>-18576.421749234698</v>
      </c>
      <c r="AB337" s="99">
        <f t="shared" si="118"/>
        <v>6802.5908982508972</v>
      </c>
      <c r="AC337" s="99">
        <f t="shared" si="119"/>
        <v>-2966.3167846209972</v>
      </c>
      <c r="AD337" s="99">
        <f t="shared" si="120"/>
        <v>-19567.727288213006</v>
      </c>
    </row>
    <row r="338" spans="1:30" x14ac:dyDescent="0.25">
      <c r="A338">
        <v>147.5</v>
      </c>
      <c r="B338" s="95">
        <f t="shared" si="121"/>
        <v>-17070.192433604068</v>
      </c>
      <c r="C338" s="95">
        <f t="shared" si="122"/>
        <v>-5066.6253001232544</v>
      </c>
      <c r="D338" s="95">
        <f t="shared" si="123"/>
        <v>1547.8371301322043</v>
      </c>
      <c r="E338" s="95">
        <f t="shared" si="124"/>
        <v>-371.81913210944509</v>
      </c>
      <c r="F338" s="96">
        <f t="shared" si="100"/>
        <v>1806.2280253834422</v>
      </c>
      <c r="G338" s="94">
        <f t="shared" si="101"/>
        <v>-245.52741586531181</v>
      </c>
      <c r="H338" s="97">
        <f t="shared" si="102"/>
        <v>511.50419004097182</v>
      </c>
      <c r="I338" s="94">
        <f t="shared" si="103"/>
        <v>237.45237539237306</v>
      </c>
      <c r="J338" s="95">
        <f t="shared" si="104"/>
        <v>-134.85985907296151</v>
      </c>
      <c r="K338" s="94">
        <f t="shared" si="105"/>
        <v>693.52096294134276</v>
      </c>
      <c r="L338" s="94">
        <f t="shared" si="106"/>
        <v>1429.5836944154319</v>
      </c>
      <c r="M338" s="93">
        <f t="shared" si="107"/>
        <v>-1176.5007541990276</v>
      </c>
      <c r="N338" s="93">
        <f t="shared" si="108"/>
        <v>29844.855332637366</v>
      </c>
      <c r="O338" s="93">
        <f t="shared" si="109"/>
        <v>15348.842637489804</v>
      </c>
      <c r="P338" s="93">
        <f t="shared" si="110"/>
        <v>15632.065708420763</v>
      </c>
      <c r="Q338" s="93">
        <f t="shared" si="111"/>
        <v>27710270784507.324</v>
      </c>
      <c r="R338" s="93">
        <f t="shared" si="112"/>
        <v>3901657447306.4214</v>
      </c>
      <c r="S338" s="93">
        <f t="shared" si="113"/>
        <v>4420824051197.0957</v>
      </c>
      <c r="T338">
        <f t="shared" si="114"/>
        <v>0.5</v>
      </c>
      <c r="X338" s="99">
        <v>295</v>
      </c>
      <c r="Y338" s="99">
        <f t="shared" si="115"/>
        <v>12113.091308703497</v>
      </c>
      <c r="Z338" s="99">
        <f t="shared" si="116"/>
        <v>2968.46106481675</v>
      </c>
      <c r="AA338" s="99">
        <f t="shared" si="117"/>
        <v>-18520.83608390755</v>
      </c>
      <c r="AB338" s="99">
        <f t="shared" si="118"/>
        <v>6827.9227453717249</v>
      </c>
      <c r="AC338" s="99">
        <f t="shared" si="119"/>
        <v>-2886.9086912965022</v>
      </c>
      <c r="AD338" s="99">
        <f t="shared" si="120"/>
        <v>-19531.538935183249</v>
      </c>
    </row>
    <row r="339" spans="1:30" x14ac:dyDescent="0.25">
      <c r="A339">
        <v>148</v>
      </c>
      <c r="B339" s="95">
        <f t="shared" si="121"/>
        <v>-15844.716862192106</v>
      </c>
      <c r="C339" s="95">
        <f t="shared" si="122"/>
        <v>-5313.9167201443051</v>
      </c>
      <c r="D339" s="95">
        <f t="shared" si="123"/>
        <v>2450.9511428239252</v>
      </c>
      <c r="E339" s="95">
        <f t="shared" si="124"/>
        <v>-494.582840042101</v>
      </c>
      <c r="F339" s="96">
        <f t="shared" si="100"/>
        <v>1927.2584363227029</v>
      </c>
      <c r="G339" s="94">
        <f t="shared" si="101"/>
        <v>-486.66403526043496</v>
      </c>
      <c r="H339" s="97">
        <f t="shared" si="102"/>
        <v>539.24771035451977</v>
      </c>
      <c r="I339" s="94">
        <f t="shared" si="103"/>
        <v>267.36122855807633</v>
      </c>
      <c r="J339" s="95">
        <f t="shared" si="104"/>
        <v>-173.94320643175541</v>
      </c>
      <c r="K339" s="94">
        <f t="shared" si="105"/>
        <v>641.05181018688063</v>
      </c>
      <c r="L339" s="94">
        <f t="shared" si="106"/>
        <v>1561.9539323999386</v>
      </c>
      <c r="M339" s="93">
        <f t="shared" si="107"/>
        <v>-1395.077074005392</v>
      </c>
      <c r="N339" s="93">
        <f t="shared" si="108"/>
        <v>28846.938336635849</v>
      </c>
      <c r="O339" s="93">
        <f t="shared" si="109"/>
        <v>15867.65336358423</v>
      </c>
      <c r="P339" s="93">
        <f t="shared" si="110"/>
        <v>14540.567152811263</v>
      </c>
      <c r="Q339" s="93">
        <f t="shared" si="111"/>
        <v>25094704798712.871</v>
      </c>
      <c r="R339" s="93">
        <f t="shared" si="112"/>
        <v>4290282525505.875</v>
      </c>
      <c r="S339" s="93">
        <f t="shared" si="113"/>
        <v>3635370002256.9468</v>
      </c>
      <c r="T339">
        <f t="shared" si="114"/>
        <v>0.5</v>
      </c>
      <c r="X339" s="99">
        <v>296</v>
      </c>
      <c r="Y339" s="99">
        <f t="shared" si="115"/>
        <v>12191.855733945387</v>
      </c>
      <c r="Z339" s="99">
        <f t="shared" si="116"/>
        <v>3006.0297685041651</v>
      </c>
      <c r="AA339" s="99">
        <f t="shared" si="117"/>
        <v>-18465.700986238229</v>
      </c>
      <c r="AB339" s="99">
        <f t="shared" si="118"/>
        <v>6854.2208379529147</v>
      </c>
      <c r="AC339" s="99">
        <f t="shared" si="119"/>
        <v>-2808.1442660546131</v>
      </c>
      <c r="AD339" s="99">
        <f t="shared" si="120"/>
        <v>-19493.970231495834</v>
      </c>
    </row>
    <row r="340" spans="1:30" x14ac:dyDescent="0.25">
      <c r="A340">
        <v>148.5</v>
      </c>
      <c r="B340" s="95">
        <f t="shared" si="121"/>
        <v>-14137.42668169947</v>
      </c>
      <c r="C340" s="95">
        <f t="shared" si="122"/>
        <v>-5682.8741489804643</v>
      </c>
      <c r="D340" s="95">
        <f t="shared" si="123"/>
        <v>3414.5803609852765</v>
      </c>
      <c r="E340" s="95">
        <f t="shared" si="124"/>
        <v>-737.91485767231848</v>
      </c>
      <c r="F340" s="96">
        <f t="shared" si="100"/>
        <v>2121.1341766969276</v>
      </c>
      <c r="G340" s="94">
        <f t="shared" si="101"/>
        <v>-908.57824867821626</v>
      </c>
      <c r="H340" s="97">
        <f t="shared" si="102"/>
        <v>578.59747000848404</v>
      </c>
      <c r="I340" s="94">
        <f t="shared" si="103"/>
        <v>316.00624750207623</v>
      </c>
      <c r="J340" s="95">
        <f t="shared" si="104"/>
        <v>-210.39296015920769</v>
      </c>
      <c r="K340" s="94">
        <f t="shared" si="105"/>
        <v>562.8187720413548</v>
      </c>
      <c r="L340" s="94">
        <f t="shared" si="106"/>
        <v>1752.9296668476511</v>
      </c>
      <c r="M340" s="93">
        <f t="shared" si="107"/>
        <v>-1787.4032682216473</v>
      </c>
      <c r="N340" s="93">
        <f t="shared" si="108"/>
        <v>27502.791451819485</v>
      </c>
      <c r="O340" s="93">
        <f t="shared" si="109"/>
        <v>16742.828538965841</v>
      </c>
      <c r="P340" s="93">
        <f t="shared" si="110"/>
        <v>13049.957873003648</v>
      </c>
      <c r="Q340" s="93">
        <f t="shared" si="111"/>
        <v>21843038920384.902</v>
      </c>
      <c r="R340" s="93">
        <f t="shared" si="112"/>
        <v>5004374764655.3291</v>
      </c>
      <c r="S340" s="93">
        <f t="shared" si="113"/>
        <v>2729342490540.9404</v>
      </c>
      <c r="T340">
        <f t="shared" si="114"/>
        <v>0.5</v>
      </c>
      <c r="X340" s="99">
        <v>297</v>
      </c>
      <c r="Y340" s="99">
        <f t="shared" si="115"/>
        <v>12269.952498697734</v>
      </c>
      <c r="Z340" s="99">
        <f t="shared" si="116"/>
        <v>3044.9673790581601</v>
      </c>
      <c r="AA340" s="99">
        <f t="shared" si="117"/>
        <v>-18411.033250911587</v>
      </c>
      <c r="AB340" s="99">
        <f t="shared" si="118"/>
        <v>6881.4771653407124</v>
      </c>
      <c r="AC340" s="99">
        <f t="shared" si="119"/>
        <v>-2730.0475013022669</v>
      </c>
      <c r="AD340" s="99">
        <f t="shared" si="120"/>
        <v>-19455.032620941842</v>
      </c>
    </row>
    <row r="341" spans="1:30" x14ac:dyDescent="0.25">
      <c r="A341">
        <v>149</v>
      </c>
      <c r="B341" s="95">
        <f t="shared" si="121"/>
        <v>-11899.852957032599</v>
      </c>
      <c r="C341" s="95">
        <f t="shared" si="122"/>
        <v>-6278.9761399861773</v>
      </c>
      <c r="D341" s="95">
        <f t="shared" si="123"/>
        <v>4475.14744933374</v>
      </c>
      <c r="E341" s="95">
        <f t="shared" si="124"/>
        <v>-1192.2039820114267</v>
      </c>
      <c r="F341" s="96">
        <f t="shared" si="100"/>
        <v>2390.524863542983</v>
      </c>
      <c r="G341" s="94">
        <f t="shared" si="101"/>
        <v>-1664.4404462402003</v>
      </c>
      <c r="H341" s="97">
        <f t="shared" si="102"/>
        <v>626.56402552790371</v>
      </c>
      <c r="I341" s="94">
        <f t="shared" si="103"/>
        <v>394.22231623478865</v>
      </c>
      <c r="J341" s="95">
        <f t="shared" si="104"/>
        <v>-229.13755039979469</v>
      </c>
      <c r="K341" s="94">
        <f t="shared" si="105"/>
        <v>460.50086448389305</v>
      </c>
      <c r="L341" s="94">
        <f t="shared" si="106"/>
        <v>1993.0983884148739</v>
      </c>
      <c r="M341" s="93">
        <f t="shared" si="107"/>
        <v>-2519.1636269588821</v>
      </c>
      <c r="N341" s="93">
        <f t="shared" si="108"/>
        <v>25873.997429967367</v>
      </c>
      <c r="O341" s="93">
        <f t="shared" si="109"/>
        <v>18182.888832194207</v>
      </c>
      <c r="P341" s="93">
        <f t="shared" si="110"/>
        <v>11120.441897496785</v>
      </c>
      <c r="Q341" s="93">
        <f t="shared" si="111"/>
        <v>18300980788713.328</v>
      </c>
      <c r="R341" s="93">
        <f t="shared" si="112"/>
        <v>6348766859893.1895</v>
      </c>
      <c r="S341" s="93">
        <f t="shared" si="113"/>
        <v>1812632322172.425</v>
      </c>
      <c r="T341">
        <f t="shared" si="114"/>
        <v>0.5</v>
      </c>
      <c r="X341" s="99">
        <v>298</v>
      </c>
      <c r="Y341" s="99">
        <f t="shared" si="115"/>
        <v>12347.357813929451</v>
      </c>
      <c r="Z341" s="99">
        <f t="shared" si="116"/>
        <v>3085.2620357053647</v>
      </c>
      <c r="AA341" s="99">
        <f t="shared" si="117"/>
        <v>-18356.849530249383</v>
      </c>
      <c r="AB341" s="99">
        <f t="shared" si="118"/>
        <v>6909.6834249937547</v>
      </c>
      <c r="AC341" s="99">
        <f t="shared" si="119"/>
        <v>-2652.6421860705477</v>
      </c>
      <c r="AD341" s="99">
        <f t="shared" si="120"/>
        <v>-19414.737964294636</v>
      </c>
    </row>
    <row r="342" spans="1:30" x14ac:dyDescent="0.25">
      <c r="A342">
        <v>149.5</v>
      </c>
      <c r="B342" s="95">
        <f t="shared" si="121"/>
        <v>-9064.6480164799832</v>
      </c>
      <c r="C342" s="95">
        <f t="shared" si="122"/>
        <v>-7291.1882425519407</v>
      </c>
      <c r="D342" s="95">
        <f t="shared" si="123"/>
        <v>5670.4098811052318</v>
      </c>
      <c r="E342" s="95">
        <f t="shared" si="124"/>
        <v>-2024.4242051315268</v>
      </c>
      <c r="F342" s="96">
        <f t="shared" si="100"/>
        <v>2545.8289864317949</v>
      </c>
      <c r="G342" s="94">
        <f t="shared" si="101"/>
        <v>-3114.812146283421</v>
      </c>
      <c r="H342" s="97">
        <f t="shared" si="102"/>
        <v>667.09363801473501</v>
      </c>
      <c r="I342" s="94">
        <f t="shared" si="103"/>
        <v>517.56043787199008</v>
      </c>
      <c r="J342" s="95">
        <f t="shared" si="104"/>
        <v>-219.62718160121861</v>
      </c>
      <c r="K342" s="94">
        <f t="shared" si="105"/>
        <v>347.27871091584052</v>
      </c>
      <c r="L342" s="94">
        <f t="shared" si="106"/>
        <v>2098.3625300182784</v>
      </c>
      <c r="M342" s="93">
        <f t="shared" si="107"/>
        <v>-3979.6512950712518</v>
      </c>
      <c r="N342" s="93">
        <f t="shared" si="108"/>
        <v>24129.650922027049</v>
      </c>
      <c r="O342" s="93">
        <f t="shared" si="109"/>
        <v>20458.912821624752</v>
      </c>
      <c r="P342" s="93">
        <f t="shared" si="110"/>
        <v>8714.7657575889043</v>
      </c>
      <c r="Q342" s="93">
        <f t="shared" si="111"/>
        <v>14963755895421.934</v>
      </c>
      <c r="R342" s="93">
        <f t="shared" si="112"/>
        <v>8942097902337.1445</v>
      </c>
      <c r="S342" s="93">
        <f t="shared" si="113"/>
        <v>1014240720667.2885</v>
      </c>
      <c r="T342">
        <f t="shared" si="114"/>
        <v>0.5</v>
      </c>
      <c r="X342" s="99">
        <v>299</v>
      </c>
      <c r="Y342" s="99">
        <f t="shared" si="115"/>
        <v>12424.048101231683</v>
      </c>
      <c r="Z342" s="99">
        <f t="shared" si="116"/>
        <v>3126.9014643030196</v>
      </c>
      <c r="AA342" s="99">
        <f t="shared" si="117"/>
        <v>-18303.166329137821</v>
      </c>
      <c r="AB342" s="99">
        <f t="shared" si="118"/>
        <v>6938.831025012114</v>
      </c>
      <c r="AC342" s="99">
        <f t="shared" si="119"/>
        <v>-2575.9518987683173</v>
      </c>
      <c r="AD342" s="99">
        <f t="shared" si="120"/>
        <v>-19373.09853569698</v>
      </c>
    </row>
    <row r="343" spans="1:30" x14ac:dyDescent="0.25">
      <c r="A343">
        <v>150</v>
      </c>
      <c r="B343" s="95">
        <f t="shared" si="121"/>
        <v>-5592.9858293194184</v>
      </c>
      <c r="C343" s="95">
        <f t="shared" si="122"/>
        <v>-9082.1033816885611</v>
      </c>
      <c r="D343" s="95">
        <f t="shared" si="123"/>
        <v>6943.3243743211297</v>
      </c>
      <c r="E343" s="95">
        <f t="shared" si="124"/>
        <v>-3581.8302782732371</v>
      </c>
      <c r="F343" s="96">
        <f t="shared" si="100"/>
        <v>1123.5712968898645</v>
      </c>
      <c r="G343" s="94">
        <f t="shared" si="101"/>
        <v>-5676.5759001725728</v>
      </c>
      <c r="H343" s="97">
        <f t="shared" si="102"/>
        <v>645.05890437702749</v>
      </c>
      <c r="I343" s="94">
        <f t="shared" si="103"/>
        <v>685.97724366209388</v>
      </c>
      <c r="J343" s="95">
        <f t="shared" si="104"/>
        <v>-183.36473189867053</v>
      </c>
      <c r="K343" s="94">
        <f t="shared" si="105"/>
        <v>242.86675429019493</v>
      </c>
      <c r="L343" s="94">
        <f t="shared" si="106"/>
        <v>661.87712441150745</v>
      </c>
      <c r="M343" s="93">
        <f t="shared" si="107"/>
        <v>-6605.4198981248619</v>
      </c>
      <c r="N343" s="93">
        <f t="shared" si="108"/>
        <v>22761.971787047874</v>
      </c>
      <c r="O343" s="93">
        <f t="shared" si="109"/>
        <v>23910.013107140723</v>
      </c>
      <c r="P343" s="93">
        <f t="shared" si="110"/>
        <v>5947.5316374774839</v>
      </c>
      <c r="Q343" s="93">
        <f t="shared" si="111"/>
        <v>12656934479554.537</v>
      </c>
      <c r="R343" s="93">
        <f t="shared" si="112"/>
        <v>14110776654148.305</v>
      </c>
      <c r="S343" s="93">
        <f t="shared" si="113"/>
        <v>469100143708.47345</v>
      </c>
      <c r="T343">
        <f t="shared" si="114"/>
        <v>0.5</v>
      </c>
      <c r="X343" s="99">
        <v>300</v>
      </c>
      <c r="Y343" s="99">
        <f t="shared" si="115"/>
        <v>12500</v>
      </c>
      <c r="Z343" s="99">
        <f t="shared" si="116"/>
        <v>3169.8729810778068</v>
      </c>
      <c r="AA343" s="99">
        <f t="shared" si="117"/>
        <v>-18250</v>
      </c>
      <c r="AB343" s="99">
        <f t="shared" si="118"/>
        <v>6968.911086754465</v>
      </c>
      <c r="AC343" s="99">
        <f t="shared" si="119"/>
        <v>-2499.9999999999995</v>
      </c>
      <c r="AD343" s="99">
        <f t="shared" si="120"/>
        <v>-19330.127018922194</v>
      </c>
    </row>
    <row r="344" spans="1:30" x14ac:dyDescent="0.25">
      <c r="A344">
        <v>150.5</v>
      </c>
      <c r="B344" s="95">
        <f t="shared" si="121"/>
        <v>-1840.4308179363875</v>
      </c>
      <c r="C344" s="95">
        <f t="shared" si="122"/>
        <v>-12292.162495868322</v>
      </c>
      <c r="D344" s="95">
        <f t="shared" si="123"/>
        <v>7505.1100227660618</v>
      </c>
      <c r="E344" s="95">
        <f t="shared" si="124"/>
        <v>-6420.1182283595235</v>
      </c>
      <c r="F344" s="96">
        <f t="shared" si="100"/>
        <v>-5672.5950121864316</v>
      </c>
      <c r="G344" s="94">
        <f t="shared" si="101"/>
        <v>-4197.5689636811721</v>
      </c>
      <c r="H344" s="97">
        <f t="shared" si="102"/>
        <v>471.70499364773576</v>
      </c>
      <c r="I344" s="94">
        <f t="shared" si="103"/>
        <v>788.49004972402361</v>
      </c>
      <c r="J344" s="95">
        <f t="shared" si="104"/>
        <v>-134.21036037633002</v>
      </c>
      <c r="K344" s="94">
        <f t="shared" si="105"/>
        <v>164.75276104530417</v>
      </c>
      <c r="L344" s="94">
        <f t="shared" si="106"/>
        <v>-6010.0896454578378</v>
      </c>
      <c r="M344" s="93">
        <f t="shared" si="107"/>
        <v>-5150.8117744504998</v>
      </c>
      <c r="N344" s="93">
        <f t="shared" si="108"/>
        <v>23063.510101829565</v>
      </c>
      <c r="O344" s="93">
        <f t="shared" si="109"/>
        <v>28752.573130423523</v>
      </c>
      <c r="P344" s="93">
        <f t="shared" si="110"/>
        <v>4161.1610597317904</v>
      </c>
      <c r="Q344" s="93">
        <f t="shared" si="111"/>
        <v>13143034655803.701</v>
      </c>
      <c r="R344" s="93">
        <f t="shared" si="112"/>
        <v>24300333891687.617</v>
      </c>
      <c r="S344" s="93">
        <f t="shared" si="113"/>
        <v>275261543959.98212</v>
      </c>
      <c r="T344">
        <f t="shared" si="114"/>
        <v>0.5</v>
      </c>
      <c r="X344" s="99">
        <v>301</v>
      </c>
      <c r="Y344" s="99">
        <f t="shared" si="115"/>
        <v>12575.190374550271</v>
      </c>
      <c r="Z344" s="99">
        <f t="shared" si="116"/>
        <v>3214.1634964894383</v>
      </c>
      <c r="AA344" s="99">
        <f t="shared" si="117"/>
        <v>-18197.366737814809</v>
      </c>
      <c r="AB344" s="99">
        <f t="shared" si="118"/>
        <v>6999.9144475426074</v>
      </c>
      <c r="AC344" s="99">
        <f t="shared" si="119"/>
        <v>-2424.8096254497291</v>
      </c>
      <c r="AD344" s="99">
        <f t="shared" si="120"/>
        <v>-19285.83650351056</v>
      </c>
    </row>
    <row r="345" spans="1:30" x14ac:dyDescent="0.25">
      <c r="A345">
        <v>151</v>
      </c>
      <c r="B345" s="95">
        <f t="shared" si="121"/>
        <v>493.9754404000355</v>
      </c>
      <c r="C345" s="95">
        <f t="shared" si="122"/>
        <v>-16551.613850968377</v>
      </c>
      <c r="D345" s="95">
        <f t="shared" si="123"/>
        <v>4668.812516672846</v>
      </c>
      <c r="E345" s="95">
        <f t="shared" si="124"/>
        <v>-8518.9027102001091</v>
      </c>
      <c r="F345" s="96">
        <f t="shared" si="100"/>
        <v>-6405.5212004025661</v>
      </c>
      <c r="G345" s="94">
        <f t="shared" si="101"/>
        <v>2672.2487933264456</v>
      </c>
      <c r="H345" s="97">
        <f t="shared" si="102"/>
        <v>272.33546770387079</v>
      </c>
      <c r="I345" s="94">
        <f t="shared" si="103"/>
        <v>689.04803117950428</v>
      </c>
      <c r="J345" s="95">
        <f t="shared" si="104"/>
        <v>-95.971008962544516</v>
      </c>
      <c r="K345" s="94">
        <f t="shared" si="105"/>
        <v>124.33825629741106</v>
      </c>
      <c r="L345" s="94">
        <f t="shared" si="106"/>
        <v>-6581.8856591438926</v>
      </c>
      <c r="M345" s="93">
        <f t="shared" si="107"/>
        <v>1858.8625058495304</v>
      </c>
      <c r="N345" s="93">
        <f t="shared" si="108"/>
        <v>25862.030696830665</v>
      </c>
      <c r="O345" s="93">
        <f t="shared" si="109"/>
        <v>33540.888888678186</v>
      </c>
      <c r="P345" s="93">
        <f t="shared" si="110"/>
        <v>5708.8765691890449</v>
      </c>
      <c r="Q345" s="93">
        <f t="shared" si="111"/>
        <v>18276513383214.957</v>
      </c>
      <c r="R345" s="93">
        <f t="shared" si="112"/>
        <v>38351194317542.188</v>
      </c>
      <c r="S345" s="93">
        <f t="shared" si="113"/>
        <v>437053902594.64771</v>
      </c>
      <c r="T345">
        <f t="shared" si="114"/>
        <v>0.5</v>
      </c>
      <c r="X345" s="99">
        <v>302</v>
      </c>
      <c r="Y345" s="99">
        <f t="shared" si="115"/>
        <v>12649.596321166024</v>
      </c>
      <c r="Z345" s="99">
        <f t="shared" si="116"/>
        <v>3259.7595192178687</v>
      </c>
      <c r="AA345" s="99">
        <f t="shared" si="117"/>
        <v>-18145.282575183785</v>
      </c>
      <c r="AB345" s="99">
        <f t="shared" si="118"/>
        <v>7031.831663452509</v>
      </c>
      <c r="AC345" s="99">
        <f t="shared" si="119"/>
        <v>-2350.4036788339768</v>
      </c>
      <c r="AD345" s="99">
        <f t="shared" si="120"/>
        <v>-19240.240480782129</v>
      </c>
    </row>
    <row r="346" spans="1:30" x14ac:dyDescent="0.25">
      <c r="A346">
        <v>151.5</v>
      </c>
      <c r="B346" s="95">
        <f t="shared" si="121"/>
        <v>1227.0013986358169</v>
      </c>
      <c r="C346" s="95">
        <f t="shared" si="122"/>
        <v>-20143.003007736817</v>
      </c>
      <c r="D346" s="95">
        <f t="shared" si="123"/>
        <v>1466.0519164715629</v>
      </c>
      <c r="E346" s="95">
        <f t="shared" si="124"/>
        <v>-7182.7783135368863</v>
      </c>
      <c r="F346" s="96">
        <f t="shared" si="100"/>
        <v>-3699.1899602515673</v>
      </c>
      <c r="G346" s="94">
        <f t="shared" si="101"/>
        <v>3816.5193411278115</v>
      </c>
      <c r="H346" s="97">
        <f t="shared" si="102"/>
        <v>180.21618103574966</v>
      </c>
      <c r="I346" s="94">
        <f t="shared" si="103"/>
        <v>567.84648679180498</v>
      </c>
      <c r="J346" s="95">
        <f t="shared" si="104"/>
        <v>-75.061626149826949</v>
      </c>
      <c r="K346" s="94">
        <f t="shared" si="105"/>
        <v>106.58984659723339</v>
      </c>
      <c r="L346" s="94">
        <f t="shared" si="106"/>
        <v>-3804.3445151374899</v>
      </c>
      <c r="M346" s="93">
        <f t="shared" si="107"/>
        <v>3142.0830077387732</v>
      </c>
      <c r="N346" s="93">
        <f t="shared" si="108"/>
        <v>29001.74339148053</v>
      </c>
      <c r="O346" s="93">
        <f t="shared" si="109"/>
        <v>36867.142806327123</v>
      </c>
      <c r="P346" s="93">
        <f t="shared" si="110"/>
        <v>8076.2631430756619</v>
      </c>
      <c r="Q346" s="93">
        <f t="shared" si="111"/>
        <v>25489006034861.273</v>
      </c>
      <c r="R346" s="93">
        <f t="shared" si="112"/>
        <v>50788270273802.578</v>
      </c>
      <c r="S346" s="93">
        <f t="shared" si="113"/>
        <v>857033398263.82007</v>
      </c>
      <c r="T346">
        <f t="shared" si="114"/>
        <v>0.5</v>
      </c>
      <c r="X346" s="99">
        <v>303</v>
      </c>
      <c r="Y346" s="99">
        <f t="shared" si="115"/>
        <v>12723.195175075132</v>
      </c>
      <c r="Z346" s="99">
        <f t="shared" si="116"/>
        <v>3306.6471602728789</v>
      </c>
      <c r="AA346" s="99">
        <f t="shared" si="117"/>
        <v>-18093.763377447405</v>
      </c>
      <c r="AB346" s="99">
        <f t="shared" si="118"/>
        <v>7064.6530121910146</v>
      </c>
      <c r="AC346" s="99">
        <f t="shared" si="119"/>
        <v>-2276.8048249248668</v>
      </c>
      <c r="AD346" s="99">
        <f t="shared" si="120"/>
        <v>-19193.352839727122</v>
      </c>
    </row>
    <row r="347" spans="1:30" x14ac:dyDescent="0.25">
      <c r="A347">
        <v>152</v>
      </c>
      <c r="B347" s="95">
        <f t="shared" si="121"/>
        <v>1035.2298668087064</v>
      </c>
      <c r="C347" s="95">
        <f t="shared" si="122"/>
        <v>-22780.262329223307</v>
      </c>
      <c r="D347" s="95">
        <f t="shared" si="123"/>
        <v>-383.54306365422076</v>
      </c>
      <c r="E347" s="95">
        <f t="shared" si="124"/>
        <v>-5274.5186429729802</v>
      </c>
      <c r="F347" s="96">
        <f t="shared" si="100"/>
        <v>-2265.8651293561406</v>
      </c>
      <c r="G347" s="94">
        <f t="shared" si="101"/>
        <v>3608.2456836083693</v>
      </c>
      <c r="H347" s="97">
        <f t="shared" si="102"/>
        <v>143.61336000673919</v>
      </c>
      <c r="I347" s="94">
        <f t="shared" si="103"/>
        <v>485.08217727577244</v>
      </c>
      <c r="J347" s="95">
        <f t="shared" si="104"/>
        <v>-63.170015700010637</v>
      </c>
      <c r="K347" s="94">
        <f t="shared" si="105"/>
        <v>98.441029601244736</v>
      </c>
      <c r="L347" s="94">
        <f t="shared" si="106"/>
        <v>-2346.3084736628693</v>
      </c>
      <c r="M347" s="93">
        <f t="shared" si="107"/>
        <v>3024.7224767313523</v>
      </c>
      <c r="N347" s="93">
        <f t="shared" si="108"/>
        <v>31579.445692848043</v>
      </c>
      <c r="O347" s="93">
        <f t="shared" si="109"/>
        <v>38949.024300002398</v>
      </c>
      <c r="P347" s="93">
        <f t="shared" si="110"/>
        <v>9846.6482346406137</v>
      </c>
      <c r="Q347" s="93">
        <f t="shared" si="111"/>
        <v>32684582165885.492</v>
      </c>
      <c r="R347" s="93">
        <f t="shared" si="112"/>
        <v>59803832955545.195</v>
      </c>
      <c r="S347" s="93">
        <f t="shared" si="113"/>
        <v>1346813091367.3606</v>
      </c>
      <c r="T347">
        <f t="shared" si="114"/>
        <v>0.5</v>
      </c>
      <c r="X347" s="99">
        <v>304</v>
      </c>
      <c r="Y347" s="99">
        <f t="shared" si="115"/>
        <v>12795.964517353732</v>
      </c>
      <c r="Z347" s="99">
        <f t="shared" si="116"/>
        <v>3354.8121372247897</v>
      </c>
      <c r="AA347" s="99">
        <f t="shared" si="117"/>
        <v>-18042.824837852389</v>
      </c>
      <c r="AB347" s="99">
        <f t="shared" si="118"/>
        <v>7098.3684960573528</v>
      </c>
      <c r="AC347" s="99">
        <f t="shared" si="119"/>
        <v>-2204.035482646269</v>
      </c>
      <c r="AD347" s="99">
        <f t="shared" si="120"/>
        <v>-19145.187862775208</v>
      </c>
    </row>
    <row r="348" spans="1:30" x14ac:dyDescent="0.25">
      <c r="A348">
        <v>152.5</v>
      </c>
      <c r="B348" s="95">
        <f t="shared" si="121"/>
        <v>276.99205264256091</v>
      </c>
      <c r="C348" s="95">
        <f t="shared" si="122"/>
        <v>-24515.460229807704</v>
      </c>
      <c r="D348" s="95">
        <f t="shared" si="123"/>
        <v>-1516.4756283322911</v>
      </c>
      <c r="E348" s="95">
        <f t="shared" si="124"/>
        <v>-3470.3958011687955</v>
      </c>
      <c r="F348" s="96">
        <f t="shared" si="100"/>
        <v>-1533.8211783233755</v>
      </c>
      <c r="G348" s="94">
        <f t="shared" si="101"/>
        <v>3430.1311137999601</v>
      </c>
      <c r="H348" s="97">
        <f t="shared" si="102"/>
        <v>131.48022545070322</v>
      </c>
      <c r="I348" s="94">
        <f t="shared" si="103"/>
        <v>432.9318613862892</v>
      </c>
      <c r="J348" s="95">
        <f t="shared" si="104"/>
        <v>-56.12405792899019</v>
      </c>
      <c r="K348" s="94">
        <f t="shared" si="105"/>
        <v>95.534272753784975</v>
      </c>
      <c r="L348" s="94">
        <f t="shared" si="106"/>
        <v>-1609.1773458450884</v>
      </c>
      <c r="M348" s="93">
        <f t="shared" si="107"/>
        <v>2901.6649796598858</v>
      </c>
      <c r="N348" s="93">
        <f t="shared" si="108"/>
        <v>33459.327208878167</v>
      </c>
      <c r="O348" s="93">
        <f t="shared" si="109"/>
        <v>40030.905580293424</v>
      </c>
      <c r="P348" s="93">
        <f t="shared" si="110"/>
        <v>10880.745769877396</v>
      </c>
      <c r="Q348" s="93">
        <f t="shared" si="111"/>
        <v>38720309756980.688</v>
      </c>
      <c r="R348" s="93">
        <f t="shared" si="112"/>
        <v>64885433287441.023</v>
      </c>
      <c r="S348" s="93">
        <f t="shared" si="113"/>
        <v>1717042925529.4702</v>
      </c>
      <c r="T348">
        <f t="shared" si="114"/>
        <v>0.5</v>
      </c>
      <c r="X348" s="99">
        <v>305</v>
      </c>
      <c r="Y348" s="99">
        <f t="shared" si="115"/>
        <v>12867.882181755231</v>
      </c>
      <c r="Z348" s="99">
        <f t="shared" si="116"/>
        <v>3404.2397785550411</v>
      </c>
      <c r="AA348" s="99">
        <f t="shared" si="117"/>
        <v>-17992.482472771339</v>
      </c>
      <c r="AB348" s="99">
        <f t="shared" si="118"/>
        <v>7132.9678449885287</v>
      </c>
      <c r="AC348" s="99">
        <f t="shared" si="119"/>
        <v>-2132.1178182447698</v>
      </c>
      <c r="AD348" s="99">
        <f t="shared" si="120"/>
        <v>-19095.760221444958</v>
      </c>
    </row>
    <row r="349" spans="1:30" x14ac:dyDescent="0.25">
      <c r="A349">
        <v>153</v>
      </c>
      <c r="B349" s="95">
        <f t="shared" si="121"/>
        <v>-864.70105610442852</v>
      </c>
      <c r="C349" s="95">
        <f t="shared" si="122"/>
        <v>-25393.125351942112</v>
      </c>
      <c r="D349" s="95">
        <f t="shared" si="123"/>
        <v>-2283.3862174939786</v>
      </c>
      <c r="E349" s="95">
        <f t="shared" si="124"/>
        <v>-1755.3302442688155</v>
      </c>
      <c r="F349" s="96">
        <f t="shared" si="100"/>
        <v>-1096.7065141618446</v>
      </c>
      <c r="G349" s="94">
        <f t="shared" si="101"/>
        <v>3456.8628730728547</v>
      </c>
      <c r="H349" s="97">
        <f t="shared" si="102"/>
        <v>132.68217327911961</v>
      </c>
      <c r="I349" s="94">
        <f t="shared" si="103"/>
        <v>401.69824600797909</v>
      </c>
      <c r="J349" s="95">
        <f t="shared" si="104"/>
        <v>-52.169167531064168</v>
      </c>
      <c r="K349" s="94">
        <f t="shared" si="105"/>
        <v>96.493391158775694</v>
      </c>
      <c r="L349" s="94">
        <f t="shared" si="106"/>
        <v>-1177.2195199098999</v>
      </c>
      <c r="M349" s="93">
        <f t="shared" si="107"/>
        <v>2958.6712359060998</v>
      </c>
      <c r="N349" s="93">
        <f t="shared" si="108"/>
        <v>34641.007844130254</v>
      </c>
      <c r="O349" s="93">
        <f t="shared" si="109"/>
        <v>40234.723658185336</v>
      </c>
      <c r="P349" s="93">
        <f t="shared" si="110"/>
        <v>11185.604674605913</v>
      </c>
      <c r="Q349" s="93">
        <f t="shared" si="111"/>
        <v>42874969784000.875</v>
      </c>
      <c r="R349" s="93">
        <f t="shared" si="112"/>
        <v>65874007831837.852</v>
      </c>
      <c r="S349" s="93">
        <f t="shared" si="113"/>
        <v>1839280972780.9978</v>
      </c>
      <c r="T349">
        <f t="shared" si="114"/>
        <v>0.5</v>
      </c>
      <c r="X349" s="99">
        <v>306</v>
      </c>
      <c r="Y349" s="99">
        <f t="shared" si="115"/>
        <v>12938.926261462364</v>
      </c>
      <c r="Z349" s="99">
        <f t="shared" si="116"/>
        <v>3454.9150281252623</v>
      </c>
      <c r="AA349" s="99">
        <f t="shared" si="117"/>
        <v>-17942.751616976344</v>
      </c>
      <c r="AB349" s="99">
        <f t="shared" si="118"/>
        <v>7168.4405196876833</v>
      </c>
      <c r="AC349" s="99">
        <f t="shared" si="119"/>
        <v>-2061.0737385376356</v>
      </c>
      <c r="AD349" s="99">
        <f t="shared" si="120"/>
        <v>-19045.084971874738</v>
      </c>
    </row>
    <row r="350" spans="1:30" x14ac:dyDescent="0.25">
      <c r="A350">
        <v>153.5</v>
      </c>
      <c r="B350" s="95">
        <f t="shared" si="121"/>
        <v>-2280.5707933918789</v>
      </c>
      <c r="C350" s="95">
        <f t="shared" si="122"/>
        <v>-25406.574755808306</v>
      </c>
      <c r="D350" s="95">
        <f t="shared" si="123"/>
        <v>-2831.7394745749007</v>
      </c>
      <c r="E350" s="95">
        <f t="shared" si="124"/>
        <v>-26.89880773238815</v>
      </c>
      <c r="F350" s="96">
        <f t="shared" si="100"/>
        <v>-759.92077535229055</v>
      </c>
      <c r="G350" s="94">
        <f t="shared" si="101"/>
        <v>3752.2561721780239</v>
      </c>
      <c r="H350" s="97">
        <f t="shared" si="102"/>
        <v>143.99820393226739</v>
      </c>
      <c r="I350" s="94">
        <f t="shared" si="103"/>
        <v>385.85239579816977</v>
      </c>
      <c r="J350" s="95">
        <f t="shared" si="104"/>
        <v>-50.677730751782349</v>
      </c>
      <c r="K350" s="94">
        <f t="shared" si="105"/>
        <v>101.26312994600009</v>
      </c>
      <c r="L350" s="94">
        <f t="shared" si="106"/>
        <v>-853.24124853277556</v>
      </c>
      <c r="M350" s="93">
        <f t="shared" si="107"/>
        <v>3265.1406464338538</v>
      </c>
      <c r="N350" s="93">
        <f t="shared" si="108"/>
        <v>35123.426387115345</v>
      </c>
      <c r="O350" s="93">
        <f t="shared" si="109"/>
        <v>39592.97547983277</v>
      </c>
      <c r="P350" s="93">
        <f t="shared" si="110"/>
        <v>10756.02590913484</v>
      </c>
      <c r="Q350" s="93">
        <f t="shared" si="111"/>
        <v>44653972448800.453</v>
      </c>
      <c r="R350" s="93">
        <f t="shared" si="112"/>
        <v>62795035524320</v>
      </c>
      <c r="S350" s="93">
        <f t="shared" si="113"/>
        <v>1668800946220.9792</v>
      </c>
      <c r="T350">
        <f t="shared" si="114"/>
        <v>0.5</v>
      </c>
      <c r="X350" s="99">
        <v>307</v>
      </c>
      <c r="Y350" s="99">
        <f t="shared" si="115"/>
        <v>13009.075115760239</v>
      </c>
      <c r="Z350" s="99">
        <f t="shared" si="116"/>
        <v>3506.8224497635347</v>
      </c>
      <c r="AA350" s="99">
        <f t="shared" si="117"/>
        <v>-17893.647418967834</v>
      </c>
      <c r="AB350" s="99">
        <f t="shared" si="118"/>
        <v>7204.7757148344745</v>
      </c>
      <c r="AC350" s="99">
        <f t="shared" si="119"/>
        <v>-1990.9248842397601</v>
      </c>
      <c r="AD350" s="99">
        <f t="shared" si="120"/>
        <v>-18993.177550236465</v>
      </c>
    </row>
    <row r="351" spans="1:30" x14ac:dyDescent="0.25">
      <c r="A351">
        <v>154</v>
      </c>
      <c r="B351" s="95">
        <f t="shared" si="121"/>
        <v>-3886.420724517402</v>
      </c>
      <c r="C351" s="95">
        <f t="shared" si="122"/>
        <v>-24481.960116629994</v>
      </c>
      <c r="D351" s="95">
        <f t="shared" si="123"/>
        <v>-3211.6998622510459</v>
      </c>
      <c r="E351" s="95">
        <f t="shared" si="124"/>
        <v>1849.2292783566238</v>
      </c>
      <c r="F351" s="96">
        <f t="shared" si="100"/>
        <v>-351.25210916630124</v>
      </c>
      <c r="G351" s="94">
        <f t="shared" si="101"/>
        <v>4460.3565000036451</v>
      </c>
      <c r="H351" s="97">
        <f t="shared" si="102"/>
        <v>166.37960215326467</v>
      </c>
      <c r="I351" s="94">
        <f t="shared" si="103"/>
        <v>383.19059359130881</v>
      </c>
      <c r="J351" s="95">
        <f t="shared" si="104"/>
        <v>-51.826596150404768</v>
      </c>
      <c r="K351" s="94">
        <f t="shared" si="105"/>
        <v>110.90537930067835</v>
      </c>
      <c r="L351" s="94">
        <f t="shared" si="106"/>
        <v>-465.80511516916113</v>
      </c>
      <c r="M351" s="93">
        <f t="shared" si="107"/>
        <v>3966.2605271116577</v>
      </c>
      <c r="N351" s="93">
        <f t="shared" si="108"/>
        <v>34866.580753495437</v>
      </c>
      <c r="O351" s="93">
        <f t="shared" si="109"/>
        <v>38061.174581877058</v>
      </c>
      <c r="P351" s="93">
        <f t="shared" si="110"/>
        <v>9547.1266073173174</v>
      </c>
      <c r="Q351" s="93">
        <f t="shared" si="111"/>
        <v>43700746934725.648</v>
      </c>
      <c r="R351" s="93">
        <f t="shared" si="112"/>
        <v>55838285648737.148</v>
      </c>
      <c r="S351" s="93">
        <f t="shared" si="113"/>
        <v>1251743972288.8887</v>
      </c>
      <c r="T351">
        <f t="shared" si="114"/>
        <v>0.5</v>
      </c>
      <c r="X351" s="99">
        <v>308</v>
      </c>
      <c r="Y351" s="99">
        <f t="shared" si="115"/>
        <v>13078.307376628292</v>
      </c>
      <c r="Z351" s="99">
        <f t="shared" si="116"/>
        <v>3559.9462319663912</v>
      </c>
      <c r="AA351" s="99">
        <f t="shared" si="117"/>
        <v>-17845.184836360197</v>
      </c>
      <c r="AB351" s="99">
        <f t="shared" si="118"/>
        <v>7241.9623623764737</v>
      </c>
      <c r="AC351" s="99">
        <f t="shared" si="119"/>
        <v>-1921.6926233717072</v>
      </c>
      <c r="AD351" s="99">
        <f t="shared" si="120"/>
        <v>-18940.053768033609</v>
      </c>
    </row>
    <row r="352" spans="1:30" x14ac:dyDescent="0.25">
      <c r="A352">
        <v>154.5</v>
      </c>
      <c r="B352" s="95">
        <f t="shared" si="121"/>
        <v>-5580.0836829344998</v>
      </c>
      <c r="C352" s="95">
        <f t="shared" si="122"/>
        <v>-22442.256352450771</v>
      </c>
      <c r="D352" s="95">
        <f t="shared" si="123"/>
        <v>-3387.3259168341965</v>
      </c>
      <c r="E352" s="95">
        <f t="shared" si="124"/>
        <v>4079.4075283584461</v>
      </c>
      <c r="F352" s="96">
        <f t="shared" si="100"/>
        <v>567.08722579195648</v>
      </c>
      <c r="G352" s="94">
        <f t="shared" si="101"/>
        <v>5895.7803611634181</v>
      </c>
      <c r="H352" s="97">
        <f t="shared" si="102"/>
        <v>205.34471343905858</v>
      </c>
      <c r="I352" s="94">
        <f t="shared" si="103"/>
        <v>394.63742143744196</v>
      </c>
      <c r="J352" s="95">
        <f t="shared" si="104"/>
        <v>-57.039356106224055</v>
      </c>
      <c r="K352" s="94">
        <f t="shared" si="105"/>
        <v>128.32844326474071</v>
      </c>
      <c r="L352" s="94">
        <f t="shared" si="106"/>
        <v>418.78186845912199</v>
      </c>
      <c r="M352" s="93">
        <f t="shared" si="107"/>
        <v>5372.8144964612356</v>
      </c>
      <c r="N352" s="93">
        <f t="shared" si="108"/>
        <v>33753.188338927634</v>
      </c>
      <c r="O352" s="93">
        <f t="shared" si="109"/>
        <v>35502.591226969678</v>
      </c>
      <c r="P352" s="93">
        <f t="shared" si="110"/>
        <v>7464.8293145122025</v>
      </c>
      <c r="Q352" s="93">
        <f t="shared" si="111"/>
        <v>39726918718677.18</v>
      </c>
      <c r="R352" s="93">
        <f t="shared" si="112"/>
        <v>45402615103651.094</v>
      </c>
      <c r="S352" s="93">
        <f t="shared" si="113"/>
        <v>725272818631.36255</v>
      </c>
      <c r="T352">
        <f t="shared" si="114"/>
        <v>0.5</v>
      </c>
      <c r="X352" s="99">
        <v>309</v>
      </c>
      <c r="Y352" s="99">
        <f t="shared" si="115"/>
        <v>13146.601955249187</v>
      </c>
      <c r="Z352" s="99">
        <f t="shared" si="116"/>
        <v>3614.2701927151461</v>
      </c>
      <c r="AA352" s="99">
        <f t="shared" si="117"/>
        <v>-17797.37863132557</v>
      </c>
      <c r="AB352" s="99">
        <f t="shared" si="118"/>
        <v>7279.989134900602</v>
      </c>
      <c r="AC352" s="99">
        <f t="shared" si="119"/>
        <v>-1853.3980447508125</v>
      </c>
      <c r="AD352" s="99">
        <f t="shared" si="120"/>
        <v>-18885.729807284853</v>
      </c>
    </row>
    <row r="353" spans="1:30" x14ac:dyDescent="0.25">
      <c r="A353">
        <v>155</v>
      </c>
      <c r="B353" s="95">
        <f t="shared" si="121"/>
        <v>-7131.9748349036081</v>
      </c>
      <c r="C353" s="95">
        <f t="shared" si="122"/>
        <v>-18928.607497980694</v>
      </c>
      <c r="D353" s="95">
        <f t="shared" si="123"/>
        <v>-3103.7823039382183</v>
      </c>
      <c r="E353" s="95">
        <f t="shared" si="124"/>
        <v>7027.2977089401556</v>
      </c>
      <c r="F353" s="96">
        <f t="shared" si="100"/>
        <v>3905.6075489087484</v>
      </c>
      <c r="G353" s="94">
        <f t="shared" si="101"/>
        <v>7406.3880061447298</v>
      </c>
      <c r="H353" s="97">
        <f t="shared" si="102"/>
        <v>276.59230043268775</v>
      </c>
      <c r="I353" s="94">
        <f t="shared" si="103"/>
        <v>426.68457171710463</v>
      </c>
      <c r="J353" s="95">
        <f t="shared" si="104"/>
        <v>-71.498658657184876</v>
      </c>
      <c r="K353" s="94">
        <f t="shared" si="105"/>
        <v>160.73613521801869</v>
      </c>
      <c r="L353" s="94">
        <f t="shared" si="106"/>
        <v>3700.5139071332455</v>
      </c>
      <c r="M353" s="93">
        <f t="shared" si="107"/>
        <v>6818.9672992096066</v>
      </c>
      <c r="N353" s="93">
        <f t="shared" si="108"/>
        <v>31495.64820774597</v>
      </c>
      <c r="O353" s="93">
        <f t="shared" si="109"/>
        <v>31661.497175935616</v>
      </c>
      <c r="P353" s="93">
        <f t="shared" si="110"/>
        <v>4469.8180689880883</v>
      </c>
      <c r="Q353" s="93">
        <f t="shared" si="111"/>
        <v>32431419938674.066</v>
      </c>
      <c r="R353" s="93">
        <f t="shared" si="112"/>
        <v>32322634370239.012</v>
      </c>
      <c r="S353" s="93">
        <f t="shared" si="113"/>
        <v>301660645298.50708</v>
      </c>
      <c r="T353">
        <f t="shared" si="114"/>
        <v>0.5</v>
      </c>
      <c r="X353" s="99">
        <v>310</v>
      </c>
      <c r="Y353" s="99">
        <f t="shared" si="115"/>
        <v>13213.938048432696</v>
      </c>
      <c r="Z353" s="99">
        <f t="shared" si="116"/>
        <v>3669.7777844051093</v>
      </c>
      <c r="AA353" s="99">
        <f t="shared" si="117"/>
        <v>-17750.243366097115</v>
      </c>
      <c r="AB353" s="99">
        <f t="shared" si="118"/>
        <v>7318.8444490835764</v>
      </c>
      <c r="AC353" s="99">
        <f t="shared" si="119"/>
        <v>-1786.0619515673038</v>
      </c>
      <c r="AD353" s="99">
        <f t="shared" si="120"/>
        <v>-18830.222215594891</v>
      </c>
    </row>
    <row r="354" spans="1:30" x14ac:dyDescent="0.25">
      <c r="A354">
        <v>155.5</v>
      </c>
      <c r="B354" s="95">
        <f t="shared" si="121"/>
        <v>-7707.46409964553</v>
      </c>
      <c r="C354" s="95">
        <f t="shared" si="122"/>
        <v>-13563.361641974436</v>
      </c>
      <c r="D354" s="95">
        <f t="shared" si="123"/>
        <v>-1150.9785294838441</v>
      </c>
      <c r="E354" s="95">
        <f t="shared" si="124"/>
        <v>10730.491712012521</v>
      </c>
      <c r="F354" s="96">
        <f t="shared" si="100"/>
        <v>7337.1937052580279</v>
      </c>
      <c r="G354" s="94">
        <f t="shared" si="101"/>
        <v>-3005.398292831982</v>
      </c>
      <c r="H354" s="97">
        <f t="shared" si="102"/>
        <v>423.8010656431473</v>
      </c>
      <c r="I354" s="94">
        <f t="shared" si="103"/>
        <v>504.11933971248055</v>
      </c>
      <c r="J354" s="95">
        <f t="shared" si="104"/>
        <v>-114.60772147216673</v>
      </c>
      <c r="K354" s="94">
        <f t="shared" si="105"/>
        <v>219.68967265196031</v>
      </c>
      <c r="L354" s="94">
        <f t="shared" si="106"/>
        <v>7028.0003610870472</v>
      </c>
      <c r="M354" s="93">
        <f t="shared" si="107"/>
        <v>-3729.207305196423</v>
      </c>
      <c r="N354" s="93">
        <f t="shared" si="108"/>
        <v>27517.62141793573</v>
      </c>
      <c r="O354" s="93">
        <f t="shared" si="109"/>
        <v>26577.028628723259</v>
      </c>
      <c r="P354" s="93">
        <f t="shared" si="110"/>
        <v>3065.0108682710688</v>
      </c>
      <c r="Q354" s="93">
        <f t="shared" si="111"/>
        <v>21877260991439.301</v>
      </c>
      <c r="R354" s="93">
        <f t="shared" si="112"/>
        <v>19262841418232.785</v>
      </c>
      <c r="S354" s="93">
        <f t="shared" si="113"/>
        <v>201710986726.73956</v>
      </c>
      <c r="T354">
        <f t="shared" si="114"/>
        <v>0.5</v>
      </c>
      <c r="X354" s="99">
        <v>311</v>
      </c>
      <c r="Y354" s="99">
        <f t="shared" si="115"/>
        <v>13280.295144952535</v>
      </c>
      <c r="Z354" s="99">
        <f t="shared" si="116"/>
        <v>3726.4520988861386</v>
      </c>
      <c r="AA354" s="99">
        <f t="shared" si="117"/>
        <v>-17703.793398533224</v>
      </c>
      <c r="AB354" s="99">
        <f t="shared" si="118"/>
        <v>7358.516469220297</v>
      </c>
      <c r="AC354" s="99">
        <f t="shared" si="119"/>
        <v>-1719.7048550474647</v>
      </c>
      <c r="AD354" s="99">
        <f t="shared" si="120"/>
        <v>-18773.54790111386</v>
      </c>
    </row>
    <row r="355" spans="1:30" x14ac:dyDescent="0.25">
      <c r="A355">
        <v>156</v>
      </c>
      <c r="B355" s="95">
        <f t="shared" si="121"/>
        <v>-6448.6549380729457</v>
      </c>
      <c r="C355" s="95">
        <f t="shared" si="122"/>
        <v>-8949.4653591761708</v>
      </c>
      <c r="D355" s="95">
        <f t="shared" si="123"/>
        <v>2517.6183231451696</v>
      </c>
      <c r="E355" s="95">
        <f t="shared" si="124"/>
        <v>9227.79256559653</v>
      </c>
      <c r="F355" s="96">
        <f t="shared" si="100"/>
        <v>1944.8832336011253</v>
      </c>
      <c r="G355" s="94">
        <f t="shared" si="101"/>
        <v>-5330.5659810523066</v>
      </c>
      <c r="H355" s="97">
        <f t="shared" si="102"/>
        <v>639.35139264763291</v>
      </c>
      <c r="I355" s="94">
        <f t="shared" si="103"/>
        <v>639.38289333038949</v>
      </c>
      <c r="J355" s="95">
        <f t="shared" si="104"/>
        <v>-186.1527637217267</v>
      </c>
      <c r="K355" s="94">
        <f t="shared" si="105"/>
        <v>260.30592030088434</v>
      </c>
      <c r="L355" s="94">
        <f t="shared" si="106"/>
        <v>1491.6846046752191</v>
      </c>
      <c r="M355" s="93">
        <f t="shared" si="107"/>
        <v>-6230.2547946835803</v>
      </c>
      <c r="N355" s="93">
        <f t="shared" si="108"/>
        <v>23262.483957534034</v>
      </c>
      <c r="O355" s="93">
        <f t="shared" si="109"/>
        <v>23296.377194448763</v>
      </c>
      <c r="P355" s="93">
        <f t="shared" si="110"/>
        <v>6221.5408517032402</v>
      </c>
      <c r="Q355" s="93">
        <f t="shared" si="111"/>
        <v>13470676195993.725</v>
      </c>
      <c r="R355" s="93">
        <f t="shared" si="112"/>
        <v>13073915027178.684</v>
      </c>
      <c r="S355" s="93">
        <f t="shared" si="113"/>
        <v>508494858405.12048</v>
      </c>
      <c r="T355">
        <f t="shared" si="114"/>
        <v>0.5</v>
      </c>
      <c r="X355" s="99">
        <v>312</v>
      </c>
      <c r="Y355" s="99">
        <f t="shared" si="115"/>
        <v>13345.653031794289</v>
      </c>
      <c r="Z355" s="99">
        <f t="shared" si="116"/>
        <v>3784.2758726130273</v>
      </c>
      <c r="AA355" s="99">
        <f t="shared" si="117"/>
        <v>-17658.042877743999</v>
      </c>
      <c r="AB355" s="99">
        <f t="shared" si="118"/>
        <v>7398.9931108291185</v>
      </c>
      <c r="AC355" s="99">
        <f t="shared" si="119"/>
        <v>-1654.3469682057112</v>
      </c>
      <c r="AD355" s="99">
        <f t="shared" si="120"/>
        <v>-18715.724127386973</v>
      </c>
    </row>
    <row r="356" spans="1:30" x14ac:dyDescent="0.25">
      <c r="A356">
        <v>156.5</v>
      </c>
      <c r="B356" s="95">
        <f t="shared" si="121"/>
        <v>-4703.6249681000791</v>
      </c>
      <c r="C356" s="95">
        <f t="shared" si="122"/>
        <v>-5668.2105716409824</v>
      </c>
      <c r="D356" s="95">
        <f t="shared" si="123"/>
        <v>3490.0599399457324</v>
      </c>
      <c r="E356" s="95">
        <f t="shared" si="124"/>
        <v>6562.5095750703767</v>
      </c>
      <c r="F356" s="96">
        <f t="shared" si="100"/>
        <v>529.40514915601761</v>
      </c>
      <c r="G356" s="94">
        <f t="shared" si="101"/>
        <v>-3038.0882299518353</v>
      </c>
      <c r="H356" s="97">
        <f t="shared" si="102"/>
        <v>911.97235693199195</v>
      </c>
      <c r="I356" s="94">
        <f t="shared" si="103"/>
        <v>816.74036556632484</v>
      </c>
      <c r="J356" s="95">
        <f t="shared" si="104"/>
        <v>-251.9427835731245</v>
      </c>
      <c r="K356" s="94">
        <f t="shared" si="105"/>
        <v>258.06719414219134</v>
      </c>
      <c r="L356" s="94">
        <f t="shared" si="106"/>
        <v>-130.62442420284975</v>
      </c>
      <c r="M356" s="93">
        <f t="shared" si="107"/>
        <v>-4112.8957896603515</v>
      </c>
      <c r="N356" s="93">
        <f t="shared" si="108"/>
        <v>19738.246043192728</v>
      </c>
      <c r="O356" s="93">
        <f t="shared" si="109"/>
        <v>21896.84707061301</v>
      </c>
      <c r="P356" s="93">
        <f t="shared" si="110"/>
        <v>9336.4946363593444</v>
      </c>
      <c r="Q356" s="93">
        <f t="shared" si="111"/>
        <v>8441922577624.6807</v>
      </c>
      <c r="R356" s="93">
        <f t="shared" si="112"/>
        <v>10903836782316.141</v>
      </c>
      <c r="S356" s="93">
        <f t="shared" si="113"/>
        <v>1187998376013.6633</v>
      </c>
      <c r="T356">
        <f t="shared" si="114"/>
        <v>0.5</v>
      </c>
      <c r="X356" s="99">
        <v>313</v>
      </c>
      <c r="Y356" s="99">
        <f t="shared" si="115"/>
        <v>13409.991800312491</v>
      </c>
      <c r="Z356" s="99">
        <f t="shared" si="116"/>
        <v>3843.2314919041451</v>
      </c>
      <c r="AA356" s="99">
        <f t="shared" si="117"/>
        <v>-17613.005739781256</v>
      </c>
      <c r="AB356" s="99">
        <f t="shared" si="118"/>
        <v>7440.2620443329015</v>
      </c>
      <c r="AC356" s="99">
        <f t="shared" si="119"/>
        <v>-1590.0081996875097</v>
      </c>
      <c r="AD356" s="99">
        <f t="shared" si="120"/>
        <v>-18656.768508095854</v>
      </c>
    </row>
    <row r="357" spans="1:30" x14ac:dyDescent="0.25">
      <c r="A357">
        <v>157</v>
      </c>
      <c r="B357" s="95">
        <f t="shared" si="121"/>
        <v>-2826.2437108382082</v>
      </c>
      <c r="C357" s="95">
        <f t="shared" si="122"/>
        <v>-3146.4778415937526</v>
      </c>
      <c r="D357" s="95">
        <f t="shared" si="123"/>
        <v>3754.7625145237412</v>
      </c>
      <c r="E357" s="95">
        <f t="shared" si="124"/>
        <v>5043.4654600944596</v>
      </c>
      <c r="F357" s="96">
        <f t="shared" si="100"/>
        <v>468.47088298927076</v>
      </c>
      <c r="G357" s="94">
        <f t="shared" si="101"/>
        <v>-1512.2425525868559</v>
      </c>
      <c r="H357" s="97">
        <f t="shared" si="102"/>
        <v>1274.1929384288235</v>
      </c>
      <c r="I357" s="94">
        <f t="shared" si="103"/>
        <v>1057.6492378228147</v>
      </c>
      <c r="J357" s="95">
        <f t="shared" si="104"/>
        <v>-293.27297546253482</v>
      </c>
      <c r="K357" s="94">
        <f t="shared" si="105"/>
        <v>224.49990605081888</v>
      </c>
      <c r="L357" s="94">
        <f t="shared" si="106"/>
        <v>-512.44907997701796</v>
      </c>
      <c r="M357" s="93">
        <f t="shared" si="107"/>
        <v>-2794.3916964604896</v>
      </c>
      <c r="N357" s="93">
        <f t="shared" si="108"/>
        <v>16669.133695587287</v>
      </c>
      <c r="O357" s="93">
        <f t="shared" si="109"/>
        <v>21627.939909271056</v>
      </c>
      <c r="P357" s="93">
        <f t="shared" si="110"/>
        <v>12051.19097701544</v>
      </c>
      <c r="Q357" s="93">
        <f t="shared" si="111"/>
        <v>5270634689595.2539</v>
      </c>
      <c r="R357" s="93">
        <f t="shared" si="112"/>
        <v>10516857575020.785</v>
      </c>
      <c r="S357" s="93">
        <f t="shared" si="113"/>
        <v>2221052151182.0454</v>
      </c>
      <c r="T357">
        <f t="shared" si="114"/>
        <v>0.5</v>
      </c>
      <c r="X357" s="99">
        <v>314</v>
      </c>
      <c r="Y357" s="99">
        <f t="shared" si="115"/>
        <v>13473.291852294984</v>
      </c>
      <c r="Z357" s="99">
        <f t="shared" si="116"/>
        <v>3903.3009983067413</v>
      </c>
      <c r="AA357" s="99">
        <f t="shared" si="117"/>
        <v>-17568.69570339351</v>
      </c>
      <c r="AB357" s="99">
        <f t="shared" si="118"/>
        <v>7482.3106988147192</v>
      </c>
      <c r="AC357" s="99">
        <f t="shared" si="119"/>
        <v>-1526.7081477050169</v>
      </c>
      <c r="AD357" s="99">
        <f t="shared" si="120"/>
        <v>-18596.699001693258</v>
      </c>
    </row>
    <row r="358" spans="1:30" x14ac:dyDescent="0.25">
      <c r="A358">
        <v>157.5</v>
      </c>
      <c r="B358" s="95">
        <f t="shared" si="121"/>
        <v>-831.74473282901999</v>
      </c>
      <c r="C358" s="95">
        <f t="shared" si="122"/>
        <v>-1002.8057496932367</v>
      </c>
      <c r="D358" s="95">
        <f t="shared" si="123"/>
        <v>3988.9979560183765</v>
      </c>
      <c r="E358" s="95">
        <f t="shared" si="124"/>
        <v>4287.3441838010312</v>
      </c>
      <c r="F358" s="96">
        <f t="shared" si="100"/>
        <v>903.22206447946235</v>
      </c>
      <c r="G358" s="94">
        <f t="shared" si="101"/>
        <v>-400.06151762173113</v>
      </c>
      <c r="H358" s="97">
        <f t="shared" si="102"/>
        <v>1803.7585351519533</v>
      </c>
      <c r="I358" s="94">
        <f t="shared" si="103"/>
        <v>1415.9314886053983</v>
      </c>
      <c r="J358" s="95">
        <f t="shared" si="104"/>
        <v>-307.23100221385022</v>
      </c>
      <c r="K358" s="94">
        <f t="shared" si="105"/>
        <v>176.35423728064097</v>
      </c>
      <c r="L358" s="94">
        <f t="shared" si="106"/>
        <v>-593.3054684586408</v>
      </c>
      <c r="M358" s="93">
        <f t="shared" si="107"/>
        <v>-1992.3472435077704</v>
      </c>
      <c r="N358" s="93">
        <f t="shared" si="108"/>
        <v>13770.417552644712</v>
      </c>
      <c r="O358" s="93">
        <f t="shared" si="109"/>
        <v>22101.668361300479</v>
      </c>
      <c r="P358" s="93">
        <f t="shared" si="110"/>
        <v>14604.649905188393</v>
      </c>
      <c r="Q358" s="93">
        <f t="shared" si="111"/>
        <v>3144261368235.0874</v>
      </c>
      <c r="R358" s="93">
        <f t="shared" si="112"/>
        <v>11204959447980.191</v>
      </c>
      <c r="S358" s="93">
        <f t="shared" si="113"/>
        <v>3678532341766.249</v>
      </c>
      <c r="T358">
        <f t="shared" si="114"/>
        <v>0.5</v>
      </c>
      <c r="X358" s="99">
        <v>315</v>
      </c>
      <c r="Y358" s="99">
        <f t="shared" si="115"/>
        <v>13535.533905932736</v>
      </c>
      <c r="Z358" s="99">
        <f t="shared" si="116"/>
        <v>3964.4660940672616</v>
      </c>
      <c r="AA358" s="99">
        <f t="shared" si="117"/>
        <v>-17525.126265847084</v>
      </c>
      <c r="AB358" s="99">
        <f t="shared" si="118"/>
        <v>7525.1262658470832</v>
      </c>
      <c r="AC358" s="99">
        <f t="shared" si="119"/>
        <v>-1464.4660940672634</v>
      </c>
      <c r="AD358" s="99">
        <f t="shared" si="120"/>
        <v>-18535.533905932738</v>
      </c>
    </row>
    <row r="359" spans="1:30" x14ac:dyDescent="0.25">
      <c r="A359">
        <v>158</v>
      </c>
      <c r="B359" s="95">
        <f t="shared" si="121"/>
        <v>1388.5597613000339</v>
      </c>
      <c r="C359" s="95">
        <f t="shared" si="122"/>
        <v>1040.850962801846</v>
      </c>
      <c r="D359" s="95">
        <f t="shared" si="123"/>
        <v>4440.6089882581073</v>
      </c>
      <c r="E359" s="95">
        <f t="shared" si="124"/>
        <v>4087.3134249901659</v>
      </c>
      <c r="F359" s="96">
        <f t="shared" si="100"/>
        <v>1822.8522018790068</v>
      </c>
      <c r="G359" s="94">
        <f t="shared" si="101"/>
        <v>701.33147989325084</v>
      </c>
      <c r="H359" s="97">
        <f t="shared" si="102"/>
        <v>2696.5713584924029</v>
      </c>
      <c r="I359" s="94">
        <f t="shared" si="103"/>
        <v>2022.6066501242749</v>
      </c>
      <c r="J359" s="95">
        <f t="shared" si="104"/>
        <v>-297.81449863995857</v>
      </c>
      <c r="K359" s="94">
        <f t="shared" si="105"/>
        <v>124.74727183742178</v>
      </c>
      <c r="L359" s="94">
        <f t="shared" si="106"/>
        <v>-575.90465797343757</v>
      </c>
      <c r="M359" s="93">
        <f t="shared" si="107"/>
        <v>-1446.022442068446</v>
      </c>
      <c r="N359" s="93">
        <f t="shared" si="108"/>
        <v>10764.641622898496</v>
      </c>
      <c r="O359" s="93">
        <f t="shared" si="109"/>
        <v>23189.153501873061</v>
      </c>
      <c r="P359" s="93">
        <f t="shared" si="110"/>
        <v>17266.227017924986</v>
      </c>
      <c r="Q359" s="93">
        <f t="shared" si="111"/>
        <v>1672100962921.3296</v>
      </c>
      <c r="R359" s="93">
        <f t="shared" si="112"/>
        <v>12898180402942.016</v>
      </c>
      <c r="S359" s="93">
        <f t="shared" si="113"/>
        <v>5808326122285.9238</v>
      </c>
      <c r="T359">
        <f t="shared" si="114"/>
        <v>0.5</v>
      </c>
      <c r="X359" s="99">
        <v>316</v>
      </c>
      <c r="Y359" s="99">
        <f t="shared" si="115"/>
        <v>13596.699001693254</v>
      </c>
      <c r="Z359" s="99">
        <f t="shared" si="116"/>
        <v>4026.7081477050119</v>
      </c>
      <c r="AA359" s="99">
        <f t="shared" si="117"/>
        <v>-17482.310698814723</v>
      </c>
      <c r="AB359" s="99">
        <f t="shared" si="118"/>
        <v>7568.6957033935087</v>
      </c>
      <c r="AC359" s="99">
        <f t="shared" si="119"/>
        <v>-1403.3009983067459</v>
      </c>
      <c r="AD359" s="99">
        <f t="shared" si="120"/>
        <v>-18473.291852294988</v>
      </c>
    </row>
    <row r="360" spans="1:30" x14ac:dyDescent="0.25">
      <c r="A360">
        <v>158.5</v>
      </c>
      <c r="B360" s="95">
        <f t="shared" si="121"/>
        <v>4064.5773058988389</v>
      </c>
      <c r="C360" s="95">
        <f t="shared" si="122"/>
        <v>3259.8405452702418</v>
      </c>
      <c r="D360" s="95">
        <f t="shared" si="123"/>
        <v>5352.0350891976104</v>
      </c>
      <c r="E360" s="95">
        <f t="shared" si="124"/>
        <v>4437.9791649367917</v>
      </c>
      <c r="F360" s="96">
        <f t="shared" si="100"/>
        <v>3711.1978745685583</v>
      </c>
      <c r="G360" s="94">
        <f t="shared" si="101"/>
        <v>2251.4891174936206</v>
      </c>
      <c r="H360" s="97">
        <f t="shared" si="102"/>
        <v>4493.3669135732998</v>
      </c>
      <c r="I360" s="94">
        <f t="shared" si="103"/>
        <v>3209.9806844578834</v>
      </c>
      <c r="J360" s="95">
        <f t="shared" si="104"/>
        <v>-268.95718099215844</v>
      </c>
      <c r="K360" s="94">
        <f t="shared" si="105"/>
        <v>75.331233261985972</v>
      </c>
      <c r="L360" s="94">
        <f t="shared" si="106"/>
        <v>-513.21185801258332</v>
      </c>
      <c r="M360" s="93">
        <f t="shared" si="107"/>
        <v>-1033.822800226249</v>
      </c>
      <c r="N360" s="93">
        <f t="shared" si="108"/>
        <v>7294.3947493390597</v>
      </c>
      <c r="O360" s="93">
        <f t="shared" si="109"/>
        <v>24990.670867080866</v>
      </c>
      <c r="P360" s="93">
        <f t="shared" si="110"/>
        <v>20385.983873075915</v>
      </c>
      <c r="Q360" s="93">
        <f t="shared" si="111"/>
        <v>691637276693.76917</v>
      </c>
      <c r="R360" s="93">
        <f t="shared" si="112"/>
        <v>16068962449707.285</v>
      </c>
      <c r="S360" s="93">
        <f t="shared" si="113"/>
        <v>9248035688544.8008</v>
      </c>
      <c r="T360">
        <f t="shared" si="114"/>
        <v>0.5</v>
      </c>
      <c r="X360" s="99">
        <v>317</v>
      </c>
      <c r="Y360" s="99">
        <f t="shared" si="115"/>
        <v>13656.768508095854</v>
      </c>
      <c r="Z360" s="99">
        <f t="shared" si="116"/>
        <v>4090.0081996875087</v>
      </c>
      <c r="AA360" s="99">
        <f t="shared" si="117"/>
        <v>-17440.262044332903</v>
      </c>
      <c r="AB360" s="99">
        <f t="shared" si="118"/>
        <v>7613.0057397812561</v>
      </c>
      <c r="AC360" s="99">
        <f t="shared" si="119"/>
        <v>-1343.2314919041464</v>
      </c>
      <c r="AD360" s="99">
        <f t="shared" si="120"/>
        <v>-18409.991800312491</v>
      </c>
    </row>
    <row r="361" spans="1:30" x14ac:dyDescent="0.25">
      <c r="A361">
        <v>159</v>
      </c>
      <c r="B361" s="95">
        <f t="shared" si="121"/>
        <v>7668.3943191397839</v>
      </c>
      <c r="C361" s="95">
        <f t="shared" si="122"/>
        <v>6041.7024071120431</v>
      </c>
      <c r="D361" s="95">
        <f t="shared" si="123"/>
        <v>7207.63402648189</v>
      </c>
      <c r="E361" s="95">
        <f t="shared" si="124"/>
        <v>5563.7237236836017</v>
      </c>
      <c r="F361" s="96">
        <f t="shared" si="100"/>
        <v>5926.454371166581</v>
      </c>
      <c r="G361" s="94">
        <f t="shared" si="101"/>
        <v>3441.3475112356218</v>
      </c>
      <c r="H361" s="97">
        <f t="shared" si="102"/>
        <v>6570.0212579400231</v>
      </c>
      <c r="I361" s="94">
        <f t="shared" si="103"/>
        <v>4109.2051989433467</v>
      </c>
      <c r="J361" s="95">
        <f t="shared" si="104"/>
        <v>-222.32620213034548</v>
      </c>
      <c r="K361" s="94">
        <f t="shared" si="105"/>
        <v>31.806445310044584</v>
      </c>
      <c r="L361" s="94">
        <f t="shared" si="106"/>
        <v>-421.24068464309636</v>
      </c>
      <c r="M361" s="93">
        <f t="shared" si="107"/>
        <v>-699.6641330177689</v>
      </c>
      <c r="N361" s="93">
        <f t="shared" si="108"/>
        <v>2750.0939839289931</v>
      </c>
      <c r="O361" s="93">
        <f t="shared" si="109"/>
        <v>27950.101324203984</v>
      </c>
      <c r="P361" s="93">
        <f t="shared" si="110"/>
        <v>24560.974223647521</v>
      </c>
      <c r="Q361" s="93">
        <f t="shared" si="111"/>
        <v>185817645293.16412</v>
      </c>
      <c r="R361" s="93">
        <f t="shared" si="112"/>
        <v>22350438574326.008</v>
      </c>
      <c r="S361" s="93">
        <f t="shared" si="113"/>
        <v>15746712025022.215</v>
      </c>
      <c r="T361">
        <f t="shared" si="114"/>
        <v>0.5</v>
      </c>
      <c r="X361" s="99">
        <v>318</v>
      </c>
      <c r="Y361" s="99">
        <f t="shared" si="115"/>
        <v>13715.724127386971</v>
      </c>
      <c r="Z361" s="99">
        <f t="shared" si="116"/>
        <v>4154.3469682057093</v>
      </c>
      <c r="AA361" s="99">
        <f t="shared" si="117"/>
        <v>-17398.99311082912</v>
      </c>
      <c r="AB361" s="99">
        <f t="shared" si="118"/>
        <v>7658.0428777439965</v>
      </c>
      <c r="AC361" s="99">
        <f t="shared" si="119"/>
        <v>-1284.2758726130287</v>
      </c>
      <c r="AD361" s="99">
        <f t="shared" si="120"/>
        <v>-18345.653031794289</v>
      </c>
    </row>
    <row r="362" spans="1:30" x14ac:dyDescent="0.25">
      <c r="A362">
        <v>159.5</v>
      </c>
      <c r="B362" s="95">
        <f t="shared" si="121"/>
        <v>12753.824925172374</v>
      </c>
      <c r="C362" s="95">
        <f t="shared" si="122"/>
        <v>9683.9011467627497</v>
      </c>
      <c r="D362" s="95">
        <f t="shared" si="123"/>
        <v>10170.861212065181</v>
      </c>
      <c r="E362" s="95">
        <f t="shared" si="124"/>
        <v>7284.3974793014131</v>
      </c>
      <c r="F362" s="96">
        <f t="shared" si="100"/>
        <v>-6798.3543785633601</v>
      </c>
      <c r="G362" s="94">
        <f t="shared" si="101"/>
        <v>-5449.0763435869076</v>
      </c>
      <c r="H362" s="97">
        <f t="shared" si="102"/>
        <v>-6316.0729390198403</v>
      </c>
      <c r="I362" s="94">
        <f t="shared" si="103"/>
        <v>-5008.9164378157393</v>
      </c>
      <c r="J362" s="95">
        <f t="shared" si="104"/>
        <v>-164.55546874299787</v>
      </c>
      <c r="K362" s="94">
        <f t="shared" si="105"/>
        <v>1.5880830737299323</v>
      </c>
      <c r="L362" s="94">
        <f t="shared" si="106"/>
        <v>-317.72597080052242</v>
      </c>
      <c r="M362" s="93">
        <f t="shared" si="107"/>
        <v>-441.74798884489832</v>
      </c>
      <c r="N362" s="93">
        <f t="shared" si="108"/>
        <v>3514.680061873667</v>
      </c>
      <c r="O362" s="93">
        <f t="shared" si="109"/>
        <v>32755.35018457078</v>
      </c>
      <c r="P362" s="93">
        <f t="shared" si="110"/>
        <v>30405.481007489871</v>
      </c>
      <c r="Q362" s="93">
        <f t="shared" si="111"/>
        <v>228290485710.58664</v>
      </c>
      <c r="R362" s="93">
        <f t="shared" si="112"/>
        <v>35747234206124.75</v>
      </c>
      <c r="S362" s="93">
        <f t="shared" si="113"/>
        <v>29257542181979.949</v>
      </c>
      <c r="T362">
        <f t="shared" si="114"/>
        <v>0.5</v>
      </c>
      <c r="X362" s="99">
        <v>319</v>
      </c>
      <c r="Y362" s="99">
        <f t="shared" si="115"/>
        <v>13773.54790111386</v>
      </c>
      <c r="Z362" s="99">
        <f t="shared" si="116"/>
        <v>4219.7048550474628</v>
      </c>
      <c r="AA362" s="99">
        <f t="shared" si="117"/>
        <v>-17358.5164692203</v>
      </c>
      <c r="AB362" s="99">
        <f t="shared" si="118"/>
        <v>7703.7933985332238</v>
      </c>
      <c r="AC362" s="99">
        <f t="shared" si="119"/>
        <v>-1226.4520988861404</v>
      </c>
      <c r="AD362" s="99">
        <f t="shared" si="120"/>
        <v>-18280.295144952535</v>
      </c>
    </row>
    <row r="363" spans="1:30" x14ac:dyDescent="0.25">
      <c r="A363">
        <v>160</v>
      </c>
      <c r="B363" s="95">
        <f t="shared" si="121"/>
        <v>16139.666936564126</v>
      </c>
      <c r="C363" s="95">
        <f t="shared" si="122"/>
        <v>11963.830800516729</v>
      </c>
      <c r="D363" s="95">
        <f t="shared" si="123"/>
        <v>6771.6840227835019</v>
      </c>
      <c r="E363" s="95">
        <f t="shared" si="124"/>
        <v>4559.8593075079589</v>
      </c>
      <c r="F363" s="96">
        <f t="shared" si="100"/>
        <v>-4682.2366087974497</v>
      </c>
      <c r="G363" s="94">
        <f t="shared" si="101"/>
        <v>-3459.6270785461397</v>
      </c>
      <c r="H363" s="97">
        <f t="shared" si="102"/>
        <v>-4280.6077543456959</v>
      </c>
      <c r="I363" s="94">
        <f t="shared" si="103"/>
        <v>-3112.2060750533501</v>
      </c>
      <c r="J363" s="95">
        <f t="shared" si="104"/>
        <v>-135.00192145838258</v>
      </c>
      <c r="K363" s="94">
        <f t="shared" si="105"/>
        <v>-7.336009265228653</v>
      </c>
      <c r="L363" s="94">
        <f t="shared" si="106"/>
        <v>-266.62693299337121</v>
      </c>
      <c r="M363" s="93">
        <f t="shared" si="107"/>
        <v>-340.08499422756097</v>
      </c>
      <c r="N363" s="93">
        <f t="shared" si="108"/>
        <v>7590.8692195018448</v>
      </c>
      <c r="O363" s="93">
        <f t="shared" si="109"/>
        <v>36192.984923861208</v>
      </c>
      <c r="P363" s="93">
        <f t="shared" si="110"/>
        <v>34262.715736318351</v>
      </c>
      <c r="Q363" s="93">
        <f t="shared" si="111"/>
        <v>750996651656.00183</v>
      </c>
      <c r="R363" s="93">
        <f t="shared" si="112"/>
        <v>48076953334116.711</v>
      </c>
      <c r="S363" s="93">
        <f t="shared" si="113"/>
        <v>41513824579814.688</v>
      </c>
      <c r="T363">
        <f t="shared" si="114"/>
        <v>0.5</v>
      </c>
      <c r="X363" s="99">
        <v>320</v>
      </c>
      <c r="Y363" s="99">
        <f t="shared" si="115"/>
        <v>13830.222215594889</v>
      </c>
      <c r="Z363" s="99">
        <f t="shared" si="116"/>
        <v>4286.0619515673025</v>
      </c>
      <c r="AA363" s="99">
        <f t="shared" si="117"/>
        <v>-17318.844449083579</v>
      </c>
      <c r="AB363" s="99">
        <f t="shared" si="118"/>
        <v>7750.243366097111</v>
      </c>
      <c r="AC363" s="99">
        <f t="shared" si="119"/>
        <v>-1169.7777844051111</v>
      </c>
      <c r="AD363" s="99">
        <f t="shared" si="120"/>
        <v>-18213.938048432698</v>
      </c>
    </row>
    <row r="364" spans="1:30" x14ac:dyDescent="0.25">
      <c r="A364">
        <v>160.5</v>
      </c>
      <c r="B364" s="95">
        <f t="shared" si="121"/>
        <v>18354.949795756515</v>
      </c>
      <c r="C364" s="95">
        <f t="shared" si="122"/>
        <v>13378.853684634174</v>
      </c>
      <c r="D364" s="95">
        <f t="shared" si="123"/>
        <v>4430.565718384777</v>
      </c>
      <c r="E364" s="95">
        <f t="shared" si="124"/>
        <v>2830.0457682348888</v>
      </c>
      <c r="F364" s="96">
        <f t="shared" ref="F364:F427" si="125">SUM(H364,J364,L364)</f>
        <v>-3331.9371076841085</v>
      </c>
      <c r="G364" s="94">
        <f t="shared" ref="G364:G427" si="126">SUM(I364,K364,M364)</f>
        <v>-2393.6698327638292</v>
      </c>
      <c r="H364" s="97">
        <f t="shared" ref="H364:H427" si="127">$D$22*(($D$18-$B364)/$Q364)</f>
        <v>-2973.1149757582557</v>
      </c>
      <c r="I364" s="94">
        <f t="shared" ref="I364:I427" si="128">$D$22*(($E$18-$C364)/$Q364)</f>
        <v>-2091.9943694879903</v>
      </c>
      <c r="J364" s="95">
        <f t="shared" ref="J364:J427" si="129">$D$30*(($D$26-$B364)/$R364)</f>
        <v>-119.19364834812129</v>
      </c>
      <c r="K364" s="94">
        <f t="shared" ref="K364:K427" si="130">$D$30*(($E$26-$C364)/$R364)</f>
        <v>-10.500284840696034</v>
      </c>
      <c r="L364" s="94">
        <f t="shared" ref="L364:L427" si="131">$D$38*(($D$34-$B364)/$S364)</f>
        <v>-239.62848357773137</v>
      </c>
      <c r="M364" s="93">
        <f t="shared" ref="M364:M427" si="132">$D$38*(($E$34-$C364)/$S364)</f>
        <v>-291.1751784351427</v>
      </c>
      <c r="N364" s="93">
        <f t="shared" ref="N364:N427" si="133">SQRT(($D$18-$B364)^2+($E$18-$C364)^2)</f>
        <v>10215.973117375977</v>
      </c>
      <c r="O364" s="93">
        <f t="shared" ref="O364:O427" si="134">SQRT(($D$26-$B364)^2+($E$26-$C364)^2)</f>
        <v>38503.491089213829</v>
      </c>
      <c r="P364" s="93">
        <f t="shared" ref="P364:P427" si="135">SQRT(($D$34-$B364)^2+($E$34-$C364)^2)</f>
        <v>36753.4082285736</v>
      </c>
      <c r="Q364" s="93">
        <f t="shared" ref="Q364:Q427" si="136">($N364^2+$D$39^2)^(3/2)</f>
        <v>1471400036296.1646</v>
      </c>
      <c r="R364" s="93">
        <f t="shared" ref="R364:R427" si="137">($O364^2+$D$31^2)^(3/2)</f>
        <v>57791111566118.492</v>
      </c>
      <c r="S364" s="93">
        <f t="shared" ref="S364:S427" si="138">($P364^2+$D$23^2)^(3/2)</f>
        <v>51031592466139.75</v>
      </c>
      <c r="T364">
        <f t="shared" ref="T364:T427" si="139">A365-A364</f>
        <v>0.5</v>
      </c>
      <c r="X364" s="99">
        <v>321</v>
      </c>
      <c r="Y364" s="99">
        <f t="shared" ref="Y364:Y403" si="140">$D$19*COS(X364*PI()/180)+$D$18</f>
        <v>13885.729807284853</v>
      </c>
      <c r="Z364" s="99">
        <f t="shared" ref="Z364:Z403" si="141">$D$19*SIN(X364*PI()/180)+$E$18</f>
        <v>4353.3980447508111</v>
      </c>
      <c r="AA364" s="99">
        <f t="shared" ref="AA364:AA403" si="142">$D$27*COS(X364*PI()/180)+$D$26</f>
        <v>-17279.989134900603</v>
      </c>
      <c r="AB364" s="99">
        <f t="shared" ref="AB364:AB403" si="143">$D$27*SIN($X364*PI()/180)+$E$26</f>
        <v>7797.3786313255678</v>
      </c>
      <c r="AC364" s="99">
        <f t="shared" ref="AC364:AC403" si="144">$D$35*COS(X364*PI()/180)+$D$34</f>
        <v>-1114.270192715147</v>
      </c>
      <c r="AD364" s="99">
        <f t="shared" ref="AD364:AD403" si="145">$D$35*SIN(X364*PI()/180)+$E$34</f>
        <v>-18146.601955249189</v>
      </c>
    </row>
    <row r="365" spans="1:30" x14ac:dyDescent="0.25">
      <c r="A365">
        <v>161</v>
      </c>
      <c r="B365" s="95">
        <f t="shared" ref="B365:B428" si="146">B364+(D364*$T364)+(F364*($T364)^2)</f>
        <v>19737.248378027878</v>
      </c>
      <c r="C365" s="95">
        <f t="shared" ref="C365:C428" si="147">C364+(E364*$T364)+(G364*($T364)^2)</f>
        <v>14195.459110560661</v>
      </c>
      <c r="D365" s="95">
        <f t="shared" ref="D365:D428" si="148">D364+(F364*$T364)</f>
        <v>2764.5971645427226</v>
      </c>
      <c r="E365" s="95">
        <f t="shared" ref="E365:E428" si="149">E364+(G364*$T364)</f>
        <v>1633.2108518529742</v>
      </c>
      <c r="F365" s="96">
        <f t="shared" si="125"/>
        <v>-2749.2877683380843</v>
      </c>
      <c r="G365" s="94">
        <f t="shared" si="126"/>
        <v>-1937.0957293870172</v>
      </c>
      <c r="H365" s="97">
        <f t="shared" si="127"/>
        <v>-2413.3441454078584</v>
      </c>
      <c r="I365" s="94">
        <f t="shared" si="128"/>
        <v>-1659.4469420900109</v>
      </c>
      <c r="J365" s="95">
        <f t="shared" si="129"/>
        <v>-110.58510574796628</v>
      </c>
      <c r="K365" s="94">
        <f t="shared" si="130"/>
        <v>-11.675576652639002</v>
      </c>
      <c r="L365" s="94">
        <f t="shared" si="131"/>
        <v>-225.35851718225956</v>
      </c>
      <c r="M365" s="93">
        <f t="shared" si="132"/>
        <v>-265.97321064436727</v>
      </c>
      <c r="N365" s="93">
        <f t="shared" si="133"/>
        <v>11817.071493250614</v>
      </c>
      <c r="O365" s="93">
        <f t="shared" si="134"/>
        <v>39958.112890944511</v>
      </c>
      <c r="P365" s="93">
        <f t="shared" si="135"/>
        <v>38266.255238691207</v>
      </c>
      <c r="Q365" s="93">
        <f t="shared" si="136"/>
        <v>2112591914474.0459</v>
      </c>
      <c r="R365" s="93">
        <f t="shared" si="137"/>
        <v>64534789186019.195</v>
      </c>
      <c r="S365" s="93">
        <f t="shared" si="138"/>
        <v>57474610342466.461</v>
      </c>
      <c r="T365">
        <f t="shared" si="139"/>
        <v>0.5</v>
      </c>
      <c r="X365" s="99">
        <v>322</v>
      </c>
      <c r="Y365" s="99">
        <f t="shared" si="140"/>
        <v>13940.053768033607</v>
      </c>
      <c r="Z365" s="99">
        <f t="shared" si="141"/>
        <v>4421.6926233717058</v>
      </c>
      <c r="AA365" s="99">
        <f t="shared" si="142"/>
        <v>-17241.962362376475</v>
      </c>
      <c r="AB365" s="99">
        <f t="shared" si="143"/>
        <v>7845.1848363601939</v>
      </c>
      <c r="AC365" s="99">
        <f t="shared" si="144"/>
        <v>-1059.9462319663921</v>
      </c>
      <c r="AD365" s="99">
        <f t="shared" si="145"/>
        <v>-18078.307376628294</v>
      </c>
    </row>
    <row r="366" spans="1:30" x14ac:dyDescent="0.25">
      <c r="A366">
        <v>161.5</v>
      </c>
      <c r="B366" s="95">
        <f t="shared" si="146"/>
        <v>20432.225018214718</v>
      </c>
      <c r="C366" s="95">
        <f t="shared" si="147"/>
        <v>14527.790604140395</v>
      </c>
      <c r="D366" s="95">
        <f t="shared" si="148"/>
        <v>1389.9532803736804</v>
      </c>
      <c r="E366" s="95">
        <f t="shared" si="149"/>
        <v>664.66298715946562</v>
      </c>
      <c r="F366" s="96">
        <f t="shared" si="125"/>
        <v>-2528.6747129093824</v>
      </c>
      <c r="G366" s="94">
        <f t="shared" si="126"/>
        <v>-1750.5807817476323</v>
      </c>
      <c r="H366" s="97">
        <f t="shared" si="127"/>
        <v>-2202.4807795651118</v>
      </c>
      <c r="I366" s="94">
        <f t="shared" si="128"/>
        <v>-1483.7269807161788</v>
      </c>
      <c r="J366" s="95">
        <f t="shared" si="129"/>
        <v>-106.63885750942421</v>
      </c>
      <c r="K366" s="94">
        <f t="shared" si="130"/>
        <v>-11.941920506475187</v>
      </c>
      <c r="L366" s="94">
        <f t="shared" si="131"/>
        <v>-219.55507583484643</v>
      </c>
      <c r="M366" s="93">
        <f t="shared" si="132"/>
        <v>-254.91188052497813</v>
      </c>
      <c r="N366" s="93">
        <f t="shared" si="133"/>
        <v>12578.599270439818</v>
      </c>
      <c r="O366" s="93">
        <f t="shared" si="134"/>
        <v>40684.956773708022</v>
      </c>
      <c r="P366" s="93">
        <f t="shared" si="135"/>
        <v>38970.353954500701</v>
      </c>
      <c r="Q366" s="93">
        <f t="shared" si="136"/>
        <v>2480067157444.9419</v>
      </c>
      <c r="R366" s="93">
        <f t="shared" si="137"/>
        <v>68093381296276.125</v>
      </c>
      <c r="S366" s="93">
        <f t="shared" si="138"/>
        <v>60651213959154.438</v>
      </c>
      <c r="T366">
        <f t="shared" si="139"/>
        <v>0.5</v>
      </c>
      <c r="X366" s="99">
        <v>323</v>
      </c>
      <c r="Y366" s="99">
        <f t="shared" si="140"/>
        <v>13993.177550236464</v>
      </c>
      <c r="Z366" s="99">
        <f t="shared" si="141"/>
        <v>4490.9248842397592</v>
      </c>
      <c r="AA366" s="99">
        <f t="shared" si="142"/>
        <v>-17204.775714834475</v>
      </c>
      <c r="AB366" s="99">
        <f t="shared" si="143"/>
        <v>7893.6474189678311</v>
      </c>
      <c r="AC366" s="99">
        <f t="shared" si="144"/>
        <v>-1006.822449763536</v>
      </c>
      <c r="AD366" s="99">
        <f t="shared" si="145"/>
        <v>-18009.075115760243</v>
      </c>
    </row>
    <row r="367" spans="1:30" x14ac:dyDescent="0.25">
      <c r="A367">
        <v>162</v>
      </c>
      <c r="B367" s="95">
        <f t="shared" si="146"/>
        <v>20495.032980174212</v>
      </c>
      <c r="C367" s="95">
        <f t="shared" si="147"/>
        <v>14422.476902283221</v>
      </c>
      <c r="D367" s="95">
        <f t="shared" si="148"/>
        <v>125.61592391898921</v>
      </c>
      <c r="E367" s="95">
        <f t="shared" si="149"/>
        <v>-210.62740371435052</v>
      </c>
      <c r="F367" s="96">
        <f t="shared" si="125"/>
        <v>-2545.7016899617106</v>
      </c>
      <c r="G367" s="94">
        <f t="shared" si="126"/>
        <v>-1729.7146630099487</v>
      </c>
      <c r="H367" s="97">
        <f t="shared" si="127"/>
        <v>-2218.55119513617</v>
      </c>
      <c r="I367" s="94">
        <f t="shared" si="128"/>
        <v>-1463.3464643584225</v>
      </c>
      <c r="J367" s="95">
        <f t="shared" si="129"/>
        <v>-106.40796385846301</v>
      </c>
      <c r="K367" s="94">
        <f t="shared" si="130"/>
        <v>-11.620851441544271</v>
      </c>
      <c r="L367" s="94">
        <f t="shared" si="131"/>
        <v>-220.7425309670777</v>
      </c>
      <c r="M367" s="93">
        <f t="shared" si="132"/>
        <v>-254.74734720998194</v>
      </c>
      <c r="N367" s="93">
        <f t="shared" si="133"/>
        <v>12572.446210566544</v>
      </c>
      <c r="O367" s="93">
        <f t="shared" si="134"/>
        <v>40735.807320054744</v>
      </c>
      <c r="P367" s="93">
        <f t="shared" si="135"/>
        <v>38931.720405416971</v>
      </c>
      <c r="Q367" s="93">
        <f t="shared" si="136"/>
        <v>2476925675788.0225</v>
      </c>
      <c r="R367" s="93">
        <f t="shared" si="137"/>
        <v>68347143189876.359</v>
      </c>
      <c r="S367" s="93">
        <f t="shared" si="138"/>
        <v>60473928579936.445</v>
      </c>
      <c r="T367">
        <f t="shared" si="139"/>
        <v>0.5</v>
      </c>
      <c r="X367" s="99">
        <v>324</v>
      </c>
      <c r="Y367" s="99">
        <f t="shared" si="140"/>
        <v>14045.084971874738</v>
      </c>
      <c r="Z367" s="99">
        <f t="shared" si="141"/>
        <v>4561.0737385376333</v>
      </c>
      <c r="AA367" s="99">
        <f t="shared" si="142"/>
        <v>-17168.440519687683</v>
      </c>
      <c r="AB367" s="99">
        <f t="shared" si="143"/>
        <v>7942.751616976343</v>
      </c>
      <c r="AC367" s="99">
        <f t="shared" si="144"/>
        <v>-954.91502812526323</v>
      </c>
      <c r="AD367" s="99">
        <f t="shared" si="145"/>
        <v>-17938.926261462366</v>
      </c>
    </row>
    <row r="368" spans="1:30" x14ac:dyDescent="0.25">
      <c r="A368">
        <v>162.5</v>
      </c>
      <c r="B368" s="95">
        <f t="shared" si="146"/>
        <v>19921.415519643277</v>
      </c>
      <c r="C368" s="95">
        <f t="shared" si="147"/>
        <v>13884.734534673556</v>
      </c>
      <c r="D368" s="95">
        <f t="shared" si="148"/>
        <v>-1147.2349210618661</v>
      </c>
      <c r="E368" s="95">
        <f t="shared" si="149"/>
        <v>-1075.4847352193249</v>
      </c>
      <c r="F368" s="96">
        <f t="shared" si="125"/>
        <v>-2807.9036708665644</v>
      </c>
      <c r="G368" s="94">
        <f t="shared" si="126"/>
        <v>-1865.0644569961028</v>
      </c>
      <c r="H368" s="97">
        <f t="shared" si="127"/>
        <v>-2468.9666618927895</v>
      </c>
      <c r="I368" s="94">
        <f t="shared" si="128"/>
        <v>-1588.8556103646958</v>
      </c>
      <c r="J368" s="95">
        <f t="shared" si="129"/>
        <v>-109.84993569195071</v>
      </c>
      <c r="K368" s="94">
        <f t="shared" si="130"/>
        <v>-10.689446585485289</v>
      </c>
      <c r="L368" s="94">
        <f t="shared" si="131"/>
        <v>-229.08707328182444</v>
      </c>
      <c r="M368" s="93">
        <f t="shared" si="132"/>
        <v>-265.51940004592177</v>
      </c>
      <c r="N368" s="93">
        <f t="shared" si="133"/>
        <v>11798.276187294126</v>
      </c>
      <c r="O368" s="93">
        <f t="shared" si="134"/>
        <v>40109.981045830726</v>
      </c>
      <c r="P368" s="93">
        <f t="shared" si="135"/>
        <v>38149.768552918904</v>
      </c>
      <c r="Q368" s="93">
        <f t="shared" si="136"/>
        <v>2104054744224.3091</v>
      </c>
      <c r="R368" s="93">
        <f t="shared" si="137"/>
        <v>65267783954691.539</v>
      </c>
      <c r="S368" s="93">
        <f t="shared" si="138"/>
        <v>56960100215732.875</v>
      </c>
      <c r="T368">
        <f t="shared" si="139"/>
        <v>0.5</v>
      </c>
      <c r="X368" s="99">
        <v>325</v>
      </c>
      <c r="Y368" s="99">
        <f t="shared" si="140"/>
        <v>14095.760221444958</v>
      </c>
      <c r="Z368" s="99">
        <f t="shared" si="141"/>
        <v>4632.1178182447675</v>
      </c>
      <c r="AA368" s="99">
        <f t="shared" si="142"/>
        <v>-17132.967844988529</v>
      </c>
      <c r="AB368" s="99">
        <f t="shared" si="143"/>
        <v>7992.4824727713376</v>
      </c>
      <c r="AC368" s="99">
        <f t="shared" si="144"/>
        <v>-904.23977855504199</v>
      </c>
      <c r="AD368" s="99">
        <f t="shared" si="145"/>
        <v>-17867.882181755231</v>
      </c>
    </row>
    <row r="369" spans="1:30" x14ac:dyDescent="0.25">
      <c r="A369">
        <v>163</v>
      </c>
      <c r="B369" s="95">
        <f t="shared" si="146"/>
        <v>18645.822141395704</v>
      </c>
      <c r="C369" s="95">
        <f t="shared" si="147"/>
        <v>12880.726052814869</v>
      </c>
      <c r="D369" s="95">
        <f t="shared" si="148"/>
        <v>-2551.1867564951481</v>
      </c>
      <c r="E369" s="95">
        <f t="shared" si="149"/>
        <v>-2008.0169637173763</v>
      </c>
      <c r="F369" s="96">
        <f t="shared" si="125"/>
        <v>-3464.7202557706214</v>
      </c>
      <c r="G369" s="94">
        <f t="shared" si="126"/>
        <v>-2228.946085625329</v>
      </c>
      <c r="H369" s="97">
        <f t="shared" si="127"/>
        <v>-3100.4496362097775</v>
      </c>
      <c r="I369" s="94">
        <f t="shared" si="128"/>
        <v>-1929.5643445079284</v>
      </c>
      <c r="J369" s="95">
        <f t="shared" si="129"/>
        <v>-117.810978237985</v>
      </c>
      <c r="K369" s="94">
        <f t="shared" si="130"/>
        <v>-8.7818329514651143</v>
      </c>
      <c r="L369" s="94">
        <f t="shared" si="131"/>
        <v>-246.45964132285877</v>
      </c>
      <c r="M369" s="93">
        <f t="shared" si="132"/>
        <v>-290.59990816593552</v>
      </c>
      <c r="N369" s="93">
        <f t="shared" si="133"/>
        <v>10183.440153312085</v>
      </c>
      <c r="O369" s="93">
        <f t="shared" si="134"/>
        <v>38753.040546204335</v>
      </c>
      <c r="P369" s="93">
        <f t="shared" si="135"/>
        <v>36557.622870950305</v>
      </c>
      <c r="Q369" s="93">
        <f t="shared" si="136"/>
        <v>1460092057102.2485</v>
      </c>
      <c r="R369" s="93">
        <f t="shared" si="137"/>
        <v>58912781915974.063</v>
      </c>
      <c r="S369" s="93">
        <f t="shared" si="138"/>
        <v>50235095104399.242</v>
      </c>
      <c r="T369">
        <f t="shared" si="139"/>
        <v>0.5</v>
      </c>
      <c r="X369" s="99">
        <v>326</v>
      </c>
      <c r="Y369" s="99">
        <f t="shared" si="140"/>
        <v>14145.187862775207</v>
      </c>
      <c r="Z369" s="99">
        <f t="shared" si="141"/>
        <v>4704.0354826462626</v>
      </c>
      <c r="AA369" s="99">
        <f t="shared" si="142"/>
        <v>-17098.368496057356</v>
      </c>
      <c r="AB369" s="99">
        <f t="shared" si="143"/>
        <v>8042.824837852384</v>
      </c>
      <c r="AC369" s="99">
        <f t="shared" si="144"/>
        <v>-854.81213722479333</v>
      </c>
      <c r="AD369" s="99">
        <f t="shared" si="145"/>
        <v>-17795.964517353736</v>
      </c>
    </row>
    <row r="370" spans="1:30" x14ac:dyDescent="0.25">
      <c r="A370">
        <v>163.5</v>
      </c>
      <c r="B370" s="95">
        <f t="shared" si="146"/>
        <v>16504.048699205476</v>
      </c>
      <c r="C370" s="95">
        <f t="shared" si="147"/>
        <v>11319.48104954985</v>
      </c>
      <c r="D370" s="95">
        <f t="shared" si="148"/>
        <v>-4283.5468843804592</v>
      </c>
      <c r="E370" s="95">
        <f t="shared" si="149"/>
        <v>-3122.4900065300408</v>
      </c>
      <c r="F370" s="96">
        <f t="shared" si="125"/>
        <v>-5005.85180845374</v>
      </c>
      <c r="G370" s="94">
        <f t="shared" si="126"/>
        <v>-3043.3746018902966</v>
      </c>
      <c r="H370" s="97">
        <f t="shared" si="127"/>
        <v>-4595.4439036629783</v>
      </c>
      <c r="I370" s="94">
        <f t="shared" si="128"/>
        <v>-2698.6592069112708</v>
      </c>
      <c r="J370" s="95">
        <f t="shared" si="129"/>
        <v>-132.68032696801663</v>
      </c>
      <c r="K370" s="94">
        <f t="shared" si="130"/>
        <v>-4.7958838353781355</v>
      </c>
      <c r="L370" s="94">
        <f t="shared" si="131"/>
        <v>-277.72757782274505</v>
      </c>
      <c r="M370" s="93">
        <f t="shared" si="132"/>
        <v>-339.91951114364775</v>
      </c>
      <c r="N370" s="93">
        <f t="shared" si="133"/>
        <v>7542.6179122044132</v>
      </c>
      <c r="O370" s="93">
        <f t="shared" si="134"/>
        <v>36527.887999090315</v>
      </c>
      <c r="P370" s="93">
        <f t="shared" si="135"/>
        <v>33987.338718637773</v>
      </c>
      <c r="Q370" s="93">
        <f t="shared" si="136"/>
        <v>741062671360.47473</v>
      </c>
      <c r="R370" s="93">
        <f t="shared" si="137"/>
        <v>49411409698341.961</v>
      </c>
      <c r="S370" s="93">
        <f t="shared" si="138"/>
        <v>40541503503466.836</v>
      </c>
      <c r="T370">
        <f t="shared" si="139"/>
        <v>0.5</v>
      </c>
      <c r="X370" s="99">
        <v>327</v>
      </c>
      <c r="Y370" s="99">
        <f t="shared" si="140"/>
        <v>14193.35283972712</v>
      </c>
      <c r="Z370" s="99">
        <f t="shared" si="141"/>
        <v>4776.804824924865</v>
      </c>
      <c r="AA370" s="99">
        <f t="shared" si="142"/>
        <v>-17064.653012191015</v>
      </c>
      <c r="AB370" s="99">
        <f t="shared" si="143"/>
        <v>8093.7633774474052</v>
      </c>
      <c r="AC370" s="99">
        <f t="shared" si="144"/>
        <v>-806.64716027287977</v>
      </c>
      <c r="AD370" s="99">
        <f t="shared" si="145"/>
        <v>-17723.195175075136</v>
      </c>
    </row>
    <row r="371" spans="1:30" x14ac:dyDescent="0.25">
      <c r="A371">
        <v>164</v>
      </c>
      <c r="B371" s="95">
        <f t="shared" si="146"/>
        <v>13110.81230490181</v>
      </c>
      <c r="C371" s="95">
        <f t="shared" si="147"/>
        <v>8997.3923958122559</v>
      </c>
      <c r="D371" s="95">
        <f t="shared" si="148"/>
        <v>-6786.4727886073288</v>
      </c>
      <c r="E371" s="95">
        <f t="shared" si="149"/>
        <v>-4644.1773074751891</v>
      </c>
      <c r="F371" s="96">
        <f t="shared" si="125"/>
        <v>-7756.772242380408</v>
      </c>
      <c r="G371" s="94">
        <f t="shared" si="126"/>
        <v>-3934.0176767260373</v>
      </c>
      <c r="H371" s="97">
        <f t="shared" si="127"/>
        <v>-7260.9189207751315</v>
      </c>
      <c r="I371" s="94">
        <f t="shared" si="128"/>
        <v>-3495.0500746849757</v>
      </c>
      <c r="J371" s="95">
        <f t="shared" si="129"/>
        <v>-160.88812630249066</v>
      </c>
      <c r="K371" s="94">
        <f t="shared" si="130"/>
        <v>4.8717517821365837</v>
      </c>
      <c r="L371" s="94">
        <f t="shared" si="131"/>
        <v>-334.96519530278579</v>
      </c>
      <c r="M371" s="93">
        <f t="shared" si="132"/>
        <v>-443.83935382319783</v>
      </c>
      <c r="N371" s="93">
        <f t="shared" si="133"/>
        <v>3452.4393091501092</v>
      </c>
      <c r="O371" s="93">
        <f t="shared" si="134"/>
        <v>33125.988490887517</v>
      </c>
      <c r="P371" s="93">
        <f t="shared" si="135"/>
        <v>30064.536652707135</v>
      </c>
      <c r="Q371" s="93">
        <f t="shared" si="136"/>
        <v>224326635751.61188</v>
      </c>
      <c r="R371" s="93">
        <f t="shared" si="137"/>
        <v>36960563497491.914</v>
      </c>
      <c r="S371" s="93">
        <f t="shared" si="138"/>
        <v>28309804364496.391</v>
      </c>
      <c r="T371">
        <f t="shared" si="139"/>
        <v>0.5</v>
      </c>
      <c r="X371" s="99">
        <v>328</v>
      </c>
      <c r="Y371" s="99">
        <f t="shared" si="140"/>
        <v>14240.240480782126</v>
      </c>
      <c r="Z371" s="99">
        <f t="shared" si="141"/>
        <v>4850.4036788339708</v>
      </c>
      <c r="AA371" s="99">
        <f t="shared" si="142"/>
        <v>-17031.831663452511</v>
      </c>
      <c r="AB371" s="99">
        <f t="shared" si="143"/>
        <v>8145.28257518378</v>
      </c>
      <c r="AC371" s="99">
        <f t="shared" si="144"/>
        <v>-759.75951921787328</v>
      </c>
      <c r="AD371" s="99">
        <f t="shared" si="145"/>
        <v>-17649.596321166027</v>
      </c>
    </row>
    <row r="372" spans="1:30" x14ac:dyDescent="0.25">
      <c r="A372">
        <v>164.5</v>
      </c>
      <c r="B372" s="95">
        <f t="shared" si="146"/>
        <v>7778.3828500030431</v>
      </c>
      <c r="C372" s="95">
        <f t="shared" si="147"/>
        <v>5691.7993228931518</v>
      </c>
      <c r="D372" s="95">
        <f t="shared" si="148"/>
        <v>-10664.858909797533</v>
      </c>
      <c r="E372" s="95">
        <f t="shared" si="149"/>
        <v>-6611.1861458382082</v>
      </c>
      <c r="F372" s="96">
        <f t="shared" si="125"/>
        <v>5422.7496630518071</v>
      </c>
      <c r="G372" s="94">
        <f t="shared" si="126"/>
        <v>4274.231290715571</v>
      </c>
      <c r="H372" s="97">
        <f t="shared" si="127"/>
        <v>6079.3791759134911</v>
      </c>
      <c r="I372" s="94">
        <f t="shared" si="128"/>
        <v>4948.0791693974388</v>
      </c>
      <c r="J372" s="95">
        <f t="shared" si="129"/>
        <v>-219.46911990355807</v>
      </c>
      <c r="K372" s="94">
        <f t="shared" si="130"/>
        <v>34.037870961680163</v>
      </c>
      <c r="L372" s="94">
        <f t="shared" si="131"/>
        <v>-437.16039295812601</v>
      </c>
      <c r="M372" s="93">
        <f t="shared" si="132"/>
        <v>-707.88574964354757</v>
      </c>
      <c r="N372" s="93">
        <f t="shared" si="133"/>
        <v>2864.4672191963141</v>
      </c>
      <c r="O372" s="93">
        <f t="shared" si="134"/>
        <v>28110.481085096482</v>
      </c>
      <c r="P372" s="93">
        <f t="shared" si="135"/>
        <v>24319.490691215829</v>
      </c>
      <c r="Q372" s="93">
        <f t="shared" si="136"/>
        <v>191341251454.64383</v>
      </c>
      <c r="R372" s="93">
        <f t="shared" si="137"/>
        <v>22731404984813.156</v>
      </c>
      <c r="S372" s="93">
        <f t="shared" si="138"/>
        <v>15305013267816.271</v>
      </c>
      <c r="T372">
        <f t="shared" si="139"/>
        <v>0.5</v>
      </c>
      <c r="X372" s="99">
        <v>329</v>
      </c>
      <c r="Y372" s="99">
        <f t="shared" si="140"/>
        <v>14285.83650351056</v>
      </c>
      <c r="Z372" s="99">
        <f t="shared" si="141"/>
        <v>4924.8096254497277</v>
      </c>
      <c r="AA372" s="99">
        <f t="shared" si="142"/>
        <v>-16999.914447542607</v>
      </c>
      <c r="AB372" s="99">
        <f t="shared" si="143"/>
        <v>8197.3667378148093</v>
      </c>
      <c r="AC372" s="99">
        <f t="shared" si="144"/>
        <v>-714.16349648943924</v>
      </c>
      <c r="AD372" s="99">
        <f t="shared" si="145"/>
        <v>-17575.190374550271</v>
      </c>
    </row>
    <row r="373" spans="1:30" x14ac:dyDescent="0.25">
      <c r="A373">
        <v>165</v>
      </c>
      <c r="B373" s="95">
        <f t="shared" si="146"/>
        <v>3801.6408108672285</v>
      </c>
      <c r="C373" s="95">
        <f t="shared" si="147"/>
        <v>3454.7640726529407</v>
      </c>
      <c r="D373" s="95">
        <f t="shared" si="148"/>
        <v>-7953.4840782716292</v>
      </c>
      <c r="E373" s="95">
        <f t="shared" si="149"/>
        <v>-4474.0705004804222</v>
      </c>
      <c r="F373" s="96">
        <f t="shared" si="125"/>
        <v>3784.1239214481557</v>
      </c>
      <c r="G373" s="94">
        <f t="shared" si="126"/>
        <v>2011.8346430321269</v>
      </c>
      <c r="H373" s="97">
        <f t="shared" si="127"/>
        <v>4554.125533936548</v>
      </c>
      <c r="I373" s="94">
        <f t="shared" si="128"/>
        <v>2972.1595127671644</v>
      </c>
      <c r="J373" s="95">
        <f t="shared" si="129"/>
        <v>-275.8192146303943</v>
      </c>
      <c r="K373" s="94">
        <f t="shared" si="130"/>
        <v>75.847789124993895</v>
      </c>
      <c r="L373" s="94">
        <f t="shared" si="131"/>
        <v>-494.1823978579979</v>
      </c>
      <c r="M373" s="93">
        <f t="shared" si="132"/>
        <v>-1036.1726588600316</v>
      </c>
      <c r="N373" s="93">
        <f t="shared" si="133"/>
        <v>7401.5937706284649</v>
      </c>
      <c r="O373" s="93">
        <f t="shared" si="134"/>
        <v>24685.182167328141</v>
      </c>
      <c r="P373" s="93">
        <f t="shared" si="135"/>
        <v>20446.202531052197</v>
      </c>
      <c r="Q373" s="93">
        <f t="shared" si="136"/>
        <v>712640277033.17188</v>
      </c>
      <c r="R373" s="93">
        <f t="shared" si="137"/>
        <v>15497980917891.244</v>
      </c>
      <c r="S373" s="93">
        <f t="shared" si="138"/>
        <v>9325561516965.1367</v>
      </c>
      <c r="T373">
        <f t="shared" si="139"/>
        <v>0.5</v>
      </c>
      <c r="X373" s="99">
        <v>330</v>
      </c>
      <c r="Y373" s="99">
        <f t="shared" si="140"/>
        <v>14330.127018922192</v>
      </c>
      <c r="Z373" s="99">
        <f t="shared" si="141"/>
        <v>4999.9999999999982</v>
      </c>
      <c r="AA373" s="99">
        <f t="shared" si="142"/>
        <v>-16968.911086754466</v>
      </c>
      <c r="AB373" s="99">
        <f t="shared" si="143"/>
        <v>8249.9999999999982</v>
      </c>
      <c r="AC373" s="99">
        <f t="shared" si="144"/>
        <v>-669.87298107780771</v>
      </c>
      <c r="AD373" s="99">
        <f t="shared" si="145"/>
        <v>-17500.000000000004</v>
      </c>
    </row>
    <row r="374" spans="1:30" x14ac:dyDescent="0.25">
      <c r="A374">
        <v>165.5</v>
      </c>
      <c r="B374" s="95">
        <f t="shared" si="146"/>
        <v>770.92975209345286</v>
      </c>
      <c r="C374" s="95">
        <f t="shared" si="147"/>
        <v>1720.6874831707614</v>
      </c>
      <c r="D374" s="95">
        <f t="shared" si="148"/>
        <v>-6061.4221175475514</v>
      </c>
      <c r="E374" s="95">
        <f t="shared" si="149"/>
        <v>-3468.1531789643586</v>
      </c>
      <c r="F374" s="96">
        <f t="shared" si="125"/>
        <v>2000.5936931181045</v>
      </c>
      <c r="G374" s="94">
        <f t="shared" si="126"/>
        <v>477.5893781661548</v>
      </c>
      <c r="H374" s="97">
        <f t="shared" si="127"/>
        <v>2808.8783682784347</v>
      </c>
      <c r="I374" s="94">
        <f t="shared" si="128"/>
        <v>1758.9405515387321</v>
      </c>
      <c r="J374" s="95">
        <f t="shared" si="129"/>
        <v>-321.77553597854211</v>
      </c>
      <c r="K374" s="94">
        <f t="shared" si="130"/>
        <v>128.26003719780886</v>
      </c>
      <c r="L374" s="94">
        <f t="shared" si="131"/>
        <v>-486.50913918178833</v>
      </c>
      <c r="M374" s="93">
        <f t="shared" si="132"/>
        <v>-1409.611210570386</v>
      </c>
      <c r="N374" s="93">
        <f t="shared" si="133"/>
        <v>10889.269525912789</v>
      </c>
      <c r="O374" s="93">
        <f t="shared" si="134"/>
        <v>22360.199876515555</v>
      </c>
      <c r="P374" s="93">
        <f t="shared" si="135"/>
        <v>17688.556190753974</v>
      </c>
      <c r="Q374" s="93">
        <f t="shared" si="136"/>
        <v>1720377050244.5422</v>
      </c>
      <c r="R374" s="93">
        <f t="shared" si="137"/>
        <v>11592995223002.795</v>
      </c>
      <c r="S374" s="93">
        <f t="shared" si="138"/>
        <v>6210883843501.3652</v>
      </c>
      <c r="T374">
        <f t="shared" si="139"/>
        <v>0.5</v>
      </c>
      <c r="X374" s="99">
        <v>331</v>
      </c>
      <c r="Y374" s="99">
        <f t="shared" si="140"/>
        <v>14373.09853569698</v>
      </c>
      <c r="Z374" s="99">
        <f t="shared" si="141"/>
        <v>5075.951898768315</v>
      </c>
      <c r="AA374" s="99">
        <f t="shared" si="142"/>
        <v>-16938.831025012114</v>
      </c>
      <c r="AB374" s="99">
        <f t="shared" si="143"/>
        <v>8303.1663291378209</v>
      </c>
      <c r="AC374" s="99">
        <f t="shared" si="144"/>
        <v>-626.90146430302048</v>
      </c>
      <c r="AD374" s="99">
        <f t="shared" si="145"/>
        <v>-17424.048101231685</v>
      </c>
    </row>
    <row r="375" spans="1:30" x14ac:dyDescent="0.25">
      <c r="A375">
        <v>166</v>
      </c>
      <c r="B375" s="95">
        <f t="shared" si="146"/>
        <v>-1759.6328834007968</v>
      </c>
      <c r="C375" s="95">
        <f t="shared" si="147"/>
        <v>106.00823823012081</v>
      </c>
      <c r="D375" s="95">
        <f t="shared" si="148"/>
        <v>-5061.1252709884993</v>
      </c>
      <c r="E375" s="95">
        <f t="shared" si="149"/>
        <v>-3229.3584898812815</v>
      </c>
      <c r="F375" s="96">
        <f t="shared" si="125"/>
        <v>1165.7515554924662</v>
      </c>
      <c r="G375" s="94">
        <f t="shared" si="126"/>
        <v>-453.36260306245572</v>
      </c>
      <c r="H375" s="97">
        <f t="shared" si="127"/>
        <v>1913.493314362132</v>
      </c>
      <c r="I375" s="94">
        <f t="shared" si="128"/>
        <v>1203.1288682970985</v>
      </c>
      <c r="J375" s="95">
        <f t="shared" si="129"/>
        <v>-351.51050239270376</v>
      </c>
      <c r="K375" s="94">
        <f t="shared" si="130"/>
        <v>190.66732553228476</v>
      </c>
      <c r="L375" s="94">
        <f t="shared" si="131"/>
        <v>-396.23125647696213</v>
      </c>
      <c r="M375" s="93">
        <f t="shared" si="132"/>
        <v>-1847.1587968918391</v>
      </c>
      <c r="N375" s="93">
        <f t="shared" si="133"/>
        <v>13891.007153028255</v>
      </c>
      <c r="O375" s="93">
        <f t="shared" si="134"/>
        <v>20750.953364370605</v>
      </c>
      <c r="P375" s="93">
        <f t="shared" si="135"/>
        <v>15449.642841949897</v>
      </c>
      <c r="Q375" s="93">
        <f t="shared" si="136"/>
        <v>3217847343922.7622</v>
      </c>
      <c r="R375" s="93">
        <f t="shared" si="137"/>
        <v>9319401274017.748</v>
      </c>
      <c r="S375" s="93">
        <f t="shared" si="138"/>
        <v>4281974798823.021</v>
      </c>
      <c r="T375">
        <f t="shared" si="139"/>
        <v>0.5</v>
      </c>
      <c r="X375" s="99">
        <v>332</v>
      </c>
      <c r="Y375" s="99">
        <f t="shared" si="140"/>
        <v>14414.737964294634</v>
      </c>
      <c r="Z375" s="99">
        <f t="shared" si="141"/>
        <v>5152.6421860705459</v>
      </c>
      <c r="AA375" s="99">
        <f t="shared" si="142"/>
        <v>-16909.683424993756</v>
      </c>
      <c r="AB375" s="99">
        <f t="shared" si="143"/>
        <v>8356.849530249383</v>
      </c>
      <c r="AC375" s="99">
        <f t="shared" si="144"/>
        <v>-585.26203570536563</v>
      </c>
      <c r="AD375" s="99">
        <f t="shared" si="145"/>
        <v>-17347.357813929455</v>
      </c>
    </row>
    <row r="376" spans="1:30" x14ac:dyDescent="0.25">
      <c r="A376">
        <v>166.5</v>
      </c>
      <c r="B376" s="95">
        <f t="shared" si="146"/>
        <v>-3998.7576300219303</v>
      </c>
      <c r="C376" s="95">
        <f t="shared" si="147"/>
        <v>-1622.0116574761339</v>
      </c>
      <c r="D376" s="95">
        <f t="shared" si="148"/>
        <v>-4478.249493242266</v>
      </c>
      <c r="E376" s="95">
        <f t="shared" si="149"/>
        <v>-3456.0397914125092</v>
      </c>
      <c r="F376" s="96">
        <f t="shared" si="125"/>
        <v>848.27421070943683</v>
      </c>
      <c r="G376" s="94">
        <f t="shared" si="126"/>
        <v>-1228.9744491311185</v>
      </c>
      <c r="H376" s="97">
        <f t="shared" si="127"/>
        <v>1381.6563330373924</v>
      </c>
      <c r="I376" s="94">
        <f t="shared" si="128"/>
        <v>900.32883700787943</v>
      </c>
      <c r="J376" s="95">
        <f t="shared" si="129"/>
        <v>-354.73638002983773</v>
      </c>
      <c r="K376" s="94">
        <f t="shared" si="130"/>
        <v>257.65189031652096</v>
      </c>
      <c r="L376" s="94">
        <f t="shared" si="131"/>
        <v>-178.64574229811799</v>
      </c>
      <c r="M376" s="93">
        <f t="shared" si="132"/>
        <v>-2386.955176455519</v>
      </c>
      <c r="N376" s="93">
        <f t="shared" si="133"/>
        <v>16708.570012518358</v>
      </c>
      <c r="O376" s="93">
        <f t="shared" si="134"/>
        <v>19776.524273726478</v>
      </c>
      <c r="P376" s="93">
        <f t="shared" si="135"/>
        <v>13415.403772385822</v>
      </c>
      <c r="Q376" s="93">
        <f t="shared" si="136"/>
        <v>5305032937433.4053</v>
      </c>
      <c r="R376" s="93">
        <f t="shared" si="137"/>
        <v>8101038869787.5527</v>
      </c>
      <c r="S376" s="93">
        <f t="shared" si="138"/>
        <v>2934574718958.6343</v>
      </c>
      <c r="T376">
        <f t="shared" si="139"/>
        <v>0.5</v>
      </c>
      <c r="X376" s="99">
        <v>333</v>
      </c>
      <c r="Y376" s="99">
        <f t="shared" si="140"/>
        <v>14455.032620941838</v>
      </c>
      <c r="Z376" s="99">
        <f t="shared" si="141"/>
        <v>5230.0475013022651</v>
      </c>
      <c r="AA376" s="99">
        <f t="shared" si="142"/>
        <v>-16881.477165340712</v>
      </c>
      <c r="AB376" s="99">
        <f t="shared" si="143"/>
        <v>8411.0332509115851</v>
      </c>
      <c r="AC376" s="99">
        <f t="shared" si="144"/>
        <v>-544.96737905816099</v>
      </c>
      <c r="AD376" s="99">
        <f t="shared" si="145"/>
        <v>-17269.952498697734</v>
      </c>
    </row>
    <row r="377" spans="1:30" x14ac:dyDescent="0.25">
      <c r="A377">
        <v>167</v>
      </c>
      <c r="B377" s="95">
        <f t="shared" si="146"/>
        <v>-6025.8138239657037</v>
      </c>
      <c r="C377" s="95">
        <f t="shared" si="147"/>
        <v>-3657.2751654651684</v>
      </c>
      <c r="D377" s="95">
        <f t="shared" si="148"/>
        <v>-4054.1123878875478</v>
      </c>
      <c r="E377" s="95">
        <f t="shared" si="149"/>
        <v>-4070.5270159780684</v>
      </c>
      <c r="F377" s="96">
        <f t="shared" si="125"/>
        <v>982.81864759782275</v>
      </c>
      <c r="G377" s="94">
        <f t="shared" si="126"/>
        <v>-2059.4501255590922</v>
      </c>
      <c r="H377" s="97">
        <f t="shared" si="127"/>
        <v>1024.5426619374041</v>
      </c>
      <c r="I377" s="94">
        <f t="shared" si="128"/>
        <v>713.2932232682748</v>
      </c>
      <c r="J377" s="95">
        <f t="shared" si="129"/>
        <v>-320.84394648890338</v>
      </c>
      <c r="K377" s="94">
        <f t="shared" si="130"/>
        <v>313.56774606936381</v>
      </c>
      <c r="L377" s="94">
        <f t="shared" si="131"/>
        <v>279.1199321493221</v>
      </c>
      <c r="M377" s="93">
        <f t="shared" si="132"/>
        <v>-3086.3110948967305</v>
      </c>
      <c r="N377" s="93">
        <f t="shared" si="133"/>
        <v>19527.198924533852</v>
      </c>
      <c r="O377" s="93">
        <f t="shared" si="134"/>
        <v>19539.678713522895</v>
      </c>
      <c r="P377" s="93">
        <f t="shared" si="135"/>
        <v>11389.016668414019</v>
      </c>
      <c r="Q377" s="93">
        <f t="shared" si="136"/>
        <v>8190089888816.5586</v>
      </c>
      <c r="R377" s="93">
        <f t="shared" si="137"/>
        <v>7822136992690.6221</v>
      </c>
      <c r="S377" s="93">
        <f t="shared" si="138"/>
        <v>1924315680661.9902</v>
      </c>
      <c r="T377">
        <f t="shared" si="139"/>
        <v>0.5</v>
      </c>
      <c r="X377" s="99">
        <v>334</v>
      </c>
      <c r="Y377" s="99">
        <f t="shared" si="140"/>
        <v>14493.970231495836</v>
      </c>
      <c r="Z377" s="99">
        <f t="shared" si="141"/>
        <v>5308.1442660546145</v>
      </c>
      <c r="AA377" s="99">
        <f t="shared" si="142"/>
        <v>-16854.220837952915</v>
      </c>
      <c r="AB377" s="99">
        <f t="shared" si="143"/>
        <v>8465.7009862382311</v>
      </c>
      <c r="AC377" s="99">
        <f t="shared" si="144"/>
        <v>-506.02976850416417</v>
      </c>
      <c r="AD377" s="99">
        <f t="shared" si="145"/>
        <v>-17191.855733945384</v>
      </c>
    </row>
    <row r="378" spans="1:30" x14ac:dyDescent="0.25">
      <c r="A378">
        <v>167.5</v>
      </c>
      <c r="B378" s="95">
        <f t="shared" si="146"/>
        <v>-7807.1653560100222</v>
      </c>
      <c r="C378" s="95">
        <f t="shared" si="147"/>
        <v>-6207.4012048439754</v>
      </c>
      <c r="D378" s="95">
        <f t="shared" si="148"/>
        <v>-3562.7030640886364</v>
      </c>
      <c r="E378" s="95">
        <f t="shared" si="149"/>
        <v>-5100.2520787576141</v>
      </c>
      <c r="F378" s="96">
        <f t="shared" si="125"/>
        <v>1783.7364913686683</v>
      </c>
      <c r="G378" s="94">
        <f t="shared" si="126"/>
        <v>-3058.0685380280552</v>
      </c>
      <c r="H378" s="97">
        <f t="shared" si="127"/>
        <v>764.17772921348376</v>
      </c>
      <c r="I378" s="94">
        <f t="shared" si="128"/>
        <v>588.24021211217109</v>
      </c>
      <c r="J378" s="95">
        <f t="shared" si="129"/>
        <v>-251.17191702325658</v>
      </c>
      <c r="K378" s="94">
        <f t="shared" si="130"/>
        <v>333.87183123920056</v>
      </c>
      <c r="L378" s="94">
        <f t="shared" si="131"/>
        <v>1270.7306791784411</v>
      </c>
      <c r="M378" s="93">
        <f t="shared" si="132"/>
        <v>-3980.1805813794267</v>
      </c>
      <c r="N378" s="93">
        <f t="shared" si="133"/>
        <v>22471.937740365021</v>
      </c>
      <c r="O378" s="93">
        <f t="shared" si="134"/>
        <v>20281.643682661921</v>
      </c>
      <c r="P378" s="93">
        <f t="shared" si="135"/>
        <v>9229.8413262938611</v>
      </c>
      <c r="Q378" s="93">
        <f t="shared" si="136"/>
        <v>12201101420319.666</v>
      </c>
      <c r="R378" s="93">
        <f t="shared" si="137"/>
        <v>8718190332144.3799</v>
      </c>
      <c r="S378" s="93">
        <f t="shared" si="138"/>
        <v>1156679670517.667</v>
      </c>
      <c r="T378">
        <f t="shared" si="139"/>
        <v>0.5</v>
      </c>
      <c r="X378" s="99">
        <v>335</v>
      </c>
      <c r="Y378" s="99">
        <f t="shared" si="140"/>
        <v>14531.538935183249</v>
      </c>
      <c r="Z378" s="99">
        <f t="shared" si="141"/>
        <v>5386.9086912964995</v>
      </c>
      <c r="AA378" s="99">
        <f t="shared" si="142"/>
        <v>-16827.922745371725</v>
      </c>
      <c r="AB378" s="99">
        <f t="shared" si="143"/>
        <v>8520.8360839075503</v>
      </c>
      <c r="AC378" s="99">
        <f t="shared" si="144"/>
        <v>-468.46106481675179</v>
      </c>
      <c r="AD378" s="99">
        <f t="shared" si="145"/>
        <v>-17113.091308703501</v>
      </c>
    </row>
    <row r="379" spans="1:30" x14ac:dyDescent="0.25">
      <c r="A379">
        <v>168</v>
      </c>
      <c r="B379" s="95">
        <f t="shared" si="146"/>
        <v>-9142.5827652121734</v>
      </c>
      <c r="C379" s="95">
        <f t="shared" si="147"/>
        <v>-9522.0443787297972</v>
      </c>
      <c r="D379" s="95">
        <f t="shared" si="148"/>
        <v>-2670.8348184043025</v>
      </c>
      <c r="E379" s="95">
        <f t="shared" si="149"/>
        <v>-6629.2863477716419</v>
      </c>
      <c r="F379" s="96">
        <f t="shared" si="125"/>
        <v>3932.9661773810758</v>
      </c>
      <c r="G379" s="94">
        <f t="shared" si="126"/>
        <v>-3873.7176115675638</v>
      </c>
      <c r="H379" s="97">
        <f t="shared" si="127"/>
        <v>563.76514703465898</v>
      </c>
      <c r="I379" s="94">
        <f t="shared" si="128"/>
        <v>501.3135097655005</v>
      </c>
      <c r="J379" s="95">
        <f t="shared" si="129"/>
        <v>-168.68531756998121</v>
      </c>
      <c r="K379" s="94">
        <f t="shared" si="130"/>
        <v>303.30254280825341</v>
      </c>
      <c r="L379" s="94">
        <f t="shared" si="131"/>
        <v>3537.8863479163979</v>
      </c>
      <c r="M379" s="93">
        <f t="shared" si="132"/>
        <v>-4678.333664141318</v>
      </c>
      <c r="N379" s="93">
        <f t="shared" si="133"/>
        <v>25616.175939324839</v>
      </c>
      <c r="O379" s="93">
        <f t="shared" si="134"/>
        <v>22338.167465917242</v>
      </c>
      <c r="P379" s="93">
        <f t="shared" si="135"/>
        <v>6867.9683863016398</v>
      </c>
      <c r="Q379" s="93">
        <f t="shared" si="136"/>
        <v>17778738097546.848</v>
      </c>
      <c r="R379" s="93">
        <f t="shared" si="137"/>
        <v>11559578184403.359</v>
      </c>
      <c r="S379" s="93">
        <f t="shared" si="138"/>
        <v>613092408962.52917</v>
      </c>
      <c r="T379">
        <f t="shared" si="139"/>
        <v>0.5</v>
      </c>
      <c r="X379" s="99">
        <v>336</v>
      </c>
      <c r="Y379" s="99">
        <f t="shared" si="140"/>
        <v>14567.727288213006</v>
      </c>
      <c r="Z379" s="99">
        <f t="shared" si="141"/>
        <v>5466.316784620999</v>
      </c>
      <c r="AA379" s="99">
        <f t="shared" si="142"/>
        <v>-16802.590898250895</v>
      </c>
      <c r="AB379" s="99">
        <f t="shared" si="143"/>
        <v>8576.4217492346997</v>
      </c>
      <c r="AC379" s="99">
        <f t="shared" si="144"/>
        <v>-432.27271178699539</v>
      </c>
      <c r="AD379" s="99">
        <f t="shared" si="145"/>
        <v>-17033.683215379002</v>
      </c>
    </row>
    <row r="380" spans="1:30" x14ac:dyDescent="0.25">
      <c r="A380">
        <v>168.5</v>
      </c>
      <c r="B380" s="95">
        <f t="shared" si="146"/>
        <v>-9494.7586300690564</v>
      </c>
      <c r="C380" s="95">
        <f t="shared" si="147"/>
        <v>-13805.116955507508</v>
      </c>
      <c r="D380" s="95">
        <f t="shared" si="148"/>
        <v>-704.3517297137646</v>
      </c>
      <c r="E380" s="95">
        <f t="shared" si="149"/>
        <v>-8566.1451535554243</v>
      </c>
      <c r="F380" s="96">
        <f t="shared" si="125"/>
        <v>7692.1387559971608</v>
      </c>
      <c r="G380" s="94">
        <f t="shared" si="126"/>
        <v>-1285.4277061182879</v>
      </c>
      <c r="H380" s="97">
        <f t="shared" si="127"/>
        <v>405.47297293832793</v>
      </c>
      <c r="I380" s="94">
        <f t="shared" si="128"/>
        <v>443.12675394831535</v>
      </c>
      <c r="J380" s="95">
        <f t="shared" si="129"/>
        <v>-104.2539032365429</v>
      </c>
      <c r="K380" s="94">
        <f t="shared" si="130"/>
        <v>236.24172660303006</v>
      </c>
      <c r="L380" s="94">
        <f t="shared" si="131"/>
        <v>7390.9196862953759</v>
      </c>
      <c r="M380" s="93">
        <f t="shared" si="132"/>
        <v>-1964.7961866696335</v>
      </c>
      <c r="N380" s="93">
        <f t="shared" si="133"/>
        <v>28878.255185043738</v>
      </c>
      <c r="O380" s="93">
        <f t="shared" si="134"/>
        <v>26020.063211028133</v>
      </c>
      <c r="P380" s="93">
        <f t="shared" si="135"/>
        <v>4650.8709541972785</v>
      </c>
      <c r="Q380" s="93">
        <f t="shared" si="136"/>
        <v>25174135961069.516</v>
      </c>
      <c r="R380" s="93">
        <f t="shared" si="137"/>
        <v>18096994475303.383</v>
      </c>
      <c r="S380" s="93">
        <f t="shared" si="138"/>
        <v>318424528367.95581</v>
      </c>
      <c r="T380">
        <f t="shared" si="139"/>
        <v>0.5</v>
      </c>
      <c r="X380" s="99">
        <v>337</v>
      </c>
      <c r="Y380" s="99">
        <f t="shared" si="140"/>
        <v>14602.524267262201</v>
      </c>
      <c r="Z380" s="99">
        <f t="shared" si="141"/>
        <v>5546.3443575536267</v>
      </c>
      <c r="AA380" s="99">
        <f t="shared" si="142"/>
        <v>-16778.233012916462</v>
      </c>
      <c r="AB380" s="99">
        <f t="shared" si="143"/>
        <v>8632.441050287538</v>
      </c>
      <c r="AC380" s="99">
        <f t="shared" si="144"/>
        <v>-397.47573273780017</v>
      </c>
      <c r="AD380" s="99">
        <f t="shared" si="145"/>
        <v>-16953.655642446374</v>
      </c>
    </row>
    <row r="381" spans="1:30" x14ac:dyDescent="0.25">
      <c r="A381">
        <v>169</v>
      </c>
      <c r="B381" s="95">
        <f t="shared" si="146"/>
        <v>-7923.8998059266487</v>
      </c>
      <c r="C381" s="95">
        <f t="shared" si="147"/>
        <v>-18409.546458814795</v>
      </c>
      <c r="D381" s="95">
        <f t="shared" si="148"/>
        <v>3141.7176482848158</v>
      </c>
      <c r="E381" s="95">
        <f t="shared" si="149"/>
        <v>-9208.859006614568</v>
      </c>
      <c r="F381" s="96">
        <f t="shared" si="125"/>
        <v>5259.0588746351796</v>
      </c>
      <c r="G381" s="94">
        <f t="shared" si="126"/>
        <v>6467.8510044576979</v>
      </c>
      <c r="H381" s="97">
        <f t="shared" si="127"/>
        <v>289.12402906076858</v>
      </c>
      <c r="I381" s="94">
        <f t="shared" si="128"/>
        <v>417.9376443977182</v>
      </c>
      <c r="J381" s="95">
        <f t="shared" si="129"/>
        <v>-72.327578307430926</v>
      </c>
      <c r="K381" s="94">
        <f t="shared" si="130"/>
        <v>170.15374691797982</v>
      </c>
      <c r="L381" s="94">
        <f t="shared" si="131"/>
        <v>5042.2624238818416</v>
      </c>
      <c r="M381" s="93">
        <f t="shared" si="132"/>
        <v>5879.7596131419996</v>
      </c>
      <c r="N381" s="93">
        <f t="shared" si="133"/>
        <v>31505.091365593271</v>
      </c>
      <c r="O381" s="93">
        <f t="shared" si="134"/>
        <v>30869.637605466876</v>
      </c>
      <c r="P381" s="93">
        <f t="shared" si="135"/>
        <v>4491.5695619587596</v>
      </c>
      <c r="Q381" s="93">
        <f t="shared" si="136"/>
        <v>32459882434597.777</v>
      </c>
      <c r="R381" s="93">
        <f t="shared" si="137"/>
        <v>29985792118171.316</v>
      </c>
      <c r="S381" s="93">
        <f t="shared" si="138"/>
        <v>303623696994.46893</v>
      </c>
      <c r="T381">
        <f t="shared" si="139"/>
        <v>0.5</v>
      </c>
      <c r="X381" s="99">
        <v>338</v>
      </c>
      <c r="Y381" s="99">
        <f t="shared" si="140"/>
        <v>14635.919272833937</v>
      </c>
      <c r="Z381" s="99">
        <f t="shared" si="141"/>
        <v>5626.9670329204382</v>
      </c>
      <c r="AA381" s="99">
        <f t="shared" si="142"/>
        <v>-16754.856509016245</v>
      </c>
      <c r="AB381" s="99">
        <f t="shared" si="143"/>
        <v>8688.8769230443067</v>
      </c>
      <c r="AC381" s="99">
        <f t="shared" si="144"/>
        <v>-364.0807271660633</v>
      </c>
      <c r="AD381" s="99">
        <f t="shared" si="145"/>
        <v>-16873.032967079562</v>
      </c>
    </row>
    <row r="382" spans="1:30" x14ac:dyDescent="0.25">
      <c r="A382">
        <v>169.5</v>
      </c>
      <c r="B382" s="95">
        <f t="shared" si="146"/>
        <v>-5038.2762631254463</v>
      </c>
      <c r="C382" s="95">
        <f t="shared" si="147"/>
        <v>-21397.013211007656</v>
      </c>
      <c r="D382" s="95">
        <f t="shared" si="148"/>
        <v>5771.2470856024056</v>
      </c>
      <c r="E382" s="95">
        <f t="shared" si="149"/>
        <v>-5974.9335043857191</v>
      </c>
      <c r="F382" s="96">
        <f t="shared" si="125"/>
        <v>194.48888673746455</v>
      </c>
      <c r="G382" s="94">
        <f t="shared" si="126"/>
        <v>6812.4309482376184</v>
      </c>
      <c r="H382" s="97">
        <f t="shared" si="127"/>
        <v>219.95797102059194</v>
      </c>
      <c r="I382" s="94">
        <f t="shared" si="128"/>
        <v>422.66336136103632</v>
      </c>
      <c r="J382" s="95">
        <f t="shared" si="129"/>
        <v>-62.912055773856252</v>
      </c>
      <c r="K382" s="94">
        <f t="shared" si="130"/>
        <v>132.02025922957174</v>
      </c>
      <c r="L382" s="94">
        <f t="shared" si="131"/>
        <v>37.44297149072888</v>
      </c>
      <c r="M382" s="93">
        <f t="shared" si="132"/>
        <v>6257.74732764701</v>
      </c>
      <c r="N382" s="93">
        <f t="shared" si="133"/>
        <v>32575.867225343874</v>
      </c>
      <c r="O382" s="93">
        <f t="shared" si="134"/>
        <v>34779.672450308448</v>
      </c>
      <c r="P382" s="93">
        <f t="shared" si="135"/>
        <v>6397.1277221988721</v>
      </c>
      <c r="Q382" s="93">
        <f t="shared" si="136"/>
        <v>35797852662244.719</v>
      </c>
      <c r="R382" s="93">
        <f t="shared" si="137"/>
        <v>42711074461883.781</v>
      </c>
      <c r="S382" s="93">
        <f t="shared" si="138"/>
        <v>535251442635.2193</v>
      </c>
      <c r="T382">
        <f t="shared" si="139"/>
        <v>0.5</v>
      </c>
      <c r="X382" s="99">
        <v>339</v>
      </c>
      <c r="Y382" s="99">
        <f t="shared" si="140"/>
        <v>14667.902132486008</v>
      </c>
      <c r="Z382" s="99">
        <f t="shared" si="141"/>
        <v>5708.1602522734956</v>
      </c>
      <c r="AA382" s="99">
        <f t="shared" si="142"/>
        <v>-16732.468507259793</v>
      </c>
      <c r="AB382" s="99">
        <f t="shared" si="143"/>
        <v>8745.7121765914471</v>
      </c>
      <c r="AC382" s="99">
        <f t="shared" si="144"/>
        <v>-332.09786751399224</v>
      </c>
      <c r="AD382" s="99">
        <f t="shared" si="145"/>
        <v>-16791.839747726503</v>
      </c>
    </row>
    <row r="383" spans="1:30" x14ac:dyDescent="0.25">
      <c r="A383">
        <v>170</v>
      </c>
      <c r="B383" s="95">
        <f t="shared" si="146"/>
        <v>-2104.0304986398774</v>
      </c>
      <c r="C383" s="95">
        <f t="shared" si="147"/>
        <v>-22681.372226141113</v>
      </c>
      <c r="D383" s="95">
        <f t="shared" si="148"/>
        <v>5868.491528971138</v>
      </c>
      <c r="E383" s="95">
        <f t="shared" si="149"/>
        <v>-2568.7180302669099</v>
      </c>
      <c r="F383" s="96">
        <f t="shared" si="125"/>
        <v>-1590.827639091804</v>
      </c>
      <c r="G383" s="94">
        <f t="shared" si="126"/>
        <v>5084.6974872132805</v>
      </c>
      <c r="H383" s="97">
        <f t="shared" si="127"/>
        <v>177.96444477384571</v>
      </c>
      <c r="I383" s="94">
        <f t="shared" si="128"/>
        <v>443.75393397608599</v>
      </c>
      <c r="J383" s="95">
        <f t="shared" si="129"/>
        <v>-61.317220166811772</v>
      </c>
      <c r="K383" s="94">
        <f t="shared" si="130"/>
        <v>111.97666021902417</v>
      </c>
      <c r="L383" s="94">
        <f t="shared" si="131"/>
        <v>-1707.4748636988379</v>
      </c>
      <c r="M383" s="93">
        <f t="shared" si="132"/>
        <v>4528.9668930181706</v>
      </c>
      <c r="N383" s="93">
        <f t="shared" si="133"/>
        <v>32518.037821567377</v>
      </c>
      <c r="O383" s="93">
        <f t="shared" si="134"/>
        <v>37260.405459108995</v>
      </c>
      <c r="P383" s="93">
        <f t="shared" si="135"/>
        <v>8209.1484716345622</v>
      </c>
      <c r="Q383" s="93">
        <f t="shared" si="136"/>
        <v>35611919880659.836</v>
      </c>
      <c r="R383" s="93">
        <f t="shared" si="137"/>
        <v>52416197911333.813</v>
      </c>
      <c r="S383" s="93">
        <f t="shared" si="138"/>
        <v>888051775940.8866</v>
      </c>
      <c r="T383">
        <f t="shared" si="139"/>
        <v>0.5</v>
      </c>
      <c r="X383" s="99">
        <v>340</v>
      </c>
      <c r="Y383" s="99">
        <f t="shared" si="140"/>
        <v>14698.463103929542</v>
      </c>
      <c r="Z383" s="99">
        <f t="shared" si="141"/>
        <v>5789.8992833716566</v>
      </c>
      <c r="AA383" s="99">
        <f t="shared" si="142"/>
        <v>-16711.075827249319</v>
      </c>
      <c r="AB383" s="99">
        <f t="shared" si="143"/>
        <v>8802.9294983601594</v>
      </c>
      <c r="AC383" s="99">
        <f t="shared" si="144"/>
        <v>-301.53689607045817</v>
      </c>
      <c r="AD383" s="99">
        <f t="shared" si="145"/>
        <v>-16710.100716628342</v>
      </c>
    </row>
    <row r="384" spans="1:30" x14ac:dyDescent="0.25">
      <c r="A384">
        <v>170.5</v>
      </c>
      <c r="B384" s="95">
        <f t="shared" si="146"/>
        <v>432.50835607274064</v>
      </c>
      <c r="C384" s="95">
        <f t="shared" si="147"/>
        <v>-22694.556869471246</v>
      </c>
      <c r="D384" s="95">
        <f t="shared" si="148"/>
        <v>5073.0777094252362</v>
      </c>
      <c r="E384" s="95">
        <f t="shared" si="149"/>
        <v>-26.369286660269609</v>
      </c>
      <c r="F384" s="96">
        <f t="shared" si="125"/>
        <v>-2256.912832803363</v>
      </c>
      <c r="G384" s="94">
        <f t="shared" si="126"/>
        <v>3902.9787028473165</v>
      </c>
      <c r="H384" s="97">
        <f t="shared" si="127"/>
        <v>151.93219134193717</v>
      </c>
      <c r="I384" s="94">
        <f t="shared" si="128"/>
        <v>479.49090132619369</v>
      </c>
      <c r="J384" s="95">
        <f t="shared" si="129"/>
        <v>-63.249162321358767</v>
      </c>
      <c r="K384" s="94">
        <f t="shared" si="130"/>
        <v>101.20653315908132</v>
      </c>
      <c r="L384" s="94">
        <f t="shared" si="131"/>
        <v>-2345.5958618239415</v>
      </c>
      <c r="M384" s="93">
        <f t="shared" si="132"/>
        <v>3322.2812683620414</v>
      </c>
      <c r="N384" s="93">
        <f t="shared" si="133"/>
        <v>31674.092897829785</v>
      </c>
      <c r="O384" s="93">
        <f t="shared" si="134"/>
        <v>38554.136569401628</v>
      </c>
      <c r="P384" s="93">
        <f t="shared" si="135"/>
        <v>9419.0420137255624</v>
      </c>
      <c r="Q384" s="93">
        <f t="shared" si="136"/>
        <v>32972123063985</v>
      </c>
      <c r="R384" s="93">
        <f t="shared" si="137"/>
        <v>58017585308508.008</v>
      </c>
      <c r="S384" s="93">
        <f t="shared" si="138"/>
        <v>1212678948646.916</v>
      </c>
      <c r="T384">
        <f t="shared" si="139"/>
        <v>0.5</v>
      </c>
      <c r="X384" s="99">
        <v>341</v>
      </c>
      <c r="Y384" s="99">
        <f t="shared" si="140"/>
        <v>14727.592877996583</v>
      </c>
      <c r="Z384" s="99">
        <f t="shared" si="141"/>
        <v>5872.1592277142126</v>
      </c>
      <c r="AA384" s="99">
        <f t="shared" si="142"/>
        <v>-16690.684985402393</v>
      </c>
      <c r="AB384" s="99">
        <f t="shared" si="143"/>
        <v>8860.5114593999479</v>
      </c>
      <c r="AC384" s="99">
        <f t="shared" si="144"/>
        <v>-272.4071220034175</v>
      </c>
      <c r="AD384" s="99">
        <f t="shared" si="145"/>
        <v>-16627.840772285788</v>
      </c>
    </row>
    <row r="385" spans="1:30" x14ac:dyDescent="0.25">
      <c r="A385">
        <v>171</v>
      </c>
      <c r="B385" s="95">
        <f t="shared" si="146"/>
        <v>2404.8190025845179</v>
      </c>
      <c r="C385" s="95">
        <f t="shared" si="147"/>
        <v>-21731.996837089551</v>
      </c>
      <c r="D385" s="95">
        <f t="shared" si="148"/>
        <v>3944.6212930235547</v>
      </c>
      <c r="E385" s="95">
        <f t="shared" si="149"/>
        <v>1925.1200647633887</v>
      </c>
      <c r="F385" s="96">
        <f t="shared" si="125"/>
        <v>-2698.4564738956587</v>
      </c>
      <c r="G385" s="94">
        <f t="shared" si="126"/>
        <v>3147.1507295251354</v>
      </c>
      <c r="H385" s="97">
        <f t="shared" si="127"/>
        <v>138.60880624064689</v>
      </c>
      <c r="I385" s="94">
        <f t="shared" si="128"/>
        <v>533.47144551237352</v>
      </c>
      <c r="J385" s="95">
        <f t="shared" si="129"/>
        <v>-67.823161564460605</v>
      </c>
      <c r="K385" s="94">
        <f t="shared" si="130"/>
        <v>96.058100179100478</v>
      </c>
      <c r="L385" s="94">
        <f t="shared" si="131"/>
        <v>-2769.2421185718449</v>
      </c>
      <c r="M385" s="93">
        <f t="shared" si="132"/>
        <v>2517.6211838336612</v>
      </c>
      <c r="N385" s="93">
        <f t="shared" si="133"/>
        <v>30202.589515919241</v>
      </c>
      <c r="O385" s="93">
        <f t="shared" si="134"/>
        <v>38844.504602422639</v>
      </c>
      <c r="P385" s="93">
        <f t="shared" si="135"/>
        <v>10007.553441057435</v>
      </c>
      <c r="Q385" s="93">
        <f t="shared" si="136"/>
        <v>28691015950240.629</v>
      </c>
      <c r="R385" s="93">
        <f t="shared" si="137"/>
        <v>59327514165409.305</v>
      </c>
      <c r="S385" s="93">
        <f t="shared" si="138"/>
        <v>1400077709810.2922</v>
      </c>
      <c r="T385">
        <f t="shared" si="139"/>
        <v>0.5</v>
      </c>
      <c r="X385" s="99">
        <v>342</v>
      </c>
      <c r="Y385" s="99">
        <f t="shared" si="140"/>
        <v>14755.282581475767</v>
      </c>
      <c r="Z385" s="99">
        <f t="shared" si="141"/>
        <v>5954.9150281252623</v>
      </c>
      <c r="AA385" s="99">
        <f t="shared" si="142"/>
        <v>-16671.302192966963</v>
      </c>
      <c r="AB385" s="99">
        <f t="shared" si="143"/>
        <v>8918.4405196876833</v>
      </c>
      <c r="AC385" s="99">
        <f t="shared" si="144"/>
        <v>-244.71741852423202</v>
      </c>
      <c r="AD385" s="99">
        <f t="shared" si="145"/>
        <v>-16545.084971874738</v>
      </c>
    </row>
    <row r="386" spans="1:30" x14ac:dyDescent="0.25">
      <c r="A386">
        <v>171.5</v>
      </c>
      <c r="B386" s="95">
        <f t="shared" si="146"/>
        <v>3702.5155306223805</v>
      </c>
      <c r="C386" s="95">
        <f t="shared" si="147"/>
        <v>-19982.649122326573</v>
      </c>
      <c r="D386" s="95">
        <f t="shared" si="148"/>
        <v>2595.3930560757253</v>
      </c>
      <c r="E386" s="95">
        <f t="shared" si="149"/>
        <v>3498.6954295259566</v>
      </c>
      <c r="F386" s="96">
        <f t="shared" si="125"/>
        <v>-3173.5058919487769</v>
      </c>
      <c r="G386" s="94">
        <f t="shared" si="126"/>
        <v>2562.4187834487134</v>
      </c>
      <c r="H386" s="97">
        <f t="shared" si="127"/>
        <v>140.43690351719951</v>
      </c>
      <c r="I386" s="94">
        <f t="shared" si="128"/>
        <v>612.87616697698138</v>
      </c>
      <c r="J386" s="95">
        <f t="shared" si="129"/>
        <v>-75.296516448103802</v>
      </c>
      <c r="K386" s="94">
        <f t="shared" si="130"/>
        <v>95.246811667744865</v>
      </c>
      <c r="L386" s="94">
        <f t="shared" si="131"/>
        <v>-3238.6462790178725</v>
      </c>
      <c r="M386" s="93">
        <f t="shared" si="132"/>
        <v>1854.295804803987</v>
      </c>
      <c r="N386" s="93">
        <f t="shared" si="133"/>
        <v>28194.93418014963</v>
      </c>
      <c r="O386" s="93">
        <f t="shared" si="134"/>
        <v>38220.001188800947</v>
      </c>
      <c r="P386" s="93">
        <f t="shared" si="135"/>
        <v>10027.989271880257</v>
      </c>
      <c r="Q386" s="93">
        <f t="shared" si="136"/>
        <v>23479264174402.652</v>
      </c>
      <c r="R386" s="93">
        <f t="shared" si="137"/>
        <v>56534336283838.867</v>
      </c>
      <c r="S386" s="93">
        <f t="shared" si="138"/>
        <v>1406954043107.439</v>
      </c>
      <c r="T386">
        <f t="shared" si="139"/>
        <v>0.5</v>
      </c>
      <c r="X386" s="99">
        <v>343</v>
      </c>
      <c r="Y386" s="99">
        <f t="shared" si="140"/>
        <v>14781.523779815179</v>
      </c>
      <c r="Z386" s="99">
        <f t="shared" si="141"/>
        <v>6038.1414763863186</v>
      </c>
      <c r="AA386" s="99">
        <f t="shared" si="142"/>
        <v>-16652.933354129374</v>
      </c>
      <c r="AB386" s="99">
        <f t="shared" si="143"/>
        <v>8976.6990334704224</v>
      </c>
      <c r="AC386" s="99">
        <f t="shared" si="144"/>
        <v>-218.47622018482161</v>
      </c>
      <c r="AD386" s="99">
        <f t="shared" si="145"/>
        <v>-16461.858523613682</v>
      </c>
    </row>
    <row r="387" spans="1:30" x14ac:dyDescent="0.25">
      <c r="A387">
        <v>172</v>
      </c>
      <c r="B387" s="95">
        <f t="shared" si="146"/>
        <v>4206.8355856730486</v>
      </c>
      <c r="C387" s="95">
        <f t="shared" si="147"/>
        <v>-17592.696711701417</v>
      </c>
      <c r="D387" s="95">
        <f t="shared" si="148"/>
        <v>1008.6401101013369</v>
      </c>
      <c r="E387" s="95">
        <f t="shared" si="149"/>
        <v>4779.904821250313</v>
      </c>
      <c r="F387" s="96">
        <f t="shared" si="125"/>
        <v>-3753.0248568313073</v>
      </c>
      <c r="G387" s="94">
        <f t="shared" si="126"/>
        <v>1906.3451742073435</v>
      </c>
      <c r="H387" s="97">
        <f t="shared" si="127"/>
        <v>168.01130895053339</v>
      </c>
      <c r="I387" s="94">
        <f t="shared" si="128"/>
        <v>727.72953054906475</v>
      </c>
      <c r="J387" s="95">
        <f t="shared" si="129"/>
        <v>-86.721077550410953</v>
      </c>
      <c r="K387" s="94">
        <f t="shared" si="130"/>
        <v>98.850937492080149</v>
      </c>
      <c r="L387" s="94">
        <f t="shared" si="131"/>
        <v>-3834.3150882314299</v>
      </c>
      <c r="M387" s="93">
        <f t="shared" si="132"/>
        <v>1079.7647061661985</v>
      </c>
      <c r="N387" s="93">
        <f t="shared" si="133"/>
        <v>25752.750963670955</v>
      </c>
      <c r="O387" s="93">
        <f t="shared" si="134"/>
        <v>36705.964105247876</v>
      </c>
      <c r="P387" s="93">
        <f t="shared" si="135"/>
        <v>9564.9306186967679</v>
      </c>
      <c r="Q387" s="93">
        <f t="shared" si="136"/>
        <v>18054104888107.879</v>
      </c>
      <c r="R387" s="93">
        <f t="shared" si="137"/>
        <v>50130968759874.836</v>
      </c>
      <c r="S387" s="93">
        <f t="shared" si="138"/>
        <v>1257248746872.4922</v>
      </c>
      <c r="T387">
        <f t="shared" si="139"/>
        <v>0.5</v>
      </c>
      <c r="X387" s="99">
        <v>344</v>
      </c>
      <c r="Y387" s="99">
        <f t="shared" si="140"/>
        <v>14806.308479691594</v>
      </c>
      <c r="Z387" s="99">
        <f t="shared" si="141"/>
        <v>6121.8132209150008</v>
      </c>
      <c r="AA387" s="99">
        <f t="shared" si="142"/>
        <v>-16635.584064215884</v>
      </c>
      <c r="AB387" s="99">
        <f t="shared" si="143"/>
        <v>9035.2692546405015</v>
      </c>
      <c r="AC387" s="99">
        <f t="shared" si="144"/>
        <v>-193.69152030840633</v>
      </c>
      <c r="AD387" s="99">
        <f t="shared" si="145"/>
        <v>-16378.186779084999</v>
      </c>
    </row>
    <row r="388" spans="1:30" x14ac:dyDescent="0.25">
      <c r="A388">
        <v>172.5</v>
      </c>
      <c r="B388" s="95">
        <f t="shared" si="146"/>
        <v>3772.8994265158899</v>
      </c>
      <c r="C388" s="95">
        <f t="shared" si="147"/>
        <v>-14726.158007524426</v>
      </c>
      <c r="D388" s="95">
        <f t="shared" si="148"/>
        <v>-867.87231831431677</v>
      </c>
      <c r="E388" s="95">
        <f t="shared" si="149"/>
        <v>5733.0774083539845</v>
      </c>
      <c r="F388" s="96">
        <f t="shared" si="125"/>
        <v>-4313.1569622756933</v>
      </c>
      <c r="G388" s="94">
        <f t="shared" si="126"/>
        <v>852.65942442833011</v>
      </c>
      <c r="H388" s="97">
        <f t="shared" si="127"/>
        <v>247.50923162397592</v>
      </c>
      <c r="I388" s="94">
        <f t="shared" si="128"/>
        <v>883.4254763477345</v>
      </c>
      <c r="J388" s="95">
        <f t="shared" si="129"/>
        <v>-104.16472400711655</v>
      </c>
      <c r="K388" s="94">
        <f t="shared" si="130"/>
        <v>108.34157745762232</v>
      </c>
      <c r="L388" s="94">
        <f t="shared" si="131"/>
        <v>-4456.5014698925524</v>
      </c>
      <c r="M388" s="93">
        <f t="shared" si="132"/>
        <v>-139.10762937702671</v>
      </c>
      <c r="N388" s="93">
        <f t="shared" si="133"/>
        <v>23082.003408017434</v>
      </c>
      <c r="O388" s="93">
        <f t="shared" si="134"/>
        <v>34300.636101336429</v>
      </c>
      <c r="P388" s="93">
        <f t="shared" si="135"/>
        <v>8777.1723114341239</v>
      </c>
      <c r="Q388" s="93">
        <f t="shared" si="136"/>
        <v>13173255051582.098</v>
      </c>
      <c r="R388" s="93">
        <f t="shared" si="137"/>
        <v>40987764089252.711</v>
      </c>
      <c r="S388" s="93">
        <f t="shared" si="138"/>
        <v>1030736650532.618</v>
      </c>
      <c r="T388">
        <f t="shared" si="139"/>
        <v>0.5</v>
      </c>
      <c r="X388" s="99">
        <v>345</v>
      </c>
      <c r="Y388" s="99">
        <f t="shared" si="140"/>
        <v>14829.629131445341</v>
      </c>
      <c r="Z388" s="99">
        <f t="shared" si="141"/>
        <v>6205.9047744873969</v>
      </c>
      <c r="AA388" s="99">
        <f t="shared" si="142"/>
        <v>-16619.259607988261</v>
      </c>
      <c r="AB388" s="99">
        <f t="shared" si="143"/>
        <v>9094.1333421411782</v>
      </c>
      <c r="AC388" s="99">
        <f t="shared" si="144"/>
        <v>-170.37086855465805</v>
      </c>
      <c r="AD388" s="99">
        <f t="shared" si="145"/>
        <v>-16294.095225512603</v>
      </c>
    </row>
    <row r="389" spans="1:30" x14ac:dyDescent="0.25">
      <c r="A389">
        <v>173</v>
      </c>
      <c r="B389" s="95">
        <f t="shared" si="146"/>
        <v>2260.6740267898085</v>
      </c>
      <c r="C389" s="95">
        <f t="shared" si="147"/>
        <v>-11646.45444724035</v>
      </c>
      <c r="D389" s="95">
        <f t="shared" si="148"/>
        <v>-3024.4507994521637</v>
      </c>
      <c r="E389" s="95">
        <f t="shared" si="149"/>
        <v>6159.4071205681494</v>
      </c>
      <c r="F389" s="96">
        <f t="shared" si="125"/>
        <v>-4239.239827786746</v>
      </c>
      <c r="G389" s="94">
        <f t="shared" si="126"/>
        <v>-920.14266985094014</v>
      </c>
      <c r="H389" s="97">
        <f t="shared" si="127"/>
        <v>422.41407639435459</v>
      </c>
      <c r="I389" s="94">
        <f t="shared" si="128"/>
        <v>1045.017602250304</v>
      </c>
      <c r="J389" s="95">
        <f t="shared" si="129"/>
        <v>-131.04436601754134</v>
      </c>
      <c r="K389" s="94">
        <f t="shared" si="130"/>
        <v>127.42857184613605</v>
      </c>
      <c r="L389" s="94">
        <f t="shared" si="131"/>
        <v>-4530.6095381635596</v>
      </c>
      <c r="M389" s="93">
        <f t="shared" si="132"/>
        <v>-2092.5888439473802</v>
      </c>
      <c r="N389" s="93">
        <f t="shared" si="133"/>
        <v>20651.486252080154</v>
      </c>
      <c r="O389" s="93">
        <f t="shared" si="134"/>
        <v>31050.065994510318</v>
      </c>
      <c r="P389" s="93">
        <f t="shared" si="135"/>
        <v>7997.728121018753</v>
      </c>
      <c r="Q389" s="93">
        <f t="shared" si="136"/>
        <v>9593197362452.1152</v>
      </c>
      <c r="R389" s="93">
        <f t="shared" si="137"/>
        <v>30507926989863.188</v>
      </c>
      <c r="S389" s="93">
        <f t="shared" si="138"/>
        <v>839110057581.01355</v>
      </c>
      <c r="T389">
        <f t="shared" si="139"/>
        <v>0.5</v>
      </c>
      <c r="X389" s="99">
        <v>346</v>
      </c>
      <c r="Y389" s="99">
        <f t="shared" si="140"/>
        <v>14851.478631379981</v>
      </c>
      <c r="Z389" s="99">
        <f t="shared" si="141"/>
        <v>6290.3905220016604</v>
      </c>
      <c r="AA389" s="99">
        <f t="shared" si="142"/>
        <v>-16603.964958034012</v>
      </c>
      <c r="AB389" s="99">
        <f t="shared" si="143"/>
        <v>9153.2733654011627</v>
      </c>
      <c r="AC389" s="99">
        <f t="shared" si="144"/>
        <v>-148.52136862001771</v>
      </c>
      <c r="AD389" s="99">
        <f t="shared" si="145"/>
        <v>-16209.60947799834</v>
      </c>
    </row>
    <row r="390" spans="1:30" x14ac:dyDescent="0.25">
      <c r="A390">
        <v>173.5</v>
      </c>
      <c r="B390" s="95">
        <f t="shared" si="146"/>
        <v>-311.36132988295981</v>
      </c>
      <c r="C390" s="95">
        <f t="shared" si="147"/>
        <v>-8796.7865544190099</v>
      </c>
      <c r="D390" s="95">
        <f t="shared" si="148"/>
        <v>-5144.0707133455362</v>
      </c>
      <c r="E390" s="95">
        <f t="shared" si="149"/>
        <v>5699.3357856426792</v>
      </c>
      <c r="F390" s="96">
        <f t="shared" si="125"/>
        <v>-2595.532908098085</v>
      </c>
      <c r="G390" s="94">
        <f t="shared" si="126"/>
        <v>-2868.5827199139876</v>
      </c>
      <c r="H390" s="97">
        <f t="shared" si="127"/>
        <v>682.77484314190883</v>
      </c>
      <c r="I390" s="94">
        <f t="shared" si="128"/>
        <v>1079.10444871753</v>
      </c>
      <c r="J390" s="95">
        <f t="shared" si="129"/>
        <v>-171.05385427747035</v>
      </c>
      <c r="K390" s="94">
        <f t="shared" si="130"/>
        <v>163.30549013753574</v>
      </c>
      <c r="L390" s="94">
        <f t="shared" si="131"/>
        <v>-3107.2538969625234</v>
      </c>
      <c r="M390" s="93">
        <f t="shared" si="132"/>
        <v>-4110.9926587690534</v>
      </c>
      <c r="N390" s="93">
        <f t="shared" si="133"/>
        <v>19284.953317954853</v>
      </c>
      <c r="O390" s="93">
        <f t="shared" si="134"/>
        <v>27220.611261593949</v>
      </c>
      <c r="P390" s="93">
        <f t="shared" si="135"/>
        <v>7775.8079728317416</v>
      </c>
      <c r="Q390" s="93">
        <f t="shared" si="136"/>
        <v>7907462059137.7373</v>
      </c>
      <c r="R390" s="93">
        <f t="shared" si="137"/>
        <v>20671670162210.09</v>
      </c>
      <c r="S390" s="93">
        <f t="shared" si="138"/>
        <v>790075593531.62439</v>
      </c>
      <c r="T390">
        <f t="shared" si="139"/>
        <v>0.5</v>
      </c>
      <c r="X390" s="99">
        <v>347</v>
      </c>
      <c r="Y390" s="99">
        <f t="shared" si="140"/>
        <v>14871.850323926175</v>
      </c>
      <c r="Z390" s="99">
        <f t="shared" si="141"/>
        <v>6375.2447282806734</v>
      </c>
      <c r="AA390" s="99">
        <f t="shared" si="142"/>
        <v>-16589.704773251677</v>
      </c>
      <c r="AB390" s="99">
        <f t="shared" si="143"/>
        <v>9212.6713097964712</v>
      </c>
      <c r="AC390" s="99">
        <f t="shared" si="144"/>
        <v>-128.14967607382459</v>
      </c>
      <c r="AD390" s="99">
        <f t="shared" si="145"/>
        <v>-16124.755271719327</v>
      </c>
    </row>
    <row r="391" spans="1:30" x14ac:dyDescent="0.25">
      <c r="A391">
        <v>174</v>
      </c>
      <c r="B391" s="95">
        <f t="shared" si="146"/>
        <v>-3532.2799135802488</v>
      </c>
      <c r="C391" s="95">
        <f t="shared" si="147"/>
        <v>-6664.2643415761668</v>
      </c>
      <c r="D391" s="95">
        <f t="shared" si="148"/>
        <v>-6441.8371673945785</v>
      </c>
      <c r="E391" s="95">
        <f t="shared" si="149"/>
        <v>4265.0444256856854</v>
      </c>
      <c r="F391" s="96">
        <f t="shared" si="125"/>
        <v>-174.03438302982386</v>
      </c>
      <c r="G391" s="94">
        <f t="shared" si="126"/>
        <v>-3471.6660335754814</v>
      </c>
      <c r="H391" s="97">
        <f t="shared" si="127"/>
        <v>857.40214484928072</v>
      </c>
      <c r="I391" s="94">
        <f t="shared" si="128"/>
        <v>897.44453294171592</v>
      </c>
      <c r="J391" s="95">
        <f t="shared" si="129"/>
        <v>-222.49840928621421</v>
      </c>
      <c r="K391" s="94">
        <f t="shared" si="130"/>
        <v>225.15395503858034</v>
      </c>
      <c r="L391" s="94">
        <f t="shared" si="131"/>
        <v>-808.93811859289031</v>
      </c>
      <c r="M391" s="93">
        <f t="shared" si="132"/>
        <v>-4594.2645215557777</v>
      </c>
      <c r="N391" s="93">
        <f t="shared" si="133"/>
        <v>19589.512091870321</v>
      </c>
      <c r="O391" s="93">
        <f t="shared" si="134"/>
        <v>23428.26307882425</v>
      </c>
      <c r="P391" s="93">
        <f t="shared" si="135"/>
        <v>8463.9642732704524</v>
      </c>
      <c r="Q391" s="93">
        <f t="shared" si="136"/>
        <v>8263899543952.7393</v>
      </c>
      <c r="R391" s="93">
        <f t="shared" si="137"/>
        <v>13292274712972.268</v>
      </c>
      <c r="S391" s="93">
        <f t="shared" si="138"/>
        <v>950006462184.24512</v>
      </c>
      <c r="T391">
        <f t="shared" si="139"/>
        <v>0.5</v>
      </c>
      <c r="X391" s="99">
        <v>348</v>
      </c>
      <c r="Y391" s="99">
        <f t="shared" si="140"/>
        <v>14890.738003669028</v>
      </c>
      <c r="Z391" s="99">
        <f t="shared" si="141"/>
        <v>6460.4415459112006</v>
      </c>
      <c r="AA391" s="99">
        <f t="shared" si="142"/>
        <v>-16576.483397431679</v>
      </c>
      <c r="AB391" s="99">
        <f t="shared" si="143"/>
        <v>9272.309082137841</v>
      </c>
      <c r="AC391" s="99">
        <f t="shared" si="144"/>
        <v>-109.26199633097167</v>
      </c>
      <c r="AD391" s="99">
        <f t="shared" si="145"/>
        <v>-16039.558454088799</v>
      </c>
    </row>
    <row r="392" spans="1:30" x14ac:dyDescent="0.25">
      <c r="A392">
        <v>174.5</v>
      </c>
      <c r="B392" s="95">
        <f t="shared" si="146"/>
        <v>-6796.7070930349937</v>
      </c>
      <c r="C392" s="95">
        <f t="shared" si="147"/>
        <v>-5399.6586371271942</v>
      </c>
      <c r="D392" s="95">
        <f t="shared" si="148"/>
        <v>-6528.8543589094907</v>
      </c>
      <c r="E392" s="95">
        <f t="shared" si="149"/>
        <v>2529.2114088979447</v>
      </c>
      <c r="F392" s="96">
        <f t="shared" si="125"/>
        <v>1293.7727344144059</v>
      </c>
      <c r="G392" s="94">
        <f t="shared" si="126"/>
        <v>-2832.6131988180205</v>
      </c>
      <c r="H392" s="97">
        <f t="shared" si="127"/>
        <v>853.49454585998797</v>
      </c>
      <c r="I392" s="94">
        <f t="shared" si="128"/>
        <v>655.4730179708331</v>
      </c>
      <c r="J392" s="95">
        <f t="shared" si="129"/>
        <v>-271.86084952727418</v>
      </c>
      <c r="K392" s="94">
        <f t="shared" si="130"/>
        <v>317.08485974062779</v>
      </c>
      <c r="L392" s="94">
        <f t="shared" si="131"/>
        <v>712.13903808169232</v>
      </c>
      <c r="M392" s="93">
        <f t="shared" si="132"/>
        <v>-3805.1710765294815</v>
      </c>
      <c r="N392" s="93">
        <f t="shared" si="133"/>
        <v>21178.54013202096</v>
      </c>
      <c r="O392" s="93">
        <f t="shared" si="134"/>
        <v>20284.881802149073</v>
      </c>
      <c r="P392" s="93">
        <f t="shared" si="135"/>
        <v>9767.0215860234857</v>
      </c>
      <c r="Q392" s="93">
        <f t="shared" si="136"/>
        <v>10304383678439.021</v>
      </c>
      <c r="R392" s="93">
        <f t="shared" si="137"/>
        <v>8722245987632.8877</v>
      </c>
      <c r="S392" s="93">
        <f t="shared" si="138"/>
        <v>1321025226416.5076</v>
      </c>
      <c r="T392">
        <f t="shared" si="139"/>
        <v>0.5</v>
      </c>
      <c r="X392" s="99">
        <v>349</v>
      </c>
      <c r="Y392" s="99">
        <f t="shared" si="140"/>
        <v>14908.13591723832</v>
      </c>
      <c r="Z392" s="99">
        <f t="shared" si="141"/>
        <v>6545.9550231172771</v>
      </c>
      <c r="AA392" s="99">
        <f t="shared" si="142"/>
        <v>-16564.304857933177</v>
      </c>
      <c r="AB392" s="99">
        <f t="shared" si="143"/>
        <v>9332.1685161820933</v>
      </c>
      <c r="AC392" s="99">
        <f t="shared" si="144"/>
        <v>-91.864082761680038</v>
      </c>
      <c r="AD392" s="99">
        <f t="shared" si="145"/>
        <v>-15954.044976882724</v>
      </c>
    </row>
    <row r="393" spans="1:30" x14ac:dyDescent="0.25">
      <c r="A393">
        <v>175</v>
      </c>
      <c r="B393" s="95">
        <f t="shared" si="146"/>
        <v>-9737.6910888861366</v>
      </c>
      <c r="C393" s="95">
        <f t="shared" si="147"/>
        <v>-4843.2062323827267</v>
      </c>
      <c r="D393" s="95">
        <f t="shared" si="148"/>
        <v>-5881.9679917022877</v>
      </c>
      <c r="E393" s="95">
        <f t="shared" si="149"/>
        <v>1112.9048094889345</v>
      </c>
      <c r="F393" s="96">
        <f t="shared" si="125"/>
        <v>1811.0013154456144</v>
      </c>
      <c r="G393" s="94">
        <f t="shared" si="126"/>
        <v>-1969.3588952149767</v>
      </c>
      <c r="H393" s="97">
        <f t="shared" si="127"/>
        <v>765.59562767516695</v>
      </c>
      <c r="I393" s="94">
        <f t="shared" si="128"/>
        <v>478.77457806228006</v>
      </c>
      <c r="J393" s="95">
        <f t="shared" si="129"/>
        <v>-296.74472048445818</v>
      </c>
      <c r="K393" s="94">
        <f t="shared" si="130"/>
        <v>429.20585636936391</v>
      </c>
      <c r="L393" s="94">
        <f t="shared" si="131"/>
        <v>1342.1504082549056</v>
      </c>
      <c r="M393" s="93">
        <f t="shared" si="132"/>
        <v>-2877.3393296466206</v>
      </c>
      <c r="N393" s="93">
        <f t="shared" si="133"/>
        <v>23279.41557718808</v>
      </c>
      <c r="O393" s="93">
        <f t="shared" si="134"/>
        <v>18045.380446091251</v>
      </c>
      <c r="P393" s="93">
        <f t="shared" si="135"/>
        <v>11207.416138058772</v>
      </c>
      <c r="Q393" s="93">
        <f t="shared" si="136"/>
        <v>13498811270201.109</v>
      </c>
      <c r="R393" s="93">
        <f t="shared" si="137"/>
        <v>6210904118398.9297</v>
      </c>
      <c r="S393" s="93">
        <f t="shared" si="138"/>
        <v>1848264723570.8467</v>
      </c>
      <c r="T393">
        <f t="shared" si="139"/>
        <v>0.5</v>
      </c>
      <c r="X393" s="99">
        <v>350</v>
      </c>
      <c r="Y393" s="99">
        <f t="shared" si="140"/>
        <v>14924.038765061039</v>
      </c>
      <c r="Z393" s="99">
        <f t="shared" si="141"/>
        <v>6631.7591116653439</v>
      </c>
      <c r="AA393" s="99">
        <f t="shared" si="142"/>
        <v>-16553.172864457272</v>
      </c>
      <c r="AB393" s="99">
        <f t="shared" si="143"/>
        <v>9392.2313781657413</v>
      </c>
      <c r="AC393" s="99">
        <f t="shared" si="144"/>
        <v>-75.961234938960843</v>
      </c>
      <c r="AD393" s="99">
        <f t="shared" si="145"/>
        <v>-15868.240888334656</v>
      </c>
    </row>
    <row r="394" spans="1:30" x14ac:dyDescent="0.25">
      <c r="A394">
        <v>175.5</v>
      </c>
      <c r="B394" s="95">
        <f t="shared" si="146"/>
        <v>-12225.924755875876</v>
      </c>
      <c r="C394" s="95">
        <f t="shared" si="147"/>
        <v>-4779.0935514420034</v>
      </c>
      <c r="D394" s="95">
        <f t="shared" si="148"/>
        <v>-4976.4673339794808</v>
      </c>
      <c r="E394" s="95">
        <f t="shared" si="149"/>
        <v>128.22536188144613</v>
      </c>
      <c r="F394" s="96">
        <f t="shared" si="125"/>
        <v>1935.2843067511064</v>
      </c>
      <c r="G394" s="94">
        <f t="shared" si="126"/>
        <v>-1280.0552888830034</v>
      </c>
      <c r="H394" s="97">
        <f t="shared" si="127"/>
        <v>671.38556207561089</v>
      </c>
      <c r="I394" s="94">
        <f t="shared" si="128"/>
        <v>370.91847544541099</v>
      </c>
      <c r="J394" s="95">
        <f t="shared" si="129"/>
        <v>-281.09984251307685</v>
      </c>
      <c r="K394" s="94">
        <f t="shared" si="130"/>
        <v>534.39164650951841</v>
      </c>
      <c r="L394" s="94">
        <f t="shared" si="131"/>
        <v>1544.9985871885724</v>
      </c>
      <c r="M394" s="93">
        <f t="shared" si="132"/>
        <v>-2185.3654108379328</v>
      </c>
      <c r="N394" s="93">
        <f t="shared" si="133"/>
        <v>25392.279726305016</v>
      </c>
      <c r="O394" s="93">
        <f t="shared" si="134"/>
        <v>16699.037460392086</v>
      </c>
      <c r="P394" s="93">
        <f t="shared" si="135"/>
        <v>12517.224820532476</v>
      </c>
      <c r="Q394" s="93">
        <f t="shared" si="136"/>
        <v>17333507966329.973</v>
      </c>
      <c r="R394" s="93">
        <f t="shared" si="137"/>
        <v>4966848118073.1201</v>
      </c>
      <c r="S394" s="93">
        <f t="shared" si="138"/>
        <v>2448860074122.6812</v>
      </c>
      <c r="T394">
        <f t="shared" si="139"/>
        <v>0.5</v>
      </c>
      <c r="X394" s="99">
        <v>351</v>
      </c>
      <c r="Y394" s="99">
        <f t="shared" si="140"/>
        <v>14938.441702975688</v>
      </c>
      <c r="Z394" s="99">
        <f t="shared" si="141"/>
        <v>6717.8276747988448</v>
      </c>
      <c r="AA394" s="99">
        <f t="shared" si="142"/>
        <v>-16543.090807917019</v>
      </c>
      <c r="AB394" s="99">
        <f t="shared" si="143"/>
        <v>9452.4793723591902</v>
      </c>
      <c r="AC394" s="99">
        <f t="shared" si="144"/>
        <v>-61.558297024311287</v>
      </c>
      <c r="AD394" s="99">
        <f t="shared" si="145"/>
        <v>-15782.172325201156</v>
      </c>
    </row>
    <row r="395" spans="1:30" x14ac:dyDescent="0.25">
      <c r="A395">
        <v>176</v>
      </c>
      <c r="B395" s="95">
        <f t="shared" si="146"/>
        <v>-14230.337346177841</v>
      </c>
      <c r="C395" s="95">
        <f t="shared" si="147"/>
        <v>-5034.9946927220308</v>
      </c>
      <c r="D395" s="95">
        <f t="shared" si="148"/>
        <v>-4008.8251806039275</v>
      </c>
      <c r="E395" s="95">
        <f t="shared" si="149"/>
        <v>-511.80228256005557</v>
      </c>
      <c r="F395" s="96">
        <f t="shared" si="125"/>
        <v>1956.9673429439476</v>
      </c>
      <c r="G395" s="94">
        <f t="shared" si="126"/>
        <v>-809.75196338286582</v>
      </c>
      <c r="H395" s="97">
        <f t="shared" si="127"/>
        <v>594.66070400095737</v>
      </c>
      <c r="I395" s="94">
        <f t="shared" si="128"/>
        <v>307.63371810001524</v>
      </c>
      <c r="J395" s="95">
        <f t="shared" si="129"/>
        <v>-231.51137100084821</v>
      </c>
      <c r="K395" s="94">
        <f t="shared" si="130"/>
        <v>603.28869175682019</v>
      </c>
      <c r="L395" s="94">
        <f t="shared" si="131"/>
        <v>1593.8180099438384</v>
      </c>
      <c r="M395" s="93">
        <f t="shared" si="132"/>
        <v>-1720.6743732397013</v>
      </c>
      <c r="N395" s="93">
        <f t="shared" si="133"/>
        <v>27280.677041747884</v>
      </c>
      <c r="O395" s="93">
        <f t="shared" si="134"/>
        <v>16104.039013523588</v>
      </c>
      <c r="P395" s="93">
        <f t="shared" si="135"/>
        <v>13583.094577390069</v>
      </c>
      <c r="Q395" s="93">
        <f t="shared" si="136"/>
        <v>21334813081531.66</v>
      </c>
      <c r="R395" s="93">
        <f t="shared" si="137"/>
        <v>4475801697415.9248</v>
      </c>
      <c r="S395" s="93">
        <f t="shared" si="138"/>
        <v>3032337006273.5513</v>
      </c>
      <c r="T395">
        <f t="shared" si="139"/>
        <v>0.5</v>
      </c>
      <c r="X395" s="99">
        <v>352</v>
      </c>
      <c r="Y395" s="99">
        <f t="shared" si="140"/>
        <v>14951.340343707852</v>
      </c>
      <c r="Z395" s="99">
        <f t="shared" si="141"/>
        <v>6804.1344951996707</v>
      </c>
      <c r="AA395" s="99">
        <f t="shared" si="142"/>
        <v>-16534.061759404503</v>
      </c>
      <c r="AB395" s="99">
        <f t="shared" si="143"/>
        <v>9512.89414663977</v>
      </c>
      <c r="AC395" s="99">
        <f t="shared" si="144"/>
        <v>-48.659656292148611</v>
      </c>
      <c r="AD395" s="99">
        <f t="shared" si="145"/>
        <v>-15695.865504800329</v>
      </c>
    </row>
    <row r="396" spans="1:30" x14ac:dyDescent="0.25">
      <c r="A396">
        <v>176.5</v>
      </c>
      <c r="B396" s="95">
        <f t="shared" si="146"/>
        <v>-15745.508100743817</v>
      </c>
      <c r="C396" s="95">
        <f t="shared" si="147"/>
        <v>-5493.3338248477748</v>
      </c>
      <c r="D396" s="95">
        <f t="shared" si="148"/>
        <v>-3030.3415091319539</v>
      </c>
      <c r="E396" s="95">
        <f t="shared" si="149"/>
        <v>-916.67826425148849</v>
      </c>
      <c r="F396" s="96">
        <f t="shared" si="125"/>
        <v>1969.9628291004647</v>
      </c>
      <c r="G396" s="94">
        <f t="shared" si="126"/>
        <v>-522.08462909744344</v>
      </c>
      <c r="H396" s="97">
        <f t="shared" si="127"/>
        <v>537.63674692747929</v>
      </c>
      <c r="I396" s="94">
        <f t="shared" si="128"/>
        <v>271.33640952038985</v>
      </c>
      <c r="J396" s="95">
        <f t="shared" si="129"/>
        <v>-171.8480626756363</v>
      </c>
      <c r="K396" s="94">
        <f t="shared" si="130"/>
        <v>625.80901908697558</v>
      </c>
      <c r="L396" s="94">
        <f t="shared" si="131"/>
        <v>1604.1741448486216</v>
      </c>
      <c r="M396" s="93">
        <f t="shared" si="132"/>
        <v>-1419.2300577048088</v>
      </c>
      <c r="N396" s="93">
        <f t="shared" si="133"/>
        <v>28838.479697262108</v>
      </c>
      <c r="O396" s="93">
        <f t="shared" si="134"/>
        <v>16066.863238635246</v>
      </c>
      <c r="P396" s="93">
        <f t="shared" si="135"/>
        <v>14347.217364664635</v>
      </c>
      <c r="Q396" s="93">
        <f t="shared" si="136"/>
        <v>25073279673950.336</v>
      </c>
      <c r="R396" s="93">
        <f t="shared" si="137"/>
        <v>4446269705307.6543</v>
      </c>
      <c r="S396" s="93">
        <f t="shared" si="138"/>
        <v>3507309292322.4961</v>
      </c>
      <c r="T396">
        <f t="shared" si="139"/>
        <v>0.5</v>
      </c>
      <c r="X396" s="99">
        <v>353</v>
      </c>
      <c r="Y396" s="99">
        <f t="shared" si="140"/>
        <v>14962.73075820661</v>
      </c>
      <c r="Z396" s="99">
        <f t="shared" si="141"/>
        <v>6890.6532829742591</v>
      </c>
      <c r="AA396" s="99">
        <f t="shared" si="142"/>
        <v>-16526.088469255374</v>
      </c>
      <c r="AB396" s="99">
        <f t="shared" si="143"/>
        <v>9573.4572980819812</v>
      </c>
      <c r="AC396" s="99">
        <f t="shared" si="144"/>
        <v>-37.269241793390393</v>
      </c>
      <c r="AD396" s="99">
        <f t="shared" si="145"/>
        <v>-15609.346717025741</v>
      </c>
    </row>
    <row r="397" spans="1:30" x14ac:dyDescent="0.25">
      <c r="A397">
        <v>177</v>
      </c>
      <c r="B397" s="95">
        <f t="shared" si="146"/>
        <v>-16768.188148034678</v>
      </c>
      <c r="C397" s="95">
        <f t="shared" si="147"/>
        <v>-6082.19411424788</v>
      </c>
      <c r="D397" s="95">
        <f t="shared" si="148"/>
        <v>-2045.3600945817216</v>
      </c>
      <c r="E397" s="95">
        <f t="shared" si="149"/>
        <v>-1177.7205788002102</v>
      </c>
      <c r="F397" s="96">
        <f t="shared" si="125"/>
        <v>2000.8751317478577</v>
      </c>
      <c r="G397" s="94">
        <f t="shared" si="126"/>
        <v>-368.08139603216341</v>
      </c>
      <c r="H397" s="97">
        <f t="shared" si="127"/>
        <v>497.38507732988762</v>
      </c>
      <c r="I397" s="94">
        <f t="shared" si="128"/>
        <v>252.37347527836769</v>
      </c>
      <c r="J397" s="95">
        <f t="shared" si="129"/>
        <v>-123.00169450648558</v>
      </c>
      <c r="K397" s="94">
        <f t="shared" si="130"/>
        <v>612.08301041156767</v>
      </c>
      <c r="L397" s="94">
        <f t="shared" si="131"/>
        <v>1626.4917489244556</v>
      </c>
      <c r="M397" s="93">
        <f t="shared" si="132"/>
        <v>-1232.5378817220987</v>
      </c>
      <c r="N397" s="93">
        <f t="shared" si="133"/>
        <v>30016.860157013321</v>
      </c>
      <c r="O397" s="93">
        <f t="shared" si="134"/>
        <v>16403.706147540339</v>
      </c>
      <c r="P397" s="93">
        <f t="shared" si="135"/>
        <v>14765.416150704967</v>
      </c>
      <c r="Q397" s="93">
        <f t="shared" si="136"/>
        <v>28178952642762.875</v>
      </c>
      <c r="R397" s="93">
        <f t="shared" si="137"/>
        <v>4718758129770.4316</v>
      </c>
      <c r="S397" s="93">
        <f t="shared" si="138"/>
        <v>3788404650313.146</v>
      </c>
      <c r="T397">
        <f t="shared" si="139"/>
        <v>0.5</v>
      </c>
      <c r="X397" s="99">
        <v>354</v>
      </c>
      <c r="Y397" s="99">
        <f t="shared" si="140"/>
        <v>14972.609476841368</v>
      </c>
      <c r="Z397" s="99">
        <f t="shared" si="141"/>
        <v>6977.3576836617331</v>
      </c>
      <c r="AA397" s="99">
        <f t="shared" si="142"/>
        <v>-16519.173366211042</v>
      </c>
      <c r="AB397" s="99">
        <f t="shared" si="143"/>
        <v>9634.1503785632121</v>
      </c>
      <c r="AC397" s="99">
        <f t="shared" si="144"/>
        <v>-27.390523158633187</v>
      </c>
      <c r="AD397" s="99">
        <f t="shared" si="145"/>
        <v>-15522.642316338268</v>
      </c>
    </row>
    <row r="398" spans="1:30" x14ac:dyDescent="0.25">
      <c r="A398">
        <v>177.5</v>
      </c>
      <c r="B398" s="95">
        <f t="shared" si="146"/>
        <v>-17290.649412388575</v>
      </c>
      <c r="C398" s="95">
        <f t="shared" si="147"/>
        <v>-6763.0747526560262</v>
      </c>
      <c r="D398" s="95">
        <f t="shared" si="148"/>
        <v>-1044.9225287077927</v>
      </c>
      <c r="E398" s="95">
        <f t="shared" si="149"/>
        <v>-1361.7612768162919</v>
      </c>
      <c r="F398" s="96">
        <f t="shared" si="125"/>
        <v>2066.7022051577205</v>
      </c>
      <c r="G398" s="94">
        <f t="shared" si="126"/>
        <v>-308.55878293555861</v>
      </c>
      <c r="H398" s="97">
        <f t="shared" si="127"/>
        <v>470.65145344313532</v>
      </c>
      <c r="I398" s="94">
        <f t="shared" si="128"/>
        <v>245.97937416096491</v>
      </c>
      <c r="J398" s="95">
        <f t="shared" si="129"/>
        <v>-93.367006364918225</v>
      </c>
      <c r="K398" s="94">
        <f t="shared" si="130"/>
        <v>577.67278781984805</v>
      </c>
      <c r="L398" s="94">
        <f t="shared" si="131"/>
        <v>1689.4177580795033</v>
      </c>
      <c r="M398" s="93">
        <f t="shared" si="132"/>
        <v>-1132.2109449163715</v>
      </c>
      <c r="N398" s="93">
        <f t="shared" si="133"/>
        <v>30793.09738804719</v>
      </c>
      <c r="O398" s="93">
        <f t="shared" si="134"/>
        <v>16980.614116389439</v>
      </c>
      <c r="P398" s="93">
        <f t="shared" si="135"/>
        <v>14795.506091667841</v>
      </c>
      <c r="Q398" s="93">
        <f t="shared" si="136"/>
        <v>30360791437214.902</v>
      </c>
      <c r="R398" s="93">
        <f t="shared" si="137"/>
        <v>5211521264426.082</v>
      </c>
      <c r="S398" s="93">
        <f t="shared" si="138"/>
        <v>3809223001746.0034</v>
      </c>
      <c r="T398">
        <f t="shared" si="139"/>
        <v>0.5</v>
      </c>
      <c r="X398" s="99">
        <v>355</v>
      </c>
      <c r="Y398" s="99">
        <f t="shared" si="140"/>
        <v>14980.973490458728</v>
      </c>
      <c r="Z398" s="99">
        <f t="shared" si="141"/>
        <v>7064.2212862617089</v>
      </c>
      <c r="AA398" s="99">
        <f t="shared" si="142"/>
        <v>-16513.318556678889</v>
      </c>
      <c r="AB398" s="99">
        <f t="shared" si="143"/>
        <v>9694.9549003831962</v>
      </c>
      <c r="AC398" s="99">
        <f t="shared" si="144"/>
        <v>-19.026509541272389</v>
      </c>
      <c r="AD398" s="99">
        <f t="shared" si="145"/>
        <v>-15435.778713738291</v>
      </c>
    </row>
    <row r="399" spans="1:30" x14ac:dyDescent="0.25">
      <c r="A399">
        <v>178</v>
      </c>
      <c r="B399" s="95">
        <f t="shared" si="146"/>
        <v>-17296.435125453041</v>
      </c>
      <c r="C399" s="95">
        <f t="shared" si="147"/>
        <v>-7521.0950867980619</v>
      </c>
      <c r="D399" s="95">
        <f t="shared" si="148"/>
        <v>-11.571426128932444</v>
      </c>
      <c r="E399" s="95">
        <f t="shared" si="149"/>
        <v>-1516.0406682840712</v>
      </c>
      <c r="F399" s="96">
        <f t="shared" si="125"/>
        <v>2192.9778657902884</v>
      </c>
      <c r="G399" s="94">
        <f t="shared" si="126"/>
        <v>-323.62033678451166</v>
      </c>
      <c r="H399" s="97">
        <f t="shared" si="127"/>
        <v>454.87601546766803</v>
      </c>
      <c r="I399" s="94">
        <f t="shared" si="128"/>
        <v>250.31605224787626</v>
      </c>
      <c r="J399" s="95">
        <f t="shared" si="129"/>
        <v>-82.282773771796798</v>
      </c>
      <c r="K399" s="94">
        <f t="shared" si="130"/>
        <v>533.25308256297376</v>
      </c>
      <c r="L399" s="94">
        <f t="shared" si="131"/>
        <v>1820.3846240944172</v>
      </c>
      <c r="M399" s="93">
        <f t="shared" si="132"/>
        <v>-1107.1894715953617</v>
      </c>
      <c r="N399" s="93">
        <f t="shared" si="133"/>
        <v>31156.518871091735</v>
      </c>
      <c r="O399" s="93">
        <f t="shared" si="134"/>
        <v>17728.452726380361</v>
      </c>
      <c r="P399" s="93">
        <f t="shared" si="135"/>
        <v>14392.231776037775</v>
      </c>
      <c r="Q399" s="93">
        <f t="shared" si="136"/>
        <v>31420386047814.145</v>
      </c>
      <c r="R399" s="93">
        <f t="shared" si="137"/>
        <v>5900932057326.3945</v>
      </c>
      <c r="S399" s="93">
        <f t="shared" si="138"/>
        <v>3536834079289.1626</v>
      </c>
      <c r="T399">
        <f t="shared" si="139"/>
        <v>0.5</v>
      </c>
      <c r="X399" s="99">
        <v>356</v>
      </c>
      <c r="Y399" s="99">
        <f t="shared" si="140"/>
        <v>14987.820251299123</v>
      </c>
      <c r="Z399" s="99">
        <f t="shared" si="141"/>
        <v>7151.2176312793763</v>
      </c>
      <c r="AA399" s="99">
        <f t="shared" si="142"/>
        <v>-16508.525824090615</v>
      </c>
      <c r="AB399" s="99">
        <f t="shared" si="143"/>
        <v>9755.8523418955629</v>
      </c>
      <c r="AC399" s="99">
        <f t="shared" si="144"/>
        <v>-12.179748700878008</v>
      </c>
      <c r="AD399" s="99">
        <f t="shared" si="145"/>
        <v>-15348.782368720624</v>
      </c>
    </row>
    <row r="400" spans="1:30" x14ac:dyDescent="0.25">
      <c r="A400">
        <v>178.5</v>
      </c>
      <c r="B400" s="95">
        <f t="shared" si="146"/>
        <v>-16753.976372069934</v>
      </c>
      <c r="C400" s="95">
        <f t="shared" si="147"/>
        <v>-8360.0205051362245</v>
      </c>
      <c r="D400" s="95">
        <f t="shared" si="148"/>
        <v>1084.9175067662118</v>
      </c>
      <c r="E400" s="95">
        <f t="shared" si="149"/>
        <v>-1677.8508366763272</v>
      </c>
      <c r="F400" s="96">
        <f t="shared" si="125"/>
        <v>2425.5440623633158</v>
      </c>
      <c r="G400" s="94">
        <f t="shared" si="126"/>
        <v>-416.65450845966473</v>
      </c>
      <c r="H400" s="97">
        <f t="shared" si="127"/>
        <v>448.13854258802104</v>
      </c>
      <c r="I400" s="94">
        <f t="shared" si="128"/>
        <v>265.66093861127143</v>
      </c>
      <c r="J400" s="95">
        <f t="shared" si="129"/>
        <v>-85.391224525281771</v>
      </c>
      <c r="K400" s="94">
        <f t="shared" si="130"/>
        <v>482.98620495335518</v>
      </c>
      <c r="L400" s="94">
        <f t="shared" si="131"/>
        <v>2062.7967443005764</v>
      </c>
      <c r="M400" s="93">
        <f t="shared" si="132"/>
        <v>-1165.3016520242913</v>
      </c>
      <c r="N400" s="93">
        <f t="shared" si="133"/>
        <v>31101.696129642478</v>
      </c>
      <c r="O400" s="93">
        <f t="shared" si="134"/>
        <v>18644.758575591772</v>
      </c>
      <c r="P400" s="93">
        <f t="shared" si="135"/>
        <v>13499.825489516139</v>
      </c>
      <c r="Q400" s="93">
        <f t="shared" si="136"/>
        <v>31258970027221.41</v>
      </c>
      <c r="R400" s="93">
        <f t="shared" si="137"/>
        <v>6827020039382.7979</v>
      </c>
      <c r="S400" s="93">
        <f t="shared" si="138"/>
        <v>2983506568851.9336</v>
      </c>
      <c r="T400">
        <f t="shared" si="139"/>
        <v>0.5</v>
      </c>
      <c r="X400" s="99">
        <v>357</v>
      </c>
      <c r="Y400" s="99">
        <f t="shared" si="140"/>
        <v>14993.14767377287</v>
      </c>
      <c r="Z400" s="99">
        <f t="shared" si="141"/>
        <v>7238.3202187852785</v>
      </c>
      <c r="AA400" s="99">
        <f t="shared" si="142"/>
        <v>-16504.796628358992</v>
      </c>
      <c r="AB400" s="99">
        <f t="shared" si="143"/>
        <v>9816.8241531496951</v>
      </c>
      <c r="AC400" s="99">
        <f t="shared" si="144"/>
        <v>-6.8523262271310159</v>
      </c>
      <c r="AD400" s="99">
        <f t="shared" si="145"/>
        <v>-15261.679781214722</v>
      </c>
    </row>
    <row r="401" spans="1:30" x14ac:dyDescent="0.25">
      <c r="A401">
        <v>179</v>
      </c>
      <c r="B401" s="95">
        <f t="shared" si="146"/>
        <v>-15605.131603095999</v>
      </c>
      <c r="C401" s="95">
        <f t="shared" si="147"/>
        <v>-9303.1095505893045</v>
      </c>
      <c r="D401" s="95">
        <f t="shared" si="148"/>
        <v>2297.6895379478697</v>
      </c>
      <c r="E401" s="95">
        <f t="shared" si="149"/>
        <v>-1886.1780909061595</v>
      </c>
      <c r="F401" s="96">
        <f t="shared" si="125"/>
        <v>2858.4020541247614</v>
      </c>
      <c r="G401" s="94">
        <f t="shared" si="126"/>
        <v>-625.58953066746221</v>
      </c>
      <c r="H401" s="97">
        <f t="shared" si="127"/>
        <v>448.65070588738377</v>
      </c>
      <c r="I401" s="94">
        <f t="shared" si="128"/>
        <v>294.42250396648609</v>
      </c>
      <c r="J401" s="95">
        <f t="shared" si="129"/>
        <v>-97.136980043220987</v>
      </c>
      <c r="K401" s="94">
        <f t="shared" si="130"/>
        <v>426.64434923889689</v>
      </c>
      <c r="L401" s="94">
        <f t="shared" si="131"/>
        <v>2506.8883282805987</v>
      </c>
      <c r="M401" s="93">
        <f t="shared" si="132"/>
        <v>-1346.6563838728453</v>
      </c>
      <c r="N401" s="93">
        <f t="shared" si="133"/>
        <v>30626.251076175991</v>
      </c>
      <c r="O401" s="93">
        <f t="shared" si="134"/>
        <v>19797.093386357439</v>
      </c>
      <c r="P401" s="93">
        <f t="shared" si="135"/>
        <v>12038.41256609742</v>
      </c>
      <c r="Q401" s="93">
        <f t="shared" si="136"/>
        <v>29882524156285.691</v>
      </c>
      <c r="R401" s="93">
        <f t="shared" si="137"/>
        <v>8125573439746.3291</v>
      </c>
      <c r="S401" s="93">
        <f t="shared" si="138"/>
        <v>2215030426284.8496</v>
      </c>
      <c r="T401">
        <f t="shared" si="139"/>
        <v>0.5</v>
      </c>
      <c r="X401" s="99">
        <v>358</v>
      </c>
      <c r="Y401" s="99">
        <f t="shared" si="140"/>
        <v>14996.954135095479</v>
      </c>
      <c r="Z401" s="99">
        <f t="shared" si="141"/>
        <v>7325.502516487496</v>
      </c>
      <c r="AA401" s="99">
        <f t="shared" si="142"/>
        <v>-16502.132105433164</v>
      </c>
      <c r="AB401" s="99">
        <f t="shared" si="143"/>
        <v>9877.8517615412475</v>
      </c>
      <c r="AC401" s="99">
        <f t="shared" si="144"/>
        <v>-3.0458649045212951</v>
      </c>
      <c r="AD401" s="99">
        <f t="shared" si="145"/>
        <v>-15174.497483512505</v>
      </c>
    </row>
    <row r="402" spans="1:30" x14ac:dyDescent="0.25">
      <c r="A402">
        <v>179.5</v>
      </c>
      <c r="B402" s="95">
        <f t="shared" si="146"/>
        <v>-13741.686320590874</v>
      </c>
      <c r="C402" s="95">
        <f t="shared" si="147"/>
        <v>-10402.595978709251</v>
      </c>
      <c r="D402" s="95">
        <f t="shared" si="148"/>
        <v>3726.8905650102506</v>
      </c>
      <c r="E402" s="95">
        <f t="shared" si="149"/>
        <v>-2198.9728562398905</v>
      </c>
      <c r="F402" s="96">
        <f t="shared" si="125"/>
        <v>3716.0381870326428</v>
      </c>
      <c r="G402" s="94">
        <f t="shared" si="126"/>
        <v>-1070.0653130201842</v>
      </c>
      <c r="H402" s="97">
        <f t="shared" si="127"/>
        <v>453.46325509402448</v>
      </c>
      <c r="I402" s="94">
        <f t="shared" si="128"/>
        <v>341.93735598713141</v>
      </c>
      <c r="J402" s="95">
        <f t="shared" si="129"/>
        <v>-111.1280034032774</v>
      </c>
      <c r="K402" s="94">
        <f t="shared" si="130"/>
        <v>362.28605204265841</v>
      </c>
      <c r="L402" s="94">
        <f t="shared" si="131"/>
        <v>3373.7029353418957</v>
      </c>
      <c r="M402" s="93">
        <f t="shared" si="132"/>
        <v>-1774.2887210499741</v>
      </c>
      <c r="N402" s="93">
        <f t="shared" si="133"/>
        <v>29735.006509537347</v>
      </c>
      <c r="O402" s="93">
        <f t="shared" si="134"/>
        <v>21340.862512567815</v>
      </c>
      <c r="P402" s="93">
        <f t="shared" si="135"/>
        <v>9876.9025236956732</v>
      </c>
      <c r="Q402" s="93">
        <f t="shared" si="136"/>
        <v>27413727018571.109</v>
      </c>
      <c r="R402" s="93">
        <f t="shared" si="137"/>
        <v>10114084037030.016</v>
      </c>
      <c r="S402" s="93">
        <f t="shared" si="138"/>
        <v>1356709924331.8311</v>
      </c>
      <c r="T402">
        <f t="shared" si="139"/>
        <v>0.5</v>
      </c>
      <c r="X402" s="99">
        <v>359</v>
      </c>
      <c r="Y402" s="99">
        <f t="shared" si="140"/>
        <v>14999.238475781956</v>
      </c>
      <c r="Z402" s="99">
        <f t="shared" si="141"/>
        <v>7412.7379678135776</v>
      </c>
      <c r="AA402" s="99">
        <f t="shared" si="142"/>
        <v>-16500.53306695263</v>
      </c>
      <c r="AB402" s="99">
        <f t="shared" si="143"/>
        <v>9938.9165774695048</v>
      </c>
      <c r="AC402" s="99">
        <f t="shared" si="144"/>
        <v>-0.76152421804363257</v>
      </c>
      <c r="AD402" s="99">
        <f t="shared" si="145"/>
        <v>-15087.262032186421</v>
      </c>
    </row>
    <row r="403" spans="1:30" x14ac:dyDescent="0.25">
      <c r="A403">
        <v>180</v>
      </c>
      <c r="B403" s="95">
        <f t="shared" si="146"/>
        <v>-10949.231491327588</v>
      </c>
      <c r="C403" s="95">
        <f t="shared" si="147"/>
        <v>-11769.598735084241</v>
      </c>
      <c r="D403" s="95">
        <f t="shared" si="148"/>
        <v>5584.9096585265725</v>
      </c>
      <c r="E403" s="95">
        <f t="shared" si="149"/>
        <v>-2734.0055127499827</v>
      </c>
      <c r="F403" s="96">
        <f t="shared" si="125"/>
        <v>5560.1017628759728</v>
      </c>
      <c r="G403" s="94">
        <f t="shared" si="126"/>
        <v>-2130.7545258948376</v>
      </c>
      <c r="H403" s="97">
        <f t="shared" si="127"/>
        <v>454.45465448923579</v>
      </c>
      <c r="I403" s="94">
        <f t="shared" si="128"/>
        <v>418.01814252346912</v>
      </c>
      <c r="J403" s="95">
        <f t="shared" si="129"/>
        <v>-120.04991042526036</v>
      </c>
      <c r="K403" s="94">
        <f t="shared" si="130"/>
        <v>288.75320097255138</v>
      </c>
      <c r="L403" s="94">
        <f t="shared" si="131"/>
        <v>5225.6970188119976</v>
      </c>
      <c r="M403" s="93">
        <f t="shared" si="132"/>
        <v>-2837.5258693908581</v>
      </c>
      <c r="N403" s="93">
        <f t="shared" si="133"/>
        <v>28463.796926769832</v>
      </c>
      <c r="O403" s="93">
        <f t="shared" si="134"/>
        <v>23576.086182489187</v>
      </c>
      <c r="P403" s="93">
        <f t="shared" si="135"/>
        <v>6769.7007075478014</v>
      </c>
      <c r="Q403" s="93">
        <f t="shared" si="136"/>
        <v>24136603839854.082</v>
      </c>
      <c r="R403" s="93">
        <f t="shared" si="137"/>
        <v>13539928129509.09</v>
      </c>
      <c r="S403" s="93">
        <f t="shared" si="138"/>
        <v>596094705337.15112</v>
      </c>
      <c r="T403">
        <f t="shared" si="139"/>
        <v>0.5</v>
      </c>
      <c r="X403" s="99">
        <v>360</v>
      </c>
      <c r="Y403" s="99">
        <f t="shared" si="140"/>
        <v>15000</v>
      </c>
      <c r="Z403" s="99">
        <f t="shared" si="141"/>
        <v>7499.9999999999991</v>
      </c>
      <c r="AA403" s="99">
        <f t="shared" si="142"/>
        <v>-16500</v>
      </c>
      <c r="AB403" s="99">
        <f t="shared" si="143"/>
        <v>10000</v>
      </c>
      <c r="AC403" s="99">
        <f t="shared" si="144"/>
        <v>0</v>
      </c>
      <c r="AD403" s="99">
        <f t="shared" si="145"/>
        <v>-15000.000000000002</v>
      </c>
    </row>
    <row r="404" spans="1:30" x14ac:dyDescent="0.25">
      <c r="A404">
        <v>180.5</v>
      </c>
      <c r="B404" s="95">
        <f t="shared" si="146"/>
        <v>-6766.7512213453083</v>
      </c>
      <c r="C404" s="95">
        <f t="shared" si="147"/>
        <v>-13669.290122932942</v>
      </c>
      <c r="D404" s="95">
        <f t="shared" si="148"/>
        <v>8364.9605399645588</v>
      </c>
      <c r="E404" s="95">
        <f t="shared" si="149"/>
        <v>-3799.3827756974015</v>
      </c>
      <c r="F404" s="96">
        <f t="shared" si="125"/>
        <v>5967.8078995258447</v>
      </c>
      <c r="G404" s="94">
        <f t="shared" si="126"/>
        <v>-3520.2551391121642</v>
      </c>
      <c r="H404" s="97">
        <f t="shared" si="127"/>
        <v>423.80250290530853</v>
      </c>
      <c r="I404" s="94">
        <f t="shared" si="128"/>
        <v>535.08267763919002</v>
      </c>
      <c r="J404" s="95">
        <f t="shared" si="129"/>
        <v>-116.26571008098294</v>
      </c>
      <c r="K404" s="94">
        <f t="shared" si="130"/>
        <v>207.95549674048817</v>
      </c>
      <c r="L404" s="94">
        <f t="shared" si="131"/>
        <v>5660.2711067015189</v>
      </c>
      <c r="M404" s="93">
        <f t="shared" si="132"/>
        <v>-4263.2933134918421</v>
      </c>
      <c r="N404" s="93">
        <f t="shared" si="133"/>
        <v>27004.866058312356</v>
      </c>
      <c r="O404" s="93">
        <f t="shared" si="134"/>
        <v>27117.414481497621</v>
      </c>
      <c r="P404" s="93">
        <f t="shared" si="135"/>
        <v>2211.8315159724448</v>
      </c>
      <c r="Q404" s="93">
        <f t="shared" si="136"/>
        <v>20714956495240.934</v>
      </c>
      <c r="R404" s="93">
        <f t="shared" si="137"/>
        <v>20441255711015.02</v>
      </c>
      <c r="S404" s="93">
        <f t="shared" si="138"/>
        <v>163431884947.69458</v>
      </c>
      <c r="T404">
        <f t="shared" si="139"/>
        <v>0.5</v>
      </c>
    </row>
    <row r="405" spans="1:30" x14ac:dyDescent="0.25">
      <c r="A405">
        <v>181</v>
      </c>
      <c r="B405" s="95">
        <f t="shared" si="146"/>
        <v>-1092.3189764815677</v>
      </c>
      <c r="C405" s="95">
        <f t="shared" si="147"/>
        <v>-16449.045295559685</v>
      </c>
      <c r="D405" s="95">
        <f t="shared" si="148"/>
        <v>11348.864489727481</v>
      </c>
      <c r="E405" s="95">
        <f t="shared" si="149"/>
        <v>-5559.510345253484</v>
      </c>
      <c r="F405" s="96">
        <f t="shared" si="125"/>
        <v>-7216.3035303073621</v>
      </c>
      <c r="G405" s="94">
        <f t="shared" si="126"/>
        <v>3533.8032850132595</v>
      </c>
      <c r="H405" s="97">
        <f t="shared" si="127"/>
        <v>299.62601336718825</v>
      </c>
      <c r="I405" s="94">
        <f t="shared" si="128"/>
        <v>646.91224450659274</v>
      </c>
      <c r="J405" s="95">
        <f t="shared" si="129"/>
        <v>-97.113632222543984</v>
      </c>
      <c r="K405" s="94">
        <f t="shared" si="130"/>
        <v>135.84758777533153</v>
      </c>
      <c r="L405" s="94">
        <f t="shared" si="131"/>
        <v>-7418.8159114520067</v>
      </c>
      <c r="M405" s="93">
        <f t="shared" si="132"/>
        <v>2751.043452731335</v>
      </c>
      <c r="N405" s="93">
        <f t="shared" si="133"/>
        <v>26393.111048998802</v>
      </c>
      <c r="O405" s="93">
        <f t="shared" si="134"/>
        <v>32512.342252346061</v>
      </c>
      <c r="P405" s="93">
        <f t="shared" si="135"/>
        <v>4167.6975958135108</v>
      </c>
      <c r="Q405" s="93">
        <f t="shared" si="136"/>
        <v>19383913196862.445</v>
      </c>
      <c r="R405" s="93">
        <f t="shared" si="137"/>
        <v>34966391159650.195</v>
      </c>
      <c r="S405" s="93">
        <f t="shared" si="138"/>
        <v>275792932964.48773</v>
      </c>
      <c r="T405">
        <f t="shared" si="139"/>
        <v>0.5</v>
      </c>
    </row>
    <row r="406" spans="1:30" x14ac:dyDescent="0.25">
      <c r="A406">
        <v>181.5</v>
      </c>
      <c r="B406" s="95">
        <f t="shared" si="146"/>
        <v>2778.0373858053317</v>
      </c>
      <c r="C406" s="95">
        <f t="shared" si="147"/>
        <v>-18345.349646933111</v>
      </c>
      <c r="D406" s="95">
        <f t="shared" si="148"/>
        <v>7740.7127245737993</v>
      </c>
      <c r="E406" s="95">
        <f t="shared" si="149"/>
        <v>-3792.6087027468543</v>
      </c>
      <c r="F406" s="96">
        <f t="shared" si="125"/>
        <v>-4181.527758344213</v>
      </c>
      <c r="G406" s="94">
        <f t="shared" si="126"/>
        <v>2612.0829159250611</v>
      </c>
      <c r="H406" s="97">
        <f t="shared" si="127"/>
        <v>185.9079894322154</v>
      </c>
      <c r="I406" s="94">
        <f t="shared" si="128"/>
        <v>665.3118059057897</v>
      </c>
      <c r="J406" s="95">
        <f t="shared" si="129"/>
        <v>-83.908861165821676</v>
      </c>
      <c r="K406" s="94">
        <f t="shared" si="130"/>
        <v>104.41751270912194</v>
      </c>
      <c r="L406" s="94">
        <f t="shared" si="131"/>
        <v>-4283.5268866106071</v>
      </c>
      <c r="M406" s="93">
        <f t="shared" si="132"/>
        <v>1842.3535973101496</v>
      </c>
      <c r="N406" s="93">
        <f t="shared" si="133"/>
        <v>26835.402780153145</v>
      </c>
      <c r="O406" s="93">
        <f t="shared" si="134"/>
        <v>36363.413395280098</v>
      </c>
      <c r="P406" s="93">
        <f t="shared" si="135"/>
        <v>8466.9492637679687</v>
      </c>
      <c r="Q406" s="93">
        <f t="shared" si="136"/>
        <v>20340227409041.891</v>
      </c>
      <c r="R406" s="93">
        <f t="shared" si="137"/>
        <v>48752985629545.141</v>
      </c>
      <c r="S406" s="93">
        <f t="shared" si="138"/>
        <v>950751789254.65686</v>
      </c>
      <c r="T406">
        <f t="shared" si="139"/>
        <v>0.5</v>
      </c>
    </row>
    <row r="407" spans="1:30" x14ac:dyDescent="0.25">
      <c r="A407">
        <v>182</v>
      </c>
      <c r="B407" s="95">
        <f t="shared" si="146"/>
        <v>5603.0118085061786</v>
      </c>
      <c r="C407" s="95">
        <f t="shared" si="147"/>
        <v>-19588.633269325273</v>
      </c>
      <c r="D407" s="95">
        <f t="shared" si="148"/>
        <v>5649.9488454016928</v>
      </c>
      <c r="E407" s="95">
        <f t="shared" si="149"/>
        <v>-2486.5672447843235</v>
      </c>
      <c r="F407" s="96">
        <f t="shared" si="125"/>
        <v>-2752.492982898214</v>
      </c>
      <c r="G407" s="94">
        <f t="shared" si="126"/>
        <v>1945.3646022649575</v>
      </c>
      <c r="H407" s="97">
        <f t="shared" si="127"/>
        <v>106.06637522370208</v>
      </c>
      <c r="I407" s="94">
        <f t="shared" si="128"/>
        <v>653.44572591753604</v>
      </c>
      <c r="J407" s="95">
        <f t="shared" si="129"/>
        <v>-75.845316113614189</v>
      </c>
      <c r="K407" s="94">
        <f t="shared" si="130"/>
        <v>87.652158287728966</v>
      </c>
      <c r="L407" s="94">
        <f t="shared" si="131"/>
        <v>-2782.7140420083019</v>
      </c>
      <c r="M407" s="93">
        <f t="shared" si="132"/>
        <v>1204.2667180596925</v>
      </c>
      <c r="N407" s="93">
        <f t="shared" si="133"/>
        <v>27443.169597481487</v>
      </c>
      <c r="O407" s="93">
        <f t="shared" si="134"/>
        <v>39128.013397221301</v>
      </c>
      <c r="P407" s="93">
        <f t="shared" si="135"/>
        <v>11553.329160535512</v>
      </c>
      <c r="Q407" s="93">
        <f t="shared" si="136"/>
        <v>21705819856016.633</v>
      </c>
      <c r="R407" s="93">
        <f t="shared" si="137"/>
        <v>60625458080589.539</v>
      </c>
      <c r="S407" s="93">
        <f t="shared" si="138"/>
        <v>1995075281462.0598</v>
      </c>
      <c r="T407">
        <f t="shared" si="139"/>
        <v>0.5</v>
      </c>
    </row>
    <row r="408" spans="1:30" x14ac:dyDescent="0.25">
      <c r="A408">
        <v>182.5</v>
      </c>
      <c r="B408" s="95">
        <f t="shared" si="146"/>
        <v>7739.8629854824721</v>
      </c>
      <c r="C408" s="95">
        <f t="shared" si="147"/>
        <v>-20345.575741151195</v>
      </c>
      <c r="D408" s="95">
        <f t="shared" si="148"/>
        <v>4273.7023539525853</v>
      </c>
      <c r="E408" s="95">
        <f t="shared" si="149"/>
        <v>-1513.8849436518449</v>
      </c>
      <c r="F408" s="96">
        <f t="shared" si="125"/>
        <v>-2122.1837330013755</v>
      </c>
      <c r="G408" s="94">
        <f t="shared" si="126"/>
        <v>1597.7744091060999</v>
      </c>
      <c r="H408" s="97">
        <f t="shared" si="127"/>
        <v>51.766376204390632</v>
      </c>
      <c r="I408" s="94">
        <f t="shared" si="128"/>
        <v>637.77750648979838</v>
      </c>
      <c r="J408" s="95">
        <f t="shared" si="129"/>
        <v>-70.913119915494335</v>
      </c>
      <c r="K408" s="94">
        <f t="shared" si="130"/>
        <v>77.57426388743005</v>
      </c>
      <c r="L408" s="94">
        <f t="shared" si="131"/>
        <v>-2103.0369892902718</v>
      </c>
      <c r="M408" s="93">
        <f t="shared" si="132"/>
        <v>882.42263872887156</v>
      </c>
      <c r="N408" s="93">
        <f t="shared" si="133"/>
        <v>27937.149240403542</v>
      </c>
      <c r="O408" s="93">
        <f t="shared" si="134"/>
        <v>41113.91450002401</v>
      </c>
      <c r="P408" s="93">
        <f t="shared" si="135"/>
        <v>13815.907096287618</v>
      </c>
      <c r="Q408" s="93">
        <f t="shared" si="136"/>
        <v>22860494789384.16</v>
      </c>
      <c r="R408" s="93">
        <f t="shared" si="137"/>
        <v>70253903663211.102</v>
      </c>
      <c r="S408" s="93">
        <f t="shared" si="138"/>
        <v>3171877952912.2222</v>
      </c>
      <c r="T408">
        <f t="shared" si="139"/>
        <v>0.5</v>
      </c>
    </row>
    <row r="409" spans="1:30" x14ac:dyDescent="0.25">
      <c r="A409">
        <v>183</v>
      </c>
      <c r="B409" s="95">
        <f t="shared" si="146"/>
        <v>9346.1682292084206</v>
      </c>
      <c r="C409" s="95">
        <f t="shared" si="147"/>
        <v>-20703.074610700591</v>
      </c>
      <c r="D409" s="95">
        <f t="shared" si="148"/>
        <v>3212.6104874518978</v>
      </c>
      <c r="E409" s="95">
        <f t="shared" si="149"/>
        <v>-714.99773909879491</v>
      </c>
      <c r="F409" s="96">
        <f t="shared" si="125"/>
        <v>-1811.3222539027581</v>
      </c>
      <c r="G409" s="94">
        <f t="shared" si="126"/>
        <v>1397.9450744638691</v>
      </c>
      <c r="H409" s="97">
        <f t="shared" si="127"/>
        <v>14.55714304699681</v>
      </c>
      <c r="I409" s="94">
        <f t="shared" si="128"/>
        <v>627.92328212506595</v>
      </c>
      <c r="J409" s="95">
        <f t="shared" si="129"/>
        <v>-68.096539850672968</v>
      </c>
      <c r="K409" s="94">
        <f t="shared" si="130"/>
        <v>71.245183610881057</v>
      </c>
      <c r="L409" s="94">
        <f t="shared" si="131"/>
        <v>-1757.7828570990819</v>
      </c>
      <c r="M409" s="93">
        <f t="shared" si="132"/>
        <v>698.77660872792205</v>
      </c>
      <c r="N409" s="93">
        <f t="shared" si="133"/>
        <v>28210.652482373403</v>
      </c>
      <c r="O409" s="93">
        <f t="shared" si="134"/>
        <v>42472.065882027084</v>
      </c>
      <c r="P409" s="93">
        <f t="shared" si="135"/>
        <v>15438.186515130808</v>
      </c>
      <c r="Q409" s="93">
        <f t="shared" si="136"/>
        <v>23517355948794.199</v>
      </c>
      <c r="R409" s="93">
        <f t="shared" si="137"/>
        <v>77396104133109.469</v>
      </c>
      <c r="S409" s="93">
        <f t="shared" si="138"/>
        <v>4273358389521.1074</v>
      </c>
      <c r="T409">
        <f t="shared" si="139"/>
        <v>0.5</v>
      </c>
    </row>
    <row r="410" spans="1:30" x14ac:dyDescent="0.25">
      <c r="A410">
        <v>183.5</v>
      </c>
      <c r="B410" s="95">
        <f t="shared" si="146"/>
        <v>10499.64290945868</v>
      </c>
      <c r="C410" s="95">
        <f t="shared" si="147"/>
        <v>-20711.087211634018</v>
      </c>
      <c r="D410" s="95">
        <f t="shared" si="148"/>
        <v>2306.9493605005187</v>
      </c>
      <c r="E410" s="95">
        <f t="shared" si="149"/>
        <v>-16.025201866860357</v>
      </c>
      <c r="F410" s="96">
        <f t="shared" si="125"/>
        <v>-1656.7590667100114</v>
      </c>
      <c r="G410" s="94">
        <f t="shared" si="126"/>
        <v>1276.8597052090311</v>
      </c>
      <c r="H410" s="97">
        <f t="shared" si="127"/>
        <v>-11.118656286540212</v>
      </c>
      <c r="I410" s="94">
        <f t="shared" si="128"/>
        <v>627.78711803516319</v>
      </c>
      <c r="J410" s="95">
        <f t="shared" si="129"/>
        <v>-66.895388668513078</v>
      </c>
      <c r="K410" s="94">
        <f t="shared" si="130"/>
        <v>67.359153074468637</v>
      </c>
      <c r="L410" s="94">
        <f t="shared" si="131"/>
        <v>-1578.7450217549581</v>
      </c>
      <c r="M410" s="93">
        <f t="shared" si="132"/>
        <v>581.71343409939925</v>
      </c>
      <c r="N410" s="93">
        <f t="shared" si="133"/>
        <v>28215.51142012834</v>
      </c>
      <c r="O410" s="93">
        <f t="shared" si="134"/>
        <v>43282.780586800145</v>
      </c>
      <c r="P410" s="93">
        <f t="shared" si="135"/>
        <v>16518.336703785353</v>
      </c>
      <c r="Q410" s="93">
        <f t="shared" si="136"/>
        <v>23529139572884.703</v>
      </c>
      <c r="R410" s="93">
        <f t="shared" si="137"/>
        <v>81882541808826.5</v>
      </c>
      <c r="S410" s="93">
        <f t="shared" si="138"/>
        <v>5140535005825.0664</v>
      </c>
      <c r="T410">
        <f t="shared" si="139"/>
        <v>0.5</v>
      </c>
    </row>
    <row r="411" spans="1:30" x14ac:dyDescent="0.25">
      <c r="A411">
        <v>184</v>
      </c>
      <c r="B411" s="95">
        <f t="shared" si="146"/>
        <v>11238.927823031438</v>
      </c>
      <c r="C411" s="95">
        <f t="shared" si="147"/>
        <v>-20399.88488626519</v>
      </c>
      <c r="D411" s="95">
        <f t="shared" si="148"/>
        <v>1478.569827145513</v>
      </c>
      <c r="E411" s="95">
        <f t="shared" si="149"/>
        <v>622.40465073765517</v>
      </c>
      <c r="F411" s="96">
        <f t="shared" si="125"/>
        <v>-1595.8685197410362</v>
      </c>
      <c r="G411" s="94">
        <f t="shared" si="126"/>
        <v>1203.8749351074325</v>
      </c>
      <c r="H411" s="97">
        <f t="shared" si="127"/>
        <v>-28.4053773564404</v>
      </c>
      <c r="I411" s="94">
        <f t="shared" si="128"/>
        <v>639.67145112334867</v>
      </c>
      <c r="J411" s="95">
        <f t="shared" si="129"/>
        <v>-67.090930250315026</v>
      </c>
      <c r="K411" s="94">
        <f t="shared" si="130"/>
        <v>65.288942311852509</v>
      </c>
      <c r="L411" s="94">
        <f t="shared" si="131"/>
        <v>-1500.3722121342807</v>
      </c>
      <c r="M411" s="93">
        <f t="shared" si="132"/>
        <v>498.91454167223117</v>
      </c>
      <c r="N411" s="93">
        <f t="shared" si="133"/>
        <v>27927.379376116372</v>
      </c>
      <c r="O411" s="93">
        <f t="shared" si="134"/>
        <v>43589.260290015729</v>
      </c>
      <c r="P411" s="93">
        <f t="shared" si="135"/>
        <v>17113.197644699245</v>
      </c>
      <c r="Q411" s="93">
        <f t="shared" si="136"/>
        <v>22837263629833.293</v>
      </c>
      <c r="R411" s="93">
        <f t="shared" si="137"/>
        <v>83622866075249.703</v>
      </c>
      <c r="S411" s="93">
        <f t="shared" si="138"/>
        <v>5667048920529.75</v>
      </c>
      <c r="T411">
        <f t="shared" si="139"/>
        <v>0.5</v>
      </c>
    </row>
    <row r="412" spans="1:30" x14ac:dyDescent="0.25">
      <c r="A412">
        <v>184.5</v>
      </c>
      <c r="B412" s="95">
        <f t="shared" si="146"/>
        <v>11579.245606668934</v>
      </c>
      <c r="C412" s="95">
        <f t="shared" si="147"/>
        <v>-19787.713827119504</v>
      </c>
      <c r="D412" s="95">
        <f t="shared" si="148"/>
        <v>680.63556727499497</v>
      </c>
      <c r="E412" s="95">
        <f t="shared" si="149"/>
        <v>1224.3421182913714</v>
      </c>
      <c r="F412" s="96">
        <f t="shared" si="125"/>
        <v>-1604.0366565528345</v>
      </c>
      <c r="G412" s="94">
        <f t="shared" si="126"/>
        <v>1162.9666482803607</v>
      </c>
      <c r="H412" s="97">
        <f t="shared" si="127"/>
        <v>-38.541331439592454</v>
      </c>
      <c r="I412" s="94">
        <f t="shared" si="128"/>
        <v>665.95393294023415</v>
      </c>
      <c r="J412" s="95">
        <f t="shared" si="129"/>
        <v>-68.653059886138209</v>
      </c>
      <c r="K412" s="94">
        <f t="shared" si="130"/>
        <v>64.758282281845069</v>
      </c>
      <c r="L412" s="94">
        <f t="shared" si="131"/>
        <v>-1496.8422652271038</v>
      </c>
      <c r="M412" s="93">
        <f t="shared" si="132"/>
        <v>432.25443305828145</v>
      </c>
      <c r="N412" s="93">
        <f t="shared" si="133"/>
        <v>27333.374153165798</v>
      </c>
      <c r="O412" s="93">
        <f t="shared" si="134"/>
        <v>43411.480602862255</v>
      </c>
      <c r="P412" s="93">
        <f t="shared" si="135"/>
        <v>17256.696919649556</v>
      </c>
      <c r="Q412" s="93">
        <f t="shared" si="136"/>
        <v>21454657510129.602</v>
      </c>
      <c r="R412" s="93">
        <f t="shared" si="137"/>
        <v>82610375210628.797</v>
      </c>
      <c r="S412" s="93">
        <f t="shared" si="138"/>
        <v>5799457231840.1572</v>
      </c>
      <c r="T412">
        <f t="shared" si="139"/>
        <v>0.5</v>
      </c>
    </row>
    <row r="413" spans="1:30" x14ac:dyDescent="0.25">
      <c r="A413">
        <v>185</v>
      </c>
      <c r="B413" s="95">
        <f t="shared" si="146"/>
        <v>11518.554226168224</v>
      </c>
      <c r="C413" s="95">
        <f t="shared" si="147"/>
        <v>-18884.801105903727</v>
      </c>
      <c r="D413" s="95">
        <f t="shared" si="148"/>
        <v>-121.3827610014223</v>
      </c>
      <c r="E413" s="95">
        <f t="shared" si="149"/>
        <v>1805.8254424315519</v>
      </c>
      <c r="F413" s="96">
        <f t="shared" si="125"/>
        <v>-1674.8244914451093</v>
      </c>
      <c r="G413" s="94">
        <f t="shared" si="126"/>
        <v>1143.0807009351056</v>
      </c>
      <c r="H413" s="97">
        <f t="shared" si="127"/>
        <v>-40.860509405350406</v>
      </c>
      <c r="I413" s="94">
        <f t="shared" si="128"/>
        <v>709.9492366936712</v>
      </c>
      <c r="J413" s="95">
        <f t="shared" si="129"/>
        <v>-71.718623140572063</v>
      </c>
      <c r="K413" s="94">
        <f t="shared" si="130"/>
        <v>65.725672254495876</v>
      </c>
      <c r="L413" s="94">
        <f t="shared" si="131"/>
        <v>-1562.2453588991868</v>
      </c>
      <c r="M413" s="93">
        <f t="shared" si="132"/>
        <v>367.40579198693848</v>
      </c>
      <c r="N413" s="93">
        <f t="shared" si="133"/>
        <v>26428.464509613721</v>
      </c>
      <c r="O413" s="93">
        <f t="shared" si="134"/>
        <v>42752.204568133369</v>
      </c>
      <c r="P413" s="93">
        <f t="shared" si="135"/>
        <v>16969.216639411818</v>
      </c>
      <c r="Q413" s="93">
        <f t="shared" si="136"/>
        <v>19459207559394.488</v>
      </c>
      <c r="R413" s="93">
        <f t="shared" si="137"/>
        <v>78927271018609.391</v>
      </c>
      <c r="S413" s="93">
        <f t="shared" si="138"/>
        <v>5536322907414.6484</v>
      </c>
      <c r="T413">
        <f t="shared" si="139"/>
        <v>0.5</v>
      </c>
    </row>
    <row r="414" spans="1:30" x14ac:dyDescent="0.25">
      <c r="A414">
        <v>185.5</v>
      </c>
      <c r="B414" s="95">
        <f t="shared" si="146"/>
        <v>11039.156722806236</v>
      </c>
      <c r="C414" s="95">
        <f t="shared" si="147"/>
        <v>-17696.118209454173</v>
      </c>
      <c r="D414" s="95">
        <f t="shared" si="148"/>
        <v>-958.79500672397694</v>
      </c>
      <c r="E414" s="95">
        <f t="shared" si="149"/>
        <v>2377.3657928991047</v>
      </c>
      <c r="F414" s="96">
        <f t="shared" si="125"/>
        <v>-1813.3678503978049</v>
      </c>
      <c r="G414" s="94">
        <f t="shared" si="126"/>
        <v>1131.3604774924115</v>
      </c>
      <c r="H414" s="97">
        <f t="shared" si="127"/>
        <v>-32.022274323429066</v>
      </c>
      <c r="I414" s="94">
        <f t="shared" si="128"/>
        <v>776.43438326591377</v>
      </c>
      <c r="J414" s="95">
        <f t="shared" si="129"/>
        <v>-76.621110805878189</v>
      </c>
      <c r="K414" s="94">
        <f t="shared" si="130"/>
        <v>68.368717654628014</v>
      </c>
      <c r="L414" s="94">
        <f t="shared" si="131"/>
        <v>-1704.7244652684976</v>
      </c>
      <c r="M414" s="93">
        <f t="shared" si="132"/>
        <v>286.55737657186984</v>
      </c>
      <c r="N414" s="93">
        <f t="shared" si="133"/>
        <v>25217.537935320757</v>
      </c>
      <c r="O414" s="93">
        <f t="shared" si="134"/>
        <v>41599.329489007228</v>
      </c>
      <c r="P414" s="93">
        <f t="shared" si="135"/>
        <v>16264.181558814782</v>
      </c>
      <c r="Q414" s="93">
        <f t="shared" si="136"/>
        <v>16991334913335.459</v>
      </c>
      <c r="R414" s="93">
        <f t="shared" si="137"/>
        <v>72753553813859.016</v>
      </c>
      <c r="S414" s="93">
        <f t="shared" si="138"/>
        <v>4926357891137.4707</v>
      </c>
      <c r="T414">
        <f t="shared" si="139"/>
        <v>0.5</v>
      </c>
    </row>
    <row r="415" spans="1:30" x14ac:dyDescent="0.25">
      <c r="A415">
        <v>186</v>
      </c>
      <c r="B415" s="95">
        <f t="shared" si="146"/>
        <v>10106.417256844796</v>
      </c>
      <c r="C415" s="95">
        <f t="shared" si="147"/>
        <v>-16224.59519363152</v>
      </c>
      <c r="D415" s="95">
        <f t="shared" si="148"/>
        <v>-1865.4789319228794</v>
      </c>
      <c r="E415" s="95">
        <f t="shared" si="149"/>
        <v>2943.0460316453104</v>
      </c>
      <c r="F415" s="96">
        <f t="shared" si="125"/>
        <v>-2033.7332206236526</v>
      </c>
      <c r="G415" s="94">
        <f t="shared" si="126"/>
        <v>1102.4129651771304</v>
      </c>
      <c r="H415" s="97">
        <f t="shared" si="127"/>
        <v>-3.9092301318621114</v>
      </c>
      <c r="I415" s="94">
        <f t="shared" si="128"/>
        <v>871.52126588302497</v>
      </c>
      <c r="J415" s="95">
        <f t="shared" si="129"/>
        <v>-83.981012911080626</v>
      </c>
      <c r="K415" s="94">
        <f t="shared" si="130"/>
        <v>73.15277831816789</v>
      </c>
      <c r="L415" s="94">
        <f t="shared" si="131"/>
        <v>-1945.8429775807099</v>
      </c>
      <c r="M415" s="93">
        <f t="shared" si="132"/>
        <v>157.73892097593765</v>
      </c>
      <c r="N415" s="93">
        <f t="shared" si="133"/>
        <v>23724.833861046071</v>
      </c>
      <c r="O415" s="93">
        <f t="shared" si="134"/>
        <v>39926.504393862022</v>
      </c>
      <c r="P415" s="93">
        <f t="shared" si="135"/>
        <v>15155.971619337497</v>
      </c>
      <c r="Q415" s="93">
        <f t="shared" si="136"/>
        <v>14253431879673.77</v>
      </c>
      <c r="R415" s="93">
        <f t="shared" si="137"/>
        <v>64382926029946.109</v>
      </c>
      <c r="S415" s="93">
        <f t="shared" si="138"/>
        <v>4064922848602.7041</v>
      </c>
      <c r="T415">
        <f t="shared" si="139"/>
        <v>0.5</v>
      </c>
    </row>
    <row r="416" spans="1:30" x14ac:dyDescent="0.25">
      <c r="A416">
        <v>186.5</v>
      </c>
      <c r="B416" s="95">
        <f t="shared" si="146"/>
        <v>8665.2444857274422</v>
      </c>
      <c r="C416" s="95">
        <f t="shared" si="147"/>
        <v>-14477.468936514582</v>
      </c>
      <c r="D416" s="95">
        <f t="shared" si="148"/>
        <v>-2882.3455422347056</v>
      </c>
      <c r="E416" s="95">
        <f t="shared" si="149"/>
        <v>3494.2525142338754</v>
      </c>
      <c r="F416" s="96">
        <f t="shared" si="125"/>
        <v>-2351.9740243715946</v>
      </c>
      <c r="G416" s="94">
        <f t="shared" si="126"/>
        <v>992.14561847520292</v>
      </c>
      <c r="H416" s="97">
        <f t="shared" si="127"/>
        <v>60.717302182491473</v>
      </c>
      <c r="I416" s="94">
        <f t="shared" si="128"/>
        <v>999.74310527717205</v>
      </c>
      <c r="J416" s="95">
        <f t="shared" si="129"/>
        <v>-94.893606946971829</v>
      </c>
      <c r="K416" s="94">
        <f t="shared" si="130"/>
        <v>81.030368238262824</v>
      </c>
      <c r="L416" s="94">
        <f t="shared" si="131"/>
        <v>-2317.7977196071142</v>
      </c>
      <c r="M416" s="93">
        <f t="shared" si="132"/>
        <v>-88.627855040231992</v>
      </c>
      <c r="N416" s="93">
        <f t="shared" si="133"/>
        <v>22017.963419406991</v>
      </c>
      <c r="O416" s="93">
        <f t="shared" si="134"/>
        <v>37694.067530110937</v>
      </c>
      <c r="P416" s="93">
        <f t="shared" si="135"/>
        <v>13675.231097389596</v>
      </c>
      <c r="Q416" s="93">
        <f t="shared" si="136"/>
        <v>11510332769655.201</v>
      </c>
      <c r="R416" s="93">
        <f t="shared" si="137"/>
        <v>54251460951480.727</v>
      </c>
      <c r="S416" s="93">
        <f t="shared" si="138"/>
        <v>3087027491851.6802</v>
      </c>
      <c r="T416">
        <f t="shared" si="139"/>
        <v>0.5</v>
      </c>
    </row>
    <row r="417" spans="1:20" x14ac:dyDescent="0.25">
      <c r="A417">
        <v>187</v>
      </c>
      <c r="B417" s="95">
        <f t="shared" si="146"/>
        <v>6636.0782085171913</v>
      </c>
      <c r="C417" s="95">
        <f t="shared" si="147"/>
        <v>-12482.306274778844</v>
      </c>
      <c r="D417" s="95">
        <f t="shared" si="148"/>
        <v>-4058.3325544205027</v>
      </c>
      <c r="E417" s="95">
        <f t="shared" si="149"/>
        <v>3990.3253234714771</v>
      </c>
      <c r="F417" s="96">
        <f t="shared" si="125"/>
        <v>-2747.3512833265013</v>
      </c>
      <c r="G417" s="94">
        <f t="shared" si="126"/>
        <v>632.43743468572347</v>
      </c>
      <c r="H417" s="97">
        <f t="shared" si="127"/>
        <v>193.73136729813152</v>
      </c>
      <c r="I417" s="94">
        <f t="shared" si="128"/>
        <v>1150.7995002097011</v>
      </c>
      <c r="J417" s="95">
        <f t="shared" si="129"/>
        <v>-111.27512607557638</v>
      </c>
      <c r="K417" s="94">
        <f t="shared" si="130"/>
        <v>93.922290121365691</v>
      </c>
      <c r="L417" s="94">
        <f t="shared" si="131"/>
        <v>-2829.8075245490563</v>
      </c>
      <c r="M417" s="93">
        <f t="shared" si="132"/>
        <v>-612.28435564534334</v>
      </c>
      <c r="N417" s="93">
        <f t="shared" si="133"/>
        <v>20263.477832748227</v>
      </c>
      <c r="O417" s="93">
        <f t="shared" si="134"/>
        <v>34855.914243686173</v>
      </c>
      <c r="P417" s="93">
        <f t="shared" si="135"/>
        <v>11905.339044678511</v>
      </c>
      <c r="Q417" s="93">
        <f t="shared" si="136"/>
        <v>9091688949463.2813</v>
      </c>
      <c r="R417" s="93">
        <f t="shared" si="137"/>
        <v>42989750908446.469</v>
      </c>
      <c r="S417" s="93">
        <f t="shared" si="138"/>
        <v>2153021451067.2556</v>
      </c>
      <c r="T417">
        <f t="shared" si="139"/>
        <v>0.5</v>
      </c>
    </row>
    <row r="418" spans="1:20" x14ac:dyDescent="0.25">
      <c r="A418">
        <v>187.5</v>
      </c>
      <c r="B418" s="95">
        <f t="shared" si="146"/>
        <v>3920.0741104753151</v>
      </c>
      <c r="C418" s="95">
        <f t="shared" si="147"/>
        <v>-10329.034254371676</v>
      </c>
      <c r="D418" s="95">
        <f t="shared" si="148"/>
        <v>-5432.0081960837533</v>
      </c>
      <c r="E418" s="95">
        <f t="shared" si="149"/>
        <v>4306.5440408143386</v>
      </c>
      <c r="F418" s="96">
        <f t="shared" si="125"/>
        <v>-2993.4507714217971</v>
      </c>
      <c r="G418" s="94">
        <f t="shared" si="126"/>
        <v>-344.42286850255391</v>
      </c>
      <c r="H418" s="97">
        <f t="shared" si="127"/>
        <v>430.02720197667225</v>
      </c>
      <c r="I418" s="94">
        <f t="shared" si="128"/>
        <v>1261.0301266275935</v>
      </c>
      <c r="J418" s="95">
        <f t="shared" si="129"/>
        <v>-136.320794682262</v>
      </c>
      <c r="K418" s="94">
        <f t="shared" si="130"/>
        <v>115.85541465631373</v>
      </c>
      <c r="L418" s="94">
        <f t="shared" si="131"/>
        <v>-3287.1571787162075</v>
      </c>
      <c r="M418" s="93">
        <f t="shared" si="132"/>
        <v>-1721.3084097864612</v>
      </c>
      <c r="N418" s="93">
        <f t="shared" si="133"/>
        <v>18837.196215617416</v>
      </c>
      <c r="O418" s="93">
        <f t="shared" si="134"/>
        <v>31391.711950227378</v>
      </c>
      <c r="P418" s="93">
        <f t="shared" si="135"/>
        <v>10069.043804314546</v>
      </c>
      <c r="Q418" s="93">
        <f t="shared" si="136"/>
        <v>7402884600905.3525</v>
      </c>
      <c r="R418" s="93">
        <f t="shared" si="137"/>
        <v>31513247044668.445</v>
      </c>
      <c r="S418" s="93">
        <f t="shared" si="138"/>
        <v>1420844708227.4993</v>
      </c>
      <c r="T418">
        <f t="shared" si="139"/>
        <v>0.5</v>
      </c>
    </row>
    <row r="419" spans="1:20" x14ac:dyDescent="0.25">
      <c r="A419">
        <v>188</v>
      </c>
      <c r="B419" s="95">
        <f t="shared" si="146"/>
        <v>455.70731957798921</v>
      </c>
      <c r="C419" s="95">
        <f t="shared" si="147"/>
        <v>-8261.8679510901457</v>
      </c>
      <c r="D419" s="95">
        <f t="shared" si="148"/>
        <v>-6928.7335817946514</v>
      </c>
      <c r="E419" s="95">
        <f t="shared" si="149"/>
        <v>4134.3326065630617</v>
      </c>
      <c r="F419" s="96">
        <f t="shared" si="125"/>
        <v>-2305.329008770389</v>
      </c>
      <c r="G419" s="94">
        <f t="shared" si="126"/>
        <v>-2178.2092991042064</v>
      </c>
      <c r="H419" s="97">
        <f t="shared" si="127"/>
        <v>718.02976935253844</v>
      </c>
      <c r="I419" s="94">
        <f t="shared" si="128"/>
        <v>1185.7861853609888</v>
      </c>
      <c r="J419" s="95">
        <f t="shared" si="129"/>
        <v>-173.90506167418783</v>
      </c>
      <c r="K419" s="94">
        <f t="shared" si="130"/>
        <v>155.2540434170489</v>
      </c>
      <c r="L419" s="94">
        <f t="shared" si="131"/>
        <v>-2849.4537164487397</v>
      </c>
      <c r="M419" s="93">
        <f t="shared" si="132"/>
        <v>-3519.2495278822444</v>
      </c>
      <c r="N419" s="93">
        <f t="shared" si="133"/>
        <v>18426.33995337001</v>
      </c>
      <c r="O419" s="93">
        <f t="shared" si="134"/>
        <v>27421.37456451244</v>
      </c>
      <c r="P419" s="93">
        <f t="shared" si="135"/>
        <v>8669.899991663282</v>
      </c>
      <c r="Q419" s="93">
        <f t="shared" si="136"/>
        <v>6959850656229.7646</v>
      </c>
      <c r="R419" s="93">
        <f t="shared" si="137"/>
        <v>21124917462275.629</v>
      </c>
      <c r="S419" s="93">
        <f t="shared" si="138"/>
        <v>1002508535605.8638</v>
      </c>
      <c r="T419">
        <f t="shared" si="139"/>
        <v>0.5</v>
      </c>
    </row>
    <row r="420" spans="1:20" x14ac:dyDescent="0.25">
      <c r="A420">
        <v>188.5</v>
      </c>
      <c r="B420" s="95">
        <f t="shared" si="146"/>
        <v>-3584.9917235119337</v>
      </c>
      <c r="C420" s="95">
        <f t="shared" si="147"/>
        <v>-6739.2539725846673</v>
      </c>
      <c r="D420" s="95">
        <f t="shared" si="148"/>
        <v>-8081.3980861798464</v>
      </c>
      <c r="E420" s="95">
        <f t="shared" si="149"/>
        <v>3045.2279570109586</v>
      </c>
      <c r="F420" s="96">
        <f t="shared" si="125"/>
        <v>-168.81094582630078</v>
      </c>
      <c r="G420" s="94">
        <f t="shared" si="126"/>
        <v>-3537.1982926172491</v>
      </c>
      <c r="H420" s="97">
        <f t="shared" si="127"/>
        <v>849.62014102728233</v>
      </c>
      <c r="I420" s="94">
        <f t="shared" si="128"/>
        <v>890.53841287016724</v>
      </c>
      <c r="J420" s="95">
        <f t="shared" si="129"/>
        <v>-221.32953115889111</v>
      </c>
      <c r="K420" s="94">
        <f t="shared" si="130"/>
        <v>225.70145389499729</v>
      </c>
      <c r="L420" s="94">
        <f t="shared" si="131"/>
        <v>-797.10155569469202</v>
      </c>
      <c r="M420" s="93">
        <f t="shared" si="132"/>
        <v>-4653.4381593824137</v>
      </c>
      <c r="N420" s="93">
        <f t="shared" si="133"/>
        <v>19680.151265263587</v>
      </c>
      <c r="O420" s="93">
        <f t="shared" si="134"/>
        <v>23444.724785671151</v>
      </c>
      <c r="P420" s="93">
        <f t="shared" si="135"/>
        <v>8381.0603954385115</v>
      </c>
      <c r="Q420" s="93">
        <f t="shared" si="136"/>
        <v>8372076754611.0488</v>
      </c>
      <c r="R420" s="93">
        <f t="shared" si="137"/>
        <v>13319701257986.965</v>
      </c>
      <c r="S420" s="93">
        <f t="shared" si="138"/>
        <v>929488339017.10608</v>
      </c>
      <c r="T420">
        <f t="shared" si="139"/>
        <v>0.5</v>
      </c>
    </row>
    <row r="421" spans="1:20" x14ac:dyDescent="0.25">
      <c r="A421">
        <v>189</v>
      </c>
      <c r="B421" s="95">
        <f t="shared" si="146"/>
        <v>-7667.8935030584325</v>
      </c>
      <c r="C421" s="95">
        <f t="shared" si="147"/>
        <v>-6100.9395672335004</v>
      </c>
      <c r="D421" s="95">
        <f t="shared" si="148"/>
        <v>-8165.8035590929967</v>
      </c>
      <c r="E421" s="95">
        <f t="shared" si="149"/>
        <v>1276.628810702334</v>
      </c>
      <c r="F421" s="96">
        <f t="shared" si="125"/>
        <v>1710.7855602399031</v>
      </c>
      <c r="G421" s="94">
        <f t="shared" si="126"/>
        <v>-3039.0876798726954</v>
      </c>
      <c r="H421" s="97">
        <f t="shared" si="127"/>
        <v>775.35916626032974</v>
      </c>
      <c r="I421" s="94">
        <f t="shared" si="128"/>
        <v>596.88005032302124</v>
      </c>
      <c r="J421" s="95">
        <f t="shared" si="129"/>
        <v>-254.06247180297075</v>
      </c>
      <c r="K421" s="94">
        <f t="shared" si="130"/>
        <v>331.70687471893791</v>
      </c>
      <c r="L421" s="94">
        <f t="shared" si="131"/>
        <v>1189.4888657825443</v>
      </c>
      <c r="M421" s="93">
        <f t="shared" si="132"/>
        <v>-3967.6746049146545</v>
      </c>
      <c r="N421" s="93">
        <f t="shared" si="133"/>
        <v>22296.636920104167</v>
      </c>
      <c r="O421" s="93">
        <f t="shared" si="134"/>
        <v>20281.052872067903</v>
      </c>
      <c r="P421" s="93">
        <f t="shared" si="135"/>
        <v>9290.3677176789752</v>
      </c>
      <c r="Q421" s="93">
        <f t="shared" si="136"/>
        <v>11931099557668.109</v>
      </c>
      <c r="R421" s="93">
        <f t="shared" si="137"/>
        <v>8717450495807.2637</v>
      </c>
      <c r="S421" s="93">
        <f t="shared" si="138"/>
        <v>1174374819144.7351</v>
      </c>
      <c r="T421">
        <f t="shared" si="139"/>
        <v>0.5</v>
      </c>
    </row>
    <row r="422" spans="1:20" x14ac:dyDescent="0.25">
      <c r="A422">
        <v>189.5</v>
      </c>
      <c r="B422" s="95">
        <f t="shared" si="146"/>
        <v>-11323.098892544956</v>
      </c>
      <c r="C422" s="95">
        <f t="shared" si="147"/>
        <v>-6222.3970818505077</v>
      </c>
      <c r="D422" s="95">
        <f t="shared" si="148"/>
        <v>-7310.4107789730451</v>
      </c>
      <c r="E422" s="95">
        <f t="shared" si="149"/>
        <v>-242.91502923401367</v>
      </c>
      <c r="F422" s="96">
        <f t="shared" si="125"/>
        <v>2365.4288309411431</v>
      </c>
      <c r="G422" s="94">
        <f t="shared" si="126"/>
        <v>-1855.4895793032704</v>
      </c>
      <c r="H422" s="97">
        <f t="shared" si="127"/>
        <v>646.70317731218461</v>
      </c>
      <c r="I422" s="94">
        <f t="shared" si="128"/>
        <v>416.18330608947457</v>
      </c>
      <c r="J422" s="95">
        <f t="shared" si="129"/>
        <v>-237.27111023835343</v>
      </c>
      <c r="K422" s="94">
        <f t="shared" si="130"/>
        <v>443.60378419330016</v>
      </c>
      <c r="L422" s="94">
        <f t="shared" si="131"/>
        <v>1955.996763867312</v>
      </c>
      <c r="M422" s="93">
        <f t="shared" si="132"/>
        <v>-2715.276669586045</v>
      </c>
      <c r="N422" s="93">
        <f t="shared" si="133"/>
        <v>25357.025220897485</v>
      </c>
      <c r="O422" s="93">
        <f t="shared" si="134"/>
        <v>18397.140536229712</v>
      </c>
      <c r="P422" s="93">
        <f t="shared" si="135"/>
        <v>10817.943085153007</v>
      </c>
      <c r="Q422" s="93">
        <f t="shared" si="136"/>
        <v>17264100229877.785</v>
      </c>
      <c r="R422" s="93">
        <f t="shared" si="137"/>
        <v>6567688217126.21</v>
      </c>
      <c r="S422" s="93">
        <f t="shared" si="138"/>
        <v>1692623883271.46</v>
      </c>
      <c r="T422">
        <f t="shared" si="139"/>
        <v>0.5</v>
      </c>
    </row>
    <row r="423" spans="1:20" x14ac:dyDescent="0.25">
      <c r="A423">
        <v>190</v>
      </c>
      <c r="B423" s="95">
        <f t="shared" si="146"/>
        <v>-14386.947074296193</v>
      </c>
      <c r="C423" s="95">
        <f t="shared" si="147"/>
        <v>-6807.7269912933316</v>
      </c>
      <c r="D423" s="95">
        <f t="shared" si="148"/>
        <v>-6127.6963635024731</v>
      </c>
      <c r="E423" s="95">
        <f t="shared" si="149"/>
        <v>-1170.6598188856487</v>
      </c>
      <c r="F423" s="96">
        <f t="shared" si="125"/>
        <v>2399.7223112045604</v>
      </c>
      <c r="G423" s="94">
        <f t="shared" si="126"/>
        <v>-944.13814607983227</v>
      </c>
      <c r="H423" s="97">
        <f t="shared" si="127"/>
        <v>539.41376907566485</v>
      </c>
      <c r="I423" s="94">
        <f t="shared" si="128"/>
        <v>316.47196017469901</v>
      </c>
      <c r="J423" s="95">
        <f t="shared" si="129"/>
        <v>-171.06218666936107</v>
      </c>
      <c r="K423" s="94">
        <f t="shared" si="130"/>
        <v>512.22865170325622</v>
      </c>
      <c r="L423" s="94">
        <f t="shared" si="131"/>
        <v>2031.3707287982566</v>
      </c>
      <c r="M423" s="93">
        <f t="shared" si="132"/>
        <v>-1772.8387579577875</v>
      </c>
      <c r="N423" s="93">
        <f t="shared" si="133"/>
        <v>28274.268147237824</v>
      </c>
      <c r="O423" s="93">
        <f t="shared" si="134"/>
        <v>17720.215849718155</v>
      </c>
      <c r="P423" s="93">
        <f t="shared" si="135"/>
        <v>12459.057445281391</v>
      </c>
      <c r="Q423" s="93">
        <f t="shared" si="136"/>
        <v>23671949736401.461</v>
      </c>
      <c r="R423" s="93">
        <f t="shared" si="137"/>
        <v>5893019257476.4043</v>
      </c>
      <c r="S423" s="93">
        <f t="shared" si="138"/>
        <v>2419545543818.6772</v>
      </c>
      <c r="T423">
        <f t="shared" si="139"/>
        <v>0.5</v>
      </c>
    </row>
    <row r="424" spans="1:20" x14ac:dyDescent="0.25">
      <c r="A424">
        <v>190.5</v>
      </c>
      <c r="B424" s="95">
        <f t="shared" si="146"/>
        <v>-16850.864678246289</v>
      </c>
      <c r="C424" s="95">
        <f t="shared" si="147"/>
        <v>-7629.0914372561137</v>
      </c>
      <c r="D424" s="95">
        <f t="shared" si="148"/>
        <v>-4927.8352079001925</v>
      </c>
      <c r="E424" s="95">
        <f t="shared" si="149"/>
        <v>-1642.7288919255648</v>
      </c>
      <c r="F424" s="96">
        <f t="shared" si="125"/>
        <v>2273.3279525489106</v>
      </c>
      <c r="G424" s="94">
        <f t="shared" si="126"/>
        <v>-403.17037180702039</v>
      </c>
      <c r="H424" s="97">
        <f t="shared" si="127"/>
        <v>461.89645577214412</v>
      </c>
      <c r="I424" s="94">
        <f t="shared" si="128"/>
        <v>260.25507176991607</v>
      </c>
      <c r="J424" s="95">
        <f t="shared" si="129"/>
        <v>-93.091876268086381</v>
      </c>
      <c r="K424" s="94">
        <f t="shared" si="130"/>
        <v>521.13517874548074</v>
      </c>
      <c r="L424" s="94">
        <f t="shared" si="131"/>
        <v>1904.5233730448529</v>
      </c>
      <c r="M424" s="93">
        <f t="shared" si="132"/>
        <v>-1184.5606223224172</v>
      </c>
      <c r="N424" s="93">
        <f t="shared" si="133"/>
        <v>30819.771927876922</v>
      </c>
      <c r="O424" s="93">
        <f t="shared" si="134"/>
        <v>17908.152282629653</v>
      </c>
      <c r="P424" s="93">
        <f t="shared" si="135"/>
        <v>13956.120043279818</v>
      </c>
      <c r="Q424" s="93">
        <f t="shared" si="136"/>
        <v>30437730564056.941</v>
      </c>
      <c r="R424" s="93">
        <f t="shared" si="137"/>
        <v>6075363698899.9111</v>
      </c>
      <c r="S424" s="93">
        <f t="shared" si="138"/>
        <v>3258084580705.6157</v>
      </c>
      <c r="T424">
        <f t="shared" si="139"/>
        <v>0.5</v>
      </c>
    </row>
    <row r="425" spans="1:20" x14ac:dyDescent="0.25">
      <c r="A425">
        <v>191</v>
      </c>
      <c r="B425" s="95">
        <f t="shared" si="146"/>
        <v>-18746.450294059159</v>
      </c>
      <c r="C425" s="95">
        <f t="shared" si="147"/>
        <v>-8551.248476170651</v>
      </c>
      <c r="D425" s="95">
        <f t="shared" si="148"/>
        <v>-3791.1712316257372</v>
      </c>
      <c r="E425" s="95">
        <f t="shared" si="149"/>
        <v>-1844.3140778290749</v>
      </c>
      <c r="F425" s="96">
        <f t="shared" si="125"/>
        <v>2136.1763002387006</v>
      </c>
      <c r="G425" s="94">
        <f t="shared" si="126"/>
        <v>-107.03882917950637</v>
      </c>
      <c r="H425" s="97">
        <f t="shared" si="127"/>
        <v>407.55380334689613</v>
      </c>
      <c r="I425" s="94">
        <f t="shared" si="128"/>
        <v>227.56713604675429</v>
      </c>
      <c r="J425" s="95">
        <f t="shared" si="129"/>
        <v>-33.240226743940944</v>
      </c>
      <c r="K425" s="94">
        <f t="shared" si="130"/>
        <v>491.92122403178405</v>
      </c>
      <c r="L425" s="94">
        <f t="shared" si="131"/>
        <v>1761.8627236357452</v>
      </c>
      <c r="M425" s="93">
        <f t="shared" si="132"/>
        <v>-826.5271892580447</v>
      </c>
      <c r="N425" s="93">
        <f t="shared" si="133"/>
        <v>32924.17018168544</v>
      </c>
      <c r="O425" s="93">
        <f t="shared" si="134"/>
        <v>18593.552831287736</v>
      </c>
      <c r="P425" s="93">
        <f t="shared" si="135"/>
        <v>15183.915565595407</v>
      </c>
      <c r="Q425" s="93">
        <f t="shared" si="136"/>
        <v>36931580697224.68</v>
      </c>
      <c r="R425" s="93">
        <f t="shared" si="137"/>
        <v>6772832327822.2676</v>
      </c>
      <c r="S425" s="93">
        <f t="shared" si="138"/>
        <v>4085235725936.3403</v>
      </c>
      <c r="T425">
        <f t="shared" si="139"/>
        <v>0.5</v>
      </c>
    </row>
    <row r="426" spans="1:20" x14ac:dyDescent="0.25">
      <c r="A426">
        <v>191.5</v>
      </c>
      <c r="B426" s="95">
        <f t="shared" si="146"/>
        <v>-20107.991834812354</v>
      </c>
      <c r="C426" s="95">
        <f t="shared" si="147"/>
        <v>-9500.1652223800666</v>
      </c>
      <c r="D426" s="95">
        <f t="shared" si="148"/>
        <v>-2723.0830815063869</v>
      </c>
      <c r="E426" s="95">
        <f t="shared" si="149"/>
        <v>-1897.833492418828</v>
      </c>
      <c r="F426" s="96">
        <f t="shared" si="125"/>
        <v>2029.4228495814841</v>
      </c>
      <c r="G426" s="94">
        <f t="shared" si="126"/>
        <v>55.819850742613312</v>
      </c>
      <c r="H426" s="97">
        <f t="shared" si="127"/>
        <v>369.72213278451676</v>
      </c>
      <c r="I426" s="94">
        <f t="shared" si="128"/>
        <v>208.75976644978718</v>
      </c>
      <c r="J426" s="95">
        <f t="shared" si="129"/>
        <v>2.4939866279726695</v>
      </c>
      <c r="K426" s="94">
        <f t="shared" si="130"/>
        <v>450.34100395070033</v>
      </c>
      <c r="L426" s="94">
        <f t="shared" si="131"/>
        <v>1657.2067301689947</v>
      </c>
      <c r="M426" s="93">
        <f t="shared" si="132"/>
        <v>-603.28091965787416</v>
      </c>
      <c r="N426" s="93">
        <f t="shared" si="133"/>
        <v>34575.956818479346</v>
      </c>
      <c r="O426" s="93">
        <f t="shared" si="134"/>
        <v>19500.464249255892</v>
      </c>
      <c r="P426" s="93">
        <f t="shared" si="135"/>
        <v>16077.92274710494</v>
      </c>
      <c r="Q426" s="93">
        <f t="shared" si="136"/>
        <v>42638798877694.656</v>
      </c>
      <c r="R426" s="93">
        <f t="shared" si="137"/>
        <v>7776596074701.4746</v>
      </c>
      <c r="S426" s="93">
        <f t="shared" si="138"/>
        <v>4773409305216.9561</v>
      </c>
      <c r="T426">
        <f t="shared" si="139"/>
        <v>0.5</v>
      </c>
    </row>
    <row r="427" spans="1:20" x14ac:dyDescent="0.25">
      <c r="A427">
        <v>192</v>
      </c>
      <c r="B427" s="95">
        <f t="shared" si="146"/>
        <v>-20962.177663170176</v>
      </c>
      <c r="C427" s="95">
        <f t="shared" si="147"/>
        <v>-10435.127005903827</v>
      </c>
      <c r="D427" s="95">
        <f t="shared" si="148"/>
        <v>-1708.3716567156448</v>
      </c>
      <c r="E427" s="95">
        <f t="shared" si="149"/>
        <v>-1869.9235670475214</v>
      </c>
      <c r="F427" s="96">
        <f t="shared" si="125"/>
        <v>1966.493103233729</v>
      </c>
      <c r="G427" s="94">
        <f t="shared" si="126"/>
        <v>151.07012235712972</v>
      </c>
      <c r="H427" s="97">
        <f t="shared" si="127"/>
        <v>343.75737466555222</v>
      </c>
      <c r="I427" s="94">
        <f t="shared" si="128"/>
        <v>199.12463008622521</v>
      </c>
      <c r="J427" s="95">
        <f t="shared" si="129"/>
        <v>19.327671373233315</v>
      </c>
      <c r="K427" s="94">
        <f t="shared" si="130"/>
        <v>410.48907531180043</v>
      </c>
      <c r="L427" s="94">
        <f t="shared" si="131"/>
        <v>1603.4080571949435</v>
      </c>
      <c r="M427" s="93">
        <f t="shared" si="132"/>
        <v>-458.54358304089595</v>
      </c>
      <c r="N427" s="93">
        <f t="shared" si="133"/>
        <v>35781.632527927162</v>
      </c>
      <c r="O427" s="93">
        <f t="shared" si="134"/>
        <v>20457.766290651667</v>
      </c>
      <c r="P427" s="93">
        <f t="shared" si="135"/>
        <v>16602.083640400004</v>
      </c>
      <c r="Q427" s="93">
        <f t="shared" si="136"/>
        <v>47160466971990.391</v>
      </c>
      <c r="R427" s="93">
        <f t="shared" si="137"/>
        <v>8940637366966.0723</v>
      </c>
      <c r="S427" s="93">
        <f t="shared" si="138"/>
        <v>5212507597685.2695</v>
      </c>
      <c r="T427">
        <f t="shared" si="139"/>
        <v>0.5</v>
      </c>
    </row>
    <row r="428" spans="1:20" x14ac:dyDescent="0.25">
      <c r="A428">
        <v>192.5</v>
      </c>
      <c r="B428" s="95">
        <f t="shared" si="146"/>
        <v>-21324.740215719565</v>
      </c>
      <c r="C428" s="95">
        <f t="shared" si="147"/>
        <v>-11332.321258838305</v>
      </c>
      <c r="D428" s="95">
        <f t="shared" si="148"/>
        <v>-725.1251050987803</v>
      </c>
      <c r="E428" s="95">
        <f t="shared" si="149"/>
        <v>-1794.3885058689566</v>
      </c>
      <c r="F428" s="96">
        <f t="shared" ref="F428:F491" si="150">SUM(H428,J428,L428)</f>
        <v>1955.2257553216925</v>
      </c>
      <c r="G428" s="94">
        <f t="shared" ref="G428:G491" si="151">SUM(I428,K428,M428)</f>
        <v>212.90338528898843</v>
      </c>
      <c r="H428" s="97">
        <f t="shared" ref="H428:H491" si="152">$D$22*(($D$18-$B428)/$Q428)</f>
        <v>326.6997861174209</v>
      </c>
      <c r="I428" s="94">
        <f t="shared" ref="I428:I491" si="153">$D$22*(($E$18-$C428)/$Q428)</f>
        <v>196.4107374869638</v>
      </c>
      <c r="J428" s="95">
        <f t="shared" ref="J428:J491" si="154">$D$30*(($D$26-$B428)/$R428)</f>
        <v>23.418711391149376</v>
      </c>
      <c r="K428" s="94">
        <f t="shared" ref="K428:K491" si="155">$D$30*(($E$26-$C428)/$R428)</f>
        <v>377.11203218259516</v>
      </c>
      <c r="L428" s="94">
        <f t="shared" ref="L428:L491" si="156">$D$38*(($D$34-$B428)/$S428)</f>
        <v>1605.1072578131223</v>
      </c>
      <c r="M428" s="93">
        <f t="shared" ref="M428:M491" si="157">$D$38*(($E$34-$C428)/$S428)</f>
        <v>-360.61938438057058</v>
      </c>
      <c r="N428" s="93">
        <f t="shared" ref="N428:N491" si="158">SQRT(($D$18-$B428)^2+($E$18-$C428)^2)</f>
        <v>36549.906615180451</v>
      </c>
      <c r="O428" s="93">
        <f t="shared" ref="O428:O491" si="159">SQRT(($D$26-$B428)^2+($E$26-$C428)^2)</f>
        <v>21373.414957124405</v>
      </c>
      <c r="P428" s="93">
        <f t="shared" ref="P428:P491" si="160">SQRT(($D$34-$B428)^2+($E$34-$C428)^2)</f>
        <v>16731.676857359547</v>
      </c>
      <c r="Q428" s="93">
        <f t="shared" ref="Q428:Q491" si="161">($N428^2+$D$39^2)^(3/2)</f>
        <v>50203876218610.594</v>
      </c>
      <c r="R428" s="93">
        <f t="shared" ref="R428:R491" si="162">($O428^2+$D$31^2)^(3/2)</f>
        <v>10159222417044.09</v>
      </c>
      <c r="S428" s="93">
        <f t="shared" ref="S428:S491" si="163">($P428^2+$D$23^2)^(3/2)</f>
        <v>5325260319710.2021</v>
      </c>
      <c r="T428">
        <f t="shared" ref="T428:T491" si="164">A429-A428</f>
        <v>0.5</v>
      </c>
    </row>
    <row r="429" spans="1:20" x14ac:dyDescent="0.25">
      <c r="A429">
        <v>193</v>
      </c>
      <c r="B429" s="95">
        <f t="shared" ref="B429:B492" si="165">B428+(D428*$T428)+(F428*($T428)^2)</f>
        <v>-21198.496329438531</v>
      </c>
      <c r="C429" s="95">
        <f t="shared" ref="C429:C492" si="166">C428+(E428*$T428)+(G428*($T428)^2)</f>
        <v>-12176.289665450535</v>
      </c>
      <c r="D429" s="95">
        <f t="shared" ref="D429:D492" si="167">D428+(F428*$T428)</f>
        <v>252.48777256206597</v>
      </c>
      <c r="E429" s="95">
        <f t="shared" ref="E429:E492" si="168">E428+(G428*$T428)</f>
        <v>-1687.9368132244624</v>
      </c>
      <c r="F429" s="96">
        <f t="shared" si="150"/>
        <v>2006.5363098466257</v>
      </c>
      <c r="G429" s="94">
        <f t="shared" si="151"/>
        <v>258.96581412945039</v>
      </c>
      <c r="H429" s="97">
        <f t="shared" si="152"/>
        <v>316.75340483107129</v>
      </c>
      <c r="I429" s="94">
        <f t="shared" si="153"/>
        <v>199.77026072544834</v>
      </c>
      <c r="J429" s="95">
        <f t="shared" si="154"/>
        <v>18.940042039426586</v>
      </c>
      <c r="K429" s="94">
        <f t="shared" si="155"/>
        <v>350.45569037237232</v>
      </c>
      <c r="L429" s="94">
        <f t="shared" si="156"/>
        <v>1670.8428629761279</v>
      </c>
      <c r="M429" s="93">
        <f t="shared" si="157"/>
        <v>-291.2601369683702</v>
      </c>
      <c r="N429" s="93">
        <f t="shared" si="158"/>
        <v>36884.990825764144</v>
      </c>
      <c r="O429" s="93">
        <f t="shared" si="159"/>
        <v>22208.651845117609</v>
      </c>
      <c r="P429" s="93">
        <f t="shared" si="160"/>
        <v>16442.768118181168</v>
      </c>
      <c r="Q429" s="93">
        <f t="shared" si="161"/>
        <v>51571646048489.883</v>
      </c>
      <c r="R429" s="93">
        <f t="shared" si="162"/>
        <v>11364452349468.998</v>
      </c>
      <c r="S429" s="93">
        <f t="shared" si="163"/>
        <v>5076188211691.0547</v>
      </c>
      <c r="T429">
        <f t="shared" si="164"/>
        <v>0.5</v>
      </c>
    </row>
    <row r="430" spans="1:20" x14ac:dyDescent="0.25">
      <c r="A430">
        <v>193.5</v>
      </c>
      <c r="B430" s="95">
        <f t="shared" si="165"/>
        <v>-20570.618365695842</v>
      </c>
      <c r="C430" s="95">
        <f t="shared" si="166"/>
        <v>-12955.516618530404</v>
      </c>
      <c r="D430" s="95">
        <f t="shared" si="167"/>
        <v>1255.7559274853788</v>
      </c>
      <c r="E430" s="95">
        <f t="shared" si="168"/>
        <v>-1558.4539061597372</v>
      </c>
      <c r="F430" s="96">
        <f t="shared" si="150"/>
        <v>2142.2741702485464</v>
      </c>
      <c r="G430" s="94">
        <f t="shared" si="151"/>
        <v>299.22329571253402</v>
      </c>
      <c r="H430" s="97">
        <f t="shared" si="152"/>
        <v>312.92001100078295</v>
      </c>
      <c r="I430" s="94">
        <f t="shared" si="153"/>
        <v>209.38210698675002</v>
      </c>
      <c r="J430" s="95">
        <f t="shared" si="154"/>
        <v>8.1773664931971606</v>
      </c>
      <c r="K430" s="94">
        <f t="shared" si="155"/>
        <v>328.96885854960311</v>
      </c>
      <c r="L430" s="94">
        <f t="shared" si="156"/>
        <v>1821.1767927545661</v>
      </c>
      <c r="M430" s="93">
        <f t="shared" si="157"/>
        <v>-239.12766982381908</v>
      </c>
      <c r="N430" s="93">
        <f t="shared" si="158"/>
        <v>36783.024174094135</v>
      </c>
      <c r="O430" s="93">
        <f t="shared" si="159"/>
        <v>22962.607616359579</v>
      </c>
      <c r="P430" s="93">
        <f t="shared" si="160"/>
        <v>15704.269119804652</v>
      </c>
      <c r="Q430" s="93">
        <f t="shared" si="161"/>
        <v>51152811526397.273</v>
      </c>
      <c r="R430" s="93">
        <f t="shared" si="162"/>
        <v>12532133872959.49</v>
      </c>
      <c r="S430" s="93">
        <f t="shared" si="163"/>
        <v>4476642105270.582</v>
      </c>
      <c r="T430">
        <f t="shared" si="164"/>
        <v>0.5</v>
      </c>
    </row>
    <row r="431" spans="1:20" x14ac:dyDescent="0.25">
      <c r="A431">
        <v>194</v>
      </c>
      <c r="B431" s="95">
        <f t="shared" si="165"/>
        <v>-19407.171859391015</v>
      </c>
      <c r="C431" s="95">
        <f t="shared" si="166"/>
        <v>-13659.937747682141</v>
      </c>
      <c r="D431" s="95">
        <f t="shared" si="167"/>
        <v>2326.893012609652</v>
      </c>
      <c r="E431" s="95">
        <f t="shared" si="168"/>
        <v>-1408.8422583034703</v>
      </c>
      <c r="F431" s="96">
        <f t="shared" si="150"/>
        <v>2409.5457850120447</v>
      </c>
      <c r="G431" s="94">
        <f t="shared" si="151"/>
        <v>341.21760137295712</v>
      </c>
      <c r="H431" s="97">
        <f t="shared" si="152"/>
        <v>314.7742188233974</v>
      </c>
      <c r="I431" s="94">
        <f t="shared" si="153"/>
        <v>226.49586661123749</v>
      </c>
      <c r="J431" s="95">
        <f t="shared" si="154"/>
        <v>-7.7746139070515206</v>
      </c>
      <c r="K431" s="94">
        <f t="shared" si="155"/>
        <v>310.28702663160146</v>
      </c>
      <c r="L431" s="94">
        <f t="shared" si="156"/>
        <v>2102.5461800956987</v>
      </c>
      <c r="M431" s="93">
        <f t="shared" si="157"/>
        <v>-195.56529186988189</v>
      </c>
      <c r="N431" s="93">
        <f t="shared" si="158"/>
        <v>36228.783063381285</v>
      </c>
      <c r="O431" s="93">
        <f t="shared" si="159"/>
        <v>23667.363592687972</v>
      </c>
      <c r="P431" s="93">
        <f t="shared" si="160"/>
        <v>14469.35962045714</v>
      </c>
      <c r="Q431" s="93">
        <f t="shared" si="161"/>
        <v>48916201704640.281</v>
      </c>
      <c r="R431" s="93">
        <f t="shared" si="162"/>
        <v>13694390956259.619</v>
      </c>
      <c r="S431" s="93">
        <f t="shared" si="163"/>
        <v>3587829659497.9194</v>
      </c>
      <c r="T431">
        <f t="shared" si="164"/>
        <v>0.5</v>
      </c>
    </row>
    <row r="432" spans="1:20" x14ac:dyDescent="0.25">
      <c r="A432">
        <v>194.5</v>
      </c>
      <c r="B432" s="95">
        <f t="shared" si="165"/>
        <v>-17641.338906833178</v>
      </c>
      <c r="C432" s="95">
        <f t="shared" si="166"/>
        <v>-14279.054476490637</v>
      </c>
      <c r="D432" s="95">
        <f t="shared" si="167"/>
        <v>3531.6659051156744</v>
      </c>
      <c r="E432" s="95">
        <f t="shared" si="168"/>
        <v>-1238.2334576169917</v>
      </c>
      <c r="F432" s="96">
        <f t="shared" si="150"/>
        <v>2917.5915351032631</v>
      </c>
      <c r="G432" s="94">
        <f t="shared" si="151"/>
        <v>395.68355406721957</v>
      </c>
      <c r="H432" s="97">
        <f t="shared" si="152"/>
        <v>322.30083453449669</v>
      </c>
      <c r="I432" s="94">
        <f t="shared" si="153"/>
        <v>253.94599938897827</v>
      </c>
      <c r="J432" s="95">
        <f t="shared" si="154"/>
        <v>-28.305356567145587</v>
      </c>
      <c r="K432" s="94">
        <f t="shared" si="155"/>
        <v>291.36330609817452</v>
      </c>
      <c r="L432" s="94">
        <f t="shared" si="156"/>
        <v>2623.5960571359119</v>
      </c>
      <c r="M432" s="93">
        <f t="shared" si="157"/>
        <v>-149.62575141993315</v>
      </c>
      <c r="N432" s="93">
        <f t="shared" si="158"/>
        <v>35190.493467019704</v>
      </c>
      <c r="O432" s="93">
        <f t="shared" si="159"/>
        <v>24393.355005509573</v>
      </c>
      <c r="P432" s="93">
        <f t="shared" si="160"/>
        <v>12661.880263423851</v>
      </c>
      <c r="Q432" s="93">
        <f t="shared" si="161"/>
        <v>44905162062080.828</v>
      </c>
      <c r="R432" s="93">
        <f t="shared" si="162"/>
        <v>14965445700138.93</v>
      </c>
      <c r="S432" s="93">
        <f t="shared" si="163"/>
        <v>2522869157215.7295</v>
      </c>
      <c r="T432">
        <f t="shared" si="164"/>
        <v>0.5</v>
      </c>
    </row>
    <row r="433" spans="1:20" x14ac:dyDescent="0.25">
      <c r="A433">
        <v>195</v>
      </c>
      <c r="B433" s="95">
        <f t="shared" si="165"/>
        <v>-15146.108070499526</v>
      </c>
      <c r="C433" s="95">
        <f t="shared" si="166"/>
        <v>-14799.250316782329</v>
      </c>
      <c r="D433" s="95">
        <f t="shared" si="167"/>
        <v>4990.4616726673057</v>
      </c>
      <c r="E433" s="95">
        <f t="shared" si="168"/>
        <v>-1040.3916805833819</v>
      </c>
      <c r="F433" s="96">
        <f t="shared" si="150"/>
        <v>3952.2533990623574</v>
      </c>
      <c r="G433" s="94">
        <f t="shared" si="151"/>
        <v>493.26940179864033</v>
      </c>
      <c r="H433" s="97">
        <f t="shared" si="152"/>
        <v>335.60736563225373</v>
      </c>
      <c r="I433" s="94">
        <f t="shared" si="153"/>
        <v>297.6123634483709</v>
      </c>
      <c r="J433" s="95">
        <f t="shared" si="154"/>
        <v>-52.504730387313401</v>
      </c>
      <c r="K433" s="94">
        <f t="shared" si="155"/>
        <v>268.25441740400527</v>
      </c>
      <c r="L433" s="94">
        <f t="shared" si="156"/>
        <v>3669.1507638174171</v>
      </c>
      <c r="M433" s="93">
        <f t="shared" si="157"/>
        <v>-72.597379053735878</v>
      </c>
      <c r="N433" s="93">
        <f t="shared" si="158"/>
        <v>33609.274252559488</v>
      </c>
      <c r="O433" s="93">
        <f t="shared" si="159"/>
        <v>25269.805759793609</v>
      </c>
      <c r="P433" s="93">
        <f t="shared" si="160"/>
        <v>10148.093880801833</v>
      </c>
      <c r="Q433" s="93">
        <f t="shared" si="161"/>
        <v>39231771245460.063</v>
      </c>
      <c r="R433" s="93">
        <f t="shared" si="162"/>
        <v>16602917592029.836</v>
      </c>
      <c r="S433" s="93">
        <f t="shared" si="163"/>
        <v>1447879933195.8789</v>
      </c>
      <c r="T433">
        <f t="shared" si="164"/>
        <v>0.5</v>
      </c>
    </row>
    <row r="434" spans="1:20" x14ac:dyDescent="0.25">
      <c r="A434">
        <v>195.5</v>
      </c>
      <c r="B434" s="95">
        <f t="shared" si="165"/>
        <v>-11662.813884400284</v>
      </c>
      <c r="C434" s="95">
        <f t="shared" si="166"/>
        <v>-15196.12880662436</v>
      </c>
      <c r="D434" s="95">
        <f t="shared" si="167"/>
        <v>6966.5883721984846</v>
      </c>
      <c r="E434" s="95">
        <f t="shared" si="168"/>
        <v>-793.75697968406178</v>
      </c>
      <c r="F434" s="96">
        <f t="shared" si="150"/>
        <v>6305.6878141281641</v>
      </c>
      <c r="G434" s="94">
        <f t="shared" si="151"/>
        <v>783.95370961334697</v>
      </c>
      <c r="H434" s="97">
        <f t="shared" si="152"/>
        <v>353.69087288122284</v>
      </c>
      <c r="I434" s="94">
        <f t="shared" si="153"/>
        <v>370.56190629142122</v>
      </c>
      <c r="J434" s="95">
        <f t="shared" si="154"/>
        <v>-78.053751155513069</v>
      </c>
      <c r="K434" s="94">
        <f t="shared" si="155"/>
        <v>235.88922457598821</v>
      </c>
      <c r="L434" s="94">
        <f t="shared" si="156"/>
        <v>6030.0506924024539</v>
      </c>
      <c r="M434" s="93">
        <f t="shared" si="157"/>
        <v>177.50257874593746</v>
      </c>
      <c r="N434" s="93">
        <f t="shared" si="158"/>
        <v>31375.018218274385</v>
      </c>
      <c r="O434" s="93">
        <f t="shared" si="159"/>
        <v>26539.660494553325</v>
      </c>
      <c r="P434" s="93">
        <f t="shared" si="160"/>
        <v>6665.699915758667</v>
      </c>
      <c r="Q434" s="93">
        <f t="shared" si="161"/>
        <v>32069311637834.988</v>
      </c>
      <c r="R434" s="93">
        <f t="shared" si="162"/>
        <v>19183085366960</v>
      </c>
      <c r="S434" s="93">
        <f t="shared" si="163"/>
        <v>578542597710.96753</v>
      </c>
      <c r="T434">
        <f t="shared" si="164"/>
        <v>0.5</v>
      </c>
    </row>
    <row r="435" spans="1:20" x14ac:dyDescent="0.25">
      <c r="A435">
        <v>196</v>
      </c>
      <c r="B435" s="95">
        <f t="shared" si="165"/>
        <v>-6603.0977447690011</v>
      </c>
      <c r="C435" s="95">
        <f t="shared" si="166"/>
        <v>-15397.018869063053</v>
      </c>
      <c r="D435" s="95">
        <f t="shared" si="167"/>
        <v>10119.432279262566</v>
      </c>
      <c r="E435" s="95">
        <f t="shared" si="168"/>
        <v>-401.78012487738829</v>
      </c>
      <c r="F435" s="96">
        <f t="shared" si="150"/>
        <v>6016.4902676524889</v>
      </c>
      <c r="G435" s="94">
        <f t="shared" si="151"/>
        <v>2118.2235989707278</v>
      </c>
      <c r="H435" s="97">
        <f t="shared" si="152"/>
        <v>366.90793425680016</v>
      </c>
      <c r="I435" s="94">
        <f t="shared" si="153"/>
        <v>505.99581012126259</v>
      </c>
      <c r="J435" s="95">
        <f t="shared" si="154"/>
        <v>-99.406502448013299</v>
      </c>
      <c r="K435" s="94">
        <f t="shared" si="155"/>
        <v>188.44870032503084</v>
      </c>
      <c r="L435" s="94">
        <f t="shared" si="156"/>
        <v>5748.988835843702</v>
      </c>
      <c r="M435" s="93">
        <f t="shared" si="157"/>
        <v>1423.7790885244342</v>
      </c>
      <c r="N435" s="93">
        <f t="shared" si="158"/>
        <v>28283.145649177408</v>
      </c>
      <c r="O435" s="93">
        <f t="shared" si="159"/>
        <v>28713.85654125475</v>
      </c>
      <c r="P435" s="93">
        <f t="shared" si="160"/>
        <v>1651.5284925412468</v>
      </c>
      <c r="Q435" s="93">
        <f t="shared" si="161"/>
        <v>23693577703379.43</v>
      </c>
      <c r="R435" s="93">
        <f t="shared" si="162"/>
        <v>24203732106075.184</v>
      </c>
      <c r="S435" s="93">
        <f t="shared" si="163"/>
        <v>146004808896.49503</v>
      </c>
      <c r="T435">
        <f t="shared" si="164"/>
        <v>0.5</v>
      </c>
    </row>
    <row r="436" spans="1:20" x14ac:dyDescent="0.25">
      <c r="A436">
        <v>196.5</v>
      </c>
      <c r="B436" s="95">
        <f t="shared" si="165"/>
        <v>-39.25903822459577</v>
      </c>
      <c r="C436" s="95">
        <f t="shared" si="166"/>
        <v>-15068.353031759065</v>
      </c>
      <c r="D436" s="95">
        <f t="shared" si="167"/>
        <v>13127.677413088812</v>
      </c>
      <c r="E436" s="95">
        <f t="shared" si="168"/>
        <v>657.33167460797563</v>
      </c>
      <c r="F436" s="96">
        <f t="shared" si="150"/>
        <v>-7211.2630194040385</v>
      </c>
      <c r="G436" s="94">
        <f t="shared" si="151"/>
        <v>975.09662569938735</v>
      </c>
      <c r="H436" s="97">
        <f t="shared" si="152"/>
        <v>328.41228042636504</v>
      </c>
      <c r="I436" s="94">
        <f t="shared" si="153"/>
        <v>738.27403560432469</v>
      </c>
      <c r="J436" s="95">
        <f t="shared" si="154"/>
        <v>-107.02400216041197</v>
      </c>
      <c r="K436" s="94">
        <f t="shared" si="155"/>
        <v>134.40961305828802</v>
      </c>
      <c r="L436" s="94">
        <f t="shared" si="156"/>
        <v>-7432.6512976699914</v>
      </c>
      <c r="M436" s="93">
        <f t="shared" si="157"/>
        <v>102.41297703677456</v>
      </c>
      <c r="N436" s="93">
        <f t="shared" si="158"/>
        <v>24700.552232747403</v>
      </c>
      <c r="O436" s="93">
        <f t="shared" si="159"/>
        <v>32044.554973786144</v>
      </c>
      <c r="P436" s="93">
        <f t="shared" si="160"/>
        <v>4961.2118506255119</v>
      </c>
      <c r="Q436" s="93">
        <f t="shared" si="161"/>
        <v>16005929295652.965</v>
      </c>
      <c r="R436" s="93">
        <f t="shared" si="162"/>
        <v>33495634863296.379</v>
      </c>
      <c r="S436" s="93">
        <f t="shared" si="163"/>
        <v>349463171299.34253</v>
      </c>
      <c r="T436">
        <f t="shared" si="164"/>
        <v>0.5</v>
      </c>
    </row>
    <row r="437" spans="1:20" x14ac:dyDescent="0.25">
      <c r="A437">
        <v>197</v>
      </c>
      <c r="B437" s="95">
        <f t="shared" si="165"/>
        <v>4721.7639134687997</v>
      </c>
      <c r="C437" s="95">
        <f t="shared" si="166"/>
        <v>-14495.91303803023</v>
      </c>
      <c r="D437" s="95">
        <f t="shared" si="167"/>
        <v>9522.0459033867919</v>
      </c>
      <c r="E437" s="95">
        <f t="shared" si="168"/>
        <v>1144.8799874576694</v>
      </c>
      <c r="F437" s="96">
        <f t="shared" si="150"/>
        <v>-3765.1026845638462</v>
      </c>
      <c r="G437" s="94">
        <f t="shared" si="151"/>
        <v>827.76305917255445</v>
      </c>
      <c r="H437" s="97">
        <f t="shared" si="152"/>
        <v>222.28715006935897</v>
      </c>
      <c r="I437" s="94">
        <f t="shared" si="153"/>
        <v>926.33386272239704</v>
      </c>
      <c r="J437" s="95">
        <f t="shared" si="154"/>
        <v>-103.74918099950477</v>
      </c>
      <c r="K437" s="94">
        <f t="shared" si="155"/>
        <v>102.80135852871389</v>
      </c>
      <c r="L437" s="94">
        <f t="shared" si="156"/>
        <v>-3883.6406536337004</v>
      </c>
      <c r="M437" s="93">
        <f t="shared" si="157"/>
        <v>-201.37216207855664</v>
      </c>
      <c r="N437" s="93">
        <f t="shared" si="158"/>
        <v>22620.344085838937</v>
      </c>
      <c r="O437" s="93">
        <f t="shared" si="159"/>
        <v>34802.519543274844</v>
      </c>
      <c r="P437" s="93">
        <f t="shared" si="160"/>
        <v>9734.8239457348227</v>
      </c>
      <c r="Q437" s="93">
        <f t="shared" si="161"/>
        <v>12432918193265.596</v>
      </c>
      <c r="R437" s="93">
        <f t="shared" si="162"/>
        <v>42794456982884.539</v>
      </c>
      <c r="S437" s="93">
        <f t="shared" si="163"/>
        <v>1310704088182.1245</v>
      </c>
      <c r="T437">
        <f t="shared" si="164"/>
        <v>0.5</v>
      </c>
    </row>
    <row r="438" spans="1:20" x14ac:dyDescent="0.25">
      <c r="A438">
        <v>197.5</v>
      </c>
      <c r="B438" s="95">
        <f t="shared" si="165"/>
        <v>8541.5111940212337</v>
      </c>
      <c r="C438" s="95">
        <f t="shared" si="166"/>
        <v>-13716.532279508257</v>
      </c>
      <c r="D438" s="95">
        <f t="shared" si="167"/>
        <v>7639.4945611048688</v>
      </c>
      <c r="E438" s="95">
        <f t="shared" si="168"/>
        <v>1558.7615170439467</v>
      </c>
      <c r="F438" s="96">
        <f t="shared" si="150"/>
        <v>-2355.3081596179895</v>
      </c>
      <c r="G438" s="94">
        <f t="shared" si="151"/>
        <v>926.89184789385899</v>
      </c>
      <c r="H438" s="97">
        <f t="shared" si="152"/>
        <v>73.241572240122238</v>
      </c>
      <c r="I438" s="94">
        <f t="shared" si="153"/>
        <v>1065.4399096273301</v>
      </c>
      <c r="J438" s="95">
        <f t="shared" si="154"/>
        <v>-98.981964668527326</v>
      </c>
      <c r="K438" s="94">
        <f t="shared" si="155"/>
        <v>82.248937142544207</v>
      </c>
      <c r="L438" s="94">
        <f t="shared" si="156"/>
        <v>-2329.5677671895846</v>
      </c>
      <c r="M438" s="93">
        <f t="shared" si="157"/>
        <v>-220.79699887601529</v>
      </c>
      <c r="N438" s="93">
        <f t="shared" si="158"/>
        <v>21266.603667830488</v>
      </c>
      <c r="O438" s="93">
        <f t="shared" si="159"/>
        <v>37109.187064706719</v>
      </c>
      <c r="P438" s="93">
        <f t="shared" si="160"/>
        <v>13602.198896036871</v>
      </c>
      <c r="Q438" s="93">
        <f t="shared" si="161"/>
        <v>10426632439438.09</v>
      </c>
      <c r="R438" s="93">
        <f t="shared" si="162"/>
        <v>51786151398200.898</v>
      </c>
      <c r="S438" s="93">
        <f t="shared" si="163"/>
        <v>3043619842617.4185</v>
      </c>
      <c r="T438">
        <f t="shared" si="164"/>
        <v>0.5</v>
      </c>
    </row>
    <row r="439" spans="1:20" x14ac:dyDescent="0.25">
      <c r="A439">
        <v>198</v>
      </c>
      <c r="B439" s="95">
        <f t="shared" si="165"/>
        <v>11772.43143466917</v>
      </c>
      <c r="C439" s="95">
        <f t="shared" si="166"/>
        <v>-12705.42855901282</v>
      </c>
      <c r="D439" s="95">
        <f t="shared" si="167"/>
        <v>6461.8404812958743</v>
      </c>
      <c r="E439" s="95">
        <f t="shared" si="168"/>
        <v>2022.2074409908762</v>
      </c>
      <c r="F439" s="96">
        <f t="shared" si="150"/>
        <v>-1793.2350585868689</v>
      </c>
      <c r="G439" s="94">
        <f t="shared" si="151"/>
        <v>1009.6886374727744</v>
      </c>
      <c r="H439" s="97">
        <f t="shared" si="152"/>
        <v>-101.79810059163682</v>
      </c>
      <c r="I439" s="94">
        <f t="shared" si="153"/>
        <v>1160.4817025440766</v>
      </c>
      <c r="J439" s="95">
        <f t="shared" si="154"/>
        <v>-94.670859302878895</v>
      </c>
      <c r="K439" s="94">
        <f t="shared" si="155"/>
        <v>67.654325950526768</v>
      </c>
      <c r="L439" s="94">
        <f t="shared" si="156"/>
        <v>-1596.7660986923534</v>
      </c>
      <c r="M439" s="93">
        <f t="shared" si="157"/>
        <v>-218.44739102182891</v>
      </c>
      <c r="N439" s="93">
        <f t="shared" si="158"/>
        <v>20283.018918395119</v>
      </c>
      <c r="O439" s="93">
        <f t="shared" si="159"/>
        <v>39051.554198510312</v>
      </c>
      <c r="P439" s="93">
        <f t="shared" si="160"/>
        <v>16928.659554981678</v>
      </c>
      <c r="Q439" s="93">
        <f t="shared" si="161"/>
        <v>9116505353548.3789</v>
      </c>
      <c r="R439" s="93">
        <f t="shared" si="162"/>
        <v>60273564300355.422</v>
      </c>
      <c r="S439" s="93">
        <f t="shared" si="163"/>
        <v>5499881648408.6787</v>
      </c>
      <c r="T439">
        <f t="shared" si="164"/>
        <v>0.5</v>
      </c>
    </row>
    <row r="440" spans="1:20" x14ac:dyDescent="0.25">
      <c r="A440">
        <v>198.5</v>
      </c>
      <c r="B440" s="95">
        <f t="shared" si="165"/>
        <v>14555.042910670389</v>
      </c>
      <c r="C440" s="95">
        <f t="shared" si="166"/>
        <v>-11441.902679149189</v>
      </c>
      <c r="D440" s="95">
        <f t="shared" si="167"/>
        <v>5565.2229520024393</v>
      </c>
      <c r="E440" s="95">
        <f t="shared" si="168"/>
        <v>2527.0517597272633</v>
      </c>
      <c r="F440" s="96">
        <f t="shared" si="150"/>
        <v>-1573.6738527651355</v>
      </c>
      <c r="G440" s="94">
        <f t="shared" si="151"/>
        <v>1059.1454631478869</v>
      </c>
      <c r="H440" s="97">
        <f t="shared" si="152"/>
        <v>-293.11787170262215</v>
      </c>
      <c r="I440" s="94">
        <f t="shared" si="153"/>
        <v>1218.9150153347864</v>
      </c>
      <c r="J440" s="95">
        <f t="shared" si="154"/>
        <v>-91.257741360807898</v>
      </c>
      <c r="K440" s="94">
        <f t="shared" si="155"/>
        <v>56.626745162373432</v>
      </c>
      <c r="L440" s="94">
        <f t="shared" si="156"/>
        <v>-1189.2982397017054</v>
      </c>
      <c r="M440" s="93">
        <f t="shared" si="157"/>
        <v>-216.39629734927306</v>
      </c>
      <c r="N440" s="93">
        <f t="shared" si="158"/>
        <v>19481.891412909779</v>
      </c>
      <c r="O440" s="93">
        <f t="shared" si="159"/>
        <v>40667.015885854926</v>
      </c>
      <c r="P440" s="93">
        <f t="shared" si="160"/>
        <v>19876.110277989654</v>
      </c>
      <c r="Q440" s="93">
        <f t="shared" si="161"/>
        <v>8136709225442.2607</v>
      </c>
      <c r="R440" s="93">
        <f t="shared" si="162"/>
        <v>68004000711819.031</v>
      </c>
      <c r="S440" s="93">
        <f t="shared" si="163"/>
        <v>8609275775407.9502</v>
      </c>
      <c r="T440">
        <f t="shared" si="164"/>
        <v>0.5</v>
      </c>
    </row>
    <row r="441" spans="1:20" x14ac:dyDescent="0.25">
      <c r="A441">
        <v>199</v>
      </c>
      <c r="B441" s="95">
        <f t="shared" si="165"/>
        <v>16944.235923480326</v>
      </c>
      <c r="C441" s="95">
        <f t="shared" si="166"/>
        <v>-9913.5904334985862</v>
      </c>
      <c r="D441" s="95">
        <f t="shared" si="167"/>
        <v>4778.3860256198714</v>
      </c>
      <c r="E441" s="95">
        <f t="shared" si="168"/>
        <v>3056.6244913012069</v>
      </c>
      <c r="F441" s="96">
        <f t="shared" si="150"/>
        <v>-1521.8890968760961</v>
      </c>
      <c r="G441" s="94">
        <f t="shared" si="151"/>
        <v>1079.3860366179515</v>
      </c>
      <c r="H441" s="97">
        <f t="shared" si="152"/>
        <v>-497.79730708003405</v>
      </c>
      <c r="I441" s="94">
        <f t="shared" si="153"/>
        <v>1248.2926156180727</v>
      </c>
      <c r="J441" s="95">
        <f t="shared" si="154"/>
        <v>-88.823399412103541</v>
      </c>
      <c r="K441" s="94">
        <f t="shared" si="155"/>
        <v>47.877368487664739</v>
      </c>
      <c r="L441" s="94">
        <f t="shared" si="156"/>
        <v>-935.26839038395838</v>
      </c>
      <c r="M441" s="93">
        <f t="shared" si="157"/>
        <v>-216.78394748778592</v>
      </c>
      <c r="N441" s="93">
        <f t="shared" si="158"/>
        <v>18747.147632282307</v>
      </c>
      <c r="O441" s="93">
        <f t="shared" si="159"/>
        <v>41969.365636412724</v>
      </c>
      <c r="P441" s="93">
        <f t="shared" si="160"/>
        <v>22526.008357975046</v>
      </c>
      <c r="Q441" s="93">
        <f t="shared" si="161"/>
        <v>7304164516935.4814</v>
      </c>
      <c r="R441" s="93">
        <f t="shared" si="162"/>
        <v>74698527530836.516</v>
      </c>
      <c r="S441" s="93">
        <f t="shared" si="163"/>
        <v>12285216927151.244</v>
      </c>
      <c r="T441">
        <f t="shared" si="164"/>
        <v>0.5</v>
      </c>
    </row>
    <row r="442" spans="1:20" x14ac:dyDescent="0.25">
      <c r="A442">
        <v>199.5</v>
      </c>
      <c r="B442" s="95">
        <f t="shared" si="165"/>
        <v>18952.956662071239</v>
      </c>
      <c r="C442" s="95">
        <f t="shared" si="166"/>
        <v>-8115.431678693496</v>
      </c>
      <c r="D442" s="95">
        <f t="shared" si="167"/>
        <v>4017.4414771818233</v>
      </c>
      <c r="E442" s="95">
        <f t="shared" si="168"/>
        <v>3596.3175096101827</v>
      </c>
      <c r="F442" s="96">
        <f t="shared" si="150"/>
        <v>-1569.9743223176092</v>
      </c>
      <c r="G442" s="94">
        <f t="shared" si="151"/>
        <v>1075.2211077830848</v>
      </c>
      <c r="H442" s="97">
        <f t="shared" si="152"/>
        <v>-719.00565067136461</v>
      </c>
      <c r="I442" s="94">
        <f t="shared" si="153"/>
        <v>1254.0643318668526</v>
      </c>
      <c r="J442" s="95">
        <f t="shared" si="154"/>
        <v>-87.367854288895899</v>
      </c>
      <c r="K442" s="94">
        <f t="shared" si="155"/>
        <v>40.631226251064888</v>
      </c>
      <c r="L442" s="94">
        <f t="shared" si="156"/>
        <v>-763.60081735734866</v>
      </c>
      <c r="M442" s="93">
        <f t="shared" si="157"/>
        <v>-219.4744503348328</v>
      </c>
      <c r="N442" s="93">
        <f t="shared" si="158"/>
        <v>17999.920541626572</v>
      </c>
      <c r="O442" s="93">
        <f t="shared" si="159"/>
        <v>42959.302806523898</v>
      </c>
      <c r="P442" s="93">
        <f t="shared" si="160"/>
        <v>24922.708797917614</v>
      </c>
      <c r="Q442" s="93">
        <f t="shared" si="161"/>
        <v>6519777893077.7324</v>
      </c>
      <c r="R442" s="93">
        <f t="shared" si="162"/>
        <v>80072151925993.984</v>
      </c>
      <c r="S442" s="93">
        <f t="shared" si="163"/>
        <v>16424470083235.064</v>
      </c>
      <c r="T442">
        <f t="shared" si="164"/>
        <v>0.5</v>
      </c>
    </row>
    <row r="443" spans="1:20" x14ac:dyDescent="0.25">
      <c r="A443">
        <v>200</v>
      </c>
      <c r="B443" s="95">
        <f t="shared" si="165"/>
        <v>20569.183820082751</v>
      </c>
      <c r="C443" s="95">
        <f t="shared" si="166"/>
        <v>-6048.467646942634</v>
      </c>
      <c r="D443" s="95">
        <f t="shared" si="167"/>
        <v>3232.4543160230187</v>
      </c>
      <c r="E443" s="95">
        <f t="shared" si="168"/>
        <v>4133.9280635017249</v>
      </c>
      <c r="F443" s="96">
        <f t="shared" si="150"/>
        <v>-1692.7989692751569</v>
      </c>
      <c r="G443" s="94">
        <f t="shared" si="151"/>
        <v>1047.8948959661623</v>
      </c>
      <c r="H443" s="97">
        <f t="shared" si="152"/>
        <v>-965.53603401328587</v>
      </c>
      <c r="I443" s="94">
        <f t="shared" si="153"/>
        <v>1237.7051947880575</v>
      </c>
      <c r="J443" s="95">
        <f t="shared" si="154"/>
        <v>-86.898181821658497</v>
      </c>
      <c r="K443" s="94">
        <f t="shared" si="155"/>
        <v>34.375418192482151</v>
      </c>
      <c r="L443" s="94">
        <f t="shared" si="156"/>
        <v>-640.36475344021255</v>
      </c>
      <c r="M443" s="93">
        <f t="shared" si="157"/>
        <v>-224.18571701437727</v>
      </c>
      <c r="N443" s="93">
        <f t="shared" si="158"/>
        <v>17183.38215261915</v>
      </c>
      <c r="O443" s="93">
        <f t="shared" si="159"/>
        <v>43628.110085615997</v>
      </c>
      <c r="P443" s="93">
        <f t="shared" si="160"/>
        <v>27090.830417191246</v>
      </c>
      <c r="Q443" s="93">
        <f t="shared" si="161"/>
        <v>5731543424916.3721</v>
      </c>
      <c r="R443" s="93">
        <f t="shared" si="162"/>
        <v>83845222808605.313</v>
      </c>
      <c r="S443" s="93">
        <f t="shared" si="163"/>
        <v>20906824226847.656</v>
      </c>
      <c r="T443">
        <f t="shared" si="164"/>
        <v>0.5</v>
      </c>
    </row>
    <row r="444" spans="1:20" x14ac:dyDescent="0.25">
      <c r="A444">
        <v>200.5</v>
      </c>
      <c r="B444" s="95">
        <f t="shared" si="165"/>
        <v>21762.21123577547</v>
      </c>
      <c r="C444" s="95">
        <f t="shared" si="166"/>
        <v>-3719.5298912002308</v>
      </c>
      <c r="D444" s="95">
        <f t="shared" si="167"/>
        <v>2386.0548313854401</v>
      </c>
      <c r="E444" s="95">
        <f t="shared" si="168"/>
        <v>4657.8755114848063</v>
      </c>
      <c r="F444" s="96">
        <f t="shared" si="150"/>
        <v>-1887.0463993668923</v>
      </c>
      <c r="G444" s="94">
        <f t="shared" si="151"/>
        <v>992.25625430577884</v>
      </c>
      <c r="H444" s="97">
        <f t="shared" si="152"/>
        <v>-1252.0691129079187</v>
      </c>
      <c r="I444" s="94">
        <f t="shared" si="153"/>
        <v>1194.3015268585086</v>
      </c>
      <c r="J444" s="95">
        <f t="shared" si="154"/>
        <v>-87.467144237655575</v>
      </c>
      <c r="K444" s="94">
        <f t="shared" si="155"/>
        <v>28.734304634675439</v>
      </c>
      <c r="L444" s="94">
        <f t="shared" si="156"/>
        <v>-547.51014222131812</v>
      </c>
      <c r="M444" s="93">
        <f t="shared" si="157"/>
        <v>-230.77957718740524</v>
      </c>
      <c r="N444" s="93">
        <f t="shared" si="158"/>
        <v>16255.075027035038</v>
      </c>
      <c r="O444" s="93">
        <f t="shared" si="159"/>
        <v>43958.023018978769</v>
      </c>
      <c r="P444" s="93">
        <f t="shared" si="160"/>
        <v>29042.468147590211</v>
      </c>
      <c r="Q444" s="93">
        <f t="shared" si="161"/>
        <v>4918801476603.0889</v>
      </c>
      <c r="R444" s="93">
        <f t="shared" si="162"/>
        <v>85749437699728.781</v>
      </c>
      <c r="S444" s="93">
        <f t="shared" si="163"/>
        <v>25593427326302.906</v>
      </c>
      <c r="T444">
        <f t="shared" si="164"/>
        <v>0.5</v>
      </c>
    </row>
    <row r="445" spans="1:20" x14ac:dyDescent="0.25">
      <c r="A445">
        <v>201</v>
      </c>
      <c r="B445" s="95">
        <f t="shared" si="165"/>
        <v>22483.477051626465</v>
      </c>
      <c r="C445" s="95">
        <f t="shared" si="166"/>
        <v>-1142.5280718813829</v>
      </c>
      <c r="D445" s="95">
        <f t="shared" si="167"/>
        <v>1442.531631701994</v>
      </c>
      <c r="E445" s="95">
        <f t="shared" si="168"/>
        <v>5154.003638637696</v>
      </c>
      <c r="F445" s="96">
        <f t="shared" si="150"/>
        <v>-2163.98383574115</v>
      </c>
      <c r="G445" s="94">
        <f t="shared" si="151"/>
        <v>891.93673620569848</v>
      </c>
      <c r="H445" s="97">
        <f t="shared" si="152"/>
        <v>-1600.1846348560832</v>
      </c>
      <c r="I445" s="94">
        <f t="shared" si="153"/>
        <v>1107.8356270246923</v>
      </c>
      <c r="J445" s="95">
        <f t="shared" si="154"/>
        <v>-89.205165818137488</v>
      </c>
      <c r="K445" s="94">
        <f t="shared" si="155"/>
        <v>23.396650492556059</v>
      </c>
      <c r="L445" s="94">
        <f t="shared" si="156"/>
        <v>-474.59403506692928</v>
      </c>
      <c r="M445" s="93">
        <f t="shared" si="157"/>
        <v>-239.29554131154993</v>
      </c>
      <c r="N445" s="93">
        <f t="shared" si="158"/>
        <v>15183.230577572822</v>
      </c>
      <c r="O445" s="93">
        <f t="shared" si="159"/>
        <v>43920.402482544916</v>
      </c>
      <c r="P445" s="93">
        <f t="shared" si="160"/>
        <v>30779.393091577913</v>
      </c>
      <c r="Q445" s="93">
        <f t="shared" si="161"/>
        <v>4084736946639.2485</v>
      </c>
      <c r="R445" s="93">
        <f t="shared" si="162"/>
        <v>85530850737609.109</v>
      </c>
      <c r="S445" s="93">
        <f t="shared" si="163"/>
        <v>30321314365837.27</v>
      </c>
      <c r="T445">
        <f t="shared" si="164"/>
        <v>0.5</v>
      </c>
    </row>
    <row r="446" spans="1:20" x14ac:dyDescent="0.25">
      <c r="A446">
        <v>201.5</v>
      </c>
      <c r="B446" s="95">
        <f t="shared" si="165"/>
        <v>22663.746908542176</v>
      </c>
      <c r="C446" s="95">
        <f t="shared" si="166"/>
        <v>1657.4579314888897</v>
      </c>
      <c r="D446" s="95">
        <f t="shared" si="167"/>
        <v>360.53971383141902</v>
      </c>
      <c r="E446" s="95">
        <f t="shared" si="168"/>
        <v>5599.9720067405451</v>
      </c>
      <c r="F446" s="96">
        <f t="shared" si="150"/>
        <v>-2546.3969699595218</v>
      </c>
      <c r="G446" s="94">
        <f t="shared" si="151"/>
        <v>708.74192208554473</v>
      </c>
      <c r="H446" s="97">
        <f t="shared" si="152"/>
        <v>-2038.8810679049855</v>
      </c>
      <c r="I446" s="94">
        <f t="shared" si="153"/>
        <v>940.65749244328902</v>
      </c>
      <c r="J446" s="95">
        <f t="shared" si="154"/>
        <v>-92.367913759608498</v>
      </c>
      <c r="K446" s="94">
        <f t="shared" si="155"/>
        <v>18.061779898798648</v>
      </c>
      <c r="L446" s="94">
        <f t="shared" si="156"/>
        <v>-415.14798829492776</v>
      </c>
      <c r="M446" s="93">
        <f t="shared" si="157"/>
        <v>-249.97735025654282</v>
      </c>
      <c r="N446" s="93">
        <f t="shared" si="158"/>
        <v>13946.533031041572</v>
      </c>
      <c r="O446" s="93">
        <f t="shared" si="159"/>
        <v>43471.752994801347</v>
      </c>
      <c r="P446" s="93">
        <f t="shared" si="160"/>
        <v>32291.698588943862</v>
      </c>
      <c r="Q446" s="93">
        <f t="shared" si="161"/>
        <v>3252137890815.1328</v>
      </c>
      <c r="R446" s="93">
        <f t="shared" si="162"/>
        <v>82952714464752.625</v>
      </c>
      <c r="S446" s="93">
        <f t="shared" si="163"/>
        <v>34890459349844.527</v>
      </c>
      <c r="T446">
        <f t="shared" si="164"/>
        <v>0.5</v>
      </c>
    </row>
    <row r="447" spans="1:20" x14ac:dyDescent="0.25">
      <c r="A447">
        <v>202</v>
      </c>
      <c r="B447" s="95">
        <f t="shared" si="165"/>
        <v>22207.417522968008</v>
      </c>
      <c r="C447" s="95">
        <f t="shared" si="166"/>
        <v>4634.6294153805484</v>
      </c>
      <c r="D447" s="95">
        <f t="shared" si="167"/>
        <v>-912.65877114834188</v>
      </c>
      <c r="E447" s="95">
        <f t="shared" si="168"/>
        <v>5954.3429677833174</v>
      </c>
      <c r="F447" s="96">
        <f t="shared" si="150"/>
        <v>-3060.6453099308374</v>
      </c>
      <c r="G447" s="94">
        <f t="shared" si="151"/>
        <v>358.90934564595938</v>
      </c>
      <c r="H447" s="97">
        <f t="shared" si="152"/>
        <v>-2598.2900793356262</v>
      </c>
      <c r="I447" s="94">
        <f t="shared" si="153"/>
        <v>609.88034116381357</v>
      </c>
      <c r="J447" s="95">
        <f t="shared" si="154"/>
        <v>-97.42693484909482</v>
      </c>
      <c r="K447" s="94">
        <f t="shared" si="155"/>
        <v>12.384828095784686</v>
      </c>
      <c r="L447" s="94">
        <f t="shared" si="156"/>
        <v>-364.92829574611642</v>
      </c>
      <c r="M447" s="93">
        <f t="shared" si="157"/>
        <v>-263.35582361363885</v>
      </c>
      <c r="N447" s="93">
        <f t="shared" si="158"/>
        <v>12539.194199280462</v>
      </c>
      <c r="O447" s="93">
        <f t="shared" si="159"/>
        <v>42547.071526351217</v>
      </c>
      <c r="P447" s="93">
        <f t="shared" si="160"/>
        <v>33552.380549648544</v>
      </c>
      <c r="Q447" s="93">
        <f t="shared" si="161"/>
        <v>2459998180756.4863</v>
      </c>
      <c r="R447" s="93">
        <f t="shared" si="162"/>
        <v>77804100010484.563</v>
      </c>
      <c r="S447" s="93">
        <f t="shared" si="163"/>
        <v>39037177079106.656</v>
      </c>
      <c r="T447">
        <f t="shared" si="164"/>
        <v>0.5</v>
      </c>
    </row>
    <row r="448" spans="1:20" x14ac:dyDescent="0.25">
      <c r="A448">
        <v>202.5</v>
      </c>
      <c r="B448" s="95">
        <f t="shared" si="165"/>
        <v>20985.926809911125</v>
      </c>
      <c r="C448" s="95">
        <f t="shared" si="166"/>
        <v>7701.5282356836969</v>
      </c>
      <c r="D448" s="95">
        <f t="shared" si="167"/>
        <v>-2442.9814261137608</v>
      </c>
      <c r="E448" s="95">
        <f t="shared" si="168"/>
        <v>6133.7976406062971</v>
      </c>
      <c r="F448" s="96">
        <f t="shared" si="150"/>
        <v>-3695.9712597821817</v>
      </c>
      <c r="G448" s="94">
        <f t="shared" si="151"/>
        <v>-334.52530909273844</v>
      </c>
      <c r="H448" s="97">
        <f t="shared" si="152"/>
        <v>-3269.6894452787551</v>
      </c>
      <c r="I448" s="94">
        <f t="shared" si="153"/>
        <v>-59.979895783227413</v>
      </c>
      <c r="J448" s="95">
        <f t="shared" si="154"/>
        <v>-105.25899049993644</v>
      </c>
      <c r="K448" s="94">
        <f t="shared" si="155"/>
        <v>5.9028753632097395</v>
      </c>
      <c r="L448" s="94">
        <f t="shared" si="156"/>
        <v>-321.02282400349009</v>
      </c>
      <c r="M448" s="93">
        <f t="shared" si="157"/>
        <v>-280.44828867272076</v>
      </c>
      <c r="N448" s="93">
        <f t="shared" si="158"/>
        <v>10987.775093370896</v>
      </c>
      <c r="O448" s="93">
        <f t="shared" si="159"/>
        <v>41050.324833291517</v>
      </c>
      <c r="P448" s="93">
        <f t="shared" si="160"/>
        <v>34505.474586007389</v>
      </c>
      <c r="Q448" s="93">
        <f t="shared" si="161"/>
        <v>1759255098305.3955</v>
      </c>
      <c r="R448" s="93">
        <f t="shared" si="162"/>
        <v>69930768672859.938</v>
      </c>
      <c r="S448" s="93">
        <f t="shared" si="163"/>
        <v>42383900592403.203</v>
      </c>
      <c r="T448">
        <f t="shared" si="164"/>
        <v>0.5</v>
      </c>
    </row>
    <row r="449" spans="1:20" x14ac:dyDescent="0.25">
      <c r="A449">
        <v>203</v>
      </c>
      <c r="B449" s="95">
        <f t="shared" si="165"/>
        <v>18840.443281908701</v>
      </c>
      <c r="C449" s="95">
        <f t="shared" si="166"/>
        <v>10684.795728713661</v>
      </c>
      <c r="D449" s="95">
        <f t="shared" si="167"/>
        <v>-4290.9670560048517</v>
      </c>
      <c r="E449" s="95">
        <f t="shared" si="168"/>
        <v>5966.5349860599281</v>
      </c>
      <c r="F449" s="96">
        <f t="shared" si="150"/>
        <v>-4237.3603535122247</v>
      </c>
      <c r="G449" s="94">
        <f t="shared" si="151"/>
        <v>-1688.0486069284866</v>
      </c>
      <c r="H449" s="97">
        <f t="shared" si="152"/>
        <v>-3838.3866641401778</v>
      </c>
      <c r="I449" s="94">
        <f t="shared" si="153"/>
        <v>-1382.7901003699199</v>
      </c>
      <c r="J449" s="95">
        <f t="shared" si="154"/>
        <v>-117.55877698098672</v>
      </c>
      <c r="K449" s="94">
        <f t="shared" si="155"/>
        <v>-2.0726784131961504</v>
      </c>
      <c r="L449" s="94">
        <f t="shared" si="156"/>
        <v>-281.41491239105994</v>
      </c>
      <c r="M449" s="93">
        <f t="shared" si="157"/>
        <v>-303.18582814537058</v>
      </c>
      <c r="N449" s="93">
        <f t="shared" si="158"/>
        <v>9396.614350619986</v>
      </c>
      <c r="O449" s="93">
        <f t="shared" si="159"/>
        <v>38846.479628471243</v>
      </c>
      <c r="P449" s="93">
        <f t="shared" si="160"/>
        <v>35043.907708810861</v>
      </c>
      <c r="Q449" s="93">
        <f t="shared" si="161"/>
        <v>1205935118886.8547</v>
      </c>
      <c r="R449" s="93">
        <f t="shared" si="162"/>
        <v>59336491161705.117</v>
      </c>
      <c r="S449" s="93">
        <f t="shared" si="163"/>
        <v>44357375400141.172</v>
      </c>
      <c r="T449">
        <f t="shared" si="164"/>
        <v>0.5</v>
      </c>
    </row>
    <row r="450" spans="1:20" x14ac:dyDescent="0.25">
      <c r="A450">
        <v>203.5</v>
      </c>
      <c r="B450" s="95">
        <f t="shared" si="165"/>
        <v>15635.619665528218</v>
      </c>
      <c r="C450" s="95">
        <f t="shared" si="166"/>
        <v>13246.051070011503</v>
      </c>
      <c r="D450" s="95">
        <f t="shared" si="167"/>
        <v>-6409.6472327609645</v>
      </c>
      <c r="E450" s="95">
        <f t="shared" si="168"/>
        <v>5122.5106825956846</v>
      </c>
      <c r="F450" s="96">
        <f t="shared" si="150"/>
        <v>-3851.4660208479049</v>
      </c>
      <c r="G450" s="94">
        <f t="shared" si="151"/>
        <v>-3884.5919162200407</v>
      </c>
      <c r="H450" s="97">
        <f t="shared" si="152"/>
        <v>-3468.8889874918</v>
      </c>
      <c r="I450" s="94">
        <f t="shared" si="153"/>
        <v>-3536.8627518017829</v>
      </c>
      <c r="J450" s="95">
        <f t="shared" si="154"/>
        <v>-137.70140711190456</v>
      </c>
      <c r="K450" s="94">
        <f t="shared" si="155"/>
        <v>-12.543230736354358</v>
      </c>
      <c r="L450" s="94">
        <f t="shared" si="156"/>
        <v>-244.87562624420005</v>
      </c>
      <c r="M450" s="93">
        <f t="shared" si="157"/>
        <v>-335.18593368190352</v>
      </c>
      <c r="N450" s="93">
        <f t="shared" si="158"/>
        <v>8048.4353705343701</v>
      </c>
      <c r="O450" s="93">
        <f t="shared" si="159"/>
        <v>35783.155764902913</v>
      </c>
      <c r="P450" s="93">
        <f t="shared" si="160"/>
        <v>34980.969112219194</v>
      </c>
      <c r="Q450" s="93">
        <f t="shared" si="161"/>
        <v>850648022248.1449</v>
      </c>
      <c r="R450" s="93">
        <f t="shared" si="162"/>
        <v>46477063343456.883</v>
      </c>
      <c r="S450" s="93">
        <f t="shared" si="163"/>
        <v>44123563281091.008</v>
      </c>
      <c r="T450">
        <f t="shared" si="164"/>
        <v>0.5</v>
      </c>
    </row>
    <row r="451" spans="1:20" x14ac:dyDescent="0.25">
      <c r="A451">
        <v>204</v>
      </c>
      <c r="B451" s="95">
        <f t="shared" si="165"/>
        <v>11467.929543935759</v>
      </c>
      <c r="C451" s="95">
        <f t="shared" si="166"/>
        <v>14836.158432254335</v>
      </c>
      <c r="D451" s="95">
        <f t="shared" si="167"/>
        <v>-8335.3802431849163</v>
      </c>
      <c r="E451" s="95">
        <f t="shared" si="168"/>
        <v>3180.2147244856642</v>
      </c>
      <c r="F451" s="96">
        <f t="shared" si="150"/>
        <v>-1437.8413684606812</v>
      </c>
      <c r="G451" s="94">
        <f t="shared" si="151"/>
        <v>-5680.4055263176633</v>
      </c>
      <c r="H451" s="97">
        <f t="shared" si="152"/>
        <v>-1054.8364789340983</v>
      </c>
      <c r="I451" s="94">
        <f t="shared" si="153"/>
        <v>-5271.6750347798115</v>
      </c>
      <c r="J451" s="95">
        <f t="shared" si="154"/>
        <v>-171.99785878293591</v>
      </c>
      <c r="K451" s="94">
        <f t="shared" si="155"/>
        <v>-26.433543837747827</v>
      </c>
      <c r="L451" s="94">
        <f t="shared" si="156"/>
        <v>-211.00703074364705</v>
      </c>
      <c r="M451" s="93">
        <f t="shared" si="157"/>
        <v>-382.29694770010451</v>
      </c>
      <c r="N451" s="93">
        <f t="shared" si="158"/>
        <v>7481.5798925825702</v>
      </c>
      <c r="O451" s="93">
        <f t="shared" si="159"/>
        <v>31837.383971739411</v>
      </c>
      <c r="P451" s="93">
        <f t="shared" si="160"/>
        <v>34079.158637774693</v>
      </c>
      <c r="Q451" s="93">
        <f t="shared" si="161"/>
        <v>728649536889.35901</v>
      </c>
      <c r="R451" s="93">
        <f t="shared" si="162"/>
        <v>32857753795702.277</v>
      </c>
      <c r="S451" s="93">
        <f t="shared" si="163"/>
        <v>40863983135800.898</v>
      </c>
      <c r="T451">
        <f t="shared" si="164"/>
        <v>0.5</v>
      </c>
    </row>
    <row r="452" spans="1:20" x14ac:dyDescent="0.25">
      <c r="A452">
        <v>204.5</v>
      </c>
      <c r="B452" s="95">
        <f t="shared" si="165"/>
        <v>6940.7790802281306</v>
      </c>
      <c r="C452" s="95">
        <f t="shared" si="166"/>
        <v>15006.164412917749</v>
      </c>
      <c r="D452" s="95">
        <f t="shared" si="167"/>
        <v>-9054.3009274152573</v>
      </c>
      <c r="E452" s="95">
        <f t="shared" si="168"/>
        <v>340.01196132683253</v>
      </c>
      <c r="F452" s="96">
        <f t="shared" si="150"/>
        <v>1445.6759885247466</v>
      </c>
      <c r="G452" s="94">
        <f t="shared" si="151"/>
        <v>-5042.6646785140556</v>
      </c>
      <c r="H452" s="97">
        <f t="shared" si="152"/>
        <v>1854.3381384471468</v>
      </c>
      <c r="I452" s="94">
        <f t="shared" si="153"/>
        <v>-4549.8404036038291</v>
      </c>
      <c r="J452" s="95">
        <f t="shared" si="154"/>
        <v>-229.51759191520523</v>
      </c>
      <c r="K452" s="94">
        <f t="shared" si="155"/>
        <v>-42.649204663414267</v>
      </c>
      <c r="L452" s="94">
        <f t="shared" si="156"/>
        <v>-179.14455800719495</v>
      </c>
      <c r="M452" s="93">
        <f t="shared" si="157"/>
        <v>-450.17507024681294</v>
      </c>
      <c r="N452" s="93">
        <f t="shared" si="158"/>
        <v>8105.636115057393</v>
      </c>
      <c r="O452" s="93">
        <f t="shared" si="159"/>
        <v>27401.95722168075</v>
      </c>
      <c r="P452" s="93">
        <f t="shared" si="160"/>
        <v>32294.769047291011</v>
      </c>
      <c r="Q452" s="93">
        <f t="shared" si="161"/>
        <v>863814584118.20703</v>
      </c>
      <c r="R452" s="93">
        <f t="shared" si="162"/>
        <v>21080791568395.938</v>
      </c>
      <c r="S452" s="93">
        <f t="shared" si="163"/>
        <v>34900179919761.363</v>
      </c>
      <c r="T452">
        <f t="shared" si="164"/>
        <v>0.5</v>
      </c>
    </row>
    <row r="453" spans="1:20" x14ac:dyDescent="0.25">
      <c r="A453">
        <v>205</v>
      </c>
      <c r="B453" s="95">
        <f t="shared" si="165"/>
        <v>2775.0476136516886</v>
      </c>
      <c r="C453" s="95">
        <f t="shared" si="166"/>
        <v>13915.504223952652</v>
      </c>
      <c r="D453" s="95">
        <f t="shared" si="167"/>
        <v>-8331.4629331528849</v>
      </c>
      <c r="E453" s="95">
        <f t="shared" si="168"/>
        <v>-2181.3203779301953</v>
      </c>
      <c r="F453" s="96">
        <f t="shared" si="150"/>
        <v>2472.0095756921073</v>
      </c>
      <c r="G453" s="94">
        <f t="shared" si="151"/>
        <v>-3204.9918381683638</v>
      </c>
      <c r="H453" s="97">
        <f t="shared" si="152"/>
        <v>2937.8776778457068</v>
      </c>
      <c r="I453" s="94">
        <f t="shared" si="153"/>
        <v>-2608.732299369743</v>
      </c>
      <c r="J453" s="95">
        <f t="shared" si="154"/>
        <v>-320.34972390168866</v>
      </c>
      <c r="K453" s="94">
        <f t="shared" si="155"/>
        <v>-55.074778255447605</v>
      </c>
      <c r="L453" s="94">
        <f t="shared" si="156"/>
        <v>-145.51837825191049</v>
      </c>
      <c r="M453" s="93">
        <f t="shared" si="157"/>
        <v>-541.18476054317296</v>
      </c>
      <c r="N453" s="93">
        <f t="shared" si="158"/>
        <v>9662.227043107323</v>
      </c>
      <c r="O453" s="93">
        <f t="shared" si="159"/>
        <v>23109.174955672748</v>
      </c>
      <c r="P453" s="93">
        <f t="shared" si="160"/>
        <v>29942.574203297459</v>
      </c>
      <c r="Q453" s="93">
        <f t="shared" si="161"/>
        <v>1287656137549.5974</v>
      </c>
      <c r="R453" s="93">
        <f t="shared" si="162"/>
        <v>12768141350381.467</v>
      </c>
      <c r="S453" s="93">
        <f t="shared" si="163"/>
        <v>27975884968145.262</v>
      </c>
      <c r="T453">
        <f t="shared" si="164"/>
        <v>0.5</v>
      </c>
    </row>
    <row r="454" spans="1:20" x14ac:dyDescent="0.25">
      <c r="A454">
        <v>205.5</v>
      </c>
      <c r="B454" s="95">
        <f t="shared" si="165"/>
        <v>-772.68145900172703</v>
      </c>
      <c r="C454" s="95">
        <f t="shared" si="166"/>
        <v>12023.596075445465</v>
      </c>
      <c r="D454" s="95">
        <f t="shared" si="167"/>
        <v>-7095.4581453068313</v>
      </c>
      <c r="E454" s="95">
        <f t="shared" si="168"/>
        <v>-3783.8162970143771</v>
      </c>
      <c r="F454" s="96">
        <f t="shared" si="150"/>
        <v>2189.7162356397048</v>
      </c>
      <c r="G454" s="94">
        <f t="shared" si="151"/>
        <v>-1860.0060097326996</v>
      </c>
      <c r="H454" s="97">
        <f t="shared" si="152"/>
        <v>2747.9501242853594</v>
      </c>
      <c r="I454" s="94">
        <f t="shared" si="153"/>
        <v>-1153.901788059464</v>
      </c>
      <c r="J454" s="95">
        <f t="shared" si="154"/>
        <v>-455.27302015993325</v>
      </c>
      <c r="K454" s="94">
        <f t="shared" si="155"/>
        <v>-47.915610015374092</v>
      </c>
      <c r="L454" s="94">
        <f t="shared" si="156"/>
        <v>-102.96086848572109</v>
      </c>
      <c r="M454" s="93">
        <f t="shared" si="157"/>
        <v>-658.18861165786143</v>
      </c>
      <c r="N454" s="93">
        <f t="shared" si="158"/>
        <v>11683.902912593257</v>
      </c>
      <c r="O454" s="93">
        <f t="shared" si="159"/>
        <v>19333.512856011817</v>
      </c>
      <c r="P454" s="93">
        <f t="shared" si="160"/>
        <v>27352.238791292741</v>
      </c>
      <c r="Q454" s="93">
        <f t="shared" si="161"/>
        <v>2052643813289.9893</v>
      </c>
      <c r="R454" s="93">
        <f t="shared" si="162"/>
        <v>7584719937502.6074</v>
      </c>
      <c r="S454" s="93">
        <f t="shared" si="163"/>
        <v>21497670374037.742</v>
      </c>
      <c r="T454">
        <f t="shared" si="164"/>
        <v>0.5</v>
      </c>
    </row>
    <row r="455" spans="1:20" x14ac:dyDescent="0.25">
      <c r="A455">
        <v>206</v>
      </c>
      <c r="B455" s="95">
        <f t="shared" si="165"/>
        <v>-3772.9814727452167</v>
      </c>
      <c r="C455" s="95">
        <f t="shared" si="166"/>
        <v>9666.6864245051001</v>
      </c>
      <c r="D455" s="95">
        <f t="shared" si="167"/>
        <v>-6000.6000274869784</v>
      </c>
      <c r="E455" s="95">
        <f t="shared" si="168"/>
        <v>-4713.8193018807269</v>
      </c>
      <c r="F455" s="96">
        <f t="shared" si="150"/>
        <v>1542.3838162465697</v>
      </c>
      <c r="G455" s="94">
        <f t="shared" si="151"/>
        <v>-1143.2721378339613</v>
      </c>
      <c r="H455" s="97">
        <f t="shared" si="152"/>
        <v>2219.2318843125017</v>
      </c>
      <c r="I455" s="94">
        <f t="shared" si="153"/>
        <v>-349.1168274700633</v>
      </c>
      <c r="J455" s="95">
        <f t="shared" si="154"/>
        <v>-636.69308640064025</v>
      </c>
      <c r="K455" s="94">
        <f t="shared" si="155"/>
        <v>13.078092489057063</v>
      </c>
      <c r="L455" s="94">
        <f t="shared" si="156"/>
        <v>-40.154981665291629</v>
      </c>
      <c r="M455" s="93">
        <f t="shared" si="157"/>
        <v>-807.23340285295512</v>
      </c>
      <c r="N455" s="93">
        <f t="shared" si="158"/>
        <v>13942.365248074579</v>
      </c>
      <c r="O455" s="93">
        <f t="shared" si="159"/>
        <v>16230.441405688236</v>
      </c>
      <c r="P455" s="93">
        <f t="shared" si="160"/>
        <v>24697.18594559086</v>
      </c>
      <c r="Q455" s="93">
        <f t="shared" si="161"/>
        <v>3249555076441.0156</v>
      </c>
      <c r="R455" s="93">
        <f t="shared" si="162"/>
        <v>4577215293189.6973</v>
      </c>
      <c r="S455" s="93">
        <f t="shared" si="163"/>
        <v>15999643677146.887</v>
      </c>
      <c r="T455">
        <f t="shared" si="164"/>
        <v>0.5</v>
      </c>
    </row>
    <row r="456" spans="1:20" x14ac:dyDescent="0.25">
      <c r="A456">
        <v>206.5</v>
      </c>
      <c r="B456" s="95">
        <f t="shared" si="165"/>
        <v>-6387.6855324270637</v>
      </c>
      <c r="C456" s="95">
        <f t="shared" si="166"/>
        <v>7023.958739106246</v>
      </c>
      <c r="D456" s="95">
        <f t="shared" si="167"/>
        <v>-5229.4081193636939</v>
      </c>
      <c r="E456" s="95">
        <f t="shared" si="168"/>
        <v>-5285.4553707977075</v>
      </c>
      <c r="F456" s="96">
        <f t="shared" si="150"/>
        <v>942.31735460673963</v>
      </c>
      <c r="G456" s="94">
        <f t="shared" si="151"/>
        <v>-765.69351114403128</v>
      </c>
      <c r="H456" s="97">
        <f t="shared" si="152"/>
        <v>1704.027421163272</v>
      </c>
      <c r="I456" s="94">
        <f t="shared" si="153"/>
        <v>49.499812561265138</v>
      </c>
      <c r="J456" s="95">
        <f t="shared" si="154"/>
        <v>-824.43058536404055</v>
      </c>
      <c r="K456" s="94">
        <f t="shared" si="155"/>
        <v>180.24410504407331</v>
      </c>
      <c r="L456" s="94">
        <f t="shared" si="156"/>
        <v>62.720518807508135</v>
      </c>
      <c r="M456" s="93">
        <f t="shared" si="157"/>
        <v>-995.4374287493697</v>
      </c>
      <c r="N456" s="93">
        <f t="shared" si="158"/>
        <v>16394.598268691814</v>
      </c>
      <c r="O456" s="93">
        <f t="shared" si="159"/>
        <v>13933.841062343059</v>
      </c>
      <c r="P456" s="93">
        <f t="shared" si="160"/>
        <v>22067.633078306375</v>
      </c>
      <c r="Q456" s="93">
        <f t="shared" si="161"/>
        <v>5035465963224.4355</v>
      </c>
      <c r="R456" s="93">
        <f t="shared" si="162"/>
        <v>2965313540012.1211</v>
      </c>
      <c r="S456" s="93">
        <f t="shared" si="163"/>
        <v>11584573270578.645</v>
      </c>
      <c r="T456">
        <f t="shared" si="164"/>
        <v>0.5</v>
      </c>
    </row>
    <row r="457" spans="1:20" x14ac:dyDescent="0.25">
      <c r="A457">
        <v>207</v>
      </c>
      <c r="B457" s="95">
        <f t="shared" si="165"/>
        <v>-8766.8102534572245</v>
      </c>
      <c r="C457" s="95">
        <f t="shared" si="166"/>
        <v>4189.8076759213836</v>
      </c>
      <c r="D457" s="95">
        <f t="shared" si="167"/>
        <v>-4758.2494420603243</v>
      </c>
      <c r="E457" s="95">
        <f t="shared" si="168"/>
        <v>-5668.3021263697228</v>
      </c>
      <c r="F457" s="96">
        <f t="shared" si="150"/>
        <v>631.93627343840308</v>
      </c>
      <c r="G457" s="94">
        <f t="shared" si="151"/>
        <v>-533.28195584361652</v>
      </c>
      <c r="H457" s="97">
        <f t="shared" si="152"/>
        <v>1284.9575861435999</v>
      </c>
      <c r="I457" s="94">
        <f t="shared" si="153"/>
        <v>226.64782565463196</v>
      </c>
      <c r="J457" s="95">
        <f t="shared" si="154"/>
        <v>-892.83874225605553</v>
      </c>
      <c r="K457" s="94">
        <f t="shared" si="155"/>
        <v>461.80692429705562</v>
      </c>
      <c r="L457" s="94">
        <f t="shared" si="156"/>
        <v>239.81742955085866</v>
      </c>
      <c r="M457" s="93">
        <f t="shared" si="157"/>
        <v>-1221.736705795304</v>
      </c>
      <c r="N457" s="93">
        <f t="shared" si="158"/>
        <v>19056.509132358322</v>
      </c>
      <c r="O457" s="93">
        <f t="shared" si="159"/>
        <v>12646.852838734852</v>
      </c>
      <c r="P457" s="93">
        <f t="shared" si="160"/>
        <v>19556.011304056912</v>
      </c>
      <c r="Q457" s="93">
        <f t="shared" si="161"/>
        <v>7647162035975.3027</v>
      </c>
      <c r="R457" s="93">
        <f t="shared" si="162"/>
        <v>2259554444506.3555</v>
      </c>
      <c r="S457" s="93">
        <f t="shared" si="163"/>
        <v>8224161356057.9443</v>
      </c>
      <c r="T457">
        <f t="shared" si="164"/>
        <v>0.5</v>
      </c>
    </row>
    <row r="458" spans="1:20" x14ac:dyDescent="0.25">
      <c r="A458">
        <v>207.5</v>
      </c>
      <c r="B458" s="95">
        <f t="shared" si="165"/>
        <v>-10987.950906127786</v>
      </c>
      <c r="C458" s="95">
        <f t="shared" si="166"/>
        <v>1222.336123775618</v>
      </c>
      <c r="D458" s="95">
        <f t="shared" si="167"/>
        <v>-4442.2813053411228</v>
      </c>
      <c r="E458" s="95">
        <f t="shared" si="168"/>
        <v>-5934.9431042915312</v>
      </c>
      <c r="F458" s="96">
        <f t="shared" si="150"/>
        <v>779.27792579233869</v>
      </c>
      <c r="G458" s="94">
        <f t="shared" si="151"/>
        <v>-458.59442450348865</v>
      </c>
      <c r="H458" s="97">
        <f t="shared" si="152"/>
        <v>968.62694412498013</v>
      </c>
      <c r="I458" s="94">
        <f t="shared" si="153"/>
        <v>289.72406138493648</v>
      </c>
      <c r="J458" s="95">
        <f t="shared" si="154"/>
        <v>-726.89997454339391</v>
      </c>
      <c r="K458" s="94">
        <f t="shared" si="155"/>
        <v>707.9947725225345</v>
      </c>
      <c r="L458" s="94">
        <f t="shared" si="156"/>
        <v>537.55095621075247</v>
      </c>
      <c r="M458" s="93">
        <f t="shared" si="157"/>
        <v>-1456.3132584109596</v>
      </c>
      <c r="N458" s="93">
        <f t="shared" si="158"/>
        <v>21906.691831056614</v>
      </c>
      <c r="O458" s="93">
        <f t="shared" si="159"/>
        <v>12580.318437716012</v>
      </c>
      <c r="P458" s="93">
        <f t="shared" si="160"/>
        <v>17292.187408392034</v>
      </c>
      <c r="Q458" s="93">
        <f t="shared" si="161"/>
        <v>11345198957574.932</v>
      </c>
      <c r="R458" s="93">
        <f t="shared" si="162"/>
        <v>2226597092443.8853</v>
      </c>
      <c r="S458" s="93">
        <f t="shared" si="163"/>
        <v>5832533133030.1123</v>
      </c>
      <c r="T458">
        <f t="shared" si="164"/>
        <v>0.5</v>
      </c>
    </row>
    <row r="459" spans="1:20" x14ac:dyDescent="0.25">
      <c r="A459">
        <v>208</v>
      </c>
      <c r="B459" s="95">
        <f t="shared" si="165"/>
        <v>-13014.272077350262</v>
      </c>
      <c r="C459" s="95">
        <f t="shared" si="166"/>
        <v>-1859.7840344960198</v>
      </c>
      <c r="D459" s="95">
        <f t="shared" si="167"/>
        <v>-4052.6423424449536</v>
      </c>
      <c r="E459" s="95">
        <f t="shared" si="168"/>
        <v>-6164.2403165432752</v>
      </c>
      <c r="F459" s="96">
        <f t="shared" si="150"/>
        <v>1292.4681724790419</v>
      </c>
      <c r="G459" s="94">
        <f t="shared" si="151"/>
        <v>-578.74037297032714</v>
      </c>
      <c r="H459" s="97">
        <f t="shared" si="152"/>
        <v>740.33323129177609</v>
      </c>
      <c r="I459" s="94">
        <f t="shared" si="153"/>
        <v>301.08965146332895</v>
      </c>
      <c r="J459" s="95">
        <f t="shared" si="154"/>
        <v>-437.95534083799674</v>
      </c>
      <c r="K459" s="94">
        <f t="shared" si="155"/>
        <v>743.5239128412253</v>
      </c>
      <c r="L459" s="94">
        <f t="shared" si="156"/>
        <v>990.09028202526247</v>
      </c>
      <c r="M459" s="93">
        <f t="shared" si="157"/>
        <v>-1623.3539372748814</v>
      </c>
      <c r="N459" s="93">
        <f t="shared" si="158"/>
        <v>24844.76356141693</v>
      </c>
      <c r="O459" s="93">
        <f t="shared" si="159"/>
        <v>13764.260675901736</v>
      </c>
      <c r="P459" s="93">
        <f t="shared" si="160"/>
        <v>15391.355773611427</v>
      </c>
      <c r="Q459" s="93">
        <f t="shared" si="161"/>
        <v>16276784793194.754</v>
      </c>
      <c r="R459" s="93">
        <f t="shared" si="162"/>
        <v>2864669883754.5122</v>
      </c>
      <c r="S459" s="93">
        <f t="shared" si="163"/>
        <v>4238263038425.7856</v>
      </c>
      <c r="T459">
        <f t="shared" si="164"/>
        <v>0.5</v>
      </c>
    </row>
    <row r="460" spans="1:20" x14ac:dyDescent="0.25">
      <c r="A460">
        <v>208.5</v>
      </c>
      <c r="B460" s="95">
        <f t="shared" si="165"/>
        <v>-14717.476205452978</v>
      </c>
      <c r="C460" s="95">
        <f t="shared" si="166"/>
        <v>-5086.5892860102385</v>
      </c>
      <c r="D460" s="95">
        <f t="shared" si="167"/>
        <v>-3406.4082562054327</v>
      </c>
      <c r="E460" s="95">
        <f t="shared" si="168"/>
        <v>-6453.6105030284389</v>
      </c>
      <c r="F460" s="96">
        <f t="shared" si="150"/>
        <v>1945.4979025546872</v>
      </c>
      <c r="G460" s="94">
        <f t="shared" si="151"/>
        <v>-703.17101547671462</v>
      </c>
      <c r="H460" s="97">
        <f t="shared" si="152"/>
        <v>578.04771676283372</v>
      </c>
      <c r="I460" s="94">
        <f t="shared" si="153"/>
        <v>294.3524305691318</v>
      </c>
      <c r="J460" s="95">
        <f t="shared" si="154"/>
        <v>-216.52850939045672</v>
      </c>
      <c r="K460" s="94">
        <f t="shared" si="155"/>
        <v>618.39318040704643</v>
      </c>
      <c r="L460" s="94">
        <f t="shared" si="156"/>
        <v>1583.9786951823103</v>
      </c>
      <c r="M460" s="93">
        <f t="shared" si="157"/>
        <v>-1615.9166264528928</v>
      </c>
      <c r="N460" s="93">
        <f t="shared" si="158"/>
        <v>27737.625345761699</v>
      </c>
      <c r="O460" s="93">
        <f t="shared" si="159"/>
        <v>15984.687482860414</v>
      </c>
      <c r="P460" s="93">
        <f t="shared" si="160"/>
        <v>13881.824656283186</v>
      </c>
      <c r="Q460" s="93">
        <f t="shared" si="161"/>
        <v>22389224802292.98</v>
      </c>
      <c r="R460" s="93">
        <f t="shared" si="162"/>
        <v>4381462693052.4316</v>
      </c>
      <c r="S460" s="93">
        <f t="shared" si="163"/>
        <v>3212201438413.3906</v>
      </c>
      <c r="T460">
        <f t="shared" si="164"/>
        <v>0.5</v>
      </c>
    </row>
    <row r="461" spans="1:20" x14ac:dyDescent="0.25">
      <c r="A461">
        <v>209</v>
      </c>
      <c r="B461" s="95">
        <f t="shared" si="165"/>
        <v>-15934.305857917023</v>
      </c>
      <c r="C461" s="95">
        <f t="shared" si="166"/>
        <v>-8489.1872913936368</v>
      </c>
      <c r="D461" s="95">
        <f t="shared" si="167"/>
        <v>-2433.6593049280891</v>
      </c>
      <c r="E461" s="95">
        <f t="shared" si="168"/>
        <v>-6805.1960107667965</v>
      </c>
      <c r="F461" s="96">
        <f t="shared" si="150"/>
        <v>2598.8225492195184</v>
      </c>
      <c r="G461" s="94">
        <f t="shared" si="151"/>
        <v>-583.83363195722541</v>
      </c>
      <c r="H461" s="97">
        <f t="shared" si="152"/>
        <v>461.39009933287394</v>
      </c>
      <c r="I461" s="94">
        <f t="shared" si="153"/>
        <v>284.45923145369113</v>
      </c>
      <c r="J461" s="95">
        <f t="shared" si="154"/>
        <v>-102.3332437019601</v>
      </c>
      <c r="K461" s="94">
        <f t="shared" si="155"/>
        <v>465.3715805518047</v>
      </c>
      <c r="L461" s="94">
        <f t="shared" si="156"/>
        <v>2239.7656935886043</v>
      </c>
      <c r="M461" s="93">
        <f t="shared" si="157"/>
        <v>-1333.6644439627212</v>
      </c>
      <c r="N461" s="93">
        <f t="shared" si="158"/>
        <v>30467.069609190396</v>
      </c>
      <c r="O461" s="93">
        <f t="shared" si="159"/>
        <v>18930.924846747446</v>
      </c>
      <c r="P461" s="93">
        <f t="shared" si="160"/>
        <v>12725.946987200154</v>
      </c>
      <c r="Q461" s="93">
        <f t="shared" si="161"/>
        <v>29430997355234.383</v>
      </c>
      <c r="R461" s="93">
        <f t="shared" si="162"/>
        <v>7135274837632.1572</v>
      </c>
      <c r="S461" s="93">
        <f t="shared" si="163"/>
        <v>2556155394116.0825</v>
      </c>
      <c r="T461">
        <f t="shared" si="164"/>
        <v>0.5</v>
      </c>
    </row>
    <row r="462" spans="1:20" x14ac:dyDescent="0.25">
      <c r="A462">
        <v>209.5</v>
      </c>
      <c r="B462" s="95">
        <f t="shared" si="165"/>
        <v>-16501.429873076188</v>
      </c>
      <c r="C462" s="95">
        <f t="shared" si="166"/>
        <v>-12037.743704766341</v>
      </c>
      <c r="D462" s="95">
        <f t="shared" si="167"/>
        <v>-1134.2480303183299</v>
      </c>
      <c r="E462" s="95">
        <f t="shared" si="168"/>
        <v>-7097.1128267454096</v>
      </c>
      <c r="F462" s="96">
        <f t="shared" si="150"/>
        <v>3135.4119829156407</v>
      </c>
      <c r="G462" s="94">
        <f t="shared" si="151"/>
        <v>-104.35730563977336</v>
      </c>
      <c r="H462" s="97">
        <f t="shared" si="152"/>
        <v>375.70043790322444</v>
      </c>
      <c r="I462" s="94">
        <f t="shared" si="153"/>
        <v>276.97897436768159</v>
      </c>
      <c r="J462" s="95">
        <f t="shared" si="154"/>
        <v>-54.529781318503531</v>
      </c>
      <c r="K462" s="94">
        <f t="shared" si="155"/>
        <v>343.48699650927585</v>
      </c>
      <c r="L462" s="94">
        <f t="shared" si="156"/>
        <v>2814.2413263309199</v>
      </c>
      <c r="M462" s="93">
        <f t="shared" si="157"/>
        <v>-724.82327651673086</v>
      </c>
      <c r="N462" s="93">
        <f t="shared" si="158"/>
        <v>32924.902648158459</v>
      </c>
      <c r="O462" s="93">
        <f t="shared" si="159"/>
        <v>22313.72090284299</v>
      </c>
      <c r="P462" s="93">
        <f t="shared" si="160"/>
        <v>11876.777824138195</v>
      </c>
      <c r="Q462" s="93">
        <f t="shared" si="161"/>
        <v>36933990044273.461</v>
      </c>
      <c r="R462" s="93">
        <f t="shared" si="162"/>
        <v>11522575696152.842</v>
      </c>
      <c r="S462" s="93">
        <f t="shared" si="163"/>
        <v>2139878532387.1904</v>
      </c>
      <c r="T462">
        <f t="shared" si="164"/>
        <v>0.5</v>
      </c>
    </row>
    <row r="463" spans="1:20" x14ac:dyDescent="0.25">
      <c r="A463">
        <v>210</v>
      </c>
      <c r="B463" s="95">
        <f t="shared" si="165"/>
        <v>-16284.700892506444</v>
      </c>
      <c r="C463" s="95">
        <f t="shared" si="166"/>
        <v>-15612.38944454899</v>
      </c>
      <c r="D463" s="95">
        <f t="shared" si="167"/>
        <v>433.45796113949041</v>
      </c>
      <c r="E463" s="95">
        <f t="shared" si="168"/>
        <v>-7149.291479565296</v>
      </c>
      <c r="F463" s="96">
        <f t="shared" si="150"/>
        <v>3404.6674782857635</v>
      </c>
      <c r="G463" s="94">
        <f t="shared" si="151"/>
        <v>701.94078269688703</v>
      </c>
      <c r="H463" s="97">
        <f t="shared" si="152"/>
        <v>311.38750394239349</v>
      </c>
      <c r="I463" s="94">
        <f t="shared" si="153"/>
        <v>273.80601699501989</v>
      </c>
      <c r="J463" s="95">
        <f t="shared" si="154"/>
        <v>-37.459689460108777</v>
      </c>
      <c r="K463" s="94">
        <f t="shared" si="155"/>
        <v>258.23820025393127</v>
      </c>
      <c r="L463" s="94">
        <f t="shared" si="156"/>
        <v>3130.7396638034788</v>
      </c>
      <c r="M463" s="93">
        <f t="shared" si="157"/>
        <v>169.89656544793598</v>
      </c>
      <c r="N463" s="93">
        <f t="shared" si="158"/>
        <v>35000.97208428687</v>
      </c>
      <c r="O463" s="93">
        <f t="shared" si="159"/>
        <v>25880.454797344402</v>
      </c>
      <c r="P463" s="93">
        <f t="shared" si="160"/>
        <v>11301.305016020528</v>
      </c>
      <c r="Q463" s="93">
        <f t="shared" si="161"/>
        <v>44197782602188.063</v>
      </c>
      <c r="R463" s="93">
        <f t="shared" si="162"/>
        <v>17812396457468.773</v>
      </c>
      <c r="S463" s="93">
        <f t="shared" si="163"/>
        <v>1887303386679.9021</v>
      </c>
      <c r="T463">
        <f t="shared" si="164"/>
        <v>0.5</v>
      </c>
    </row>
    <row r="464" spans="1:20" x14ac:dyDescent="0.25">
      <c r="A464">
        <v>210.5</v>
      </c>
      <c r="B464" s="95">
        <f t="shared" si="165"/>
        <v>-15216.805042365257</v>
      </c>
      <c r="C464" s="95">
        <f t="shared" si="166"/>
        <v>-19011.549988657418</v>
      </c>
      <c r="D464" s="95">
        <f t="shared" si="167"/>
        <v>2135.7917002823724</v>
      </c>
      <c r="E464" s="95">
        <f t="shared" si="168"/>
        <v>-6798.3210882168523</v>
      </c>
      <c r="F464" s="96">
        <f t="shared" si="150"/>
        <v>3277.8806932088751</v>
      </c>
      <c r="G464" s="94">
        <f t="shared" si="151"/>
        <v>1673.403978736902</v>
      </c>
      <c r="H464" s="97">
        <f t="shared" si="152"/>
        <v>262.17227204211673</v>
      </c>
      <c r="I464" s="94">
        <f t="shared" si="153"/>
        <v>275.63338353955589</v>
      </c>
      <c r="J464" s="95">
        <f t="shared" si="154"/>
        <v>-33.087257097851371</v>
      </c>
      <c r="K464" s="94">
        <f t="shared" si="155"/>
        <v>200.68440065352158</v>
      </c>
      <c r="L464" s="94">
        <f t="shared" si="156"/>
        <v>3048.7956782646097</v>
      </c>
      <c r="M464" s="93">
        <f t="shared" si="157"/>
        <v>1197.0861945438244</v>
      </c>
      <c r="N464" s="93">
        <f t="shared" si="158"/>
        <v>36588.926457956361</v>
      </c>
      <c r="O464" s="93">
        <f t="shared" si="159"/>
        <v>29403.213884660818</v>
      </c>
      <c r="P464" s="93">
        <f t="shared" si="160"/>
        <v>10976.139511923009</v>
      </c>
      <c r="Q464" s="93">
        <f t="shared" si="161"/>
        <v>50361879011226.555</v>
      </c>
      <c r="R464" s="93">
        <f t="shared" si="162"/>
        <v>25962712183714.188</v>
      </c>
      <c r="S464" s="93">
        <f t="shared" si="163"/>
        <v>1754629425922.678</v>
      </c>
      <c r="T464">
        <f t="shared" si="164"/>
        <v>0.5</v>
      </c>
    </row>
    <row r="465" spans="1:20" x14ac:dyDescent="0.25">
      <c r="A465">
        <v>211</v>
      </c>
      <c r="B465" s="95">
        <f t="shared" si="165"/>
        <v>-13329.43901892185</v>
      </c>
      <c r="C465" s="95">
        <f t="shared" si="166"/>
        <v>-21992.359538081619</v>
      </c>
      <c r="D465" s="95">
        <f t="shared" si="167"/>
        <v>3774.7320468868102</v>
      </c>
      <c r="E465" s="95">
        <f t="shared" si="168"/>
        <v>-5961.6190988484013</v>
      </c>
      <c r="F465" s="96">
        <f t="shared" si="150"/>
        <v>2733.1543523013243</v>
      </c>
      <c r="G465" s="94">
        <f t="shared" si="151"/>
        <v>2579.5967976015327</v>
      </c>
      <c r="H465" s="97">
        <f t="shared" si="152"/>
        <v>223.76062270430441</v>
      </c>
      <c r="I465" s="94">
        <f t="shared" si="153"/>
        <v>282.87129964453612</v>
      </c>
      <c r="J465" s="95">
        <f t="shared" si="154"/>
        <v>-33.741485149698569</v>
      </c>
      <c r="K465" s="94">
        <f t="shared" si="155"/>
        <v>161.82592848188395</v>
      </c>
      <c r="L465" s="94">
        <f t="shared" si="156"/>
        <v>2543.1352147467182</v>
      </c>
      <c r="M465" s="93">
        <f t="shared" si="157"/>
        <v>2134.8995694751125</v>
      </c>
      <c r="N465" s="93">
        <f t="shared" si="158"/>
        <v>37604.015690628934</v>
      </c>
      <c r="O465" s="93">
        <f t="shared" si="159"/>
        <v>32680.383299713059</v>
      </c>
      <c r="P465" s="93">
        <f t="shared" si="160"/>
        <v>10875.322812668081</v>
      </c>
      <c r="Q465" s="93">
        <f t="shared" si="161"/>
        <v>54590774543226.531</v>
      </c>
      <c r="R465" s="93">
        <f t="shared" si="162"/>
        <v>35505113617122.023</v>
      </c>
      <c r="S465" s="93">
        <f t="shared" si="163"/>
        <v>1714924179586.9414</v>
      </c>
      <c r="T465">
        <f t="shared" si="164"/>
        <v>0.5</v>
      </c>
    </row>
    <row r="466" spans="1:20" x14ac:dyDescent="0.25">
      <c r="A466">
        <v>211.5</v>
      </c>
      <c r="B466" s="95">
        <f t="shared" si="165"/>
        <v>-10758.784407403115</v>
      </c>
      <c r="C466" s="95">
        <f t="shared" si="166"/>
        <v>-24328.269888105435</v>
      </c>
      <c r="D466" s="95">
        <f t="shared" si="167"/>
        <v>5141.3092230374723</v>
      </c>
      <c r="E466" s="95">
        <f t="shared" si="168"/>
        <v>-4671.820700047635</v>
      </c>
      <c r="F466" s="96">
        <f t="shared" si="150"/>
        <v>1880.3733673495776</v>
      </c>
      <c r="G466" s="94">
        <f t="shared" si="151"/>
        <v>3223.3974687855407</v>
      </c>
      <c r="H466" s="97">
        <f t="shared" si="152"/>
        <v>193.05585252129453</v>
      </c>
      <c r="I466" s="94">
        <f t="shared" si="153"/>
        <v>296.00161825153441</v>
      </c>
      <c r="J466" s="95">
        <f t="shared" si="154"/>
        <v>-36.408677170553716</v>
      </c>
      <c r="K466" s="94">
        <f t="shared" si="155"/>
        <v>135.24702282467257</v>
      </c>
      <c r="L466" s="94">
        <f t="shared" si="156"/>
        <v>1723.7261919988368</v>
      </c>
      <c r="M466" s="93">
        <f t="shared" si="157"/>
        <v>2792.1488277093335</v>
      </c>
      <c r="N466" s="93">
        <f t="shared" si="158"/>
        <v>37999.551236075429</v>
      </c>
      <c r="O466" s="93">
        <f t="shared" si="159"/>
        <v>35550.38929659508</v>
      </c>
      <c r="P466" s="93">
        <f t="shared" si="160"/>
        <v>10962.673805066162</v>
      </c>
      <c r="Q466" s="93">
        <f t="shared" si="161"/>
        <v>56301189301818.352</v>
      </c>
      <c r="R466" s="93">
        <f t="shared" si="162"/>
        <v>45584473649053.664</v>
      </c>
      <c r="S466" s="93">
        <f t="shared" si="163"/>
        <v>1749287374437.5293</v>
      </c>
      <c r="T466">
        <f t="shared" si="164"/>
        <v>0.5</v>
      </c>
    </row>
    <row r="467" spans="1:20" x14ac:dyDescent="0.25">
      <c r="A467">
        <v>212</v>
      </c>
      <c r="B467" s="95">
        <f t="shared" si="165"/>
        <v>-7718.0364540469845</v>
      </c>
      <c r="C467" s="95">
        <f t="shared" si="166"/>
        <v>-25858.330870932867</v>
      </c>
      <c r="D467" s="95">
        <f t="shared" si="167"/>
        <v>6081.4959067122609</v>
      </c>
      <c r="E467" s="95">
        <f t="shared" si="168"/>
        <v>-3060.1219656548647</v>
      </c>
      <c r="F467" s="96">
        <f t="shared" si="150"/>
        <v>900.15124020003225</v>
      </c>
      <c r="G467" s="94">
        <f t="shared" si="151"/>
        <v>3518.3046634154925</v>
      </c>
      <c r="H467" s="97">
        <f t="shared" si="152"/>
        <v>167.72420128076328</v>
      </c>
      <c r="I467" s="94">
        <f t="shared" si="153"/>
        <v>315.77987865064404</v>
      </c>
      <c r="J467" s="95">
        <f t="shared" si="154"/>
        <v>-39.994060531267685</v>
      </c>
      <c r="K467" s="94">
        <f t="shared" si="155"/>
        <v>116.7663663905651</v>
      </c>
      <c r="L467" s="94">
        <f t="shared" si="156"/>
        <v>772.42109945053664</v>
      </c>
      <c r="M467" s="93">
        <f t="shared" si="157"/>
        <v>3085.7584183742833</v>
      </c>
      <c r="N467" s="93">
        <f t="shared" si="158"/>
        <v>37771.775895257706</v>
      </c>
      <c r="O467" s="93">
        <f t="shared" si="159"/>
        <v>37903.384036170384</v>
      </c>
      <c r="P467" s="93">
        <f t="shared" si="160"/>
        <v>11193.349430272514</v>
      </c>
      <c r="Q467" s="93">
        <f t="shared" si="161"/>
        <v>55311887744902.586</v>
      </c>
      <c r="R467" s="93">
        <f t="shared" si="162"/>
        <v>55152480125509.164</v>
      </c>
      <c r="S467" s="93">
        <f t="shared" si="163"/>
        <v>1842467224656.2285</v>
      </c>
      <c r="T467">
        <f t="shared" si="164"/>
        <v>0.5</v>
      </c>
    </row>
    <row r="468" spans="1:20" x14ac:dyDescent="0.25">
      <c r="A468">
        <v>212.5</v>
      </c>
      <c r="B468" s="95">
        <f t="shared" si="165"/>
        <v>-4452.2506906408462</v>
      </c>
      <c r="C468" s="95">
        <f t="shared" si="166"/>
        <v>-26508.815687906426</v>
      </c>
      <c r="D468" s="95">
        <f t="shared" si="167"/>
        <v>6531.5715268122767</v>
      </c>
      <c r="E468" s="95">
        <f t="shared" si="168"/>
        <v>-1300.9696339471184</v>
      </c>
      <c r="F468" s="96">
        <f t="shared" si="150"/>
        <v>-42.9742473572135</v>
      </c>
      <c r="G468" s="94">
        <f t="shared" si="151"/>
        <v>3488.4904870440319</v>
      </c>
      <c r="H468" s="97">
        <f t="shared" si="152"/>
        <v>145.9462817529101</v>
      </c>
      <c r="I468" s="94">
        <f t="shared" si="153"/>
        <v>343.43856211159374</v>
      </c>
      <c r="J468" s="95">
        <f t="shared" si="154"/>
        <v>-44.171864371144693</v>
      </c>
      <c r="K468" s="94">
        <f t="shared" si="155"/>
        <v>103.72320924589134</v>
      </c>
      <c r="L468" s="94">
        <f t="shared" si="156"/>
        <v>-144.7486647389789</v>
      </c>
      <c r="M468" s="93">
        <f t="shared" si="157"/>
        <v>3041.3287156865467</v>
      </c>
      <c r="N468" s="93">
        <f t="shared" si="158"/>
        <v>36952.227192946288</v>
      </c>
      <c r="O468" s="93">
        <f t="shared" si="159"/>
        <v>39681.559086308596</v>
      </c>
      <c r="P468" s="93">
        <f t="shared" si="160"/>
        <v>11521.843074964374</v>
      </c>
      <c r="Q468" s="93">
        <f t="shared" si="161"/>
        <v>51849082247059.922</v>
      </c>
      <c r="R468" s="93">
        <f t="shared" si="162"/>
        <v>63214184817239.664</v>
      </c>
      <c r="S468" s="93">
        <f t="shared" si="163"/>
        <v>1981371422198.9299</v>
      </c>
      <c r="T468">
        <f t="shared" si="164"/>
        <v>0.5</v>
      </c>
    </row>
    <row r="469" spans="1:20" x14ac:dyDescent="0.25">
      <c r="A469">
        <v>213</v>
      </c>
      <c r="B469" s="95">
        <f t="shared" si="165"/>
        <v>-1197.2084890740111</v>
      </c>
      <c r="C469" s="95">
        <f t="shared" si="166"/>
        <v>-26287.177883118977</v>
      </c>
      <c r="D469" s="95">
        <f t="shared" si="167"/>
        <v>6510.0844031336701</v>
      </c>
      <c r="E469" s="95">
        <f t="shared" si="168"/>
        <v>443.27560957489754</v>
      </c>
      <c r="F469" s="96">
        <f t="shared" si="150"/>
        <v>-846.45175572883011</v>
      </c>
      <c r="G469" s="94">
        <f t="shared" si="151"/>
        <v>3217.273816624383</v>
      </c>
      <c r="H469" s="97">
        <f t="shared" si="152"/>
        <v>126.25232666396107</v>
      </c>
      <c r="I469" s="94">
        <f t="shared" si="153"/>
        <v>380.96189986238829</v>
      </c>
      <c r="J469" s="95">
        <f t="shared" si="154"/>
        <v>-48.928450228661596</v>
      </c>
      <c r="K469" s="94">
        <f t="shared" si="155"/>
        <v>94.426158794617152</v>
      </c>
      <c r="L469" s="94">
        <f t="shared" si="156"/>
        <v>-923.77563216412955</v>
      </c>
      <c r="M469" s="93">
        <f t="shared" si="157"/>
        <v>2741.8857579673777</v>
      </c>
      <c r="N469" s="93">
        <f t="shared" si="158"/>
        <v>35594.253289728033</v>
      </c>
      <c r="O469" s="93">
        <f t="shared" si="159"/>
        <v>40869.355846703394</v>
      </c>
      <c r="P469" s="93">
        <f t="shared" si="160"/>
        <v>11910.567066296253</v>
      </c>
      <c r="Q469" s="93">
        <f t="shared" si="161"/>
        <v>46437517706923.875</v>
      </c>
      <c r="R469" s="93">
        <f t="shared" si="162"/>
        <v>69016608301728.813</v>
      </c>
      <c r="S469" s="93">
        <f t="shared" si="163"/>
        <v>2155433537808.1096</v>
      </c>
      <c r="T469">
        <f t="shared" si="164"/>
        <v>0.5</v>
      </c>
    </row>
    <row r="470" spans="1:20" x14ac:dyDescent="0.25">
      <c r="A470">
        <v>213.5</v>
      </c>
      <c r="B470" s="95">
        <f t="shared" si="165"/>
        <v>1846.2207735606164</v>
      </c>
      <c r="C470" s="95">
        <f t="shared" si="166"/>
        <v>-25261.221624175432</v>
      </c>
      <c r="D470" s="95">
        <f t="shared" si="167"/>
        <v>6086.8585252692546</v>
      </c>
      <c r="E470" s="95">
        <f t="shared" si="168"/>
        <v>2051.9125178870891</v>
      </c>
      <c r="F470" s="96">
        <f t="shared" si="150"/>
        <v>-1467.1510355326707</v>
      </c>
      <c r="G470" s="94">
        <f t="shared" si="151"/>
        <v>2797.7359179445002</v>
      </c>
      <c r="H470" s="97">
        <f t="shared" si="152"/>
        <v>107.39664881568829</v>
      </c>
      <c r="I470" s="94">
        <f t="shared" si="153"/>
        <v>431.51099825411228</v>
      </c>
      <c r="J470" s="95">
        <f t="shared" si="154"/>
        <v>-54.390547060728579</v>
      </c>
      <c r="K470" s="94">
        <f t="shared" si="155"/>
        <v>87.789881556520967</v>
      </c>
      <c r="L470" s="94">
        <f t="shared" si="156"/>
        <v>-1520.1571372876303</v>
      </c>
      <c r="M470" s="93">
        <f t="shared" si="157"/>
        <v>2278.4350381338672</v>
      </c>
      <c r="N470" s="93">
        <f t="shared" si="158"/>
        <v>33760.653992211919</v>
      </c>
      <c r="O470" s="93">
        <f t="shared" si="159"/>
        <v>41480.249667960881</v>
      </c>
      <c r="P470" s="93">
        <f t="shared" si="160"/>
        <v>12335.453299363524</v>
      </c>
      <c r="Q470" s="93">
        <f t="shared" si="161"/>
        <v>39752719163420.055</v>
      </c>
      <c r="R470" s="93">
        <f t="shared" si="162"/>
        <v>72134933142889.781</v>
      </c>
      <c r="S470" s="93">
        <f t="shared" si="163"/>
        <v>2358093598736.7715</v>
      </c>
      <c r="T470">
        <f t="shared" si="164"/>
        <v>0.5</v>
      </c>
    </row>
    <row r="471" spans="1:20" x14ac:dyDescent="0.25">
      <c r="A471">
        <v>214</v>
      </c>
      <c r="B471" s="95">
        <f t="shared" si="165"/>
        <v>4522.862277312076</v>
      </c>
      <c r="C471" s="95">
        <f t="shared" si="166"/>
        <v>-23535.831385745762</v>
      </c>
      <c r="D471" s="95">
        <f t="shared" si="167"/>
        <v>5353.2830075029196</v>
      </c>
      <c r="E471" s="95">
        <f t="shared" si="168"/>
        <v>3450.7804768593392</v>
      </c>
      <c r="F471" s="96">
        <f t="shared" si="150"/>
        <v>-1898.4434452349108</v>
      </c>
      <c r="G471" s="94">
        <f t="shared" si="151"/>
        <v>2309.5704057283269</v>
      </c>
      <c r="H471" s="97">
        <f t="shared" si="152"/>
        <v>88.265026123814707</v>
      </c>
      <c r="I471" s="94">
        <f t="shared" si="153"/>
        <v>500.14781565375694</v>
      </c>
      <c r="J471" s="95">
        <f t="shared" si="154"/>
        <v>-60.769689075992439</v>
      </c>
      <c r="K471" s="94">
        <f t="shared" si="155"/>
        <v>83.104574954211145</v>
      </c>
      <c r="L471" s="94">
        <f t="shared" si="156"/>
        <v>-1925.938782282733</v>
      </c>
      <c r="M471" s="93">
        <f t="shared" si="157"/>
        <v>1726.318015120359</v>
      </c>
      <c r="N471" s="93">
        <f t="shared" si="158"/>
        <v>31515.42269171925</v>
      </c>
      <c r="O471" s="93">
        <f t="shared" si="159"/>
        <v>41545.430085692773</v>
      </c>
      <c r="P471" s="93">
        <f t="shared" si="160"/>
        <v>12788.484014868054</v>
      </c>
      <c r="Q471" s="93">
        <f t="shared" si="161"/>
        <v>32491041257494.027</v>
      </c>
      <c r="R471" s="93">
        <f t="shared" si="162"/>
        <v>72473108127192.125</v>
      </c>
      <c r="S471" s="93">
        <f t="shared" si="163"/>
        <v>2588949905604.9692</v>
      </c>
      <c r="T471">
        <f t="shared" si="164"/>
        <v>0.5</v>
      </c>
    </row>
    <row r="472" spans="1:20" x14ac:dyDescent="0.25">
      <c r="A472">
        <v>214.5</v>
      </c>
      <c r="B472" s="95">
        <f t="shared" si="165"/>
        <v>6724.8929197548077</v>
      </c>
      <c r="C472" s="95">
        <f t="shared" si="166"/>
        <v>-21233.048545884008</v>
      </c>
      <c r="D472" s="95">
        <f t="shared" si="167"/>
        <v>4404.0612848854644</v>
      </c>
      <c r="E472" s="95">
        <f t="shared" si="168"/>
        <v>4605.5656797235024</v>
      </c>
      <c r="F472" s="96">
        <f t="shared" si="150"/>
        <v>-2149.6544064743994</v>
      </c>
      <c r="G472" s="94">
        <f t="shared" si="151"/>
        <v>1817.5517438976208</v>
      </c>
      <c r="H472" s="97">
        <f t="shared" si="152"/>
        <v>67.839331584636184</v>
      </c>
      <c r="I472" s="94">
        <f t="shared" si="153"/>
        <v>595.16551977767506</v>
      </c>
      <c r="J472" s="95">
        <f t="shared" si="154"/>
        <v>-68.35647067323589</v>
      </c>
      <c r="K472" s="94">
        <f t="shared" si="155"/>
        <v>79.887353463793076</v>
      </c>
      <c r="L472" s="94">
        <f t="shared" si="156"/>
        <v>-2149.1372673857995</v>
      </c>
      <c r="M472" s="93">
        <f t="shared" si="157"/>
        <v>1142.4988706561528</v>
      </c>
      <c r="N472" s="93">
        <f t="shared" si="158"/>
        <v>28919.101042860915</v>
      </c>
      <c r="O472" s="93">
        <f t="shared" si="159"/>
        <v>41106.243115151105</v>
      </c>
      <c r="P472" s="93">
        <f t="shared" si="160"/>
        <v>13278.705063185309</v>
      </c>
      <c r="Q472" s="93">
        <f t="shared" si="161"/>
        <v>25277991647518.953</v>
      </c>
      <c r="R472" s="93">
        <f t="shared" si="162"/>
        <v>70214868146733.117</v>
      </c>
      <c r="S472" s="93">
        <f t="shared" si="163"/>
        <v>2856560011298.1152</v>
      </c>
      <c r="T472">
        <f t="shared" si="164"/>
        <v>0.5</v>
      </c>
    </row>
    <row r="473" spans="1:20" x14ac:dyDescent="0.25">
      <c r="A473">
        <v>215</v>
      </c>
      <c r="B473" s="95">
        <f t="shared" si="165"/>
        <v>8389.5099605789401</v>
      </c>
      <c r="C473" s="95">
        <f t="shared" si="166"/>
        <v>-18475.877770047849</v>
      </c>
      <c r="D473" s="95">
        <f t="shared" si="167"/>
        <v>3329.2340816482647</v>
      </c>
      <c r="E473" s="95">
        <f t="shared" si="168"/>
        <v>5514.3415516723126</v>
      </c>
      <c r="F473" s="96">
        <f t="shared" si="150"/>
        <v>-2235.1421872654046</v>
      </c>
      <c r="G473" s="94">
        <f t="shared" si="151"/>
        <v>1380.3595534002193</v>
      </c>
      <c r="H473" s="97">
        <f t="shared" si="152"/>
        <v>45.303906207827517</v>
      </c>
      <c r="I473" s="94">
        <f t="shared" si="153"/>
        <v>730.7146901593253</v>
      </c>
      <c r="J473" s="95">
        <f t="shared" si="154"/>
        <v>-77.541297804526721</v>
      </c>
      <c r="K473" s="94">
        <f t="shared" si="155"/>
        <v>77.777197333756106</v>
      </c>
      <c r="L473" s="94">
        <f t="shared" si="156"/>
        <v>-2202.9047956687054</v>
      </c>
      <c r="M473" s="93">
        <f t="shared" si="157"/>
        <v>571.86766590713796</v>
      </c>
      <c r="N473" s="93">
        <f t="shared" si="158"/>
        <v>26025.75463058738</v>
      </c>
      <c r="O473" s="93">
        <f t="shared" si="159"/>
        <v>40209.947656973098</v>
      </c>
      <c r="P473" s="93">
        <f t="shared" si="160"/>
        <v>13833.318591601781</v>
      </c>
      <c r="Q473" s="93">
        <f t="shared" si="161"/>
        <v>18613198802014.734</v>
      </c>
      <c r="R473" s="93">
        <f t="shared" si="162"/>
        <v>65753302886222.578</v>
      </c>
      <c r="S473" s="93">
        <f t="shared" si="163"/>
        <v>3182493875815.5493</v>
      </c>
      <c r="T473">
        <f t="shared" si="164"/>
        <v>0.5</v>
      </c>
    </row>
    <row r="474" spans="1:20" x14ac:dyDescent="0.25">
      <c r="A474">
        <v>215.5</v>
      </c>
      <c r="B474" s="95">
        <f t="shared" si="165"/>
        <v>9495.3414545867217</v>
      </c>
      <c r="C474" s="95">
        <f t="shared" si="166"/>
        <v>-15373.61710586164</v>
      </c>
      <c r="D474" s="95">
        <f t="shared" si="167"/>
        <v>2211.6629880155624</v>
      </c>
      <c r="E474" s="95">
        <f t="shared" si="168"/>
        <v>6204.5213283724224</v>
      </c>
      <c r="F474" s="96">
        <f t="shared" si="150"/>
        <v>-2171.6769429478109</v>
      </c>
      <c r="G474" s="94">
        <f t="shared" si="151"/>
        <v>1063.0925323989411</v>
      </c>
      <c r="H474" s="97">
        <f t="shared" si="152"/>
        <v>20.572275467708046</v>
      </c>
      <c r="I474" s="94">
        <f t="shared" si="153"/>
        <v>932.4371029114518</v>
      </c>
      <c r="J474" s="95">
        <f t="shared" si="154"/>
        <v>-88.857665397371349</v>
      </c>
      <c r="K474" s="94">
        <f t="shared" si="155"/>
        <v>76.440558661953048</v>
      </c>
      <c r="L474" s="94">
        <f t="shared" si="156"/>
        <v>-2103.3915530181475</v>
      </c>
      <c r="M474" s="93">
        <f t="shared" si="157"/>
        <v>54.214870825536316</v>
      </c>
      <c r="N474" s="93">
        <f t="shared" si="158"/>
        <v>22879.18354646915</v>
      </c>
      <c r="O474" s="93">
        <f t="shared" si="159"/>
        <v>38907.526425584241</v>
      </c>
      <c r="P474" s="93">
        <f t="shared" si="160"/>
        <v>14500.155641469948</v>
      </c>
      <c r="Q474" s="93">
        <f t="shared" si="161"/>
        <v>12844402987330.295</v>
      </c>
      <c r="R474" s="93">
        <f t="shared" si="162"/>
        <v>59614412989886.539</v>
      </c>
      <c r="S474" s="93">
        <f t="shared" si="163"/>
        <v>3608335797778.7739</v>
      </c>
      <c r="T474">
        <f t="shared" si="164"/>
        <v>0.5</v>
      </c>
    </row>
    <row r="475" spans="1:20" x14ac:dyDescent="0.25">
      <c r="A475">
        <v>216</v>
      </c>
      <c r="B475" s="95">
        <f t="shared" si="165"/>
        <v>10058.253712857551</v>
      </c>
      <c r="C475" s="95">
        <f t="shared" si="166"/>
        <v>-12005.583308575693</v>
      </c>
      <c r="D475" s="95">
        <f t="shared" si="167"/>
        <v>1125.824516541657</v>
      </c>
      <c r="E475" s="95">
        <f t="shared" si="168"/>
        <v>6736.0675945718931</v>
      </c>
      <c r="F475" s="96">
        <f t="shared" si="150"/>
        <v>-1979.7044524718497</v>
      </c>
      <c r="G475" s="94">
        <f t="shared" si="151"/>
        <v>953.89229469238899</v>
      </c>
      <c r="H475" s="97">
        <f t="shared" si="152"/>
        <v>-3.7357882927474493</v>
      </c>
      <c r="I475" s="94">
        <f t="shared" si="153"/>
        <v>1250.8855863929925</v>
      </c>
      <c r="J475" s="95">
        <f t="shared" si="154"/>
        <v>-103.05452857908149</v>
      </c>
      <c r="K475" s="94">
        <f t="shared" si="155"/>
        <v>75.446000144809545</v>
      </c>
      <c r="L475" s="94">
        <f t="shared" si="156"/>
        <v>-1872.9141356000207</v>
      </c>
      <c r="M475" s="93">
        <f t="shared" si="157"/>
        <v>-372.43929184541315</v>
      </c>
      <c r="N475" s="93">
        <f t="shared" si="158"/>
        <v>19505.670296168966</v>
      </c>
      <c r="O475" s="93">
        <f t="shared" si="159"/>
        <v>37252.440363245732</v>
      </c>
      <c r="P475" s="93">
        <f t="shared" si="160"/>
        <v>15353.095329693902</v>
      </c>
      <c r="Q475" s="93">
        <f t="shared" si="161"/>
        <v>8164695195786.0234</v>
      </c>
      <c r="R475" s="93">
        <f t="shared" si="162"/>
        <v>52382884234040.125</v>
      </c>
      <c r="S475" s="93">
        <f t="shared" si="163"/>
        <v>4209740882848.7588</v>
      </c>
      <c r="T475">
        <f t="shared" si="164"/>
        <v>0.5</v>
      </c>
    </row>
    <row r="476" spans="1:20" x14ac:dyDescent="0.25">
      <c r="A476">
        <v>216.5</v>
      </c>
      <c r="B476" s="95">
        <f t="shared" si="165"/>
        <v>10126.239858010416</v>
      </c>
      <c r="C476" s="95">
        <f t="shared" si="166"/>
        <v>-8399.076437616648</v>
      </c>
      <c r="D476" s="95">
        <f t="shared" si="167"/>
        <v>135.97229030573214</v>
      </c>
      <c r="E476" s="95">
        <f t="shared" si="168"/>
        <v>7213.0137419180874</v>
      </c>
      <c r="F476" s="96">
        <f t="shared" si="150"/>
        <v>-1679.9269217500519</v>
      </c>
      <c r="G476" s="94">
        <f t="shared" si="151"/>
        <v>1198.0073647616314</v>
      </c>
      <c r="H476" s="97">
        <f t="shared" si="152"/>
        <v>-14.275943008637997</v>
      </c>
      <c r="I476" s="94">
        <f t="shared" si="153"/>
        <v>1797.9607446537709</v>
      </c>
      <c r="J476" s="95">
        <f t="shared" si="154"/>
        <v>-121.20681289618882</v>
      </c>
      <c r="K476" s="94">
        <f t="shared" si="155"/>
        <v>74.024950533078453</v>
      </c>
      <c r="L476" s="94">
        <f t="shared" si="156"/>
        <v>-1544.4441658452251</v>
      </c>
      <c r="M476" s="93">
        <f t="shared" si="157"/>
        <v>-673.97833042521791</v>
      </c>
      <c r="N476" s="93">
        <f t="shared" si="158"/>
        <v>15899.577606682744</v>
      </c>
      <c r="O476" s="93">
        <f t="shared" si="159"/>
        <v>35300.373110487599</v>
      </c>
      <c r="P476" s="93">
        <f t="shared" si="160"/>
        <v>16503.797263614539</v>
      </c>
      <c r="Q476" s="93">
        <f t="shared" si="161"/>
        <v>4630099394902.4814</v>
      </c>
      <c r="R476" s="93">
        <f t="shared" si="162"/>
        <v>44638607687630.273</v>
      </c>
      <c r="S476" s="93">
        <f t="shared" si="163"/>
        <v>5128110710772.1387</v>
      </c>
      <c r="T476">
        <f t="shared" si="164"/>
        <v>0.5</v>
      </c>
    </row>
    <row r="477" spans="1:20" x14ac:dyDescent="0.25">
      <c r="A477">
        <v>217</v>
      </c>
      <c r="B477" s="95">
        <f t="shared" si="165"/>
        <v>9774.2442727257694</v>
      </c>
      <c r="C477" s="95">
        <f t="shared" si="166"/>
        <v>-4493.0677254671973</v>
      </c>
      <c r="D477" s="95">
        <f t="shared" si="167"/>
        <v>-703.99117056929379</v>
      </c>
      <c r="E477" s="95">
        <f t="shared" si="168"/>
        <v>7812.0174242989033</v>
      </c>
      <c r="F477" s="96">
        <f t="shared" si="150"/>
        <v>-1254.0217938591054</v>
      </c>
      <c r="G477" s="94">
        <f t="shared" si="151"/>
        <v>2104.5442978731726</v>
      </c>
      <c r="H477" s="97">
        <f t="shared" si="152"/>
        <v>53.85824207020832</v>
      </c>
      <c r="I477" s="94">
        <f t="shared" si="153"/>
        <v>2861.1701351788724</v>
      </c>
      <c r="J477" s="95">
        <f t="shared" si="154"/>
        <v>-144.82746895607076</v>
      </c>
      <c r="K477" s="94">
        <f t="shared" si="155"/>
        <v>70.496980439267858</v>
      </c>
      <c r="L477" s="94">
        <f t="shared" si="156"/>
        <v>-1163.0525669732431</v>
      </c>
      <c r="M477" s="93">
        <f t="shared" si="157"/>
        <v>-827.12281774496773</v>
      </c>
      <c r="N477" s="93">
        <f t="shared" si="158"/>
        <v>11995.192333432593</v>
      </c>
      <c r="O477" s="93">
        <f t="shared" si="159"/>
        <v>33114.266322944888</v>
      </c>
      <c r="P477" s="93">
        <f t="shared" si="160"/>
        <v>18129.36622311407</v>
      </c>
      <c r="Q477" s="93">
        <f t="shared" si="161"/>
        <v>2194750846694.9375</v>
      </c>
      <c r="R477" s="93">
        <f t="shared" si="162"/>
        <v>36921773055706.406</v>
      </c>
      <c r="S477" s="93">
        <f t="shared" si="163"/>
        <v>6651269625517.5889</v>
      </c>
      <c r="T477">
        <f t="shared" si="164"/>
        <v>0.5</v>
      </c>
    </row>
    <row r="478" spans="1:20" x14ac:dyDescent="0.25">
      <c r="A478">
        <v>217.5</v>
      </c>
      <c r="B478" s="95">
        <f t="shared" si="165"/>
        <v>9108.7432389763453</v>
      </c>
      <c r="C478" s="95">
        <f t="shared" si="166"/>
        <v>-60.922938849452521</v>
      </c>
      <c r="D478" s="95">
        <f t="shared" si="167"/>
        <v>-1331.0020674988464</v>
      </c>
      <c r="E478" s="95">
        <f t="shared" si="168"/>
        <v>8864.28957323549</v>
      </c>
      <c r="F478" s="96">
        <f t="shared" si="150"/>
        <v>-339.03663050504235</v>
      </c>
      <c r="G478" s="94">
        <f t="shared" si="151"/>
        <v>4472.7251879484293</v>
      </c>
      <c r="H478" s="97">
        <f t="shared" si="152"/>
        <v>617.56613065526722</v>
      </c>
      <c r="I478" s="94">
        <f t="shared" si="153"/>
        <v>5239.0849951756818</v>
      </c>
      <c r="J478" s="95">
        <f t="shared" si="154"/>
        <v>-175.53864360494345</v>
      </c>
      <c r="K478" s="94">
        <f t="shared" si="155"/>
        <v>60.671831538736036</v>
      </c>
      <c r="L478" s="94">
        <f t="shared" si="156"/>
        <v>-781.06411755536612</v>
      </c>
      <c r="M478" s="93">
        <f t="shared" si="157"/>
        <v>-827.0316387659883</v>
      </c>
      <c r="N478" s="93">
        <f t="shared" si="158"/>
        <v>7613.2709331331571</v>
      </c>
      <c r="O478" s="93">
        <f t="shared" si="159"/>
        <v>30798.394492799755</v>
      </c>
      <c r="P478" s="93">
        <f t="shared" si="160"/>
        <v>20548.300640742906</v>
      </c>
      <c r="Q478" s="93">
        <f t="shared" si="161"/>
        <v>755645307686.38757</v>
      </c>
      <c r="R478" s="93">
        <f t="shared" si="162"/>
        <v>29781286832932.391</v>
      </c>
      <c r="S478" s="93">
        <f t="shared" si="163"/>
        <v>9458020819443.3379</v>
      </c>
      <c r="T478">
        <f t="shared" si="164"/>
        <v>0.5</v>
      </c>
    </row>
    <row r="479" spans="1:20" x14ac:dyDescent="0.25">
      <c r="A479">
        <v>218</v>
      </c>
      <c r="B479" s="95">
        <f t="shared" si="165"/>
        <v>8358.4830476006609</v>
      </c>
      <c r="C479" s="95">
        <f t="shared" si="166"/>
        <v>5489.4031447553998</v>
      </c>
      <c r="D479" s="95">
        <f t="shared" si="167"/>
        <v>-1500.5203827513676</v>
      </c>
      <c r="E479" s="95">
        <f t="shared" si="168"/>
        <v>11100.652167209704</v>
      </c>
      <c r="F479" s="96">
        <f t="shared" si="150"/>
        <v>4147.2985088545202</v>
      </c>
      <c r="G479" s="94">
        <f t="shared" si="151"/>
        <v>5232.0628364654922</v>
      </c>
      <c r="H479" s="97">
        <f t="shared" si="152"/>
        <v>4807.2155238838441</v>
      </c>
      <c r="I479" s="94">
        <f t="shared" si="153"/>
        <v>5888.0734680664709</v>
      </c>
      <c r="J479" s="95">
        <f t="shared" si="154"/>
        <v>-210.39914690217699</v>
      </c>
      <c r="K479" s="94">
        <f t="shared" si="155"/>
        <v>33.465320721497505</v>
      </c>
      <c r="L479" s="94">
        <f t="shared" si="156"/>
        <v>-449.51786812714766</v>
      </c>
      <c r="M479" s="93">
        <f t="shared" si="157"/>
        <v>-689.47595232247636</v>
      </c>
      <c r="N479" s="93">
        <f t="shared" si="158"/>
        <v>2595.5881066405527</v>
      </c>
      <c r="O479" s="93">
        <f t="shared" si="159"/>
        <v>28714.962036394834</v>
      </c>
      <c r="P479" s="93">
        <f t="shared" si="160"/>
        <v>24459.450332363293</v>
      </c>
      <c r="Q479" s="93">
        <f t="shared" si="161"/>
        <v>178792954493.07022</v>
      </c>
      <c r="R479" s="93">
        <f t="shared" si="162"/>
        <v>24206486844260.816</v>
      </c>
      <c r="S479" s="93">
        <f t="shared" si="163"/>
        <v>15559971835415.279</v>
      </c>
      <c r="T479">
        <f t="shared" si="164"/>
        <v>0.5</v>
      </c>
    </row>
    <row r="480" spans="1:20" x14ac:dyDescent="0.25">
      <c r="A480">
        <v>218.5</v>
      </c>
      <c r="B480" s="95">
        <f t="shared" si="165"/>
        <v>8645.0474834386077</v>
      </c>
      <c r="C480" s="95">
        <f t="shared" si="166"/>
        <v>12347.744937476624</v>
      </c>
      <c r="D480" s="95">
        <f t="shared" si="167"/>
        <v>573.12887167589247</v>
      </c>
      <c r="E480" s="95">
        <f t="shared" si="168"/>
        <v>13716.68358544245</v>
      </c>
      <c r="F480" s="96">
        <f t="shared" si="150"/>
        <v>1534.048010098863</v>
      </c>
      <c r="G480" s="94">
        <f t="shared" si="151"/>
        <v>-7606.912735615093</v>
      </c>
      <c r="H480" s="97">
        <f t="shared" si="152"/>
        <v>1986.5423253250131</v>
      </c>
      <c r="I480" s="94">
        <f t="shared" si="153"/>
        <v>-7107.4450085653843</v>
      </c>
      <c r="J480" s="95">
        <f t="shared" si="154"/>
        <v>-211.9544715668988</v>
      </c>
      <c r="K480" s="94">
        <f t="shared" si="155"/>
        <v>-17.371765150133552</v>
      </c>
      <c r="L480" s="94">
        <f t="shared" si="156"/>
        <v>-240.53984365925123</v>
      </c>
      <c r="M480" s="93">
        <f t="shared" si="157"/>
        <v>-482.09596189957466</v>
      </c>
      <c r="N480" s="93">
        <f t="shared" si="158"/>
        <v>5033.5402353578429</v>
      </c>
      <c r="O480" s="93">
        <f t="shared" si="159"/>
        <v>28741.096910519955</v>
      </c>
      <c r="P480" s="93">
        <f t="shared" si="160"/>
        <v>30562.828304830895</v>
      </c>
      <c r="Q480" s="93">
        <f t="shared" si="161"/>
        <v>357128800942.76727</v>
      </c>
      <c r="R480" s="93">
        <f t="shared" si="162"/>
        <v>24271672617675.938</v>
      </c>
      <c r="S480" s="93">
        <f t="shared" si="163"/>
        <v>29702065348599.984</v>
      </c>
      <c r="T480">
        <f t="shared" si="164"/>
        <v>0.5</v>
      </c>
    </row>
    <row r="481" spans="1:20" x14ac:dyDescent="0.25">
      <c r="A481">
        <v>219</v>
      </c>
      <c r="B481" s="95">
        <f t="shared" si="165"/>
        <v>9315.1239218012706</v>
      </c>
      <c r="C481" s="95">
        <f t="shared" si="166"/>
        <v>17304.358546294075</v>
      </c>
      <c r="D481" s="95">
        <f t="shared" si="167"/>
        <v>1340.1528767253239</v>
      </c>
      <c r="E481" s="95">
        <f t="shared" si="168"/>
        <v>9913.2272176349034</v>
      </c>
      <c r="F481" s="96">
        <f t="shared" si="150"/>
        <v>-84.629513633224889</v>
      </c>
      <c r="G481" s="94">
        <f t="shared" si="151"/>
        <v>-4247.4816202766424</v>
      </c>
      <c r="H481" s="97">
        <f t="shared" si="152"/>
        <v>267.44822089273225</v>
      </c>
      <c r="I481" s="94">
        <f t="shared" si="153"/>
        <v>-3828.660882852354</v>
      </c>
      <c r="J481" s="95">
        <f t="shared" si="154"/>
        <v>-187.14828918481226</v>
      </c>
      <c r="K481" s="94">
        <f t="shared" si="155"/>
        <v>-46.631159028285047</v>
      </c>
      <c r="L481" s="94">
        <f t="shared" si="156"/>
        <v>-164.92944534114488</v>
      </c>
      <c r="M481" s="93">
        <f t="shared" si="157"/>
        <v>-372.18957839600324</v>
      </c>
      <c r="N481" s="93">
        <f t="shared" si="158"/>
        <v>9828.2501874330883</v>
      </c>
      <c r="O481" s="93">
        <f t="shared" si="159"/>
        <v>30211.424069768451</v>
      </c>
      <c r="P481" s="93">
        <f t="shared" si="160"/>
        <v>35334.039593344685</v>
      </c>
      <c r="Q481" s="93">
        <f t="shared" si="161"/>
        <v>1340821317802.8445</v>
      </c>
      <c r="R481" s="93">
        <f t="shared" si="162"/>
        <v>28131870877247.266</v>
      </c>
      <c r="S481" s="93">
        <f t="shared" si="163"/>
        <v>45445986570132.445</v>
      </c>
      <c r="T481">
        <f t="shared" si="164"/>
        <v>0.5</v>
      </c>
    </row>
    <row r="482" spans="1:20" x14ac:dyDescent="0.25">
      <c r="A482">
        <v>219.5</v>
      </c>
      <c r="B482" s="95">
        <f t="shared" si="165"/>
        <v>9964.0429817556269</v>
      </c>
      <c r="C482" s="95">
        <f t="shared" si="166"/>
        <v>21199.10175004237</v>
      </c>
      <c r="D482" s="95">
        <f t="shared" si="167"/>
        <v>1297.8381199087114</v>
      </c>
      <c r="E482" s="95">
        <f t="shared" si="168"/>
        <v>7789.4864074965826</v>
      </c>
      <c r="F482" s="96">
        <f t="shared" si="150"/>
        <v>-282.67338938611323</v>
      </c>
      <c r="G482" s="94">
        <f t="shared" si="151"/>
        <v>-2681.00171684423</v>
      </c>
      <c r="H482" s="97">
        <f t="shared" si="152"/>
        <v>6.0706208726658835</v>
      </c>
      <c r="I482" s="94">
        <f t="shared" si="153"/>
        <v>-2312.8183893166652</v>
      </c>
      <c r="J482" s="95">
        <f t="shared" si="154"/>
        <v>-161.49509918983176</v>
      </c>
      <c r="K482" s="94">
        <f t="shared" si="155"/>
        <v>-60.359012602582482</v>
      </c>
      <c r="L482" s="94">
        <f t="shared" si="156"/>
        <v>-127.24891106894734</v>
      </c>
      <c r="M482" s="93">
        <f t="shared" si="157"/>
        <v>-307.82431492498245</v>
      </c>
      <c r="N482" s="93">
        <f t="shared" si="158"/>
        <v>13699.148939447841</v>
      </c>
      <c r="O482" s="93">
        <f t="shared" si="159"/>
        <v>31988.494053648428</v>
      </c>
      <c r="P482" s="93">
        <f t="shared" si="160"/>
        <v>39170.110414316558</v>
      </c>
      <c r="Q482" s="93">
        <f t="shared" si="161"/>
        <v>3101338581641.9204</v>
      </c>
      <c r="R482" s="93">
        <f t="shared" si="162"/>
        <v>33322210701772.121</v>
      </c>
      <c r="S482" s="93">
        <f t="shared" si="163"/>
        <v>61573450942949.422</v>
      </c>
      <c r="T482">
        <f t="shared" si="164"/>
        <v>0.5</v>
      </c>
    </row>
    <row r="483" spans="1:20" x14ac:dyDescent="0.25">
      <c r="A483">
        <v>220</v>
      </c>
      <c r="B483" s="95">
        <f t="shared" si="165"/>
        <v>10542.293694363454</v>
      </c>
      <c r="C483" s="95">
        <f t="shared" si="166"/>
        <v>24423.594524579603</v>
      </c>
      <c r="D483" s="95">
        <f t="shared" si="167"/>
        <v>1156.5014252156548</v>
      </c>
      <c r="E483" s="95">
        <f t="shared" si="168"/>
        <v>6448.9855490744676</v>
      </c>
      <c r="F483" s="96">
        <f t="shared" si="150"/>
        <v>-296.42203397773403</v>
      </c>
      <c r="G483" s="94">
        <f t="shared" si="151"/>
        <v>-1942.0454653271531</v>
      </c>
      <c r="H483" s="97">
        <f t="shared" si="152"/>
        <v>-51.596888577684609</v>
      </c>
      <c r="I483" s="94">
        <f t="shared" si="153"/>
        <v>-1610.2064805374835</v>
      </c>
      <c r="J483" s="95">
        <f t="shared" si="154"/>
        <v>-140.08177203400729</v>
      </c>
      <c r="K483" s="94">
        <f t="shared" si="155"/>
        <v>-66.153599998810606</v>
      </c>
      <c r="L483" s="94">
        <f t="shared" si="156"/>
        <v>-104.74337336604216</v>
      </c>
      <c r="M483" s="93">
        <f t="shared" si="157"/>
        <v>-265.68538479085908</v>
      </c>
      <c r="N483" s="93">
        <f t="shared" si="158"/>
        <v>16932.280829330914</v>
      </c>
      <c r="O483" s="93">
        <f t="shared" si="159"/>
        <v>33776.79355892499</v>
      </c>
      <c r="P483" s="93">
        <f t="shared" si="160"/>
        <v>42376.676350562382</v>
      </c>
      <c r="Q483" s="93">
        <f t="shared" si="161"/>
        <v>5503128622879.541</v>
      </c>
      <c r="R483" s="93">
        <f t="shared" si="162"/>
        <v>39157302346292.156</v>
      </c>
      <c r="S483" s="93">
        <f t="shared" si="163"/>
        <v>77693945562728.875</v>
      </c>
      <c r="T483">
        <f t="shared" si="164"/>
        <v>0.5</v>
      </c>
    </row>
    <row r="484" spans="1:20" x14ac:dyDescent="0.25">
      <c r="A484">
        <v>220.5</v>
      </c>
      <c r="B484" s="95">
        <f t="shared" si="165"/>
        <v>11046.438898476848</v>
      </c>
      <c r="C484" s="95">
        <f t="shared" si="166"/>
        <v>27162.575932785046</v>
      </c>
      <c r="D484" s="95">
        <f t="shared" si="167"/>
        <v>1008.2904082267878</v>
      </c>
      <c r="E484" s="95">
        <f t="shared" si="168"/>
        <v>5477.9628164108908</v>
      </c>
      <c r="F484" s="96">
        <f t="shared" si="150"/>
        <v>-278.29734888300504</v>
      </c>
      <c r="G484" s="94">
        <f t="shared" si="151"/>
        <v>-1532.0503429864364</v>
      </c>
      <c r="H484" s="97">
        <f t="shared" si="152"/>
        <v>-65.349454716903381</v>
      </c>
      <c r="I484" s="94">
        <f t="shared" si="153"/>
        <v>-1227.9155690862715</v>
      </c>
      <c r="J484" s="95">
        <f t="shared" si="154"/>
        <v>-123.097004553838</v>
      </c>
      <c r="K484" s="94">
        <f t="shared" si="155"/>
        <v>-68.048438491194545</v>
      </c>
      <c r="L484" s="94">
        <f t="shared" si="156"/>
        <v>-89.850889612263671</v>
      </c>
      <c r="M484" s="93">
        <f t="shared" si="157"/>
        <v>-236.0863354089704</v>
      </c>
      <c r="N484" s="93">
        <f t="shared" si="158"/>
        <v>19690.401892312486</v>
      </c>
      <c r="O484" s="93">
        <f t="shared" si="159"/>
        <v>35474.432778065231</v>
      </c>
      <c r="P484" s="93">
        <f t="shared" si="160"/>
        <v>45112.86967829043</v>
      </c>
      <c r="Q484" s="93">
        <f t="shared" si="161"/>
        <v>8384371810820.7295</v>
      </c>
      <c r="R484" s="93">
        <f t="shared" si="162"/>
        <v>45295707773939.516</v>
      </c>
      <c r="S484" s="93">
        <f t="shared" si="163"/>
        <v>93509321902235.5</v>
      </c>
      <c r="T484">
        <f t="shared" si="164"/>
        <v>0.5</v>
      </c>
    </row>
    <row r="485" spans="1:20" x14ac:dyDescent="0.25">
      <c r="A485">
        <v>221</v>
      </c>
      <c r="B485" s="95">
        <f t="shared" si="165"/>
        <v>11481.009765369492</v>
      </c>
      <c r="C485" s="95">
        <f t="shared" si="166"/>
        <v>29518.544755243882</v>
      </c>
      <c r="D485" s="95">
        <f t="shared" si="167"/>
        <v>869.14173378528528</v>
      </c>
      <c r="E485" s="95">
        <f t="shared" si="168"/>
        <v>4711.9376449176725</v>
      </c>
      <c r="F485" s="96">
        <f t="shared" si="150"/>
        <v>-256.05041404609563</v>
      </c>
      <c r="G485" s="94">
        <f t="shared" si="151"/>
        <v>-1277.4876768445433</v>
      </c>
      <c r="H485" s="97">
        <f t="shared" si="152"/>
        <v>-66.932840721397355</v>
      </c>
      <c r="I485" s="94">
        <f t="shared" si="153"/>
        <v>-995.10738111305693</v>
      </c>
      <c r="J485" s="95">
        <f t="shared" si="154"/>
        <v>-109.77580381014631</v>
      </c>
      <c r="K485" s="94">
        <f t="shared" si="155"/>
        <v>-68.062109687098982</v>
      </c>
      <c r="L485" s="94">
        <f t="shared" si="156"/>
        <v>-79.341769514551942</v>
      </c>
      <c r="M485" s="93">
        <f t="shared" si="157"/>
        <v>-214.31818604438749</v>
      </c>
      <c r="N485" s="93">
        <f t="shared" si="158"/>
        <v>22068.29633351423</v>
      </c>
      <c r="O485" s="93">
        <f t="shared" si="159"/>
        <v>37040.890448391598</v>
      </c>
      <c r="P485" s="93">
        <f t="shared" si="160"/>
        <v>47471.301962457881</v>
      </c>
      <c r="Q485" s="93">
        <f t="shared" si="161"/>
        <v>11585566837426.777</v>
      </c>
      <c r="R485" s="93">
        <f t="shared" si="162"/>
        <v>51503266068675.852</v>
      </c>
      <c r="S485" s="93">
        <f t="shared" si="163"/>
        <v>108762844420659.92</v>
      </c>
      <c r="T485">
        <f t="shared" si="164"/>
        <v>0.5</v>
      </c>
    </row>
    <row r="486" spans="1:20" x14ac:dyDescent="0.25">
      <c r="A486">
        <v>221.5</v>
      </c>
      <c r="B486" s="95">
        <f t="shared" si="165"/>
        <v>11851.568028750609</v>
      </c>
      <c r="C486" s="95">
        <f t="shared" si="166"/>
        <v>31555.141658491582</v>
      </c>
      <c r="D486" s="95">
        <f t="shared" si="167"/>
        <v>741.11652676223753</v>
      </c>
      <c r="E486" s="95">
        <f t="shared" si="168"/>
        <v>4073.1938064954011</v>
      </c>
      <c r="F486" s="96">
        <f t="shared" si="150"/>
        <v>-235.73474929276108</v>
      </c>
      <c r="G486" s="94">
        <f t="shared" si="151"/>
        <v>-1107.0757319802035</v>
      </c>
      <c r="H486" s="97">
        <f t="shared" si="152"/>
        <v>-64.814384102621645</v>
      </c>
      <c r="I486" s="94">
        <f t="shared" si="153"/>
        <v>-842.05342006715364</v>
      </c>
      <c r="J486" s="95">
        <f t="shared" si="154"/>
        <v>-99.319350868370435</v>
      </c>
      <c r="K486" s="94">
        <f t="shared" si="155"/>
        <v>-67.213101579951598</v>
      </c>
      <c r="L486" s="94">
        <f t="shared" si="156"/>
        <v>-71.601014321769028</v>
      </c>
      <c r="M486" s="93">
        <f t="shared" si="157"/>
        <v>-197.80921033309815</v>
      </c>
      <c r="N486" s="93">
        <f t="shared" si="158"/>
        <v>24126.295703551106</v>
      </c>
      <c r="O486" s="93">
        <f t="shared" si="159"/>
        <v>38459.673917075372</v>
      </c>
      <c r="P486" s="93">
        <f t="shared" si="160"/>
        <v>49511.176110751287</v>
      </c>
      <c r="Q486" s="93">
        <f t="shared" si="161"/>
        <v>14957771584402.988</v>
      </c>
      <c r="R486" s="93">
        <f t="shared" si="162"/>
        <v>57595650425615.672</v>
      </c>
      <c r="S486" s="93">
        <f t="shared" si="163"/>
        <v>123230941214231.38</v>
      </c>
      <c r="T486">
        <f t="shared" si="164"/>
        <v>0.5</v>
      </c>
    </row>
    <row r="487" spans="1:20" x14ac:dyDescent="0.25">
      <c r="A487">
        <v>222</v>
      </c>
      <c r="B487" s="95">
        <f t="shared" si="165"/>
        <v>12163.192604808539</v>
      </c>
      <c r="C487" s="95">
        <f t="shared" si="166"/>
        <v>33314.969628744235</v>
      </c>
      <c r="D487" s="95">
        <f t="shared" si="167"/>
        <v>623.24915211585699</v>
      </c>
      <c r="E487" s="95">
        <f t="shared" si="168"/>
        <v>3519.6559405052994</v>
      </c>
      <c r="F487" s="96">
        <f t="shared" si="150"/>
        <v>-218.48473886238276</v>
      </c>
      <c r="G487" s="94">
        <f t="shared" si="151"/>
        <v>-987.04531471760743</v>
      </c>
      <c r="H487" s="97">
        <f t="shared" si="152"/>
        <v>-61.672817953193977</v>
      </c>
      <c r="I487" s="94">
        <f t="shared" si="153"/>
        <v>-735.98713255664416</v>
      </c>
      <c r="J487" s="95">
        <f t="shared" si="154"/>
        <v>-91.081403464866014</v>
      </c>
      <c r="K487" s="94">
        <f t="shared" si="155"/>
        <v>-66.024544939275401</v>
      </c>
      <c r="L487" s="94">
        <f t="shared" si="156"/>
        <v>-65.730517444322786</v>
      </c>
      <c r="M487" s="93">
        <f t="shared" si="157"/>
        <v>-185.03363722168785</v>
      </c>
      <c r="N487" s="93">
        <f t="shared" si="158"/>
        <v>25905.444585617239</v>
      </c>
      <c r="O487" s="93">
        <f t="shared" si="159"/>
        <v>39724.787819738907</v>
      </c>
      <c r="P487" s="93">
        <f t="shared" si="160"/>
        <v>51272.911665091073</v>
      </c>
      <c r="Q487" s="93">
        <f t="shared" si="161"/>
        <v>18365384246276.152</v>
      </c>
      <c r="R487" s="93">
        <f t="shared" si="162"/>
        <v>63419407430202.914</v>
      </c>
      <c r="S487" s="93">
        <f t="shared" si="163"/>
        <v>136719243703621.73</v>
      </c>
      <c r="T487">
        <f t="shared" si="164"/>
        <v>0.5</v>
      </c>
    </row>
    <row r="488" spans="1:20" x14ac:dyDescent="0.25">
      <c r="A488">
        <v>222.5</v>
      </c>
      <c r="B488" s="95">
        <f t="shared" si="165"/>
        <v>12420.195996150871</v>
      </c>
      <c r="C488" s="95">
        <f t="shared" si="166"/>
        <v>34828.036270317483</v>
      </c>
      <c r="D488" s="95">
        <f t="shared" si="167"/>
        <v>514.00678268466561</v>
      </c>
      <c r="E488" s="95">
        <f t="shared" si="168"/>
        <v>3026.1332831464956</v>
      </c>
      <c r="F488" s="96">
        <f t="shared" si="150"/>
        <v>-204.19815025764507</v>
      </c>
      <c r="G488" s="94">
        <f t="shared" si="151"/>
        <v>-899.59035334265184</v>
      </c>
      <c r="H488" s="97">
        <f t="shared" si="152"/>
        <v>-58.431720493710984</v>
      </c>
      <c r="I488" s="94">
        <f t="shared" si="153"/>
        <v>-659.79126464501587</v>
      </c>
      <c r="J488" s="95">
        <f t="shared" si="154"/>
        <v>-84.57484535989235</v>
      </c>
      <c r="K488" s="94">
        <f t="shared" si="155"/>
        <v>-64.769112697566797</v>
      </c>
      <c r="L488" s="94">
        <f t="shared" si="156"/>
        <v>-61.191584404041762</v>
      </c>
      <c r="M488" s="93">
        <f t="shared" si="157"/>
        <v>-175.02997600006913</v>
      </c>
      <c r="N488" s="93">
        <f t="shared" si="158"/>
        <v>27434.994351221809</v>
      </c>
      <c r="O488" s="93">
        <f t="shared" si="159"/>
        <v>40835.040020416745</v>
      </c>
      <c r="P488" s="93">
        <f t="shared" si="160"/>
        <v>52785.380808519185</v>
      </c>
      <c r="Q488" s="93">
        <f t="shared" si="161"/>
        <v>21687050279974.066</v>
      </c>
      <c r="R488" s="93">
        <f t="shared" si="162"/>
        <v>68844169629992.625</v>
      </c>
      <c r="S488" s="93">
        <f t="shared" si="163"/>
        <v>149059603262446.63</v>
      </c>
      <c r="T488">
        <f t="shared" si="164"/>
        <v>0.5</v>
      </c>
    </row>
    <row r="489" spans="1:20" x14ac:dyDescent="0.25">
      <c r="A489">
        <v>223</v>
      </c>
      <c r="B489" s="95">
        <f t="shared" si="165"/>
        <v>12626.149849928792</v>
      </c>
      <c r="C489" s="95">
        <f t="shared" si="166"/>
        <v>36116.20532355507</v>
      </c>
      <c r="D489" s="95">
        <f t="shared" si="167"/>
        <v>411.9077075558431</v>
      </c>
      <c r="E489" s="95">
        <f t="shared" si="168"/>
        <v>2576.3381064751698</v>
      </c>
      <c r="F489" s="96">
        <f t="shared" si="150"/>
        <v>-192.49371034535352</v>
      </c>
      <c r="G489" s="94">
        <f t="shared" si="151"/>
        <v>-834.53910030106954</v>
      </c>
      <c r="H489" s="97">
        <f t="shared" si="152"/>
        <v>-55.410140899876737</v>
      </c>
      <c r="I489" s="94">
        <f t="shared" si="153"/>
        <v>-603.7842695994608</v>
      </c>
      <c r="J489" s="95">
        <f t="shared" si="154"/>
        <v>-79.440929276048621</v>
      </c>
      <c r="K489" s="94">
        <f t="shared" si="155"/>
        <v>-63.589961721206009</v>
      </c>
      <c r="L489" s="94">
        <f t="shared" si="156"/>
        <v>-57.642640169428148</v>
      </c>
      <c r="M489" s="93">
        <f t="shared" si="157"/>
        <v>-167.16486898040279</v>
      </c>
      <c r="N489" s="93">
        <f t="shared" si="158"/>
        <v>28736.455420843791</v>
      </c>
      <c r="O489" s="93">
        <f t="shared" si="159"/>
        <v>41791.408621056253</v>
      </c>
      <c r="P489" s="93">
        <f t="shared" si="160"/>
        <v>54069.840070153572</v>
      </c>
      <c r="Q489" s="93">
        <f t="shared" si="161"/>
        <v>24815833773911.781</v>
      </c>
      <c r="R489" s="93">
        <f t="shared" si="162"/>
        <v>73758869747229.016</v>
      </c>
      <c r="S489" s="93">
        <f t="shared" si="163"/>
        <v>160107698967432.84</v>
      </c>
      <c r="T489">
        <f t="shared" si="164"/>
        <v>0.5</v>
      </c>
    </row>
    <row r="490" spans="1:20" x14ac:dyDescent="0.25">
      <c r="A490">
        <v>223.5</v>
      </c>
      <c r="B490" s="95">
        <f t="shared" si="165"/>
        <v>12783.980276120374</v>
      </c>
      <c r="C490" s="95">
        <f t="shared" si="166"/>
        <v>37195.739601717389</v>
      </c>
      <c r="D490" s="95">
        <f t="shared" si="167"/>
        <v>315.66085238316634</v>
      </c>
      <c r="E490" s="95">
        <f t="shared" si="168"/>
        <v>2159.0685563246352</v>
      </c>
      <c r="F490" s="96">
        <f t="shared" si="150"/>
        <v>-182.97756470876951</v>
      </c>
      <c r="G490" s="94">
        <f t="shared" si="151"/>
        <v>-785.72324881269833</v>
      </c>
      <c r="H490" s="97">
        <f t="shared" si="152"/>
        <v>-52.701974510373432</v>
      </c>
      <c r="I490" s="94">
        <f t="shared" si="153"/>
        <v>-562.15344806154371</v>
      </c>
      <c r="J490" s="95">
        <f t="shared" si="154"/>
        <v>-75.417522373275077</v>
      </c>
      <c r="K490" s="94">
        <f t="shared" si="155"/>
        <v>-62.562119748596963</v>
      </c>
      <c r="L490" s="94">
        <f t="shared" si="156"/>
        <v>-54.858067825121005</v>
      </c>
      <c r="M490" s="93">
        <f t="shared" si="157"/>
        <v>-161.00768100255766</v>
      </c>
      <c r="N490" s="93">
        <f t="shared" si="158"/>
        <v>29825.953407574983</v>
      </c>
      <c r="O490" s="93">
        <f t="shared" si="159"/>
        <v>42595.746445266916</v>
      </c>
      <c r="P490" s="93">
        <f t="shared" si="160"/>
        <v>55142.226895834807</v>
      </c>
      <c r="Q490" s="93">
        <f t="shared" si="161"/>
        <v>27659090146224.441</v>
      </c>
      <c r="R490" s="93">
        <f t="shared" si="162"/>
        <v>78069637231931.813</v>
      </c>
      <c r="S490" s="93">
        <f t="shared" si="163"/>
        <v>169741127732115.59</v>
      </c>
      <c r="T490">
        <f t="shared" si="164"/>
        <v>0.5</v>
      </c>
    </row>
    <row r="491" spans="1:20" x14ac:dyDescent="0.25">
      <c r="A491">
        <v>224</v>
      </c>
      <c r="B491" s="95">
        <f t="shared" si="165"/>
        <v>12896.066311134766</v>
      </c>
      <c r="C491" s="95">
        <f t="shared" si="166"/>
        <v>38078.843067676535</v>
      </c>
      <c r="D491" s="95">
        <f t="shared" si="167"/>
        <v>224.1720700287816</v>
      </c>
      <c r="E491" s="95">
        <f t="shared" si="168"/>
        <v>1766.206931918286</v>
      </c>
      <c r="F491" s="96">
        <f t="shared" si="150"/>
        <v>-175.31262453870133</v>
      </c>
      <c r="G491" s="94">
        <f t="shared" si="151"/>
        <v>-749.23789778218782</v>
      </c>
      <c r="H491" s="97">
        <f t="shared" si="152"/>
        <v>-50.314064950876592</v>
      </c>
      <c r="I491" s="94">
        <f t="shared" si="153"/>
        <v>-531.25368376903327</v>
      </c>
      <c r="J491" s="95">
        <f t="shared" si="154"/>
        <v>-72.314036566988776</v>
      </c>
      <c r="K491" s="94">
        <f t="shared" si="155"/>
        <v>-61.724537674202459</v>
      </c>
      <c r="L491" s="94">
        <f t="shared" si="156"/>
        <v>-52.684523020835961</v>
      </c>
      <c r="M491" s="93">
        <f t="shared" si="157"/>
        <v>-156.25967633895212</v>
      </c>
      <c r="N491" s="93">
        <f t="shared" si="158"/>
        <v>30715.677486197161</v>
      </c>
      <c r="O491" s="93">
        <f t="shared" si="159"/>
        <v>43250.116841065093</v>
      </c>
      <c r="P491" s="93">
        <f t="shared" si="160"/>
        <v>56014.576413783281</v>
      </c>
      <c r="Q491" s="93">
        <f t="shared" si="161"/>
        <v>30138228267625.32</v>
      </c>
      <c r="R491" s="93">
        <f t="shared" si="162"/>
        <v>81698504399049.25</v>
      </c>
      <c r="S491" s="93">
        <f t="shared" si="163"/>
        <v>177857895853594.22</v>
      </c>
      <c r="T491">
        <f t="shared" si="164"/>
        <v>0.5</v>
      </c>
    </row>
    <row r="492" spans="1:20" x14ac:dyDescent="0.25">
      <c r="A492">
        <v>224.5</v>
      </c>
      <c r="B492" s="95">
        <f t="shared" si="165"/>
        <v>12964.32419001448</v>
      </c>
      <c r="C492" s="95">
        <f t="shared" si="166"/>
        <v>38774.637059190136</v>
      </c>
      <c r="D492" s="95">
        <f t="shared" si="167"/>
        <v>136.51575775943093</v>
      </c>
      <c r="E492" s="95">
        <f t="shared" si="168"/>
        <v>1391.5879830271922</v>
      </c>
      <c r="F492" s="96">
        <f t="shared" ref="F492:F555" si="169">SUM(H492,J492,L492)</f>
        <v>-169.22897804704192</v>
      </c>
      <c r="G492" s="94">
        <f t="shared" ref="G492:G555" si="170">SUM(I492,K492,M492)</f>
        <v>-722.54349576986272</v>
      </c>
      <c r="H492" s="97">
        <f t="shared" ref="H492:H555" si="171">$D$22*(($D$18-$B492)/$Q492)</f>
        <v>-48.219674398341425</v>
      </c>
      <c r="I492" s="94">
        <f t="shared" ref="I492:I555" si="172">$D$22*(($E$18-$C492)/$Q492)</f>
        <v>-508.73410573662119</v>
      </c>
      <c r="J492" s="95">
        <f t="shared" ref="J492:J555" si="173">$D$30*(($D$26-$B492)/$R492)</f>
        <v>-69.993245244344308</v>
      </c>
      <c r="K492" s="94">
        <f t="shared" ref="K492:K555" si="174">$D$30*(($E$26-$C492)/$R492)</f>
        <v>-61.097270397279424</v>
      </c>
      <c r="L492" s="94">
        <f t="shared" ref="L492:L555" si="175">$D$38*(($D$34-$B492)/$S492)</f>
        <v>-51.016058404356187</v>
      </c>
      <c r="M492" s="93">
        <f t="shared" ref="M492:M555" si="176">$D$38*(($E$34-$C492)/$S492)</f>
        <v>-152.71211963596218</v>
      </c>
      <c r="N492" s="93">
        <f t="shared" ref="N492:N555" si="177">SQRT(($D$18-$B492)^2+($E$18-$C492)^2)</f>
        <v>31414.807672299605</v>
      </c>
      <c r="O492" s="93">
        <f t="shared" ref="O492:O555" si="178">SQRT(($D$26-$B492)^2+($E$26-$C492)^2)</f>
        <v>43756.444179029124</v>
      </c>
      <c r="P492" s="93">
        <f t="shared" ref="P492:P555" si="179">SQRT(($D$34-$B492)^2+($E$34-$C492)^2)</f>
        <v>56695.93049286311</v>
      </c>
      <c r="Q492" s="93">
        <f t="shared" ref="Q492:Q555" si="180">($N492^2+$D$39^2)^(3/2)</f>
        <v>32188448713817.691</v>
      </c>
      <c r="R492" s="93">
        <f t="shared" ref="R492:R555" si="181">($O492^2+$D$31^2)^(3/2)</f>
        <v>84582552864257.891</v>
      </c>
      <c r="S492" s="93">
        <f t="shared" ref="S492:S555" si="182">($P492^2+$D$23^2)^(3/2)</f>
        <v>184375242708662.69</v>
      </c>
      <c r="T492">
        <f t="shared" ref="T492:T555" si="183">A493-A492</f>
        <v>0.5</v>
      </c>
    </row>
    <row r="493" spans="1:20" x14ac:dyDescent="0.25">
      <c r="A493">
        <v>225</v>
      </c>
      <c r="B493" s="95">
        <f t="shared" ref="B493:B556" si="184">B492+(D492*$T492)+(F492*($T492)^2)</f>
        <v>12990.274824382435</v>
      </c>
      <c r="C493" s="95">
        <f t="shared" ref="C493:C556" si="185">C492+(E492*$T492)+(G492*($T492)^2)</f>
        <v>39289.795176761261</v>
      </c>
      <c r="D493" s="95">
        <f t="shared" ref="D493:D556" si="186">D492+(F492*$T492)</f>
        <v>51.901268735909966</v>
      </c>
      <c r="E493" s="95">
        <f t="shared" ref="E493:E556" si="187">E492+(G492*$T492)</f>
        <v>1030.3162351422609</v>
      </c>
      <c r="F493" s="96">
        <f t="shared" si="169"/>
        <v>-164.51752426312379</v>
      </c>
      <c r="G493" s="94">
        <f t="shared" si="170"/>
        <v>-703.97549493240354</v>
      </c>
      <c r="H493" s="97">
        <f t="shared" si="171"/>
        <v>-46.379556414136282</v>
      </c>
      <c r="I493" s="94">
        <f t="shared" si="172"/>
        <v>-493.06391063869364</v>
      </c>
      <c r="J493" s="95">
        <f t="shared" si="173"/>
        <v>-68.358606456338492</v>
      </c>
      <c r="K493" s="94">
        <f t="shared" si="174"/>
        <v>-60.69090337480889</v>
      </c>
      <c r="L493" s="94">
        <f t="shared" si="175"/>
        <v>-49.779361392649008</v>
      </c>
      <c r="M493" s="93">
        <f t="shared" si="176"/>
        <v>-150.22068091890102</v>
      </c>
      <c r="N493" s="93">
        <f t="shared" si="177"/>
        <v>31930.12403523934</v>
      </c>
      <c r="O493" s="93">
        <f t="shared" si="178"/>
        <v>44116.327300500758</v>
      </c>
      <c r="P493" s="93">
        <f t="shared" si="179"/>
        <v>57192.935303160462</v>
      </c>
      <c r="Q493" s="93">
        <f t="shared" si="180"/>
        <v>33758499602032.445</v>
      </c>
      <c r="R493" s="93">
        <f t="shared" si="181"/>
        <v>86673328513443.453</v>
      </c>
      <c r="S493" s="93">
        <f t="shared" si="182"/>
        <v>189228740730984.19</v>
      </c>
      <c r="T493">
        <f t="shared" si="183"/>
        <v>0.5</v>
      </c>
    </row>
    <row r="494" spans="1:20" x14ac:dyDescent="0.25">
      <c r="A494">
        <v>225.5</v>
      </c>
      <c r="B494" s="95">
        <f t="shared" si="184"/>
        <v>12975.09607768461</v>
      </c>
      <c r="C494" s="95">
        <f t="shared" si="185"/>
        <v>39628.959420599291</v>
      </c>
      <c r="D494" s="95">
        <f t="shared" si="186"/>
        <v>-30.357493395651929</v>
      </c>
      <c r="E494" s="95">
        <f t="shared" si="187"/>
        <v>678.32848767605913</v>
      </c>
      <c r="F494" s="96">
        <f t="shared" si="169"/>
        <v>-161.02014242242228</v>
      </c>
      <c r="G494" s="94">
        <f t="shared" si="170"/>
        <v>-692.46646256079794</v>
      </c>
      <c r="H494" s="97">
        <f t="shared" si="171"/>
        <v>-44.749658983738207</v>
      </c>
      <c r="I494" s="94">
        <f t="shared" si="172"/>
        <v>-483.26505767609655</v>
      </c>
      <c r="J494" s="95">
        <f t="shared" si="173"/>
        <v>-67.345710373907892</v>
      </c>
      <c r="K494" s="94">
        <f t="shared" si="174"/>
        <v>-60.511827323235444</v>
      </c>
      <c r="L494" s="94">
        <f t="shared" si="175"/>
        <v>-48.924773064776197</v>
      </c>
      <c r="M494" s="93">
        <f t="shared" si="176"/>
        <v>-148.68957756146591</v>
      </c>
      <c r="N494" s="93">
        <f t="shared" si="177"/>
        <v>32266.410245361509</v>
      </c>
      <c r="O494" s="93">
        <f t="shared" si="178"/>
        <v>44330.939508204094</v>
      </c>
      <c r="P494" s="93">
        <f t="shared" si="179"/>
        <v>57510.236361707612</v>
      </c>
      <c r="Q494" s="93">
        <f t="shared" si="180"/>
        <v>34810470044677.734</v>
      </c>
      <c r="R494" s="93">
        <f t="shared" si="181"/>
        <v>87936438766900.875</v>
      </c>
      <c r="S494" s="93">
        <f t="shared" si="182"/>
        <v>192371629094249.34</v>
      </c>
      <c r="T494">
        <f t="shared" si="183"/>
        <v>0.5</v>
      </c>
    </row>
    <row r="495" spans="1:20" x14ac:dyDescent="0.25">
      <c r="A495">
        <v>226</v>
      </c>
      <c r="B495" s="95">
        <f t="shared" si="184"/>
        <v>12919.662295381178</v>
      </c>
      <c r="C495" s="95">
        <f t="shared" si="185"/>
        <v>39795.007048797124</v>
      </c>
      <c r="D495" s="95">
        <f t="shared" si="186"/>
        <v>-110.86756460686307</v>
      </c>
      <c r="E495" s="95">
        <f t="shared" si="187"/>
        <v>332.09525639566016</v>
      </c>
      <c r="F495" s="96">
        <f t="shared" si="169"/>
        <v>-158.62040689500958</v>
      </c>
      <c r="G495" s="94">
        <f t="shared" si="170"/>
        <v>-687.38712130924648</v>
      </c>
      <c r="H495" s="97">
        <f t="shared" si="171"/>
        <v>-43.282774222564917</v>
      </c>
      <c r="I495" s="94">
        <f t="shared" si="172"/>
        <v>-478.75999248972579</v>
      </c>
      <c r="J495" s="95">
        <f t="shared" si="173"/>
        <v>-66.916811126763008</v>
      </c>
      <c r="K495" s="94">
        <f t="shared" si="174"/>
        <v>-60.565228200553868</v>
      </c>
      <c r="L495" s="94">
        <f t="shared" si="175"/>
        <v>-48.420821545681655</v>
      </c>
      <c r="M495" s="93">
        <f t="shared" si="176"/>
        <v>-148.06190061896677</v>
      </c>
      <c r="N495" s="93">
        <f t="shared" si="177"/>
        <v>32426.715963861134</v>
      </c>
      <c r="O495" s="93">
        <f t="shared" si="178"/>
        <v>44400.975334780785</v>
      </c>
      <c r="P495" s="93">
        <f t="shared" si="179"/>
        <v>57650.733683607461</v>
      </c>
      <c r="Q495" s="93">
        <f t="shared" si="180"/>
        <v>35319630741809.5</v>
      </c>
      <c r="R495" s="93">
        <f t="shared" si="181"/>
        <v>88351286338845.438</v>
      </c>
      <c r="S495" s="93">
        <f t="shared" si="182"/>
        <v>193774350320443.31</v>
      </c>
      <c r="T495">
        <f t="shared" si="183"/>
        <v>0.5</v>
      </c>
    </row>
    <row r="496" spans="1:20" x14ac:dyDescent="0.25">
      <c r="A496">
        <v>226.5</v>
      </c>
      <c r="B496" s="95">
        <f t="shared" si="184"/>
        <v>12824.573411353995</v>
      </c>
      <c r="C496" s="95">
        <f t="shared" si="185"/>
        <v>39789.207896667649</v>
      </c>
      <c r="D496" s="95">
        <f t="shared" si="186"/>
        <v>-190.17776805436785</v>
      </c>
      <c r="E496" s="95">
        <f t="shared" si="187"/>
        <v>-11.598304258963083</v>
      </c>
      <c r="F496" s="96">
        <f t="shared" si="169"/>
        <v>-157.23571384876269</v>
      </c>
      <c r="G496" s="94">
        <f t="shared" si="170"/>
        <v>-688.45976172369922</v>
      </c>
      <c r="H496" s="97">
        <f t="shared" si="171"/>
        <v>-41.926901192575968</v>
      </c>
      <c r="I496" s="94">
        <f t="shared" si="172"/>
        <v>-479.28880999455902</v>
      </c>
      <c r="J496" s="95">
        <f t="shared" si="173"/>
        <v>-67.057758870015689</v>
      </c>
      <c r="K496" s="94">
        <f t="shared" si="174"/>
        <v>-60.856770171232114</v>
      </c>
      <c r="L496" s="94">
        <f t="shared" si="175"/>
        <v>-48.251053786171035</v>
      </c>
      <c r="M496" s="93">
        <f t="shared" si="176"/>
        <v>-148.31418155790809</v>
      </c>
      <c r="N496" s="93">
        <f t="shared" si="177"/>
        <v>32412.515507907628</v>
      </c>
      <c r="O496" s="93">
        <f t="shared" si="178"/>
        <v>44326.623227449367</v>
      </c>
      <c r="P496" s="93">
        <f t="shared" si="179"/>
        <v>57615.733261332505</v>
      </c>
      <c r="Q496" s="93">
        <f t="shared" si="180"/>
        <v>35274325974616.492</v>
      </c>
      <c r="R496" s="93">
        <f t="shared" si="181"/>
        <v>87910914574337.172</v>
      </c>
      <c r="S496" s="93">
        <f t="shared" si="182"/>
        <v>193424269138383.09</v>
      </c>
      <c r="T496">
        <f t="shared" si="183"/>
        <v>0.5</v>
      </c>
    </row>
    <row r="497" spans="1:20" x14ac:dyDescent="0.25">
      <c r="A497">
        <v>227</v>
      </c>
      <c r="B497" s="95">
        <f t="shared" si="184"/>
        <v>12690.17559886462</v>
      </c>
      <c r="C497" s="95">
        <f t="shared" si="185"/>
        <v>39611.293804107241</v>
      </c>
      <c r="D497" s="95">
        <f t="shared" si="186"/>
        <v>-268.79562497874917</v>
      </c>
      <c r="E497" s="95">
        <f t="shared" si="187"/>
        <v>-355.82818512081269</v>
      </c>
      <c r="F497" s="96">
        <f t="shared" si="169"/>
        <v>-156.81054295026513</v>
      </c>
      <c r="G497" s="94">
        <f t="shared" si="170"/>
        <v>-695.7211591684686</v>
      </c>
      <c r="H497" s="97">
        <f t="shared" si="171"/>
        <v>-40.621062322402359</v>
      </c>
      <c r="I497" s="94">
        <f t="shared" si="172"/>
        <v>-484.87350320928067</v>
      </c>
      <c r="J497" s="95">
        <f t="shared" si="173"/>
        <v>-67.776951738481969</v>
      </c>
      <c r="K497" s="94">
        <f t="shared" si="174"/>
        <v>-61.393467435050773</v>
      </c>
      <c r="L497" s="94">
        <f t="shared" si="175"/>
        <v>-48.412528889380816</v>
      </c>
      <c r="M497" s="93">
        <f t="shared" si="176"/>
        <v>-149.45418852413724</v>
      </c>
      <c r="N497" s="93">
        <f t="shared" si="177"/>
        <v>32223.783677998192</v>
      </c>
      <c r="O497" s="93">
        <f t="shared" si="178"/>
        <v>44107.553791133825</v>
      </c>
      <c r="P497" s="93">
        <f t="shared" si="179"/>
        <v>57405.014795548886</v>
      </c>
      <c r="Q497" s="93">
        <f t="shared" si="180"/>
        <v>34675918579635.789</v>
      </c>
      <c r="R497" s="93">
        <f t="shared" si="181"/>
        <v>86621951403335.547</v>
      </c>
      <c r="S497" s="93">
        <f t="shared" si="182"/>
        <v>191325561712520.63</v>
      </c>
      <c r="T497">
        <f t="shared" si="183"/>
        <v>0.5</v>
      </c>
    </row>
    <row r="498" spans="1:20" x14ac:dyDescent="0.25">
      <c r="A498">
        <v>227.5</v>
      </c>
      <c r="B498" s="95">
        <f t="shared" si="184"/>
        <v>12516.575150637678</v>
      </c>
      <c r="C498" s="95">
        <f t="shared" si="185"/>
        <v>39259.449421754718</v>
      </c>
      <c r="D498" s="95">
        <f t="shared" si="186"/>
        <v>-347.20089645388174</v>
      </c>
      <c r="E498" s="95">
        <f t="shared" si="187"/>
        <v>-703.68876470504699</v>
      </c>
      <c r="F498" s="96">
        <f t="shared" si="169"/>
        <v>-157.30999761950554</v>
      </c>
      <c r="G498" s="94">
        <f t="shared" si="170"/>
        <v>-709.52571257082707</v>
      </c>
      <c r="H498" s="97">
        <f t="shared" si="171"/>
        <v>-39.288112243558338</v>
      </c>
      <c r="I498" s="94">
        <f t="shared" si="172"/>
        <v>-495.8202076180159</v>
      </c>
      <c r="J498" s="95">
        <f t="shared" si="173"/>
        <v>-69.1061896955908</v>
      </c>
      <c r="K498" s="94">
        <f t="shared" si="174"/>
        <v>-62.183949347712058</v>
      </c>
      <c r="L498" s="94">
        <f t="shared" si="175"/>
        <v>-48.9156956803564</v>
      </c>
      <c r="M498" s="93">
        <f t="shared" si="176"/>
        <v>-151.52155560509911</v>
      </c>
      <c r="N498" s="93">
        <f t="shared" si="177"/>
        <v>31858.998384472216</v>
      </c>
      <c r="O498" s="93">
        <f t="shared" si="178"/>
        <v>43742.919884151423</v>
      </c>
      <c r="P498" s="93">
        <f t="shared" si="179"/>
        <v>57016.824328963601</v>
      </c>
      <c r="Q498" s="93">
        <f t="shared" si="180"/>
        <v>33538788003005.629</v>
      </c>
      <c r="R498" s="93">
        <f t="shared" si="181"/>
        <v>84504646842905.25</v>
      </c>
      <c r="S498" s="93">
        <f t="shared" si="182"/>
        <v>187499271429817.06</v>
      </c>
      <c r="T498">
        <f t="shared" si="183"/>
        <v>0.5</v>
      </c>
    </row>
    <row r="499" spans="1:20" x14ac:dyDescent="0.25">
      <c r="A499">
        <v>228</v>
      </c>
      <c r="B499" s="95">
        <f t="shared" si="184"/>
        <v>12303.647203005861</v>
      </c>
      <c r="C499" s="95">
        <f t="shared" si="185"/>
        <v>38730.223611259491</v>
      </c>
      <c r="D499" s="95">
        <f t="shared" si="186"/>
        <v>-425.85589526363452</v>
      </c>
      <c r="E499" s="95">
        <f t="shared" si="187"/>
        <v>-1058.4516209904605</v>
      </c>
      <c r="F499" s="96">
        <f t="shared" si="169"/>
        <v>-158.71211933380508</v>
      </c>
      <c r="G499" s="94">
        <f t="shared" si="170"/>
        <v>-730.5892993720621</v>
      </c>
      <c r="H499" s="97">
        <f t="shared" si="171"/>
        <v>-37.822905783408181</v>
      </c>
      <c r="I499" s="94">
        <f t="shared" si="172"/>
        <v>-512.75985476515348</v>
      </c>
      <c r="J499" s="95">
        <f t="shared" si="173"/>
        <v>-71.103564170964006</v>
      </c>
      <c r="K499" s="94">
        <f t="shared" si="174"/>
        <v>-63.238100804891445</v>
      </c>
      <c r="L499" s="94">
        <f t="shared" si="175"/>
        <v>-49.78564937943289</v>
      </c>
      <c r="M499" s="93">
        <f t="shared" si="176"/>
        <v>-154.59134380201715</v>
      </c>
      <c r="N499" s="93">
        <f t="shared" si="177"/>
        <v>31315.070768644073</v>
      </c>
      <c r="O499" s="93">
        <f t="shared" si="178"/>
        <v>43231.370223128957</v>
      </c>
      <c r="P499" s="93">
        <f t="shared" si="179"/>
        <v>56447.791239711405</v>
      </c>
      <c r="Q499" s="93">
        <f t="shared" si="180"/>
        <v>31890380443308.879</v>
      </c>
      <c r="R499" s="93">
        <f t="shared" si="181"/>
        <v>81593005354685.297</v>
      </c>
      <c r="S499" s="93">
        <f t="shared" si="182"/>
        <v>181983535452721.69</v>
      </c>
      <c r="T499">
        <f t="shared" si="183"/>
        <v>0.5</v>
      </c>
    </row>
    <row r="500" spans="1:20" x14ac:dyDescent="0.25">
      <c r="A500">
        <v>228.5</v>
      </c>
      <c r="B500" s="95">
        <f t="shared" si="184"/>
        <v>12051.041225540594</v>
      </c>
      <c r="C500" s="95">
        <f t="shared" si="185"/>
        <v>38018.350475921252</v>
      </c>
      <c r="D500" s="95">
        <f t="shared" si="186"/>
        <v>-505.21195493053705</v>
      </c>
      <c r="E500" s="95">
        <f t="shared" si="187"/>
        <v>-1423.7462706764916</v>
      </c>
      <c r="F500" s="96">
        <f t="shared" si="169"/>
        <v>-160.9962370284085</v>
      </c>
      <c r="G500" s="94">
        <f t="shared" si="170"/>
        <v>-760.08423860948619</v>
      </c>
      <c r="H500" s="97">
        <f t="shared" si="171"/>
        <v>-36.072403901780035</v>
      </c>
      <c r="I500" s="94">
        <f t="shared" si="172"/>
        <v>-536.73726840539518</v>
      </c>
      <c r="J500" s="95">
        <f t="shared" si="173"/>
        <v>-73.858796791518046</v>
      </c>
      <c r="K500" s="94">
        <f t="shared" si="174"/>
        <v>-64.56581674437308</v>
      </c>
      <c r="L500" s="94">
        <f t="shared" si="175"/>
        <v>-51.06503633511042</v>
      </c>
      <c r="M500" s="93">
        <f t="shared" si="176"/>
        <v>-158.78115345971793</v>
      </c>
      <c r="N500" s="93">
        <f t="shared" si="177"/>
        <v>30587.194802401053</v>
      </c>
      <c r="O500" s="93">
        <f t="shared" si="178"/>
        <v>42571.084165579567</v>
      </c>
      <c r="P500" s="93">
        <f t="shared" si="179"/>
        <v>55692.759799301595</v>
      </c>
      <c r="Q500" s="93">
        <f t="shared" si="180"/>
        <v>29771308763309.094</v>
      </c>
      <c r="R500" s="93">
        <f t="shared" si="181"/>
        <v>77935020989739.641</v>
      </c>
      <c r="S500" s="93">
        <f t="shared" si="182"/>
        <v>174833995021181.97</v>
      </c>
      <c r="T500">
        <f t="shared" si="183"/>
        <v>0.5</v>
      </c>
    </row>
    <row r="501" spans="1:20" x14ac:dyDescent="0.25">
      <c r="A501">
        <v>229</v>
      </c>
      <c r="B501" s="95">
        <f t="shared" si="184"/>
        <v>11758.186188818223</v>
      </c>
      <c r="C501" s="95">
        <f t="shared" si="185"/>
        <v>37116.456280930637</v>
      </c>
      <c r="D501" s="95">
        <f t="shared" si="186"/>
        <v>-585.71007344474128</v>
      </c>
      <c r="E501" s="95">
        <f t="shared" si="187"/>
        <v>-1803.7883899812346</v>
      </c>
      <c r="F501" s="96">
        <f t="shared" si="169"/>
        <v>-164.12192665844066</v>
      </c>
      <c r="G501" s="94">
        <f t="shared" si="170"/>
        <v>-799.80973856999265</v>
      </c>
      <c r="H501" s="97">
        <f t="shared" si="171"/>
        <v>-33.80089286305266</v>
      </c>
      <c r="I501" s="94">
        <f t="shared" si="172"/>
        <v>-569.37238621348217</v>
      </c>
      <c r="J501" s="95">
        <f t="shared" si="173"/>
        <v>-77.501790627971801</v>
      </c>
      <c r="K501" s="94">
        <f t="shared" si="174"/>
        <v>-66.174242595667593</v>
      </c>
      <c r="L501" s="94">
        <f t="shared" si="175"/>
        <v>-52.81924316741619</v>
      </c>
      <c r="M501" s="93">
        <f t="shared" si="176"/>
        <v>-164.26310976084292</v>
      </c>
      <c r="N501" s="93">
        <f t="shared" si="177"/>
        <v>29668.597899375476</v>
      </c>
      <c r="O501" s="93">
        <f t="shared" si="178"/>
        <v>41759.844243474705</v>
      </c>
      <c r="P501" s="93">
        <f t="shared" si="179"/>
        <v>54744.514059595531</v>
      </c>
      <c r="Q501" s="93">
        <f t="shared" si="180"/>
        <v>27235497578980.824</v>
      </c>
      <c r="R501" s="93">
        <f t="shared" si="181"/>
        <v>73593032022236.453</v>
      </c>
      <c r="S501" s="93">
        <f t="shared" si="182"/>
        <v>166124413064792.09</v>
      </c>
      <c r="T501">
        <f t="shared" si="183"/>
        <v>0.5</v>
      </c>
    </row>
    <row r="502" spans="1:20" x14ac:dyDescent="0.25">
      <c r="A502">
        <v>229.5</v>
      </c>
      <c r="B502" s="95">
        <f t="shared" si="184"/>
        <v>11424.300670431243</v>
      </c>
      <c r="C502" s="95">
        <f t="shared" si="185"/>
        <v>36014.609651297527</v>
      </c>
      <c r="D502" s="95">
        <f t="shared" si="186"/>
        <v>-667.77103677396167</v>
      </c>
      <c r="E502" s="95">
        <f t="shared" si="187"/>
        <v>-2203.6932592662311</v>
      </c>
      <c r="F502" s="96">
        <f t="shared" si="169"/>
        <v>-167.9870521443014</v>
      </c>
      <c r="G502" s="94">
        <f t="shared" si="170"/>
        <v>-852.48669106888724</v>
      </c>
      <c r="H502" s="97">
        <f t="shared" si="171"/>
        <v>-30.626321140718712</v>
      </c>
      <c r="I502" s="94">
        <f t="shared" si="172"/>
        <v>-613.14131946484474</v>
      </c>
      <c r="J502" s="95">
        <f t="shared" si="173"/>
        <v>-82.215623183679043</v>
      </c>
      <c r="K502" s="94">
        <f t="shared" si="174"/>
        <v>-68.062209778119026</v>
      </c>
      <c r="L502" s="94">
        <f t="shared" si="175"/>
        <v>-55.145107819903629</v>
      </c>
      <c r="M502" s="93">
        <f t="shared" si="176"/>
        <v>-171.28316182592349</v>
      </c>
      <c r="N502" s="93">
        <f t="shared" si="177"/>
        <v>28550.159298428807</v>
      </c>
      <c r="O502" s="93">
        <f t="shared" si="178"/>
        <v>40795.17848882448</v>
      </c>
      <c r="P502" s="93">
        <f t="shared" si="179"/>
        <v>53593.358267484851</v>
      </c>
      <c r="Q502" s="93">
        <f t="shared" si="180"/>
        <v>24350364632274.406</v>
      </c>
      <c r="R502" s="93">
        <f t="shared" si="181"/>
        <v>68644225735304.719</v>
      </c>
      <c r="S502" s="93">
        <f t="shared" si="182"/>
        <v>155947536618872.94</v>
      </c>
      <c r="T502">
        <f t="shared" si="183"/>
        <v>0.5</v>
      </c>
    </row>
    <row r="503" spans="1:20" x14ac:dyDescent="0.25">
      <c r="A503">
        <v>230</v>
      </c>
      <c r="B503" s="95">
        <f t="shared" si="184"/>
        <v>11048.418389008188</v>
      </c>
      <c r="C503" s="95">
        <f t="shared" si="185"/>
        <v>34699.641348897188</v>
      </c>
      <c r="D503" s="95">
        <f t="shared" si="186"/>
        <v>-751.76456284611231</v>
      </c>
      <c r="E503" s="95">
        <f t="shared" si="187"/>
        <v>-2629.9366048006746</v>
      </c>
      <c r="F503" s="96">
        <f t="shared" si="169"/>
        <v>-172.33884780759109</v>
      </c>
      <c r="G503" s="94">
        <f t="shared" si="170"/>
        <v>-922.27404257126011</v>
      </c>
      <c r="H503" s="97">
        <f t="shared" si="171"/>
        <v>-25.897534303981946</v>
      </c>
      <c r="I503" s="94">
        <f t="shared" si="172"/>
        <v>-671.87265339311944</v>
      </c>
      <c r="J503" s="95">
        <f t="shared" si="173"/>
        <v>-88.25581460431961</v>
      </c>
      <c r="K503" s="94">
        <f t="shared" si="174"/>
        <v>-70.209275730875376</v>
      </c>
      <c r="L503" s="94">
        <f t="shared" si="175"/>
        <v>-58.185498899289527</v>
      </c>
      <c r="M503" s="93">
        <f t="shared" si="176"/>
        <v>-180.19211344726531</v>
      </c>
      <c r="N503" s="93">
        <f t="shared" si="177"/>
        <v>27219.839651016464</v>
      </c>
      <c r="O503" s="93">
        <f t="shared" si="178"/>
        <v>39674.633800742929</v>
      </c>
      <c r="P503" s="93">
        <f t="shared" si="179"/>
        <v>52226.488327262319</v>
      </c>
      <c r="Q503" s="93">
        <f t="shared" si="180"/>
        <v>21197021243641.047</v>
      </c>
      <c r="R503" s="93">
        <f t="shared" si="181"/>
        <v>63181349313836.375</v>
      </c>
      <c r="S503" s="93">
        <f t="shared" si="182"/>
        <v>144416261400768.25</v>
      </c>
      <c r="T503">
        <f t="shared" si="183"/>
        <v>0.5</v>
      </c>
    </row>
    <row r="504" spans="1:20" x14ac:dyDescent="0.25">
      <c r="A504">
        <v>230.5</v>
      </c>
      <c r="B504" s="95">
        <f t="shared" si="184"/>
        <v>10629.451395633234</v>
      </c>
      <c r="C504" s="95">
        <f t="shared" si="185"/>
        <v>33154.104535854036</v>
      </c>
      <c r="D504" s="95">
        <f t="shared" si="186"/>
        <v>-837.93398674990783</v>
      </c>
      <c r="E504" s="95">
        <f t="shared" si="187"/>
        <v>-3091.0736260863046</v>
      </c>
      <c r="F504" s="96">
        <f t="shared" si="169"/>
        <v>-176.57540407714029</v>
      </c>
      <c r="G504" s="94">
        <f t="shared" si="170"/>
        <v>-1015.7078160473891</v>
      </c>
      <c r="H504" s="97">
        <f t="shared" si="171"/>
        <v>-18.442726697189411</v>
      </c>
      <c r="I504" s="94">
        <f t="shared" si="172"/>
        <v>-751.65714445657602</v>
      </c>
      <c r="J504" s="95">
        <f t="shared" si="173"/>
        <v>-95.97834613401065</v>
      </c>
      <c r="K504" s="94">
        <f t="shared" si="174"/>
        <v>-72.554112408362997</v>
      </c>
      <c r="L504" s="94">
        <f t="shared" si="175"/>
        <v>-62.154331245940234</v>
      </c>
      <c r="M504" s="93">
        <f t="shared" si="176"/>
        <v>-191.49655918244997</v>
      </c>
      <c r="N504" s="93">
        <f t="shared" si="177"/>
        <v>25661.825511759507</v>
      </c>
      <c r="O504" s="93">
        <f t="shared" si="178"/>
        <v>38396.299947452164</v>
      </c>
      <c r="P504" s="93">
        <f t="shared" si="179"/>
        <v>50627.043510148011</v>
      </c>
      <c r="Q504" s="93">
        <f t="shared" si="180"/>
        <v>17870458390647.203</v>
      </c>
      <c r="R504" s="93">
        <f t="shared" si="181"/>
        <v>57313733312134.289</v>
      </c>
      <c r="S504" s="93">
        <f t="shared" si="182"/>
        <v>131665186479843.5</v>
      </c>
      <c r="T504">
        <f t="shared" si="183"/>
        <v>0.5</v>
      </c>
    </row>
    <row r="505" spans="1:20" x14ac:dyDescent="0.25">
      <c r="A505">
        <v>231</v>
      </c>
      <c r="B505" s="95">
        <f t="shared" si="184"/>
        <v>10166.340551238995</v>
      </c>
      <c r="C505" s="95">
        <f t="shared" si="185"/>
        <v>31354.640768799036</v>
      </c>
      <c r="D505" s="95">
        <f t="shared" si="186"/>
        <v>-926.22168878847799</v>
      </c>
      <c r="E505" s="95">
        <f t="shared" si="187"/>
        <v>-3598.9275341099992</v>
      </c>
      <c r="F505" s="96">
        <f t="shared" si="169"/>
        <v>-179.27540444841514</v>
      </c>
      <c r="G505" s="94">
        <f t="shared" si="170"/>
        <v>-1143.5046121549692</v>
      </c>
      <c r="H505" s="97">
        <f t="shared" si="171"/>
        <v>-6.0150414011294977</v>
      </c>
      <c r="I505" s="94">
        <f t="shared" si="172"/>
        <v>-862.60776920980175</v>
      </c>
      <c r="J505" s="95">
        <f t="shared" si="173"/>
        <v>-105.87898394877837</v>
      </c>
      <c r="K505" s="94">
        <f t="shared" si="174"/>
        <v>-74.951340662324284</v>
      </c>
      <c r="L505" s="94">
        <f t="shared" si="175"/>
        <v>-67.381379098507267</v>
      </c>
      <c r="M505" s="93">
        <f t="shared" si="176"/>
        <v>-205.94550228284322</v>
      </c>
      <c r="N505" s="93">
        <f t="shared" si="177"/>
        <v>23855.220715546431</v>
      </c>
      <c r="O505" s="93">
        <f t="shared" si="178"/>
        <v>36959.826631327422</v>
      </c>
      <c r="P505" s="93">
        <f t="shared" si="179"/>
        <v>48772.641988317206</v>
      </c>
      <c r="Q505" s="93">
        <f t="shared" si="180"/>
        <v>14479652450061.09</v>
      </c>
      <c r="R505" s="93">
        <f t="shared" si="181"/>
        <v>51168844156089.547</v>
      </c>
      <c r="S505" s="93">
        <f t="shared" si="182"/>
        <v>117852698314859.64</v>
      </c>
      <c r="T505">
        <f t="shared" si="183"/>
        <v>0.5</v>
      </c>
    </row>
    <row r="506" spans="1:20" x14ac:dyDescent="0.25">
      <c r="A506">
        <v>231.5</v>
      </c>
      <c r="B506" s="95">
        <f t="shared" si="184"/>
        <v>9658.4108557326508</v>
      </c>
      <c r="C506" s="95">
        <f t="shared" si="185"/>
        <v>29269.300848705294</v>
      </c>
      <c r="D506" s="95">
        <f t="shared" si="186"/>
        <v>-1015.8593910126856</v>
      </c>
      <c r="E506" s="95">
        <f t="shared" si="187"/>
        <v>-4170.6798401874839</v>
      </c>
      <c r="F506" s="96">
        <f t="shared" si="169"/>
        <v>-176.99648904860578</v>
      </c>
      <c r="G506" s="94">
        <f t="shared" si="170"/>
        <v>-1324.277902448923</v>
      </c>
      <c r="H506" s="97">
        <f t="shared" si="171"/>
        <v>16.044525363994627</v>
      </c>
      <c r="I506" s="94">
        <f t="shared" si="172"/>
        <v>-1022.5093668378255</v>
      </c>
      <c r="J506" s="95">
        <f t="shared" si="173"/>
        <v>-118.64355628057019</v>
      </c>
      <c r="K506" s="94">
        <f t="shared" si="174"/>
        <v>-77.083643855743261</v>
      </c>
      <c r="L506" s="94">
        <f t="shared" si="175"/>
        <v>-74.397458132030224</v>
      </c>
      <c r="M506" s="93">
        <f t="shared" si="176"/>
        <v>-224.68489175535439</v>
      </c>
      <c r="N506" s="93">
        <f t="shared" si="177"/>
        <v>21771.980676661515</v>
      </c>
      <c r="O506" s="93">
        <f t="shared" si="178"/>
        <v>35368.450484653054</v>
      </c>
      <c r="P506" s="93">
        <f t="shared" si="179"/>
        <v>46633.035569740045</v>
      </c>
      <c r="Q506" s="93">
        <f t="shared" si="180"/>
        <v>11147457069526.223</v>
      </c>
      <c r="R506" s="93">
        <f t="shared" si="181"/>
        <v>44894843658602.023</v>
      </c>
      <c r="S506" s="93">
        <f t="shared" si="182"/>
        <v>103163819960860.56</v>
      </c>
      <c r="T506">
        <f t="shared" si="183"/>
        <v>0.5</v>
      </c>
    </row>
    <row r="507" spans="1:20" x14ac:dyDescent="0.25">
      <c r="A507">
        <v>232</v>
      </c>
      <c r="B507" s="95">
        <f t="shared" si="184"/>
        <v>9106.2320379641551</v>
      </c>
      <c r="C507" s="95">
        <f t="shared" si="185"/>
        <v>26852.89145299932</v>
      </c>
      <c r="D507" s="95">
        <f t="shared" si="186"/>
        <v>-1104.3576355369885</v>
      </c>
      <c r="E507" s="95">
        <f t="shared" si="187"/>
        <v>-4832.8187914119453</v>
      </c>
      <c r="F507" s="96">
        <f t="shared" si="169"/>
        <v>-160.8793538313393</v>
      </c>
      <c r="G507" s="94">
        <f t="shared" si="170"/>
        <v>-1592.89247994435</v>
      </c>
      <c r="H507" s="97">
        <f t="shared" si="171"/>
        <v>58.423954088958894</v>
      </c>
      <c r="I507" s="94">
        <f t="shared" si="172"/>
        <v>-1265.0626222528338</v>
      </c>
      <c r="J507" s="95">
        <f t="shared" si="173"/>
        <v>-135.19390851405831</v>
      </c>
      <c r="K507" s="94">
        <f t="shared" si="174"/>
        <v>-78.279052483411363</v>
      </c>
      <c r="L507" s="94">
        <f t="shared" si="175"/>
        <v>-84.109399406239874</v>
      </c>
      <c r="M507" s="93">
        <f t="shared" si="176"/>
        <v>-249.550805208105</v>
      </c>
      <c r="N507" s="93">
        <f t="shared" si="177"/>
        <v>19373.518750127347</v>
      </c>
      <c r="O507" s="93">
        <f t="shared" si="178"/>
        <v>33633.208199254324</v>
      </c>
      <c r="P507" s="93">
        <f t="shared" si="179"/>
        <v>44166.166975247354</v>
      </c>
      <c r="Q507" s="93">
        <f t="shared" si="180"/>
        <v>8009998944583.4932</v>
      </c>
      <c r="R507" s="93">
        <f t="shared" si="181"/>
        <v>38665319727258.484</v>
      </c>
      <c r="S507" s="93">
        <f t="shared" si="182"/>
        <v>87814273737824.094</v>
      </c>
      <c r="T507">
        <f t="shared" si="183"/>
        <v>0.5</v>
      </c>
    </row>
    <row r="508" spans="1:20" x14ac:dyDescent="0.25">
      <c r="A508">
        <v>232.5</v>
      </c>
      <c r="B508" s="95">
        <f t="shared" si="184"/>
        <v>8513.8333817378261</v>
      </c>
      <c r="C508" s="95">
        <f t="shared" si="185"/>
        <v>24038.258937307259</v>
      </c>
      <c r="D508" s="95">
        <f t="shared" si="186"/>
        <v>-1184.7973124526582</v>
      </c>
      <c r="E508" s="95">
        <f t="shared" si="187"/>
        <v>-5629.2650313841204</v>
      </c>
      <c r="F508" s="96">
        <f t="shared" si="169"/>
        <v>-105.63550512394107</v>
      </c>
      <c r="G508" s="94">
        <f t="shared" si="170"/>
        <v>-2021.297048761797</v>
      </c>
      <c r="H508" s="97">
        <f t="shared" si="171"/>
        <v>149.21648545099234</v>
      </c>
      <c r="I508" s="94">
        <f t="shared" si="172"/>
        <v>-1660.5008104603467</v>
      </c>
      <c r="J508" s="95">
        <f t="shared" si="173"/>
        <v>-156.65406854919297</v>
      </c>
      <c r="K508" s="94">
        <f t="shared" si="174"/>
        <v>-77.125735723935861</v>
      </c>
      <c r="L508" s="94">
        <f t="shared" si="175"/>
        <v>-98.197922025740439</v>
      </c>
      <c r="M508" s="93">
        <f t="shared" si="176"/>
        <v>-283.67050257751458</v>
      </c>
      <c r="N508" s="93">
        <f t="shared" si="177"/>
        <v>16604.899876080563</v>
      </c>
      <c r="O508" s="93">
        <f t="shared" si="178"/>
        <v>31782.249890660565</v>
      </c>
      <c r="P508" s="93">
        <f t="shared" si="179"/>
        <v>41311.128688594574</v>
      </c>
      <c r="Q508" s="93">
        <f t="shared" si="180"/>
        <v>5214940020234.6318</v>
      </c>
      <c r="R508" s="93">
        <f t="shared" si="181"/>
        <v>32689379062440.434</v>
      </c>
      <c r="S508" s="93">
        <f t="shared" si="182"/>
        <v>72056785585163.094</v>
      </c>
      <c r="T508">
        <f t="shared" si="183"/>
        <v>0.5</v>
      </c>
    </row>
    <row r="509" spans="1:20" x14ac:dyDescent="0.25">
      <c r="A509">
        <v>233</v>
      </c>
      <c r="B509" s="95">
        <f t="shared" si="184"/>
        <v>7895.025849230512</v>
      </c>
      <c r="C509" s="95">
        <f t="shared" si="185"/>
        <v>20718.302159424748</v>
      </c>
      <c r="D509" s="95">
        <f t="shared" si="186"/>
        <v>-1237.6150650146287</v>
      </c>
      <c r="E509" s="95">
        <f t="shared" si="187"/>
        <v>-6639.9135557650188</v>
      </c>
      <c r="F509" s="96">
        <f t="shared" si="169"/>
        <v>73.753092935954442</v>
      </c>
      <c r="G509" s="94">
        <f t="shared" si="170"/>
        <v>-2776.1563928303412</v>
      </c>
      <c r="H509" s="97">
        <f t="shared" si="171"/>
        <v>377.8393477787489</v>
      </c>
      <c r="I509" s="94">
        <f t="shared" si="172"/>
        <v>-2372.6631820318262</v>
      </c>
      <c r="J509" s="95">
        <f t="shared" si="173"/>
        <v>-183.93157877120245</v>
      </c>
      <c r="K509" s="94">
        <f t="shared" si="174"/>
        <v>-70.673325365789722</v>
      </c>
      <c r="L509" s="94">
        <f t="shared" si="175"/>
        <v>-120.15467607159201</v>
      </c>
      <c r="M509" s="93">
        <f t="shared" si="176"/>
        <v>-332.81988543272502</v>
      </c>
      <c r="N509" s="93">
        <f t="shared" si="177"/>
        <v>13384.85816709541</v>
      </c>
      <c r="O509" s="93">
        <f t="shared" si="178"/>
        <v>29883.34767575359</v>
      </c>
      <c r="P509" s="93">
        <f t="shared" si="179"/>
        <v>37974.712649397225</v>
      </c>
      <c r="Q509" s="93">
        <f t="shared" si="180"/>
        <v>2917011937714.769</v>
      </c>
      <c r="R509" s="93">
        <f t="shared" si="181"/>
        <v>27237247169781.719</v>
      </c>
      <c r="S509" s="93">
        <f t="shared" si="182"/>
        <v>56192733955210.852</v>
      </c>
      <c r="T509">
        <f t="shared" si="183"/>
        <v>0.5</v>
      </c>
    </row>
    <row r="510" spans="1:20" x14ac:dyDescent="0.25">
      <c r="A510">
        <v>233.5</v>
      </c>
      <c r="B510" s="95">
        <f t="shared" si="184"/>
        <v>7294.656589957186</v>
      </c>
      <c r="C510" s="95">
        <f t="shared" si="185"/>
        <v>16704.306283334656</v>
      </c>
      <c r="D510" s="95">
        <f t="shared" si="186"/>
        <v>-1200.7385185466514</v>
      </c>
      <c r="E510" s="95">
        <f t="shared" si="187"/>
        <v>-8027.991752180189</v>
      </c>
      <c r="F510" s="96">
        <f t="shared" si="169"/>
        <v>744.44378688719405</v>
      </c>
      <c r="G510" s="94">
        <f t="shared" si="170"/>
        <v>-4268.1056658480757</v>
      </c>
      <c r="H510" s="97">
        <f t="shared" si="171"/>
        <v>1118.7419484205168</v>
      </c>
      <c r="I510" s="94">
        <f t="shared" si="172"/>
        <v>-3806.2611596928673</v>
      </c>
      <c r="J510" s="95">
        <f t="shared" si="173"/>
        <v>-215.74942047790054</v>
      </c>
      <c r="K510" s="94">
        <f t="shared" si="174"/>
        <v>-52.993896097157972</v>
      </c>
      <c r="L510" s="94">
        <f t="shared" si="175"/>
        <v>-158.54874105542214</v>
      </c>
      <c r="M510" s="93">
        <f t="shared" si="176"/>
        <v>-408.85061005804988</v>
      </c>
      <c r="N510" s="93">
        <f t="shared" si="177"/>
        <v>9593.6508756414478</v>
      </c>
      <c r="O510" s="93">
        <f t="shared" si="178"/>
        <v>28105.978031451847</v>
      </c>
      <c r="P510" s="93">
        <f t="shared" si="179"/>
        <v>34004.729341261802</v>
      </c>
      <c r="Q510" s="93">
        <f t="shared" si="180"/>
        <v>1266167322206.1924</v>
      </c>
      <c r="R510" s="93">
        <f t="shared" si="181"/>
        <v>22720649341967.242</v>
      </c>
      <c r="S510" s="93">
        <f t="shared" si="182"/>
        <v>40602448774114.609</v>
      </c>
      <c r="T510">
        <f t="shared" si="183"/>
        <v>0.5</v>
      </c>
    </row>
    <row r="511" spans="1:20" x14ac:dyDescent="0.25">
      <c r="A511">
        <v>234</v>
      </c>
      <c r="B511" s="95">
        <f t="shared" si="184"/>
        <v>6880.3982774056585</v>
      </c>
      <c r="C511" s="95">
        <f t="shared" si="185"/>
        <v>11623.283990782542</v>
      </c>
      <c r="D511" s="95">
        <f t="shared" si="186"/>
        <v>-828.51662510305437</v>
      </c>
      <c r="E511" s="95">
        <f t="shared" si="187"/>
        <v>-10162.044585104228</v>
      </c>
      <c r="F511" s="96">
        <f t="shared" si="169"/>
        <v>3908.340840820023</v>
      </c>
      <c r="G511" s="94">
        <f t="shared" si="170"/>
        <v>-6355.2919005417361</v>
      </c>
      <c r="H511" s="97">
        <f t="shared" si="171"/>
        <v>4389.7665020204367</v>
      </c>
      <c r="I511" s="94">
        <f t="shared" si="172"/>
        <v>-5802.1040987250472</v>
      </c>
      <c r="J511" s="95">
        <f t="shared" si="173"/>
        <v>-241.06693352833642</v>
      </c>
      <c r="K511" s="94">
        <f t="shared" si="174"/>
        <v>-14.557823506376844</v>
      </c>
      <c r="L511" s="94">
        <f t="shared" si="175"/>
        <v>-240.35872767207749</v>
      </c>
      <c r="M511" s="93">
        <f t="shared" si="176"/>
        <v>-538.62997831031214</v>
      </c>
      <c r="N511" s="93">
        <f t="shared" si="177"/>
        <v>5170.4338092907819</v>
      </c>
      <c r="O511" s="93">
        <f t="shared" si="178"/>
        <v>26929.368029470796</v>
      </c>
      <c r="P511" s="93">
        <f t="shared" si="179"/>
        <v>29153.783865626108</v>
      </c>
      <c r="Q511" s="93">
        <f t="shared" si="180"/>
        <v>372097158596.69122</v>
      </c>
      <c r="R511" s="93">
        <f t="shared" si="181"/>
        <v>20025842586281.16</v>
      </c>
      <c r="S511" s="93">
        <f t="shared" si="182"/>
        <v>25880325012189.625</v>
      </c>
      <c r="T511">
        <f t="shared" si="183"/>
        <v>0.5</v>
      </c>
    </row>
    <row r="512" spans="1:20" x14ac:dyDescent="0.25">
      <c r="A512">
        <v>234.5</v>
      </c>
      <c r="B512" s="95">
        <f t="shared" si="184"/>
        <v>7443.2251750591367</v>
      </c>
      <c r="C512" s="95">
        <f t="shared" si="185"/>
        <v>4953.4387230949942</v>
      </c>
      <c r="D512" s="95">
        <f t="shared" si="186"/>
        <v>1125.6537953069571</v>
      </c>
      <c r="E512" s="95">
        <f t="shared" si="187"/>
        <v>-13339.690535375095</v>
      </c>
      <c r="F512" s="96">
        <f t="shared" si="169"/>
        <v>5019.5195990863385</v>
      </c>
      <c r="G512" s="94">
        <f t="shared" si="170"/>
        <v>4976.069445256664</v>
      </c>
      <c r="H512" s="97">
        <f t="shared" si="171"/>
        <v>5710.0174644239169</v>
      </c>
      <c r="I512" s="94">
        <f t="shared" si="172"/>
        <v>5687.2076584568122</v>
      </c>
      <c r="J512" s="95">
        <f t="shared" si="173"/>
        <v>-221.60932974574627</v>
      </c>
      <c r="K512" s="94">
        <f t="shared" si="174"/>
        <v>40.751954442736007</v>
      </c>
      <c r="L512" s="94">
        <f t="shared" si="175"/>
        <v>-468.88853559183195</v>
      </c>
      <c r="M512" s="93">
        <f t="shared" si="176"/>
        <v>-751.89016764288374</v>
      </c>
      <c r="N512" s="93">
        <f t="shared" si="177"/>
        <v>3608.6107912163975</v>
      </c>
      <c r="O512" s="93">
        <f t="shared" si="178"/>
        <v>27903.37593787814</v>
      </c>
      <c r="P512" s="93">
        <f t="shared" si="179"/>
        <v>23515.390059140678</v>
      </c>
      <c r="Q512" s="93">
        <f t="shared" si="180"/>
        <v>234451851708.06735</v>
      </c>
      <c r="R512" s="93">
        <f t="shared" si="181"/>
        <v>22240259545927.262</v>
      </c>
      <c r="S512" s="93">
        <f t="shared" si="182"/>
        <v>13895109331114.957</v>
      </c>
      <c r="T512">
        <f t="shared" si="183"/>
        <v>0.5</v>
      </c>
    </row>
    <row r="513" spans="1:20" x14ac:dyDescent="0.25">
      <c r="A513">
        <v>235</v>
      </c>
      <c r="B513" s="95">
        <f t="shared" si="184"/>
        <v>9260.9319724841989</v>
      </c>
      <c r="C513" s="95">
        <f t="shared" si="185"/>
        <v>-472.38918327838746</v>
      </c>
      <c r="D513" s="95">
        <f t="shared" si="186"/>
        <v>3635.4135948501262</v>
      </c>
      <c r="E513" s="95">
        <f t="shared" si="187"/>
        <v>-10851.655812746763</v>
      </c>
      <c r="F513" s="96">
        <f t="shared" si="169"/>
        <v>-522.3344554214483</v>
      </c>
      <c r="G513" s="94">
        <f t="shared" si="170"/>
        <v>4198.566370447993</v>
      </c>
      <c r="H513" s="97">
        <f t="shared" si="171"/>
        <v>460.07473426271662</v>
      </c>
      <c r="I513" s="94">
        <f t="shared" si="172"/>
        <v>4962.8649845190903</v>
      </c>
      <c r="J513" s="95">
        <f t="shared" si="173"/>
        <v>-171.78713627774707</v>
      </c>
      <c r="K513" s="94">
        <f t="shared" si="174"/>
        <v>61.482038558210533</v>
      </c>
      <c r="L513" s="94">
        <f t="shared" si="175"/>
        <v>-810.62205340641788</v>
      </c>
      <c r="M513" s="93">
        <f t="shared" si="176"/>
        <v>-825.78065262930761</v>
      </c>
      <c r="N513" s="93">
        <f t="shared" si="177"/>
        <v>8006.57297718258</v>
      </c>
      <c r="O513" s="93">
        <f t="shared" si="178"/>
        <v>31078.498597975969</v>
      </c>
      <c r="P513" s="93">
        <f t="shared" si="179"/>
        <v>20357.447206512628</v>
      </c>
      <c r="Q513" s="93">
        <f t="shared" si="180"/>
        <v>841113596275.31458</v>
      </c>
      <c r="R513" s="93">
        <f t="shared" si="181"/>
        <v>30590759299975.445</v>
      </c>
      <c r="S513" s="93">
        <f t="shared" si="182"/>
        <v>9211452474436.5176</v>
      </c>
      <c r="T513">
        <f t="shared" si="183"/>
        <v>0.5</v>
      </c>
    </row>
    <row r="514" spans="1:20" x14ac:dyDescent="0.25">
      <c r="A514">
        <v>235.5</v>
      </c>
      <c r="B514" s="95">
        <f t="shared" si="184"/>
        <v>10948.055156053901</v>
      </c>
      <c r="C514" s="95">
        <f t="shared" si="185"/>
        <v>-4848.5754970397711</v>
      </c>
      <c r="D514" s="95">
        <f t="shared" si="186"/>
        <v>3374.2463671394021</v>
      </c>
      <c r="E514" s="95">
        <f t="shared" si="187"/>
        <v>-8752.3726275227673</v>
      </c>
      <c r="F514" s="96">
        <f t="shared" si="169"/>
        <v>-1460.3747569245963</v>
      </c>
      <c r="G514" s="94">
        <f t="shared" si="170"/>
        <v>2067.8700925231424</v>
      </c>
      <c r="H514" s="97">
        <f t="shared" si="171"/>
        <v>-208.34861507405165</v>
      </c>
      <c r="I514" s="94">
        <f t="shared" si="172"/>
        <v>2713.7752339794579</v>
      </c>
      <c r="J514" s="95">
        <f t="shared" si="173"/>
        <v>-135.30855861553755</v>
      </c>
      <c r="K514" s="94">
        <f t="shared" si="174"/>
        <v>64.919728812277981</v>
      </c>
      <c r="L514" s="94">
        <f t="shared" si="175"/>
        <v>-1116.7175832350072</v>
      </c>
      <c r="M514" s="93">
        <f t="shared" si="176"/>
        <v>-710.82487026859314</v>
      </c>
      <c r="N514" s="93">
        <f t="shared" si="177"/>
        <v>12384.915235277609</v>
      </c>
      <c r="O514" s="93">
        <f t="shared" si="178"/>
        <v>34325.825732725563</v>
      </c>
      <c r="P514" s="93">
        <f t="shared" si="179"/>
        <v>18904.811099290011</v>
      </c>
      <c r="Q514" s="93">
        <f t="shared" si="180"/>
        <v>2382547725277.8711</v>
      </c>
      <c r="R514" s="93">
        <f t="shared" si="181"/>
        <v>41077200405963.141</v>
      </c>
      <c r="S514" s="93">
        <f t="shared" si="182"/>
        <v>7477613210579.0127</v>
      </c>
      <c r="T514">
        <f t="shared" si="183"/>
        <v>0.5</v>
      </c>
    </row>
    <row r="515" spans="1:20" x14ac:dyDescent="0.25">
      <c r="A515">
        <v>236</v>
      </c>
      <c r="B515" s="95">
        <f t="shared" si="184"/>
        <v>12270.084650392453</v>
      </c>
      <c r="C515" s="95">
        <f t="shared" si="185"/>
        <v>-8707.794287670371</v>
      </c>
      <c r="D515" s="95">
        <f t="shared" si="186"/>
        <v>2644.058988677104</v>
      </c>
      <c r="E515" s="95">
        <f t="shared" si="187"/>
        <v>-7718.4375812611961</v>
      </c>
      <c r="F515" s="96">
        <f t="shared" si="169"/>
        <v>-1655.6927332719301</v>
      </c>
      <c r="G515" s="94">
        <f t="shared" si="170"/>
        <v>1280.6431125750494</v>
      </c>
      <c r="H515" s="97">
        <f t="shared" si="171"/>
        <v>-237.18214746385948</v>
      </c>
      <c r="I515" s="94">
        <f t="shared" si="172"/>
        <v>1693.416786963229</v>
      </c>
      <c r="J515" s="95">
        <f t="shared" si="173"/>
        <v>-110.21291299036267</v>
      </c>
      <c r="K515" s="94">
        <f t="shared" si="174"/>
        <v>63.893247458324936</v>
      </c>
      <c r="L515" s="94">
        <f t="shared" si="175"/>
        <v>-1308.297672817708</v>
      </c>
      <c r="M515" s="93">
        <f t="shared" si="176"/>
        <v>-476.66692184650475</v>
      </c>
      <c r="N515" s="93">
        <f t="shared" si="177"/>
        <v>16365.997677849882</v>
      </c>
      <c r="O515" s="93">
        <f t="shared" si="178"/>
        <v>37300.669303020382</v>
      </c>
      <c r="P515" s="93">
        <f t="shared" si="179"/>
        <v>18380.633192520727</v>
      </c>
      <c r="Q515" s="93">
        <f t="shared" si="180"/>
        <v>5011395487221.8838</v>
      </c>
      <c r="R515" s="93">
        <f t="shared" si="181"/>
        <v>52584816870021.547</v>
      </c>
      <c r="S515" s="93">
        <f t="shared" si="182"/>
        <v>6911726104311.75</v>
      </c>
      <c r="T515">
        <f t="shared" si="183"/>
        <v>0.5</v>
      </c>
    </row>
    <row r="516" spans="1:20" x14ac:dyDescent="0.25">
      <c r="A516">
        <v>236.5</v>
      </c>
      <c r="B516" s="95">
        <f t="shared" si="184"/>
        <v>13178.190961413024</v>
      </c>
      <c r="C516" s="95">
        <f t="shared" si="185"/>
        <v>-12246.852300157208</v>
      </c>
      <c r="D516" s="95">
        <f t="shared" si="186"/>
        <v>1816.212622041139</v>
      </c>
      <c r="E516" s="95">
        <f t="shared" si="187"/>
        <v>-7078.1160249736713</v>
      </c>
      <c r="F516" s="96">
        <f t="shared" si="169"/>
        <v>-1658.3913098433795</v>
      </c>
      <c r="G516" s="94">
        <f t="shared" si="170"/>
        <v>1033.4757370134237</v>
      </c>
      <c r="H516" s="97">
        <f t="shared" si="171"/>
        <v>-189.90453067444113</v>
      </c>
      <c r="I516" s="94">
        <f t="shared" si="172"/>
        <v>1179.9217743327813</v>
      </c>
      <c r="J516" s="95">
        <f t="shared" si="173"/>
        <v>-92.412483509062241</v>
      </c>
      <c r="K516" s="94">
        <f t="shared" si="174"/>
        <v>61.965008089436331</v>
      </c>
      <c r="L516" s="94">
        <f t="shared" si="175"/>
        <v>-1376.0742956598763</v>
      </c>
      <c r="M516" s="93">
        <f t="shared" si="176"/>
        <v>-208.411045408794</v>
      </c>
      <c r="N516" s="93">
        <f t="shared" si="177"/>
        <v>20000.976814931604</v>
      </c>
      <c r="O516" s="93">
        <f t="shared" si="178"/>
        <v>39946.398995866941</v>
      </c>
      <c r="P516" s="93">
        <f t="shared" si="179"/>
        <v>18385.495611670296</v>
      </c>
      <c r="Q516" s="93">
        <f t="shared" si="180"/>
        <v>8762807765056.6914</v>
      </c>
      <c r="R516" s="93">
        <f t="shared" si="181"/>
        <v>64478481802242.508</v>
      </c>
      <c r="S516" s="93">
        <f t="shared" si="182"/>
        <v>6916834766849.3193</v>
      </c>
      <c r="T516">
        <f t="shared" si="183"/>
        <v>0.5</v>
      </c>
    </row>
    <row r="517" spans="1:20" x14ac:dyDescent="0.25">
      <c r="A517">
        <v>237</v>
      </c>
      <c r="B517" s="95">
        <f t="shared" si="184"/>
        <v>13671.699444972748</v>
      </c>
      <c r="C517" s="95">
        <f t="shared" si="185"/>
        <v>-15527.541378390688</v>
      </c>
      <c r="D517" s="95">
        <f t="shared" si="186"/>
        <v>987.01696711944919</v>
      </c>
      <c r="E517" s="95">
        <f t="shared" si="187"/>
        <v>-6561.3781564669598</v>
      </c>
      <c r="F517" s="96">
        <f t="shared" si="169"/>
        <v>-1573.2445074560501</v>
      </c>
      <c r="G517" s="94">
        <f t="shared" si="170"/>
        <v>987.27786169838987</v>
      </c>
      <c r="H517" s="97">
        <f t="shared" si="171"/>
        <v>-141.73748837378821</v>
      </c>
      <c r="I517" s="94">
        <f t="shared" si="172"/>
        <v>888.92512236137077</v>
      </c>
      <c r="J517" s="95">
        <f t="shared" si="173"/>
        <v>-79.338875603016831</v>
      </c>
      <c r="K517" s="94">
        <f t="shared" si="174"/>
        <v>60.149219173830232</v>
      </c>
      <c r="L517" s="94">
        <f t="shared" si="175"/>
        <v>-1352.1681434792451</v>
      </c>
      <c r="M517" s="93">
        <f t="shared" si="176"/>
        <v>38.203520163188848</v>
      </c>
      <c r="N517" s="93">
        <f t="shared" si="177"/>
        <v>23318.427021300311</v>
      </c>
      <c r="O517" s="93">
        <f t="shared" si="178"/>
        <v>42254.451982460108</v>
      </c>
      <c r="P517" s="93">
        <f t="shared" si="179"/>
        <v>18679.150410800543</v>
      </c>
      <c r="Q517" s="93">
        <f t="shared" si="180"/>
        <v>13563788633552.613</v>
      </c>
      <c r="R517" s="93">
        <f t="shared" si="181"/>
        <v>76220490149645.156</v>
      </c>
      <c r="S517" s="93">
        <f t="shared" si="182"/>
        <v>7230224299303.0771</v>
      </c>
      <c r="T517">
        <f t="shared" si="183"/>
        <v>0.5</v>
      </c>
    </row>
    <row r="518" spans="1:20" x14ac:dyDescent="0.25">
      <c r="A518">
        <v>237.5</v>
      </c>
      <c r="B518" s="95">
        <f t="shared" si="184"/>
        <v>13771.896801668459</v>
      </c>
      <c r="C518" s="95">
        <f t="shared" si="185"/>
        <v>-18561.410991199573</v>
      </c>
      <c r="D518" s="95">
        <f t="shared" si="186"/>
        <v>200.39471339142415</v>
      </c>
      <c r="E518" s="95">
        <f t="shared" si="187"/>
        <v>-6067.7392256177645</v>
      </c>
      <c r="F518" s="96">
        <f t="shared" si="169"/>
        <v>-1447.846776632492</v>
      </c>
      <c r="G518" s="94">
        <f t="shared" si="170"/>
        <v>1009.4212144989797</v>
      </c>
      <c r="H518" s="97">
        <f t="shared" si="171"/>
        <v>-102.56208952427038</v>
      </c>
      <c r="I518" s="94">
        <f t="shared" si="172"/>
        <v>708.63889118755299</v>
      </c>
      <c r="J518" s="95">
        <f t="shared" si="173"/>
        <v>-69.443260781382378</v>
      </c>
      <c r="K518" s="94">
        <f t="shared" si="174"/>
        <v>58.72923050173852</v>
      </c>
      <c r="L518" s="94">
        <f t="shared" si="175"/>
        <v>-1275.8414263268392</v>
      </c>
      <c r="M518" s="93">
        <f t="shared" si="176"/>
        <v>242.0530928096882</v>
      </c>
      <c r="N518" s="93">
        <f t="shared" si="177"/>
        <v>26332.951758863925</v>
      </c>
      <c r="O518" s="93">
        <f t="shared" si="178"/>
        <v>44230.026129211816</v>
      </c>
      <c r="P518" s="93">
        <f t="shared" si="179"/>
        <v>19106.746394421203</v>
      </c>
      <c r="Q518" s="93">
        <f t="shared" si="180"/>
        <v>19256243278559.457</v>
      </c>
      <c r="R518" s="93">
        <f t="shared" si="181"/>
        <v>87340986012082.266</v>
      </c>
      <c r="S518" s="93">
        <f t="shared" si="182"/>
        <v>7703890137278.9375</v>
      </c>
      <c r="T518">
        <f t="shared" si="183"/>
        <v>0.5</v>
      </c>
    </row>
    <row r="519" spans="1:20" x14ac:dyDescent="0.25">
      <c r="A519">
        <v>238</v>
      </c>
      <c r="B519" s="95">
        <f t="shared" si="184"/>
        <v>13510.132464206048</v>
      </c>
      <c r="C519" s="95">
        <f t="shared" si="185"/>
        <v>-21342.925300383708</v>
      </c>
      <c r="D519" s="95">
        <f t="shared" si="186"/>
        <v>-523.52867492482187</v>
      </c>
      <c r="E519" s="95">
        <f t="shared" si="187"/>
        <v>-5563.0286183682747</v>
      </c>
      <c r="F519" s="96">
        <f t="shared" si="169"/>
        <v>-1310.1213824367187</v>
      </c>
      <c r="G519" s="94">
        <f t="shared" si="170"/>
        <v>1050.2650472738446</v>
      </c>
      <c r="H519" s="97">
        <f t="shared" si="171"/>
        <v>-71.715997549879575</v>
      </c>
      <c r="I519" s="94">
        <f t="shared" si="172"/>
        <v>589.29376063918676</v>
      </c>
      <c r="J519" s="95">
        <f t="shared" si="173"/>
        <v>-61.76122940159226</v>
      </c>
      <c r="K519" s="94">
        <f t="shared" si="174"/>
        <v>57.766933677796558</v>
      </c>
      <c r="L519" s="94">
        <f t="shared" si="175"/>
        <v>-1176.644155485247</v>
      </c>
      <c r="M519" s="93">
        <f t="shared" si="176"/>
        <v>403.20435295686138</v>
      </c>
      <c r="N519" s="93">
        <f t="shared" si="177"/>
        <v>29055.72869159863</v>
      </c>
      <c r="O519" s="93">
        <f t="shared" si="178"/>
        <v>45883.63481846299</v>
      </c>
      <c r="P519" s="93">
        <f t="shared" si="179"/>
        <v>19566.749990959215</v>
      </c>
      <c r="Q519" s="93">
        <f t="shared" si="180"/>
        <v>25627490702724.145</v>
      </c>
      <c r="R519" s="93">
        <f t="shared" si="181"/>
        <v>97443517931078.656</v>
      </c>
      <c r="S519" s="93">
        <f t="shared" si="182"/>
        <v>8236885084789.0254</v>
      </c>
      <c r="T519">
        <f t="shared" si="183"/>
        <v>0.5</v>
      </c>
    </row>
    <row r="520" spans="1:20" x14ac:dyDescent="0.25">
      <c r="A520">
        <v>238.5</v>
      </c>
      <c r="B520" s="95">
        <f t="shared" si="184"/>
        <v>12920.837781134458</v>
      </c>
      <c r="C520" s="95">
        <f t="shared" si="185"/>
        <v>-23861.873347749384</v>
      </c>
      <c r="D520" s="95">
        <f t="shared" si="186"/>
        <v>-1178.5893661431812</v>
      </c>
      <c r="E520" s="95">
        <f t="shared" si="187"/>
        <v>-5037.8960947313526</v>
      </c>
      <c r="F520" s="96">
        <f t="shared" si="169"/>
        <v>-1174.9540004242251</v>
      </c>
      <c r="G520" s="94">
        <f t="shared" si="170"/>
        <v>1093.6733096170276</v>
      </c>
      <c r="H520" s="97">
        <f t="shared" si="171"/>
        <v>-47.147818994243877</v>
      </c>
      <c r="I520" s="94">
        <f t="shared" si="172"/>
        <v>506.23966091871824</v>
      </c>
      <c r="J520" s="95">
        <f t="shared" si="173"/>
        <v>-55.669720221085207</v>
      </c>
      <c r="K520" s="94">
        <f t="shared" si="174"/>
        <v>57.26102804441053</v>
      </c>
      <c r="L520" s="94">
        <f t="shared" si="175"/>
        <v>-1072.136461208896</v>
      </c>
      <c r="M520" s="93">
        <f t="shared" si="176"/>
        <v>530.17262065389878</v>
      </c>
      <c r="N520" s="93">
        <f t="shared" si="177"/>
        <v>31497.593451309509</v>
      </c>
      <c r="O520" s="93">
        <f t="shared" si="178"/>
        <v>47227.195839164422</v>
      </c>
      <c r="P520" s="93">
        <f t="shared" si="179"/>
        <v>19992.229140575771</v>
      </c>
      <c r="Q520" s="93">
        <f t="shared" si="180"/>
        <v>32437281692923.422</v>
      </c>
      <c r="R520" s="93">
        <f t="shared" si="181"/>
        <v>106204906866746.19</v>
      </c>
      <c r="S520" s="93">
        <f t="shared" si="182"/>
        <v>8751991056546.5615</v>
      </c>
      <c r="T520">
        <f t="shared" si="183"/>
        <v>0.5</v>
      </c>
    </row>
    <row r="521" spans="1:20" x14ac:dyDescent="0.25">
      <c r="A521">
        <v>239</v>
      </c>
      <c r="B521" s="95">
        <f t="shared" si="184"/>
        <v>12037.804597956812</v>
      </c>
      <c r="C521" s="95">
        <f t="shared" si="185"/>
        <v>-26107.403067710806</v>
      </c>
      <c r="D521" s="95">
        <f t="shared" si="186"/>
        <v>-1766.0663663552937</v>
      </c>
      <c r="E521" s="95">
        <f t="shared" si="187"/>
        <v>-4491.0594399228385</v>
      </c>
      <c r="F521" s="96">
        <f t="shared" si="169"/>
        <v>-1048.8064578472543</v>
      </c>
      <c r="G521" s="94">
        <f t="shared" si="170"/>
        <v>1136.4174192426153</v>
      </c>
      <c r="H521" s="97">
        <f t="shared" si="171"/>
        <v>-27.055473891269898</v>
      </c>
      <c r="I521" s="94">
        <f t="shared" si="172"/>
        <v>446.19794123710381</v>
      </c>
      <c r="J521" s="95">
        <f t="shared" si="173"/>
        <v>-50.752752027311189</v>
      </c>
      <c r="K521" s="94">
        <f t="shared" si="174"/>
        <v>57.199614556690669</v>
      </c>
      <c r="L521" s="94">
        <f t="shared" si="175"/>
        <v>-970.99823192867314</v>
      </c>
      <c r="M521" s="93">
        <f t="shared" si="176"/>
        <v>633.01986344882073</v>
      </c>
      <c r="N521" s="93">
        <f t="shared" si="177"/>
        <v>33669.128122584814</v>
      </c>
      <c r="O521" s="93">
        <f t="shared" si="178"/>
        <v>48271.787617106071</v>
      </c>
      <c r="P521" s="93">
        <f t="shared" si="179"/>
        <v>20338.662405053823</v>
      </c>
      <c r="Q521" s="93">
        <f t="shared" si="180"/>
        <v>39437194731342.75</v>
      </c>
      <c r="R521" s="93">
        <f t="shared" si="181"/>
        <v>113369411991748.17</v>
      </c>
      <c r="S521" s="93">
        <f t="shared" si="182"/>
        <v>9187425201232.0488</v>
      </c>
      <c r="T521">
        <f t="shared" si="183"/>
        <v>0.5</v>
      </c>
    </row>
    <row r="522" spans="1:20" x14ac:dyDescent="0.25">
      <c r="A522">
        <v>239.5</v>
      </c>
      <c r="B522" s="95">
        <f t="shared" si="184"/>
        <v>10892.569800317351</v>
      </c>
      <c r="C522" s="95">
        <f t="shared" si="185"/>
        <v>-28068.82843286157</v>
      </c>
      <c r="D522" s="95">
        <f t="shared" si="186"/>
        <v>-2290.4695952789207</v>
      </c>
      <c r="E522" s="95">
        <f t="shared" si="187"/>
        <v>-3922.8507303015308</v>
      </c>
      <c r="F522" s="96">
        <f t="shared" si="169"/>
        <v>-933.27793430479255</v>
      </c>
      <c r="G522" s="94">
        <f t="shared" si="170"/>
        <v>1179.8489100270995</v>
      </c>
      <c r="H522" s="97">
        <f t="shared" si="171"/>
        <v>-10.075871357328591</v>
      </c>
      <c r="I522" s="94">
        <f t="shared" si="172"/>
        <v>401.52259183873468</v>
      </c>
      <c r="J522" s="95">
        <f t="shared" si="173"/>
        <v>-46.724585028729088</v>
      </c>
      <c r="K522" s="94">
        <f t="shared" si="174"/>
        <v>57.57857706732662</v>
      </c>
      <c r="L522" s="94">
        <f t="shared" si="175"/>
        <v>-876.47747791873485</v>
      </c>
      <c r="M522" s="93">
        <f t="shared" si="176"/>
        <v>720.74774112103819</v>
      </c>
      <c r="N522" s="93">
        <f t="shared" si="177"/>
        <v>35580.025814138753</v>
      </c>
      <c r="O522" s="93">
        <f t="shared" si="178"/>
        <v>49026.386437490262</v>
      </c>
      <c r="P522" s="93">
        <f t="shared" si="179"/>
        <v>20575.909493034083</v>
      </c>
      <c r="Q522" s="93">
        <f t="shared" si="180"/>
        <v>46382931858519.766</v>
      </c>
      <c r="R522" s="93">
        <f t="shared" si="181"/>
        <v>118741170572555.33</v>
      </c>
      <c r="S522" s="93">
        <f t="shared" si="182"/>
        <v>9494060370286.209</v>
      </c>
      <c r="T522">
        <f t="shared" si="183"/>
        <v>0.5</v>
      </c>
    </row>
    <row r="523" spans="1:20" x14ac:dyDescent="0.25">
      <c r="A523">
        <v>240</v>
      </c>
      <c r="B523" s="95">
        <f t="shared" si="184"/>
        <v>9514.0155191016911</v>
      </c>
      <c r="C523" s="95">
        <f t="shared" si="185"/>
        <v>-29735.29157050556</v>
      </c>
      <c r="D523" s="95">
        <f t="shared" si="186"/>
        <v>-2757.1085624313168</v>
      </c>
      <c r="E523" s="95">
        <f t="shared" si="187"/>
        <v>-3332.9262752879813</v>
      </c>
      <c r="F523" s="96">
        <f t="shared" si="169"/>
        <v>-827.35144852528481</v>
      </c>
      <c r="G523" s="94">
        <f t="shared" si="170"/>
        <v>1226.7673897183029</v>
      </c>
      <c r="H523" s="97">
        <f t="shared" si="171"/>
        <v>4.7974003430146013</v>
      </c>
      <c r="I523" s="94">
        <f t="shared" si="172"/>
        <v>367.56852857194536</v>
      </c>
      <c r="J523" s="95">
        <f t="shared" si="173"/>
        <v>-43.384103469451858</v>
      </c>
      <c r="K523" s="94">
        <f t="shared" si="174"/>
        <v>58.408860013234843</v>
      </c>
      <c r="L523" s="94">
        <f t="shared" si="175"/>
        <v>-788.76474539884759</v>
      </c>
      <c r="M523" s="93">
        <f t="shared" si="176"/>
        <v>800.7900011331227</v>
      </c>
      <c r="N523" s="93">
        <f t="shared" si="177"/>
        <v>37238.462901363644</v>
      </c>
      <c r="O523" s="93">
        <f t="shared" si="178"/>
        <v>49497.176770547892</v>
      </c>
      <c r="P523" s="93">
        <f t="shared" si="179"/>
        <v>20682.975224965507</v>
      </c>
      <c r="Q523" s="93">
        <f t="shared" si="180"/>
        <v>53041410131352.656</v>
      </c>
      <c r="R523" s="93">
        <f t="shared" si="181"/>
        <v>122177269909185.66</v>
      </c>
      <c r="S523" s="93">
        <f t="shared" si="182"/>
        <v>9634711489258.5254</v>
      </c>
      <c r="T523">
        <f t="shared" si="183"/>
        <v>0.5</v>
      </c>
    </row>
    <row r="524" spans="1:20" x14ac:dyDescent="0.25">
      <c r="A524">
        <v>240.5</v>
      </c>
      <c r="B524" s="95">
        <f t="shared" si="184"/>
        <v>7928.6233757547116</v>
      </c>
      <c r="C524" s="95">
        <f t="shared" si="185"/>
        <v>-31095.062860719976</v>
      </c>
      <c r="D524" s="95">
        <f t="shared" si="186"/>
        <v>-3170.7842866939591</v>
      </c>
      <c r="E524" s="95">
        <f t="shared" si="187"/>
        <v>-2719.5425804288298</v>
      </c>
      <c r="F524" s="96">
        <f t="shared" si="169"/>
        <v>-728.57700807093306</v>
      </c>
      <c r="G524" s="94">
        <f t="shared" si="170"/>
        <v>1280.4101423228999</v>
      </c>
      <c r="H524" s="97">
        <f t="shared" si="171"/>
        <v>18.322174312777992</v>
      </c>
      <c r="I524" s="94">
        <f t="shared" si="172"/>
        <v>341.38913274855827</v>
      </c>
      <c r="J524" s="95">
        <f t="shared" si="173"/>
        <v>-40.586891912366177</v>
      </c>
      <c r="K524" s="94">
        <f t="shared" si="174"/>
        <v>59.720840945847847</v>
      </c>
      <c r="L524" s="94">
        <f t="shared" si="175"/>
        <v>-706.31229047134491</v>
      </c>
      <c r="M524" s="93">
        <f t="shared" si="176"/>
        <v>879.30016862849368</v>
      </c>
      <c r="N524" s="93">
        <f t="shared" si="177"/>
        <v>38650.607735744547</v>
      </c>
      <c r="O524" s="93">
        <f t="shared" si="178"/>
        <v>49687.143157876155</v>
      </c>
      <c r="P524" s="93">
        <f t="shared" si="179"/>
        <v>20644.620386014336</v>
      </c>
      <c r="Q524" s="93">
        <f t="shared" si="180"/>
        <v>59194408138633.688</v>
      </c>
      <c r="R524" s="93">
        <f t="shared" si="181"/>
        <v>123582357848343.63</v>
      </c>
      <c r="S524" s="93">
        <f t="shared" si="182"/>
        <v>9584161936640.3301</v>
      </c>
      <c r="T524">
        <f t="shared" si="183"/>
        <v>0.5</v>
      </c>
    </row>
    <row r="525" spans="1:20" x14ac:dyDescent="0.25">
      <c r="A525">
        <v>241</v>
      </c>
      <c r="B525" s="95">
        <f t="shared" si="184"/>
        <v>6161.0869803899986</v>
      </c>
      <c r="C525" s="95">
        <f t="shared" si="185"/>
        <v>-32134.731615353667</v>
      </c>
      <c r="D525" s="95">
        <f t="shared" si="186"/>
        <v>-3535.0727907294258</v>
      </c>
      <c r="E525" s="95">
        <f t="shared" si="187"/>
        <v>-2079.3375092673796</v>
      </c>
      <c r="F525" s="96">
        <f t="shared" si="169"/>
        <v>-633.53093566200801</v>
      </c>
      <c r="G525" s="94">
        <f t="shared" si="170"/>
        <v>1344.2805599667904</v>
      </c>
      <c r="H525" s="97">
        <f t="shared" si="171"/>
        <v>31.096066135625467</v>
      </c>
      <c r="I525" s="94">
        <f t="shared" si="172"/>
        <v>321.05031535828135</v>
      </c>
      <c r="J525" s="95">
        <f t="shared" si="173"/>
        <v>-38.227770377026147</v>
      </c>
      <c r="K525" s="94">
        <f t="shared" si="174"/>
        <v>61.569186566931855</v>
      </c>
      <c r="L525" s="94">
        <f t="shared" si="175"/>
        <v>-626.39923142060729</v>
      </c>
      <c r="M525" s="93">
        <f t="shared" si="176"/>
        <v>961.66105804157712</v>
      </c>
      <c r="N525" s="93">
        <f t="shared" si="177"/>
        <v>39820.210991320055</v>
      </c>
      <c r="O525" s="93">
        <f t="shared" si="178"/>
        <v>49595.746594777811</v>
      </c>
      <c r="P525" s="93">
        <f t="shared" si="179"/>
        <v>20449.178225885549</v>
      </c>
      <c r="Q525" s="93">
        <f t="shared" si="180"/>
        <v>64640014204026.094</v>
      </c>
      <c r="R525" s="93">
        <f t="shared" si="181"/>
        <v>122905002065810.06</v>
      </c>
      <c r="S525" s="93">
        <f t="shared" si="182"/>
        <v>9329403971369.6621</v>
      </c>
      <c r="T525">
        <f t="shared" si="183"/>
        <v>0.5</v>
      </c>
    </row>
    <row r="526" spans="1:20" x14ac:dyDescent="0.25">
      <c r="A526">
        <v>241.5</v>
      </c>
      <c r="B526" s="95">
        <f t="shared" si="184"/>
        <v>4235.1678511097834</v>
      </c>
      <c r="C526" s="95">
        <f t="shared" si="185"/>
        <v>-32838.330229995663</v>
      </c>
      <c r="D526" s="95">
        <f t="shared" si="186"/>
        <v>-3851.8382585604299</v>
      </c>
      <c r="E526" s="95">
        <f t="shared" si="187"/>
        <v>-1407.1972292839844</v>
      </c>
      <c r="F526" s="96">
        <f t="shared" si="169"/>
        <v>-537.76808629648747</v>
      </c>
      <c r="G526" s="94">
        <f t="shared" si="170"/>
        <v>1422.3073458128863</v>
      </c>
      <c r="H526" s="97">
        <f t="shared" si="171"/>
        <v>43.623984018862416</v>
      </c>
      <c r="I526" s="94">
        <f t="shared" si="172"/>
        <v>305.25063485841258</v>
      </c>
      <c r="J526" s="95">
        <f t="shared" si="173"/>
        <v>-36.229833405987158</v>
      </c>
      <c r="K526" s="94">
        <f t="shared" si="174"/>
        <v>64.040223577503937</v>
      </c>
      <c r="L526" s="94">
        <f t="shared" si="175"/>
        <v>-545.16223690936272</v>
      </c>
      <c r="M526" s="93">
        <f t="shared" si="176"/>
        <v>1053.0164873769697</v>
      </c>
      <c r="N526" s="93">
        <f t="shared" si="177"/>
        <v>40748.180026217859</v>
      </c>
      <c r="O526" s="93">
        <f t="shared" si="178"/>
        <v>49218.552372714352</v>
      </c>
      <c r="P526" s="93">
        <f t="shared" si="179"/>
        <v>20087.168805796122</v>
      </c>
      <c r="Q526" s="93">
        <f t="shared" si="180"/>
        <v>69192649928156.188</v>
      </c>
      <c r="R526" s="93">
        <f t="shared" si="181"/>
        <v>120135797931354.13</v>
      </c>
      <c r="S526" s="93">
        <f t="shared" si="182"/>
        <v>8869878087483.5195</v>
      </c>
      <c r="T526">
        <f t="shared" si="183"/>
        <v>0.5</v>
      </c>
    </row>
    <row r="527" spans="1:20" x14ac:dyDescent="0.25">
      <c r="A527">
        <v>242</v>
      </c>
      <c r="B527" s="95">
        <f t="shared" si="184"/>
        <v>2174.8067002554462</v>
      </c>
      <c r="C527" s="95">
        <f t="shared" si="185"/>
        <v>-33186.352008184433</v>
      </c>
      <c r="D527" s="95">
        <f t="shared" si="186"/>
        <v>-4120.7223017086735</v>
      </c>
      <c r="E527" s="95">
        <f t="shared" si="187"/>
        <v>-696.04355637754122</v>
      </c>
      <c r="F527" s="96">
        <f t="shared" si="169"/>
        <v>-435.32022146182385</v>
      </c>
      <c r="G527" s="94">
        <f t="shared" si="170"/>
        <v>1519.1402856600682</v>
      </c>
      <c r="H527" s="97">
        <f t="shared" si="171"/>
        <v>56.372364479756087</v>
      </c>
      <c r="I527" s="94">
        <f t="shared" si="172"/>
        <v>293.10277419369316</v>
      </c>
      <c r="J527" s="95">
        <f t="shared" si="173"/>
        <v>-34.537898211916414</v>
      </c>
      <c r="K527" s="94">
        <f t="shared" si="174"/>
        <v>67.263983400833126</v>
      </c>
      <c r="L527" s="94">
        <f t="shared" si="175"/>
        <v>-457.15468772966352</v>
      </c>
      <c r="M527" s="93">
        <f t="shared" si="176"/>
        <v>1158.773528065542</v>
      </c>
      <c r="N527" s="93">
        <f t="shared" si="177"/>
        <v>41432.02734494488</v>
      </c>
      <c r="O527" s="93">
        <f t="shared" si="178"/>
        <v>48546.710001487321</v>
      </c>
      <c r="P527" s="93">
        <f t="shared" si="179"/>
        <v>19550.479547868497</v>
      </c>
      <c r="Q527" s="93">
        <f t="shared" si="180"/>
        <v>72682096420447.828</v>
      </c>
      <c r="R527" s="93">
        <f t="shared" si="181"/>
        <v>115307267315074.19</v>
      </c>
      <c r="S527" s="93">
        <f t="shared" si="182"/>
        <v>8217612340507.6904</v>
      </c>
      <c r="T527">
        <f t="shared" si="183"/>
        <v>0.5</v>
      </c>
    </row>
    <row r="528" spans="1:20" x14ac:dyDescent="0.25">
      <c r="A528">
        <v>242.5</v>
      </c>
      <c r="B528" s="95">
        <f t="shared" si="184"/>
        <v>5.6154940356535121</v>
      </c>
      <c r="C528" s="95">
        <f t="shared" si="185"/>
        <v>-33154.588714958183</v>
      </c>
      <c r="D528" s="95">
        <f t="shared" si="186"/>
        <v>-4338.3824124395851</v>
      </c>
      <c r="E528" s="95">
        <f t="shared" si="187"/>
        <v>63.526586452492893</v>
      </c>
      <c r="F528" s="96">
        <f t="shared" si="169"/>
        <v>-317.61126845723481</v>
      </c>
      <c r="G528" s="94">
        <f t="shared" si="170"/>
        <v>1640.4838167041098</v>
      </c>
      <c r="H528" s="97">
        <f t="shared" si="171"/>
        <v>69.81891334871257</v>
      </c>
      <c r="I528" s="94">
        <f t="shared" si="172"/>
        <v>284.00540373679911</v>
      </c>
      <c r="J528" s="95">
        <f t="shared" si="173"/>
        <v>-33.115535628042899</v>
      </c>
      <c r="K528" s="94">
        <f t="shared" si="174"/>
        <v>71.43430905836388</v>
      </c>
      <c r="L528" s="94">
        <f t="shared" si="175"/>
        <v>-354.31464617790448</v>
      </c>
      <c r="M528" s="93">
        <f t="shared" si="176"/>
        <v>1285.0441039089467</v>
      </c>
      <c r="N528" s="93">
        <f t="shared" si="177"/>
        <v>41865.060673973298</v>
      </c>
      <c r="O528" s="93">
        <f t="shared" si="178"/>
        <v>47566.197855750419</v>
      </c>
      <c r="P528" s="93">
        <f t="shared" si="179"/>
        <v>18832.027981165938</v>
      </c>
      <c r="Q528" s="93">
        <f t="shared" si="180"/>
        <v>74951717796651.094</v>
      </c>
      <c r="R528" s="93">
        <f t="shared" si="181"/>
        <v>108495787358839.83</v>
      </c>
      <c r="S528" s="93">
        <f t="shared" si="182"/>
        <v>7397193912432.7031</v>
      </c>
      <c r="T528">
        <f t="shared" si="183"/>
        <v>0.5</v>
      </c>
    </row>
    <row r="529" spans="1:20" x14ac:dyDescent="0.25">
      <c r="A529">
        <v>243</v>
      </c>
      <c r="B529" s="95">
        <f t="shared" si="184"/>
        <v>-2242.9785292984475</v>
      </c>
      <c r="C529" s="95">
        <f t="shared" si="185"/>
        <v>-32712.704467555905</v>
      </c>
      <c r="D529" s="95">
        <f t="shared" si="186"/>
        <v>-4497.1880466682023</v>
      </c>
      <c r="E529" s="95">
        <f t="shared" si="187"/>
        <v>883.7684948045478</v>
      </c>
      <c r="F529" s="96">
        <f t="shared" si="169"/>
        <v>-171.40484245694304</v>
      </c>
      <c r="G529" s="94">
        <f t="shared" si="170"/>
        <v>1793.3027984587166</v>
      </c>
      <c r="H529" s="97">
        <f t="shared" si="171"/>
        <v>84.507665910890523</v>
      </c>
      <c r="I529" s="94">
        <f t="shared" si="172"/>
        <v>277.56985658230332</v>
      </c>
      <c r="J529" s="95">
        <f t="shared" si="173"/>
        <v>-31.946151934681549</v>
      </c>
      <c r="K529" s="94">
        <f t="shared" si="174"/>
        <v>76.843210935633493</v>
      </c>
      <c r="L529" s="94">
        <f t="shared" si="175"/>
        <v>-223.96635643315201</v>
      </c>
      <c r="M529" s="93">
        <f t="shared" si="176"/>
        <v>1438.8897309407796</v>
      </c>
      <c r="N529" s="93">
        <f t="shared" si="177"/>
        <v>42035.129640145671</v>
      </c>
      <c r="O529" s="93">
        <f t="shared" si="178"/>
        <v>46256.750150045402</v>
      </c>
      <c r="P529" s="93">
        <f t="shared" si="179"/>
        <v>17925.988590448345</v>
      </c>
      <c r="Q529" s="93">
        <f t="shared" si="180"/>
        <v>75855941570749.469</v>
      </c>
      <c r="R529" s="93">
        <f t="shared" si="181"/>
        <v>99826147096976.75</v>
      </c>
      <c r="S529" s="93">
        <f t="shared" si="182"/>
        <v>6445490694886.6768</v>
      </c>
      <c r="T529">
        <f t="shared" si="183"/>
        <v>0.5</v>
      </c>
    </row>
    <row r="530" spans="1:20" x14ac:dyDescent="0.25">
      <c r="A530">
        <v>243.5</v>
      </c>
      <c r="B530" s="95">
        <f t="shared" si="184"/>
        <v>-4534.4237632467848</v>
      </c>
      <c r="C530" s="95">
        <f t="shared" si="185"/>
        <v>-31822.494520538952</v>
      </c>
      <c r="D530" s="95">
        <f t="shared" si="186"/>
        <v>-4582.8904678966737</v>
      </c>
      <c r="E530" s="95">
        <f t="shared" si="187"/>
        <v>1780.4198940339061</v>
      </c>
      <c r="F530" s="96">
        <f t="shared" si="169"/>
        <v>25.030142266593074</v>
      </c>
      <c r="G530" s="94">
        <f t="shared" si="170"/>
        <v>1985.3692418173509</v>
      </c>
      <c r="H530" s="97">
        <f t="shared" si="171"/>
        <v>101.12282437105902</v>
      </c>
      <c r="I530" s="94">
        <f t="shared" si="172"/>
        <v>273.58509508216787</v>
      </c>
      <c r="J530" s="95">
        <f t="shared" si="173"/>
        <v>-31.040812012628145</v>
      </c>
      <c r="K530" s="94">
        <f t="shared" si="174"/>
        <v>83.941533793360961</v>
      </c>
      <c r="L530" s="94">
        <f t="shared" si="175"/>
        <v>-45.051870091837813</v>
      </c>
      <c r="M530" s="93">
        <f t="shared" si="176"/>
        <v>1627.8426129418222</v>
      </c>
      <c r="N530" s="93">
        <f t="shared" si="177"/>
        <v>41922.643636195571</v>
      </c>
      <c r="O530" s="93">
        <f t="shared" si="178"/>
        <v>44590.414847311484</v>
      </c>
      <c r="P530" s="93">
        <f t="shared" si="179"/>
        <v>16828.935888100365</v>
      </c>
      <c r="Q530" s="93">
        <f t="shared" si="180"/>
        <v>75257060251185.469</v>
      </c>
      <c r="R530" s="93">
        <f t="shared" si="181"/>
        <v>89479958672465.688</v>
      </c>
      <c r="S530" s="93">
        <f t="shared" si="182"/>
        <v>5410988423226.6904</v>
      </c>
      <c r="T530">
        <f t="shared" si="183"/>
        <v>0.5</v>
      </c>
    </row>
    <row r="531" spans="1:20" x14ac:dyDescent="0.25">
      <c r="A531">
        <v>244</v>
      </c>
      <c r="B531" s="95">
        <f t="shared" si="184"/>
        <v>-6819.6114616284731</v>
      </c>
      <c r="C531" s="95">
        <f t="shared" si="185"/>
        <v>-30435.942263067664</v>
      </c>
      <c r="D531" s="95">
        <f t="shared" si="186"/>
        <v>-4570.3753967633775</v>
      </c>
      <c r="E531" s="95">
        <f t="shared" si="187"/>
        <v>2773.1045149425818</v>
      </c>
      <c r="F531" s="96">
        <f t="shared" si="169"/>
        <v>309.03915813995991</v>
      </c>
      <c r="G531" s="94">
        <f t="shared" si="170"/>
        <v>2222.3836434603227</v>
      </c>
      <c r="H531" s="97">
        <f t="shared" si="171"/>
        <v>120.60412334114322</v>
      </c>
      <c r="I531" s="94">
        <f t="shared" si="172"/>
        <v>272.01764263076069</v>
      </c>
      <c r="J531" s="95">
        <f t="shared" si="173"/>
        <v>-30.460878051907002</v>
      </c>
      <c r="K531" s="94">
        <f t="shared" si="174"/>
        <v>93.450530885596947</v>
      </c>
      <c r="L531" s="94">
        <f t="shared" si="175"/>
        <v>218.89591285072368</v>
      </c>
      <c r="M531" s="93">
        <f t="shared" si="176"/>
        <v>1856.9154699439653</v>
      </c>
      <c r="N531" s="93">
        <f t="shared" si="177"/>
        <v>41497.410101197245</v>
      </c>
      <c r="O531" s="93">
        <f t="shared" si="178"/>
        <v>42529.849150033173</v>
      </c>
      <c r="P531" s="93">
        <f t="shared" si="179"/>
        <v>15542.821475525227</v>
      </c>
      <c r="Q531" s="93">
        <f t="shared" si="180"/>
        <v>73021781705065.719</v>
      </c>
      <c r="R531" s="93">
        <f t="shared" si="181"/>
        <v>77710291347232.281</v>
      </c>
      <c r="S531" s="93">
        <f t="shared" si="182"/>
        <v>4352508555164.417</v>
      </c>
      <c r="T531">
        <f t="shared" si="183"/>
        <v>0.5</v>
      </c>
    </row>
    <row r="532" spans="1:20" x14ac:dyDescent="0.25">
      <c r="A532">
        <v>244.5</v>
      </c>
      <c r="B532" s="95">
        <f t="shared" si="184"/>
        <v>-9027.5393704751714</v>
      </c>
      <c r="C532" s="95">
        <f t="shared" si="185"/>
        <v>-28493.794094731289</v>
      </c>
      <c r="D532" s="95">
        <f t="shared" si="186"/>
        <v>-4415.8558176933975</v>
      </c>
      <c r="E532" s="95">
        <f t="shared" si="187"/>
        <v>3884.2963366727431</v>
      </c>
      <c r="F532" s="96">
        <f t="shared" si="169"/>
        <v>745.93650650013046</v>
      </c>
      <c r="G532" s="94">
        <f t="shared" si="170"/>
        <v>2496.9674257622937</v>
      </c>
      <c r="H532" s="97">
        <f t="shared" si="171"/>
        <v>144.34765852276257</v>
      </c>
      <c r="I532" s="94">
        <f t="shared" si="172"/>
        <v>273.05789770099688</v>
      </c>
      <c r="J532" s="95">
        <f t="shared" si="173"/>
        <v>-30.37897802581611</v>
      </c>
      <c r="K532" s="94">
        <f t="shared" si="174"/>
        <v>106.57610579959527</v>
      </c>
      <c r="L532" s="94">
        <f t="shared" si="175"/>
        <v>631.96782600318397</v>
      </c>
      <c r="M532" s="93">
        <f t="shared" si="176"/>
        <v>2117.3334222617013</v>
      </c>
      <c r="N532" s="93">
        <f t="shared" si="177"/>
        <v>40713.639825357001</v>
      </c>
      <c r="O532" s="93">
        <f t="shared" si="178"/>
        <v>40027.079284829684</v>
      </c>
      <c r="P532" s="93">
        <f t="shared" si="179"/>
        <v>14082.029415241701</v>
      </c>
      <c r="Q532" s="93">
        <f t="shared" si="180"/>
        <v>69019452196089.242</v>
      </c>
      <c r="R532" s="93">
        <f t="shared" si="181"/>
        <v>64866970261173.961</v>
      </c>
      <c r="S532" s="93">
        <f t="shared" si="182"/>
        <v>3336901969189.9927</v>
      </c>
      <c r="T532">
        <f t="shared" si="183"/>
        <v>0.5</v>
      </c>
    </row>
    <row r="533" spans="1:20" x14ac:dyDescent="0.25">
      <c r="A533">
        <v>245</v>
      </c>
      <c r="B533" s="95">
        <f t="shared" si="184"/>
        <v>-11048.983152696837</v>
      </c>
      <c r="C533" s="95">
        <f t="shared" si="185"/>
        <v>-25927.404069954344</v>
      </c>
      <c r="D533" s="95">
        <f t="shared" si="186"/>
        <v>-4042.8875644433324</v>
      </c>
      <c r="E533" s="95">
        <f t="shared" si="187"/>
        <v>5132.7800495538904</v>
      </c>
      <c r="F533" s="96">
        <f t="shared" si="169"/>
        <v>1444.0073438451489</v>
      </c>
      <c r="G533" s="94">
        <f t="shared" si="170"/>
        <v>2752.3369598350032</v>
      </c>
      <c r="H533" s="97">
        <f t="shared" si="171"/>
        <v>174.58241316038931</v>
      </c>
      <c r="I533" s="94">
        <f t="shared" si="172"/>
        <v>277.250298785685</v>
      </c>
      <c r="J533" s="95">
        <f t="shared" si="173"/>
        <v>-31.250835676162065</v>
      </c>
      <c r="K533" s="94">
        <f t="shared" si="174"/>
        <v>125.43395013265943</v>
      </c>
      <c r="L533" s="94">
        <f t="shared" si="175"/>
        <v>1300.6757663609217</v>
      </c>
      <c r="M533" s="93">
        <f t="shared" si="176"/>
        <v>2349.6527109166586</v>
      </c>
      <c r="N533" s="93">
        <f t="shared" si="177"/>
        <v>39502.544660040767</v>
      </c>
      <c r="O533" s="93">
        <f t="shared" si="178"/>
        <v>37025.654157711746</v>
      </c>
      <c r="P533" s="93">
        <f t="shared" si="179"/>
        <v>12489.930219567479</v>
      </c>
      <c r="Q533" s="93">
        <f t="shared" si="180"/>
        <v>63129049523539.688</v>
      </c>
      <c r="R533" s="93">
        <f t="shared" si="181"/>
        <v>51440298684801.734</v>
      </c>
      <c r="S533" s="93">
        <f t="shared" si="182"/>
        <v>2435072793912.5229</v>
      </c>
      <c r="T533">
        <f t="shared" si="183"/>
        <v>0.5</v>
      </c>
    </row>
    <row r="534" spans="1:20" x14ac:dyDescent="0.25">
      <c r="A534">
        <v>245.5</v>
      </c>
      <c r="B534" s="95">
        <f t="shared" si="184"/>
        <v>-12709.425098957216</v>
      </c>
      <c r="C534" s="95">
        <f t="shared" si="185"/>
        <v>-22672.92980521865</v>
      </c>
      <c r="D534" s="95">
        <f t="shared" si="186"/>
        <v>-3320.8838925207579</v>
      </c>
      <c r="E534" s="95">
        <f t="shared" si="187"/>
        <v>6508.9485294713922</v>
      </c>
      <c r="F534" s="96">
        <f t="shared" si="169"/>
        <v>2533.7029699514587</v>
      </c>
      <c r="G534" s="94">
        <f t="shared" si="170"/>
        <v>2781.4745685750131</v>
      </c>
      <c r="H534" s="97">
        <f t="shared" si="171"/>
        <v>215.10381747686662</v>
      </c>
      <c r="I534" s="94">
        <f t="shared" si="172"/>
        <v>285.7981810319842</v>
      </c>
      <c r="J534" s="95">
        <f t="shared" si="173"/>
        <v>-34.336342226427909</v>
      </c>
      <c r="K534" s="94">
        <f t="shared" si="174"/>
        <v>153.87934621885324</v>
      </c>
      <c r="L534" s="94">
        <f t="shared" si="175"/>
        <v>2352.9354947010202</v>
      </c>
      <c r="M534" s="93">
        <f t="shared" si="176"/>
        <v>2341.7970413241756</v>
      </c>
      <c r="N534" s="93">
        <f t="shared" si="177"/>
        <v>37764.052766563604</v>
      </c>
      <c r="O534" s="93">
        <f t="shared" si="178"/>
        <v>33476.451789944229</v>
      </c>
      <c r="P534" s="93">
        <f t="shared" si="179"/>
        <v>10876.99807631886</v>
      </c>
      <c r="Q534" s="93">
        <f t="shared" si="180"/>
        <v>55278550217427.242</v>
      </c>
      <c r="R534" s="93">
        <f t="shared" si="181"/>
        <v>38132957517206.406</v>
      </c>
      <c r="S534" s="93">
        <f t="shared" si="182"/>
        <v>1715578498208.5601</v>
      </c>
      <c r="T534">
        <f t="shared" si="183"/>
        <v>0.5</v>
      </c>
    </row>
    <row r="535" spans="1:20" x14ac:dyDescent="0.25">
      <c r="A535">
        <v>246</v>
      </c>
      <c r="B535" s="95">
        <f t="shared" si="184"/>
        <v>-13736.441302729729</v>
      </c>
      <c r="C535" s="95">
        <f t="shared" si="185"/>
        <v>-18723.086898339199</v>
      </c>
      <c r="D535" s="95">
        <f t="shared" si="186"/>
        <v>-2054.0324075450285</v>
      </c>
      <c r="E535" s="95">
        <f t="shared" si="187"/>
        <v>7899.6858137588988</v>
      </c>
      <c r="F535" s="96">
        <f t="shared" si="169"/>
        <v>3929.5328041824719</v>
      </c>
      <c r="G535" s="94">
        <f t="shared" si="170"/>
        <v>2076.8796751165742</v>
      </c>
      <c r="H535" s="97">
        <f t="shared" si="171"/>
        <v>272.64844626545192</v>
      </c>
      <c r="I535" s="94">
        <f t="shared" si="172"/>
        <v>301.21128133448906</v>
      </c>
      <c r="J535" s="95">
        <f t="shared" si="173"/>
        <v>-43.349848364731265</v>
      </c>
      <c r="K535" s="94">
        <f t="shared" si="174"/>
        <v>198.79137752036235</v>
      </c>
      <c r="L535" s="94">
        <f t="shared" si="175"/>
        <v>3700.2342062817511</v>
      </c>
      <c r="M535" s="93">
        <f t="shared" si="176"/>
        <v>1576.8770162617229</v>
      </c>
      <c r="N535" s="93">
        <f t="shared" si="177"/>
        <v>35370.452812987605</v>
      </c>
      <c r="O535" s="93">
        <f t="shared" si="178"/>
        <v>29398.093280410129</v>
      </c>
      <c r="P535" s="93">
        <f t="shared" si="179"/>
        <v>9496.6721902267909</v>
      </c>
      <c r="Q535" s="93">
        <f t="shared" si="180"/>
        <v>45583871000936.68</v>
      </c>
      <c r="R535" s="93">
        <f t="shared" si="181"/>
        <v>25949339696752.559</v>
      </c>
      <c r="S535" s="93">
        <f t="shared" si="182"/>
        <v>1236243360333.7646</v>
      </c>
      <c r="T535">
        <f t="shared" si="183"/>
        <v>0.5</v>
      </c>
    </row>
    <row r="536" spans="1:20" x14ac:dyDescent="0.25">
      <c r="A536">
        <v>246.5</v>
      </c>
      <c r="B536" s="95">
        <f t="shared" si="184"/>
        <v>-13781.074305456626</v>
      </c>
      <c r="C536" s="95">
        <f t="shared" si="185"/>
        <v>-14254.024072680606</v>
      </c>
      <c r="D536" s="95">
        <f t="shared" si="186"/>
        <v>-89.266005453792559</v>
      </c>
      <c r="E536" s="95">
        <f t="shared" si="187"/>
        <v>8938.1256513171866</v>
      </c>
      <c r="F536" s="96">
        <f t="shared" si="169"/>
        <v>4709.7524844707987</v>
      </c>
      <c r="G536" s="94">
        <f t="shared" si="170"/>
        <v>222.3538252393929</v>
      </c>
      <c r="H536" s="97">
        <f t="shared" si="171"/>
        <v>358.88405401925991</v>
      </c>
      <c r="I536" s="94">
        <f t="shared" si="172"/>
        <v>328.29350979509002</v>
      </c>
      <c r="J536" s="95">
        <f t="shared" si="173"/>
        <v>-69.114722927057997</v>
      </c>
      <c r="K536" s="94">
        <f t="shared" si="174"/>
        <v>269.54979621646675</v>
      </c>
      <c r="L536" s="94">
        <f t="shared" si="175"/>
        <v>4419.9831533785964</v>
      </c>
      <c r="M536" s="93">
        <f t="shared" si="176"/>
        <v>-375.4894807721638</v>
      </c>
      <c r="N536" s="93">
        <f t="shared" si="177"/>
        <v>32230.064512445781</v>
      </c>
      <c r="O536" s="93">
        <f t="shared" si="178"/>
        <v>25038.624573095509</v>
      </c>
      <c r="P536" s="93">
        <f t="shared" si="179"/>
        <v>8812.7036737933395</v>
      </c>
      <c r="Q536" s="93">
        <f t="shared" si="180"/>
        <v>34695722056464</v>
      </c>
      <c r="R536" s="93">
        <f t="shared" si="181"/>
        <v>16159857947260.141</v>
      </c>
      <c r="S536" s="93">
        <f t="shared" si="182"/>
        <v>1040221103842.9603</v>
      </c>
      <c r="T536">
        <f t="shared" si="183"/>
        <v>0.5</v>
      </c>
    </row>
    <row r="537" spans="1:20" x14ac:dyDescent="0.25">
      <c r="A537">
        <v>247</v>
      </c>
      <c r="B537" s="95">
        <f t="shared" si="184"/>
        <v>-12648.269187065824</v>
      </c>
      <c r="C537" s="95">
        <f t="shared" si="185"/>
        <v>-9729.3727907121647</v>
      </c>
      <c r="D537" s="95">
        <f t="shared" si="186"/>
        <v>2265.6102367816065</v>
      </c>
      <c r="E537" s="95">
        <f t="shared" si="187"/>
        <v>9049.3025639368825</v>
      </c>
      <c r="F537" s="96">
        <f t="shared" si="169"/>
        <v>3767.4961789107624</v>
      </c>
      <c r="G537" s="94">
        <f t="shared" si="170"/>
        <v>-1612.6002463804452</v>
      </c>
      <c r="H537" s="97">
        <f t="shared" si="171"/>
        <v>491.65853429746255</v>
      </c>
      <c r="I537" s="94">
        <f t="shared" si="172"/>
        <v>374.0227609968448</v>
      </c>
      <c r="J537" s="95">
        <f t="shared" si="173"/>
        <v>-135.79502035023532</v>
      </c>
      <c r="K537" s="94">
        <f t="shared" si="174"/>
        <v>364.42446653495631</v>
      </c>
      <c r="L537" s="94">
        <f t="shared" si="175"/>
        <v>3411.6326649635353</v>
      </c>
      <c r="M537" s="93">
        <f t="shared" si="176"/>
        <v>-2351.0474739122465</v>
      </c>
      <c r="N537" s="93">
        <f t="shared" si="177"/>
        <v>28456.903976559501</v>
      </c>
      <c r="O537" s="93">
        <f t="shared" si="178"/>
        <v>21054.597993330088</v>
      </c>
      <c r="P537" s="93">
        <f t="shared" si="179"/>
        <v>9288.4623451411899</v>
      </c>
      <c r="Q537" s="93">
        <f t="shared" si="180"/>
        <v>24119597624219.551</v>
      </c>
      <c r="R537" s="93">
        <f t="shared" si="181"/>
        <v>9722959900095.2246</v>
      </c>
      <c r="S537" s="93">
        <f t="shared" si="182"/>
        <v>1173814643915.2659</v>
      </c>
      <c r="T537">
        <f t="shared" si="183"/>
        <v>0.5</v>
      </c>
    </row>
    <row r="538" spans="1:20" x14ac:dyDescent="0.25">
      <c r="A538">
        <v>247.5</v>
      </c>
      <c r="B538" s="95">
        <f t="shared" si="184"/>
        <v>-10573.59002394733</v>
      </c>
      <c r="C538" s="95">
        <f t="shared" si="185"/>
        <v>-5607.8715703388352</v>
      </c>
      <c r="D538" s="95">
        <f t="shared" si="186"/>
        <v>4149.3583262369875</v>
      </c>
      <c r="E538" s="95">
        <f t="shared" si="187"/>
        <v>8243.002440746659</v>
      </c>
      <c r="F538" s="96">
        <f t="shared" si="169"/>
        <v>2117.1020741855864</v>
      </c>
      <c r="G538" s="94">
        <f t="shared" si="170"/>
        <v>-1955.2503923813622</v>
      </c>
      <c r="H538" s="97">
        <f t="shared" si="171"/>
        <v>697.63420183640415</v>
      </c>
      <c r="I538" s="94">
        <f t="shared" si="172"/>
        <v>444.47758072866111</v>
      </c>
      <c r="J538" s="95">
        <f t="shared" si="173"/>
        <v>-264.51654295103305</v>
      </c>
      <c r="K538" s="94">
        <f t="shared" si="174"/>
        <v>437.97588276959021</v>
      </c>
      <c r="L538" s="94">
        <f t="shared" si="175"/>
        <v>1683.9844153002152</v>
      </c>
      <c r="M538" s="93">
        <f t="shared" si="176"/>
        <v>-2837.7038558796135</v>
      </c>
      <c r="N538" s="93">
        <f t="shared" si="177"/>
        <v>24394.444112911493</v>
      </c>
      <c r="O538" s="93">
        <f t="shared" si="178"/>
        <v>18233.564105594291</v>
      </c>
      <c r="P538" s="93">
        <f t="shared" si="179"/>
        <v>10921.400193853107</v>
      </c>
      <c r="Q538" s="93">
        <f t="shared" si="180"/>
        <v>15441196142396.576</v>
      </c>
      <c r="R538" s="93">
        <f t="shared" si="181"/>
        <v>6400092170693.5371</v>
      </c>
      <c r="S538" s="93">
        <f t="shared" si="182"/>
        <v>1732988076202.2644</v>
      </c>
      <c r="T538">
        <f t="shared" si="183"/>
        <v>0.5</v>
      </c>
    </row>
    <row r="539" spans="1:20" x14ac:dyDescent="0.25">
      <c r="A539">
        <v>248</v>
      </c>
      <c r="B539" s="95">
        <f t="shared" si="184"/>
        <v>-7969.6353422824404</v>
      </c>
      <c r="C539" s="95">
        <f t="shared" si="185"/>
        <v>-1975.1829480608462</v>
      </c>
      <c r="D539" s="95">
        <f t="shared" si="186"/>
        <v>5207.9093633297807</v>
      </c>
      <c r="E539" s="95">
        <f t="shared" si="187"/>
        <v>7265.377244555978</v>
      </c>
      <c r="F539" s="96">
        <f t="shared" si="169"/>
        <v>1148.2767463945224</v>
      </c>
      <c r="G539" s="94">
        <f t="shared" si="170"/>
        <v>-1394.9276522602595</v>
      </c>
      <c r="H539" s="97">
        <f t="shared" si="171"/>
        <v>1027.5254427966233</v>
      </c>
      <c r="I539" s="94">
        <f t="shared" si="172"/>
        <v>541.80239992831173</v>
      </c>
      <c r="J539" s="95">
        <f t="shared" si="173"/>
        <v>-415.00646673119354</v>
      </c>
      <c r="K539" s="94">
        <f t="shared" si="174"/>
        <v>413.10288633239594</v>
      </c>
      <c r="L539" s="94">
        <f t="shared" si="175"/>
        <v>535.75777032909252</v>
      </c>
      <c r="M539" s="93">
        <f t="shared" si="176"/>
        <v>-2349.8329385209672</v>
      </c>
      <c r="N539" s="93">
        <f t="shared" si="177"/>
        <v>20314.696311631862</v>
      </c>
      <c r="O539" s="93">
        <f t="shared" si="178"/>
        <v>16974.530345113733</v>
      </c>
      <c r="P539" s="93">
        <f t="shared" si="179"/>
        <v>13359.064087825087</v>
      </c>
      <c r="Q539" s="93">
        <f t="shared" si="180"/>
        <v>9156833175399.3262</v>
      </c>
      <c r="R539" s="93">
        <f t="shared" si="181"/>
        <v>5206149916790.7178</v>
      </c>
      <c r="S539" s="93">
        <f t="shared" si="182"/>
        <v>2902239622651.5122</v>
      </c>
      <c r="T539">
        <f t="shared" si="183"/>
        <v>0.5</v>
      </c>
    </row>
    <row r="540" spans="1:20" x14ac:dyDescent="0.25">
      <c r="A540">
        <v>248.5</v>
      </c>
      <c r="B540" s="95">
        <f t="shared" si="184"/>
        <v>-5078.6114740189196</v>
      </c>
      <c r="C540" s="95">
        <f t="shared" si="185"/>
        <v>1308.7737611520779</v>
      </c>
      <c r="D540" s="95">
        <f t="shared" si="186"/>
        <v>5782.0477365270417</v>
      </c>
      <c r="E540" s="95">
        <f t="shared" si="187"/>
        <v>6567.9134184258482</v>
      </c>
      <c r="F540" s="96">
        <f t="shared" si="169"/>
        <v>1111.2984432912292</v>
      </c>
      <c r="G540" s="94">
        <f t="shared" si="170"/>
        <v>-780.92787310465974</v>
      </c>
      <c r="H540" s="97">
        <f t="shared" si="171"/>
        <v>1592.9488236181278</v>
      </c>
      <c r="I540" s="94">
        <f t="shared" si="172"/>
        <v>654.0593323808132</v>
      </c>
      <c r="J540" s="95">
        <f t="shared" si="173"/>
        <v>-489.94286629325143</v>
      </c>
      <c r="K540" s="94">
        <f t="shared" si="174"/>
        <v>285.37587421236913</v>
      </c>
      <c r="L540" s="94">
        <f t="shared" si="175"/>
        <v>8.2924859663527375</v>
      </c>
      <c r="M540" s="93">
        <f t="shared" si="176"/>
        <v>-1720.3630796978421</v>
      </c>
      <c r="N540" s="93">
        <f t="shared" si="177"/>
        <v>16300.178107156191</v>
      </c>
      <c r="O540" s="93">
        <f t="shared" si="178"/>
        <v>17268.041263505205</v>
      </c>
      <c r="P540" s="93">
        <f t="shared" si="179"/>
        <v>16308.96322137891</v>
      </c>
      <c r="Q540" s="93">
        <f t="shared" si="180"/>
        <v>4956306435247.6914</v>
      </c>
      <c r="R540" s="93">
        <f t="shared" si="181"/>
        <v>5469612287220.4189</v>
      </c>
      <c r="S540" s="93">
        <f t="shared" si="182"/>
        <v>4963634754559.3066</v>
      </c>
      <c r="T540">
        <f t="shared" si="183"/>
        <v>0.5</v>
      </c>
    </row>
    <row r="541" spans="1:20" x14ac:dyDescent="0.25">
      <c r="A541">
        <v>249</v>
      </c>
      <c r="B541" s="95">
        <f t="shared" si="184"/>
        <v>-1909.7629949325915</v>
      </c>
      <c r="C541" s="95">
        <f t="shared" si="185"/>
        <v>4397.498502088838</v>
      </c>
      <c r="D541" s="95">
        <f t="shared" si="186"/>
        <v>6337.6969581726562</v>
      </c>
      <c r="E541" s="95">
        <f t="shared" si="187"/>
        <v>6177.4494818735184</v>
      </c>
      <c r="F541" s="96">
        <f t="shared" si="169"/>
        <v>2010.9644340865043</v>
      </c>
      <c r="G541" s="94">
        <f t="shared" si="170"/>
        <v>-385.94316861741879</v>
      </c>
      <c r="H541" s="97">
        <f t="shared" si="171"/>
        <v>2660.1302764061602</v>
      </c>
      <c r="I541" s="94">
        <f t="shared" si="172"/>
        <v>692.96577695966641</v>
      </c>
      <c r="J541" s="95">
        <f t="shared" si="173"/>
        <v>-454.84252477428606</v>
      </c>
      <c r="K541" s="94">
        <f t="shared" si="174"/>
        <v>140.86360093833039</v>
      </c>
      <c r="L541" s="94">
        <f t="shared" si="175"/>
        <v>-194.3233175453698</v>
      </c>
      <c r="M541" s="93">
        <f t="shared" si="176"/>
        <v>-1219.7725465154156</v>
      </c>
      <c r="N541" s="93">
        <f t="shared" si="177"/>
        <v>12307.23243219233</v>
      </c>
      <c r="O541" s="93">
        <f t="shared" si="178"/>
        <v>18937.916937551687</v>
      </c>
      <c r="P541" s="93">
        <f t="shared" si="179"/>
        <v>19642.110703435785</v>
      </c>
      <c r="Q541" s="93">
        <f t="shared" si="180"/>
        <v>2344222528167.8281</v>
      </c>
      <c r="R541" s="93">
        <f t="shared" si="181"/>
        <v>7142922489793.625</v>
      </c>
      <c r="S541" s="93">
        <f t="shared" si="182"/>
        <v>8326557680264.3613</v>
      </c>
      <c r="T541">
        <f t="shared" si="183"/>
        <v>0.5</v>
      </c>
    </row>
    <row r="542" spans="1:20" x14ac:dyDescent="0.25">
      <c r="A542">
        <v>249.5</v>
      </c>
      <c r="B542" s="95">
        <f t="shared" si="184"/>
        <v>1761.8265926753627</v>
      </c>
      <c r="C542" s="95">
        <f t="shared" si="185"/>
        <v>7389.7374508712428</v>
      </c>
      <c r="D542" s="95">
        <f t="shared" si="186"/>
        <v>7343.1791752159079</v>
      </c>
      <c r="E542" s="95">
        <f t="shared" si="187"/>
        <v>5984.4778975648087</v>
      </c>
      <c r="F542" s="96">
        <f t="shared" si="169"/>
        <v>4202.6892622156356</v>
      </c>
      <c r="G542" s="94">
        <f t="shared" si="170"/>
        <v>-749.5246588096104</v>
      </c>
      <c r="H542" s="97">
        <f t="shared" si="171"/>
        <v>4818.9079857672832</v>
      </c>
      <c r="I542" s="94">
        <f t="shared" si="172"/>
        <v>64.497923539118716</v>
      </c>
      <c r="J542" s="95">
        <f t="shared" si="173"/>
        <v>-357.43150542141643</v>
      </c>
      <c r="K542" s="94">
        <f t="shared" si="174"/>
        <v>42.872783151128644</v>
      </c>
      <c r="L542" s="94">
        <f t="shared" si="175"/>
        <v>-258.78721813023077</v>
      </c>
      <c r="M542" s="93">
        <f t="shared" si="176"/>
        <v>-856.8953654998578</v>
      </c>
      <c r="N542" s="93">
        <f t="shared" si="177"/>
        <v>8238.9112702402126</v>
      </c>
      <c r="O542" s="93">
        <f t="shared" si="178"/>
        <v>21917.813924409904</v>
      </c>
      <c r="P542" s="93">
        <f t="shared" si="179"/>
        <v>23388.51517280133</v>
      </c>
      <c r="Q542" s="93">
        <f t="shared" si="180"/>
        <v>895119292997.83777</v>
      </c>
      <c r="R542" s="93">
        <f t="shared" si="181"/>
        <v>10934407560488.189</v>
      </c>
      <c r="S542" s="93">
        <f t="shared" si="182"/>
        <v>13681062574547.795</v>
      </c>
      <c r="T542">
        <f t="shared" si="183"/>
        <v>0.5</v>
      </c>
    </row>
    <row r="543" spans="1:20" x14ac:dyDescent="0.25">
      <c r="A543">
        <v>250</v>
      </c>
      <c r="B543" s="95">
        <f t="shared" si="184"/>
        <v>6484.0884958372262</v>
      </c>
      <c r="C543" s="95">
        <f t="shared" si="185"/>
        <v>10194.595234951244</v>
      </c>
      <c r="D543" s="95">
        <f t="shared" si="186"/>
        <v>9444.5238063237266</v>
      </c>
      <c r="E543" s="95">
        <f t="shared" si="187"/>
        <v>5609.7155681600034</v>
      </c>
      <c r="F543" s="96">
        <f t="shared" si="169"/>
        <v>5656.5612118380495</v>
      </c>
      <c r="G543" s="94">
        <f t="shared" si="170"/>
        <v>-5327.3563393783315</v>
      </c>
      <c r="H543" s="97">
        <f t="shared" si="171"/>
        <v>6175.9823098821016</v>
      </c>
      <c r="I543" s="94">
        <f t="shared" si="172"/>
        <v>-4733.273998406371</v>
      </c>
      <c r="J543" s="95">
        <f t="shared" si="173"/>
        <v>-249.46462179610762</v>
      </c>
      <c r="K543" s="94">
        <f t="shared" si="174"/>
        <v>-1.8329732849996767</v>
      </c>
      <c r="L543" s="94">
        <f t="shared" si="175"/>
        <v>-269.95647624794458</v>
      </c>
      <c r="M543" s="93">
        <f t="shared" si="176"/>
        <v>-592.24936768696034</v>
      </c>
      <c r="N543" s="93">
        <f t="shared" si="177"/>
        <v>4429.7265361787395</v>
      </c>
      <c r="O543" s="93">
        <f t="shared" si="178"/>
        <v>26484.803392904458</v>
      </c>
      <c r="P543" s="93">
        <f t="shared" si="179"/>
        <v>27688.479872200442</v>
      </c>
      <c r="Q543" s="93">
        <f t="shared" si="180"/>
        <v>298078405397.30182</v>
      </c>
      <c r="R543" s="93">
        <f t="shared" si="181"/>
        <v>19066404766455.305</v>
      </c>
      <c r="S543" s="93">
        <f t="shared" si="182"/>
        <v>22274163446110.934</v>
      </c>
      <c r="T543">
        <f t="shared" si="183"/>
        <v>0.5</v>
      </c>
    </row>
    <row r="544" spans="1:20" x14ac:dyDescent="0.25">
      <c r="A544">
        <v>250.5</v>
      </c>
      <c r="B544" s="95">
        <f t="shared" si="184"/>
        <v>12620.490701958603</v>
      </c>
      <c r="C544" s="95">
        <f t="shared" si="185"/>
        <v>11667.613934186664</v>
      </c>
      <c r="D544" s="95">
        <f t="shared" si="186"/>
        <v>12272.804412242751</v>
      </c>
      <c r="E544" s="95">
        <f t="shared" si="187"/>
        <v>2946.0373984708376</v>
      </c>
      <c r="F544" s="96">
        <f t="shared" si="169"/>
        <v>-4409.2582690460995</v>
      </c>
      <c r="G544" s="94">
        <f t="shared" si="170"/>
        <v>-6737.1091223034819</v>
      </c>
      <c r="H544" s="97">
        <f t="shared" si="171"/>
        <v>-3971.5259042170287</v>
      </c>
      <c r="I544" s="94">
        <f t="shared" si="172"/>
        <v>-6316.2928553904312</v>
      </c>
      <c r="J544" s="95">
        <f t="shared" si="173"/>
        <v>-165.2624484061601</v>
      </c>
      <c r="K544" s="94">
        <f t="shared" si="174"/>
        <v>-8.4484922154579962</v>
      </c>
      <c r="L544" s="94">
        <f t="shared" si="175"/>
        <v>-272.46991642291067</v>
      </c>
      <c r="M544" s="93">
        <f t="shared" si="176"/>
        <v>-412.36777469759261</v>
      </c>
      <c r="N544" s="93">
        <f t="shared" si="177"/>
        <v>4923.0049180839069</v>
      </c>
      <c r="O544" s="93">
        <f t="shared" si="178"/>
        <v>32663.088492517989</v>
      </c>
      <c r="P544" s="93">
        <f t="shared" si="179"/>
        <v>31963.155750342241</v>
      </c>
      <c r="Q544" s="93">
        <f t="shared" si="180"/>
        <v>345480743699.88342</v>
      </c>
      <c r="R544" s="93">
        <f t="shared" si="181"/>
        <v>35449413102615.789</v>
      </c>
      <c r="S544" s="93">
        <f t="shared" si="182"/>
        <v>33860866102614.465</v>
      </c>
      <c r="T544">
        <f t="shared" si="183"/>
        <v>0.5</v>
      </c>
    </row>
    <row r="545" spans="1:20" x14ac:dyDescent="0.25">
      <c r="A545">
        <v>251</v>
      </c>
      <c r="B545" s="95">
        <f t="shared" si="184"/>
        <v>17654.578340818454</v>
      </c>
      <c r="C545" s="95">
        <f t="shared" si="185"/>
        <v>11456.355352846213</v>
      </c>
      <c r="D545" s="95">
        <f t="shared" si="186"/>
        <v>10068.175277719702</v>
      </c>
      <c r="E545" s="95">
        <f t="shared" si="187"/>
        <v>-422.51716268090331</v>
      </c>
      <c r="F545" s="96">
        <f t="shared" si="169"/>
        <v>-4450.7545494869846</v>
      </c>
      <c r="G545" s="94">
        <f t="shared" si="170"/>
        <v>-2417.9918823374037</v>
      </c>
      <c r="H545" s="97">
        <f t="shared" si="171"/>
        <v>-4053.7303637390464</v>
      </c>
      <c r="I545" s="94">
        <f t="shared" si="172"/>
        <v>-2095.2163671838989</v>
      </c>
      <c r="J545" s="95">
        <f t="shared" si="173"/>
        <v>-124.76352401830837</v>
      </c>
      <c r="K545" s="94">
        <f t="shared" si="174"/>
        <v>-4.825443121402671</v>
      </c>
      <c r="L545" s="94">
        <f t="shared" si="175"/>
        <v>-272.26066172962919</v>
      </c>
      <c r="M545" s="93">
        <f t="shared" si="176"/>
        <v>-317.95007203210213</v>
      </c>
      <c r="N545" s="93">
        <f t="shared" si="177"/>
        <v>8616.5722450242283</v>
      </c>
      <c r="O545" s="93">
        <f t="shared" si="178"/>
        <v>37682.731335966047</v>
      </c>
      <c r="P545" s="93">
        <f t="shared" si="179"/>
        <v>34830.570744051198</v>
      </c>
      <c r="Q545" s="93">
        <f t="shared" si="180"/>
        <v>988701143723.08704</v>
      </c>
      <c r="R545" s="93">
        <f t="shared" si="181"/>
        <v>54202946779750.633</v>
      </c>
      <c r="S545" s="93">
        <f t="shared" si="182"/>
        <v>43568209250618.273</v>
      </c>
      <c r="T545">
        <f t="shared" si="183"/>
        <v>0.5</v>
      </c>
    </row>
    <row r="546" spans="1:20" x14ac:dyDescent="0.25">
      <c r="A546">
        <v>251.5</v>
      </c>
      <c r="B546" s="95">
        <f t="shared" si="184"/>
        <v>21575.97734230656</v>
      </c>
      <c r="C546" s="95">
        <f t="shared" si="185"/>
        <v>10640.598800921411</v>
      </c>
      <c r="D546" s="95">
        <f t="shared" si="186"/>
        <v>7842.7980029762093</v>
      </c>
      <c r="E546" s="95">
        <f t="shared" si="187"/>
        <v>-1631.5131038496052</v>
      </c>
      <c r="F546" s="96">
        <f t="shared" si="169"/>
        <v>-3133.7584266758781</v>
      </c>
      <c r="G546" s="94">
        <f t="shared" si="170"/>
        <v>-1010.3718289526123</v>
      </c>
      <c r="H546" s="97">
        <f t="shared" si="171"/>
        <v>-2762.1076720245783</v>
      </c>
      <c r="I546" s="94">
        <f t="shared" si="172"/>
        <v>-749.36843657019074</v>
      </c>
      <c r="J546" s="95">
        <f t="shared" si="173"/>
        <v>-102.76705096303928</v>
      </c>
      <c r="K546" s="94">
        <f t="shared" si="174"/>
        <v>-1.58342518515285</v>
      </c>
      <c r="L546" s="94">
        <f t="shared" si="175"/>
        <v>-268.88370368826065</v>
      </c>
      <c r="M546" s="93">
        <f t="shared" si="176"/>
        <v>-259.41996719726876</v>
      </c>
      <c r="N546" s="93">
        <f t="shared" si="177"/>
        <v>11994.440889759882</v>
      </c>
      <c r="O546" s="93">
        <f t="shared" si="178"/>
        <v>41580.9121928768</v>
      </c>
      <c r="P546" s="93">
        <f t="shared" si="179"/>
        <v>36928.618692940632</v>
      </c>
      <c r="Q546" s="93">
        <f t="shared" si="180"/>
        <v>2194399452336.5671</v>
      </c>
      <c r="R546" s="93">
        <f t="shared" si="181"/>
        <v>72657644692240.469</v>
      </c>
      <c r="S546" s="93">
        <f t="shared" si="182"/>
        <v>51751552830783.828</v>
      </c>
      <c r="T546">
        <f t="shared" si="183"/>
        <v>0.5</v>
      </c>
    </row>
    <row r="547" spans="1:20" x14ac:dyDescent="0.25">
      <c r="A547">
        <v>252</v>
      </c>
      <c r="B547" s="95">
        <f t="shared" si="184"/>
        <v>24713.936737125696</v>
      </c>
      <c r="C547" s="95">
        <f t="shared" si="185"/>
        <v>9572.249291758455</v>
      </c>
      <c r="D547" s="95">
        <f t="shared" si="186"/>
        <v>6275.91878963827</v>
      </c>
      <c r="E547" s="95">
        <f t="shared" si="187"/>
        <v>-2136.6990183259113</v>
      </c>
      <c r="F547" s="96">
        <f t="shared" si="169"/>
        <v>-2352.9601793770453</v>
      </c>
      <c r="G547" s="94">
        <f t="shared" si="170"/>
        <v>-499.61338806387101</v>
      </c>
      <c r="H547" s="97">
        <f t="shared" si="171"/>
        <v>-1999.2642009635292</v>
      </c>
      <c r="I547" s="94">
        <f t="shared" si="172"/>
        <v>-281.56800579625292</v>
      </c>
      <c r="J547" s="95">
        <f t="shared" si="173"/>
        <v>-88.995581991863887</v>
      </c>
      <c r="K547" s="94">
        <f t="shared" si="174"/>
        <v>0.85136594997641324</v>
      </c>
      <c r="L547" s="94">
        <f t="shared" si="175"/>
        <v>-264.70039642165261</v>
      </c>
      <c r="M547" s="93">
        <f t="shared" si="176"/>
        <v>-218.89674821759451</v>
      </c>
      <c r="N547" s="93">
        <f t="shared" si="177"/>
        <v>14859.143697781867</v>
      </c>
      <c r="O547" s="93">
        <f t="shared" si="178"/>
        <v>44715.982704175025</v>
      </c>
      <c r="P547" s="93">
        <f t="shared" si="179"/>
        <v>38557.923591322084</v>
      </c>
      <c r="Q547" s="93">
        <f t="shared" si="180"/>
        <v>3853517337066.7397</v>
      </c>
      <c r="R547" s="93">
        <f t="shared" si="181"/>
        <v>90233375267421.266</v>
      </c>
      <c r="S547" s="93">
        <f t="shared" si="182"/>
        <v>58776568165697.156</v>
      </c>
      <c r="T547">
        <f t="shared" si="183"/>
        <v>0.5</v>
      </c>
    </row>
    <row r="548" spans="1:20" x14ac:dyDescent="0.25">
      <c r="A548">
        <v>252.5</v>
      </c>
      <c r="B548" s="95">
        <f t="shared" si="184"/>
        <v>27263.656087100571</v>
      </c>
      <c r="C548" s="95">
        <f t="shared" si="185"/>
        <v>8378.996435579531</v>
      </c>
      <c r="D548" s="95">
        <f t="shared" si="186"/>
        <v>5099.4386999497474</v>
      </c>
      <c r="E548" s="95">
        <f t="shared" si="187"/>
        <v>-2386.5057123578467</v>
      </c>
      <c r="F548" s="96">
        <f t="shared" si="169"/>
        <v>-1891.8144195341581</v>
      </c>
      <c r="G548" s="94">
        <f t="shared" si="170"/>
        <v>-265.302825335379</v>
      </c>
      <c r="H548" s="97">
        <f t="shared" si="171"/>
        <v>-1551.3262545003622</v>
      </c>
      <c r="I548" s="94">
        <f t="shared" si="172"/>
        <v>-78.987338559510249</v>
      </c>
      <c r="J548" s="95">
        <f t="shared" si="173"/>
        <v>-79.600141918313639</v>
      </c>
      <c r="K548" s="94">
        <f t="shared" si="174"/>
        <v>2.7300493542051161</v>
      </c>
      <c r="L548" s="94">
        <f t="shared" si="175"/>
        <v>-260.88802311548221</v>
      </c>
      <c r="M548" s="93">
        <f t="shared" si="176"/>
        <v>-189.04553613007388</v>
      </c>
      <c r="N548" s="93">
        <f t="shared" si="177"/>
        <v>17286.019097161905</v>
      </c>
      <c r="O548" s="93">
        <f t="shared" si="178"/>
        <v>47291.44573044456</v>
      </c>
      <c r="P548" s="93">
        <f t="shared" si="179"/>
        <v>39843.706886301909</v>
      </c>
      <c r="Q548" s="93">
        <f t="shared" si="180"/>
        <v>5826775098618.6035</v>
      </c>
      <c r="R548" s="93">
        <f t="shared" si="181"/>
        <v>106636581397492.36</v>
      </c>
      <c r="S548" s="93">
        <f t="shared" si="182"/>
        <v>64752726559826.289</v>
      </c>
      <c r="T548">
        <f t="shared" si="183"/>
        <v>0.5</v>
      </c>
    </row>
    <row r="549" spans="1:20" x14ac:dyDescent="0.25">
      <c r="A549">
        <v>253</v>
      </c>
      <c r="B549" s="95">
        <f t="shared" si="184"/>
        <v>29340.421832191907</v>
      </c>
      <c r="C549" s="95">
        <f t="shared" si="185"/>
        <v>7119.4178730667627</v>
      </c>
      <c r="D549" s="95">
        <f t="shared" si="186"/>
        <v>4153.5314901826687</v>
      </c>
      <c r="E549" s="95">
        <f t="shared" si="187"/>
        <v>-2519.1571250255361</v>
      </c>
      <c r="F549" s="96">
        <f t="shared" si="169"/>
        <v>-1600.4935303773968</v>
      </c>
      <c r="G549" s="94">
        <f t="shared" si="170"/>
        <v>-136.94394144167401</v>
      </c>
      <c r="H549" s="97">
        <f t="shared" si="171"/>
        <v>-1269.6501076996044</v>
      </c>
      <c r="I549" s="94">
        <f t="shared" si="172"/>
        <v>24.984260562767989</v>
      </c>
      <c r="J549" s="95">
        <f t="shared" si="173"/>
        <v>-72.847009402410521</v>
      </c>
      <c r="K549" s="94">
        <f t="shared" si="174"/>
        <v>4.2529387770294864</v>
      </c>
      <c r="L549" s="94">
        <f t="shared" si="175"/>
        <v>-257.99641327538188</v>
      </c>
      <c r="M549" s="93">
        <f t="shared" si="176"/>
        <v>-166.1811407814715</v>
      </c>
      <c r="N549" s="93">
        <f t="shared" si="177"/>
        <v>19344.166030161818</v>
      </c>
      <c r="O549" s="93">
        <f t="shared" si="178"/>
        <v>49424.437072855435</v>
      </c>
      <c r="P549" s="93">
        <f t="shared" si="179"/>
        <v>40847.683149185192</v>
      </c>
      <c r="Q549" s="93">
        <f t="shared" si="180"/>
        <v>7975914883540.6699</v>
      </c>
      <c r="R549" s="93">
        <f t="shared" si="181"/>
        <v>121642089937169.67</v>
      </c>
      <c r="S549" s="93">
        <f t="shared" si="182"/>
        <v>69693227888685.883</v>
      </c>
      <c r="T549">
        <f t="shared" si="183"/>
        <v>0.5</v>
      </c>
    </row>
    <row r="550" spans="1:20" x14ac:dyDescent="0.25">
      <c r="A550">
        <v>253.5</v>
      </c>
      <c r="B550" s="95">
        <f t="shared" si="184"/>
        <v>31017.064194688894</v>
      </c>
      <c r="C550" s="95">
        <f t="shared" si="185"/>
        <v>5825.603325193576</v>
      </c>
      <c r="D550" s="95">
        <f t="shared" si="186"/>
        <v>3353.2847249939705</v>
      </c>
      <c r="E550" s="95">
        <f t="shared" si="187"/>
        <v>-2587.629095746373</v>
      </c>
      <c r="F550" s="96">
        <f t="shared" si="169"/>
        <v>-1405.7908956905273</v>
      </c>
      <c r="G550" s="94">
        <f t="shared" si="170"/>
        <v>-56.470505049637509</v>
      </c>
      <c r="H550" s="97">
        <f t="shared" si="171"/>
        <v>-1081.6548638241566</v>
      </c>
      <c r="I550" s="94">
        <f t="shared" si="172"/>
        <v>86.173753408101646</v>
      </c>
      <c r="J550" s="95">
        <f t="shared" si="173"/>
        <v>-67.838512623571006</v>
      </c>
      <c r="K550" s="94">
        <f t="shared" si="174"/>
        <v>5.5507870942744155</v>
      </c>
      <c r="L550" s="94">
        <f t="shared" si="175"/>
        <v>-256.29751924279981</v>
      </c>
      <c r="M550" s="93">
        <f t="shared" si="176"/>
        <v>-148.19504555201357</v>
      </c>
      <c r="N550" s="93">
        <f t="shared" si="177"/>
        <v>21083.656978529052</v>
      </c>
      <c r="O550" s="93">
        <f t="shared" si="178"/>
        <v>51187.5612492297</v>
      </c>
      <c r="P550" s="93">
        <f t="shared" si="179"/>
        <v>41604.502966177286</v>
      </c>
      <c r="Q550" s="93">
        <f t="shared" si="180"/>
        <v>10173771178824.877</v>
      </c>
      <c r="R550" s="93">
        <f t="shared" si="181"/>
        <v>135061599387474.94</v>
      </c>
      <c r="S550" s="93">
        <f t="shared" si="182"/>
        <v>73580465268253.766</v>
      </c>
      <c r="T550">
        <f t="shared" si="183"/>
        <v>0.5</v>
      </c>
    </row>
    <row r="551" spans="1:20" x14ac:dyDescent="0.25">
      <c r="A551">
        <v>254</v>
      </c>
      <c r="B551" s="95">
        <f t="shared" si="184"/>
        <v>32342.258833263248</v>
      </c>
      <c r="C551" s="95">
        <f t="shared" si="185"/>
        <v>4517.6711510579798</v>
      </c>
      <c r="D551" s="95">
        <f t="shared" si="186"/>
        <v>2650.3892771487067</v>
      </c>
      <c r="E551" s="95">
        <f t="shared" si="187"/>
        <v>-2615.8643482711918</v>
      </c>
      <c r="F551" s="96">
        <f t="shared" si="169"/>
        <v>-1270.502336905266</v>
      </c>
      <c r="G551" s="94">
        <f t="shared" si="170"/>
        <v>-0.19109414869325292</v>
      </c>
      <c r="H551" s="97">
        <f t="shared" si="171"/>
        <v>-950.49172845646342</v>
      </c>
      <c r="I551" s="94">
        <f t="shared" si="172"/>
        <v>126.87521542075208</v>
      </c>
      <c r="J551" s="95">
        <f t="shared" si="173"/>
        <v>-64.062709376782749</v>
      </c>
      <c r="K551" s="94">
        <f t="shared" si="174"/>
        <v>6.709928986376311</v>
      </c>
      <c r="L551" s="94">
        <f t="shared" si="175"/>
        <v>-255.94789907201988</v>
      </c>
      <c r="M551" s="93">
        <f t="shared" si="176"/>
        <v>-133.77623855582164</v>
      </c>
      <c r="N551" s="93">
        <f t="shared" si="177"/>
        <v>22540.426241217388</v>
      </c>
      <c r="O551" s="93">
        <f t="shared" si="178"/>
        <v>52628.585287619753</v>
      </c>
      <c r="P551" s="93">
        <f t="shared" si="179"/>
        <v>42135.303273279853</v>
      </c>
      <c r="Q551" s="93">
        <f t="shared" si="180"/>
        <v>12307712964734.916</v>
      </c>
      <c r="R551" s="93">
        <f t="shared" si="181"/>
        <v>146737089579727.78</v>
      </c>
      <c r="S551" s="93">
        <f t="shared" si="182"/>
        <v>76391957402508.922</v>
      </c>
      <c r="T551">
        <f t="shared" si="183"/>
        <v>0.5</v>
      </c>
    </row>
    <row r="552" spans="1:20" x14ac:dyDescent="0.25">
      <c r="A552">
        <v>254.5</v>
      </c>
      <c r="B552" s="95">
        <f t="shared" si="184"/>
        <v>33349.827887611282</v>
      </c>
      <c r="C552" s="95">
        <f t="shared" si="185"/>
        <v>3209.6912033852104</v>
      </c>
      <c r="D552" s="95">
        <f t="shared" si="186"/>
        <v>2015.1381086960737</v>
      </c>
      <c r="E552" s="95">
        <f t="shared" si="187"/>
        <v>-2615.9598953455384</v>
      </c>
      <c r="F552" s="96">
        <f t="shared" si="169"/>
        <v>-1174.3823826396338</v>
      </c>
      <c r="G552" s="94">
        <f t="shared" si="170"/>
        <v>43.028633838357223</v>
      </c>
      <c r="H552" s="97">
        <f t="shared" si="171"/>
        <v>-856.10777878161696</v>
      </c>
      <c r="I552" s="94">
        <f t="shared" si="172"/>
        <v>157.30166200093859</v>
      </c>
      <c r="J552" s="95">
        <f t="shared" si="173"/>
        <v>-61.207507139805635</v>
      </c>
      <c r="K552" s="94">
        <f t="shared" si="174"/>
        <v>7.790425772803629</v>
      </c>
      <c r="L552" s="94">
        <f t="shared" si="175"/>
        <v>-257.06709671821102</v>
      </c>
      <c r="M552" s="93">
        <f t="shared" si="176"/>
        <v>-122.06345393538498</v>
      </c>
      <c r="N552" s="93">
        <f t="shared" si="177"/>
        <v>23740.707907545213</v>
      </c>
      <c r="O552" s="93">
        <f t="shared" si="178"/>
        <v>53780.223402205484</v>
      </c>
      <c r="P552" s="93">
        <f t="shared" si="179"/>
        <v>42453.52933187125</v>
      </c>
      <c r="Q552" s="93">
        <f t="shared" si="180"/>
        <v>14280843598669.104</v>
      </c>
      <c r="R552" s="93">
        <f t="shared" si="181"/>
        <v>156538465817752.47</v>
      </c>
      <c r="S552" s="93">
        <f t="shared" si="182"/>
        <v>78111602701024.594</v>
      </c>
      <c r="T552">
        <f t="shared" si="183"/>
        <v>0.5</v>
      </c>
    </row>
    <row r="553" spans="1:20" x14ac:dyDescent="0.25">
      <c r="A553">
        <v>255</v>
      </c>
      <c r="B553" s="95">
        <f t="shared" si="184"/>
        <v>34063.801346299413</v>
      </c>
      <c r="C553" s="95">
        <f t="shared" si="185"/>
        <v>1912.4684141720306</v>
      </c>
      <c r="D553" s="95">
        <f t="shared" si="186"/>
        <v>1427.9469173762568</v>
      </c>
      <c r="E553" s="95">
        <f t="shared" si="187"/>
        <v>-2594.4455784263596</v>
      </c>
      <c r="F553" s="96">
        <f t="shared" si="169"/>
        <v>-1105.7325846417948</v>
      </c>
      <c r="G553" s="94">
        <f t="shared" si="170"/>
        <v>79.077358739579168</v>
      </c>
      <c r="H553" s="97">
        <f t="shared" si="171"/>
        <v>-786.87882374473668</v>
      </c>
      <c r="I553" s="94">
        <f t="shared" si="172"/>
        <v>182.71054596155949</v>
      </c>
      <c r="J553" s="95">
        <f t="shared" si="173"/>
        <v>-59.074140916797987</v>
      </c>
      <c r="K553" s="94">
        <f t="shared" si="174"/>
        <v>8.8370401021192411</v>
      </c>
      <c r="L553" s="94">
        <f t="shared" si="175"/>
        <v>-259.77961998026001</v>
      </c>
      <c r="M553" s="93">
        <f t="shared" si="176"/>
        <v>-112.47022732409955</v>
      </c>
      <c r="N553" s="93">
        <f t="shared" si="177"/>
        <v>24703.98843216995</v>
      </c>
      <c r="O553" s="93">
        <f t="shared" si="178"/>
        <v>54665.370968867406</v>
      </c>
      <c r="P553" s="93">
        <f t="shared" si="179"/>
        <v>42567.736179922824</v>
      </c>
      <c r="Q553" s="93">
        <f t="shared" si="180"/>
        <v>16012347188606.555</v>
      </c>
      <c r="R553" s="93">
        <f t="shared" si="181"/>
        <v>164362185114815.19</v>
      </c>
      <c r="S553" s="93">
        <f t="shared" si="182"/>
        <v>78735039171632.391</v>
      </c>
      <c r="T553">
        <f t="shared" si="183"/>
        <v>0.5</v>
      </c>
    </row>
    <row r="554" spans="1:20" x14ac:dyDescent="0.25">
      <c r="A554">
        <v>255.5</v>
      </c>
      <c r="B554" s="95">
        <f t="shared" si="184"/>
        <v>34501.341658827099</v>
      </c>
      <c r="C554" s="95">
        <f t="shared" si="185"/>
        <v>635.01496464374566</v>
      </c>
      <c r="D554" s="95">
        <f t="shared" si="186"/>
        <v>875.08062505535941</v>
      </c>
      <c r="E554" s="95">
        <f t="shared" si="187"/>
        <v>-2554.9068990565702</v>
      </c>
      <c r="F554" s="96">
        <f t="shared" si="169"/>
        <v>-1057.4814080182023</v>
      </c>
      <c r="G554" s="94">
        <f t="shared" si="170"/>
        <v>111.43265443471945</v>
      </c>
      <c r="H554" s="97">
        <f t="shared" si="171"/>
        <v>-735.70640051029466</v>
      </c>
      <c r="I554" s="94">
        <f t="shared" si="172"/>
        <v>206.13619859055362</v>
      </c>
      <c r="J554" s="95">
        <f t="shared" si="173"/>
        <v>-57.533166940183897</v>
      </c>
      <c r="K554" s="94">
        <f t="shared" si="174"/>
        <v>9.8859446581020283</v>
      </c>
      <c r="L554" s="94">
        <f t="shared" si="175"/>
        <v>-264.24184056772378</v>
      </c>
      <c r="M554" s="93">
        <f t="shared" si="176"/>
        <v>-104.5894888139362</v>
      </c>
      <c r="N554" s="93">
        <f t="shared" si="177"/>
        <v>25444.916243097392</v>
      </c>
      <c r="O554" s="93">
        <f t="shared" si="178"/>
        <v>55300.083067972409</v>
      </c>
      <c r="P554" s="93">
        <f t="shared" si="179"/>
        <v>42483.051747632526</v>
      </c>
      <c r="Q554" s="93">
        <f t="shared" si="180"/>
        <v>17437489308478.498</v>
      </c>
      <c r="R554" s="93">
        <f t="shared" si="181"/>
        <v>170130295038487.94</v>
      </c>
      <c r="S554" s="93">
        <f t="shared" si="182"/>
        <v>78272441951716.703</v>
      </c>
      <c r="T554">
        <f t="shared" si="183"/>
        <v>0.5</v>
      </c>
    </row>
    <row r="555" spans="1:20" x14ac:dyDescent="0.25">
      <c r="A555">
        <v>256</v>
      </c>
      <c r="B555" s="95">
        <f t="shared" si="184"/>
        <v>34674.511619350225</v>
      </c>
      <c r="C555" s="95">
        <f t="shared" si="185"/>
        <v>-614.58032127585955</v>
      </c>
      <c r="D555" s="95">
        <f t="shared" si="186"/>
        <v>346.33992104625827</v>
      </c>
      <c r="E555" s="95">
        <f t="shared" si="187"/>
        <v>-2499.1905718392104</v>
      </c>
      <c r="F555" s="96">
        <f t="shared" si="169"/>
        <v>-1025.2364791722885</v>
      </c>
      <c r="G555" s="94">
        <f t="shared" si="170"/>
        <v>142.40124091066093</v>
      </c>
      <c r="H555" s="97">
        <f t="shared" si="171"/>
        <v>-698.07151705263755</v>
      </c>
      <c r="I555" s="94">
        <f t="shared" si="172"/>
        <v>229.57120621087648</v>
      </c>
      <c r="J555" s="95">
        <f t="shared" si="173"/>
        <v>-56.500644154681531</v>
      </c>
      <c r="K555" s="94">
        <f t="shared" si="174"/>
        <v>10.96910805091559</v>
      </c>
      <c r="L555" s="94">
        <f t="shared" si="175"/>
        <v>-270.66431796496931</v>
      </c>
      <c r="M555" s="93">
        <f t="shared" si="176"/>
        <v>-98.139073351131159</v>
      </c>
      <c r="N555" s="93">
        <f t="shared" si="177"/>
        <v>25974.563277250432</v>
      </c>
      <c r="O555" s="93">
        <f t="shared" si="178"/>
        <v>55695.345732038324</v>
      </c>
      <c r="P555" s="93">
        <f t="shared" si="179"/>
        <v>42201.980659288725</v>
      </c>
      <c r="Q555" s="93">
        <f t="shared" si="180"/>
        <v>18507479186267.367</v>
      </c>
      <c r="R555" s="93">
        <f t="shared" si="181"/>
        <v>173789788853557.19</v>
      </c>
      <c r="S555" s="93">
        <f t="shared" si="182"/>
        <v>76750145207691.797</v>
      </c>
      <c r="T555">
        <f t="shared" si="183"/>
        <v>0.5</v>
      </c>
    </row>
    <row r="556" spans="1:20" x14ac:dyDescent="0.25">
      <c r="A556">
        <v>256.5</v>
      </c>
      <c r="B556" s="95">
        <f t="shared" si="184"/>
        <v>34591.372460080282</v>
      </c>
      <c r="C556" s="95">
        <f t="shared" si="185"/>
        <v>-1828.5752969677994</v>
      </c>
      <c r="D556" s="95">
        <f t="shared" si="186"/>
        <v>-166.27831853988596</v>
      </c>
      <c r="E556" s="95">
        <f t="shared" si="187"/>
        <v>-2427.98995138388</v>
      </c>
      <c r="F556" s="96">
        <f t="shared" ref="F556:F619" si="188">SUM(H556,J556,L556)</f>
        <v>-1006.2608567190763</v>
      </c>
      <c r="G556" s="94">
        <f t="shared" ref="G556:G619" si="189">SUM(I556,K556,M556)</f>
        <v>173.72636669962665</v>
      </c>
      <c r="H556" s="97">
        <f t="shared" ref="H556:H619" si="190">$D$22*(($D$18-$B556)/$Q556)</f>
        <v>-671.00018881961296</v>
      </c>
      <c r="I556" s="94">
        <f t="shared" ref="I556:I619" si="191">$D$22*(($E$18-$C556)/$Q556)</f>
        <v>254.53950550521392</v>
      </c>
      <c r="J556" s="95">
        <f t="shared" ref="J556:J619" si="192">$D$30*(($D$26-$B556)/$R556)</f>
        <v>-55.924799855564395</v>
      </c>
      <c r="K556" s="94">
        <f t="shared" ref="K556:K619" si="193">$D$30*(($E$26-$C556)/$R556)</f>
        <v>12.117495425547771</v>
      </c>
      <c r="L556" s="94">
        <f t="shared" ref="L556:L619" si="194">$D$38*(($D$34-$B556)/$S556)</f>
        <v>-279.33586804389893</v>
      </c>
      <c r="M556" s="93">
        <f t="shared" ref="M556:M619" si="195">$D$38*(($E$34-$C556)/$S556)</f>
        <v>-92.930634231135031</v>
      </c>
      <c r="N556" s="93">
        <f t="shared" ref="N556:N619" si="196">SQRT(($D$18-$B556)^2+($E$18-$C556)^2)</f>
        <v>26301.291157309992</v>
      </c>
      <c r="O556" s="93">
        <f t="shared" ref="O556:O619" si="197">SQRT(($D$26-$B556)^2+($E$26-$C556)^2)</f>
        <v>55858.151962191238</v>
      </c>
      <c r="P556" s="93">
        <f t="shared" ref="P556:P619" si="198">SQRT(($D$34-$B556)^2+($E$34-$C556)^2)</f>
        <v>41724.85113191478</v>
      </c>
      <c r="Q556" s="93">
        <f t="shared" ref="Q556:Q619" si="199">($N556^2+$D$39^2)^(3/2)</f>
        <v>19189282991157.637</v>
      </c>
      <c r="R556" s="93">
        <f t="shared" ref="R556:R619" si="200">($O556^2+$D$31^2)^(3/2)</f>
        <v>175312271430350.91</v>
      </c>
      <c r="S556" s="93">
        <f t="shared" ref="S556:S619" si="201">($P556^2+$D$23^2)^(3/2)</f>
        <v>74211716130548.719</v>
      </c>
      <c r="T556">
        <f t="shared" ref="T556:T592" si="202">A557-A556</f>
        <v>0.5</v>
      </c>
    </row>
    <row r="557" spans="1:20" x14ac:dyDescent="0.25">
      <c r="A557">
        <v>257</v>
      </c>
      <c r="B557" s="95">
        <f t="shared" ref="B557:B620" si="203">B556+(D556*$T556)+(F556*($T556)^2)</f>
        <v>34256.668086630569</v>
      </c>
      <c r="C557" s="95">
        <f t="shared" ref="C557:C620" si="204">C556+(E556*$T556)+(G556*($T556)^2)</f>
        <v>-2999.1386809848327</v>
      </c>
      <c r="D557" s="95">
        <f t="shared" ref="D557:D620" si="205">D556+(F556*$T556)</f>
        <v>-669.40874689942416</v>
      </c>
      <c r="E557" s="95">
        <f t="shared" ref="E557:E620" si="206">E556+(G556*$T556)</f>
        <v>-2341.1267680340666</v>
      </c>
      <c r="F557" s="96">
        <f t="shared" si="188"/>
        <v>-998.91125714643249</v>
      </c>
      <c r="G557" s="94">
        <f t="shared" si="189"/>
        <v>206.92533824761938</v>
      </c>
      <c r="H557" s="97">
        <f t="shared" si="190"/>
        <v>-652.47796882885893</v>
      </c>
      <c r="I557" s="94">
        <f t="shared" si="191"/>
        <v>282.4154025011054</v>
      </c>
      <c r="J557" s="95">
        <f t="shared" si="192"/>
        <v>-55.778648458395608</v>
      </c>
      <c r="K557" s="94">
        <f t="shared" si="193"/>
        <v>13.363783887187344</v>
      </c>
      <c r="L557" s="94">
        <f t="shared" si="194"/>
        <v>-290.65463985917791</v>
      </c>
      <c r="M557" s="93">
        <f t="shared" si="195"/>
        <v>-88.853848140673392</v>
      </c>
      <c r="N557" s="93">
        <f t="shared" si="196"/>
        <v>26431.380208144899</v>
      </c>
      <c r="O557" s="93">
        <f t="shared" si="197"/>
        <v>55792.146744055943</v>
      </c>
      <c r="P557" s="93">
        <f t="shared" si="198"/>
        <v>41050.050690128432</v>
      </c>
      <c r="Q557" s="93">
        <f t="shared" si="199"/>
        <v>19465426140059.34</v>
      </c>
      <c r="R557" s="93">
        <f t="shared" si="200"/>
        <v>174693954350501.81</v>
      </c>
      <c r="S557" s="93">
        <f t="shared" si="201"/>
        <v>70718786234368.547</v>
      </c>
      <c r="T557">
        <f t="shared" si="202"/>
        <v>0.5</v>
      </c>
    </row>
    <row r="558" spans="1:20" x14ac:dyDescent="0.25">
      <c r="A558">
        <v>257.5</v>
      </c>
      <c r="B558" s="95">
        <f t="shared" si="203"/>
        <v>33672.235898894251</v>
      </c>
      <c r="C558" s="95">
        <f t="shared" si="204"/>
        <v>-4117.9707304399608</v>
      </c>
      <c r="D558" s="95">
        <f t="shared" si="205"/>
        <v>-1168.8643754726404</v>
      </c>
      <c r="E558" s="95">
        <f t="shared" si="206"/>
        <v>-2237.6640989102571</v>
      </c>
      <c r="F558" s="96">
        <f t="shared" si="188"/>
        <v>-1002.3213444186305</v>
      </c>
      <c r="G558" s="94">
        <f t="shared" si="189"/>
        <v>243.51067873676089</v>
      </c>
      <c r="H558" s="97">
        <f t="shared" si="190"/>
        <v>-641.09258855146686</v>
      </c>
      <c r="I558" s="94">
        <f t="shared" si="191"/>
        <v>314.638421191166</v>
      </c>
      <c r="J558" s="95">
        <f t="shared" si="192"/>
        <v>-56.056380774804758</v>
      </c>
      <c r="K558" s="94">
        <f t="shared" si="193"/>
        <v>14.745097344629073</v>
      </c>
      <c r="L558" s="94">
        <f t="shared" si="194"/>
        <v>-305.17237509235883</v>
      </c>
      <c r="M558" s="93">
        <f t="shared" si="195"/>
        <v>-85.872839799034168</v>
      </c>
      <c r="N558" s="93">
        <f t="shared" si="196"/>
        <v>26369.527799076288</v>
      </c>
      <c r="O558" s="93">
        <f t="shared" si="197"/>
        <v>55497.981980718112</v>
      </c>
      <c r="P558" s="93">
        <f t="shared" si="198"/>
        <v>40174.125882753026</v>
      </c>
      <c r="Q558" s="93">
        <f t="shared" si="199"/>
        <v>19333796636677.348</v>
      </c>
      <c r="R558" s="93">
        <f t="shared" si="200"/>
        <v>171956016386807.44</v>
      </c>
      <c r="S558" s="93">
        <f t="shared" si="201"/>
        <v>66351796620455.672</v>
      </c>
      <c r="T558">
        <f t="shared" si="202"/>
        <v>0.5</v>
      </c>
    </row>
    <row r="559" spans="1:20" x14ac:dyDescent="0.25">
      <c r="A559">
        <v>258</v>
      </c>
      <c r="B559" s="95">
        <f t="shared" si="203"/>
        <v>32837.223375053276</v>
      </c>
      <c r="C559" s="95">
        <f t="shared" si="204"/>
        <v>-5175.9251102108992</v>
      </c>
      <c r="D559" s="95">
        <f t="shared" si="205"/>
        <v>-1670.0250476819556</v>
      </c>
      <c r="E559" s="95">
        <f t="shared" si="206"/>
        <v>-2115.9087595418764</v>
      </c>
      <c r="F559" s="96">
        <f t="shared" si="188"/>
        <v>-1016.22113147801</v>
      </c>
      <c r="G559" s="94">
        <f t="shared" si="189"/>
        <v>285.16815843220473</v>
      </c>
      <c r="H559" s="97">
        <f t="shared" si="190"/>
        <v>-635.78767213323692</v>
      </c>
      <c r="I559" s="94">
        <f t="shared" si="191"/>
        <v>352.89740725485336</v>
      </c>
      <c r="J559" s="95">
        <f t="shared" si="192"/>
        <v>-56.772539981922002</v>
      </c>
      <c r="K559" s="94">
        <f t="shared" si="193"/>
        <v>16.306228072705451</v>
      </c>
      <c r="L559" s="94">
        <f t="shared" si="194"/>
        <v>-323.66091936285108</v>
      </c>
      <c r="M559" s="93">
        <f t="shared" si="195"/>
        <v>-84.035476895354051</v>
      </c>
      <c r="N559" s="93">
        <f t="shared" si="196"/>
        <v>26119.300313786258</v>
      </c>
      <c r="O559" s="93">
        <f t="shared" si="197"/>
        <v>54973.456112345768</v>
      </c>
      <c r="P559" s="93">
        <f t="shared" si="198"/>
        <v>39091.788398253957</v>
      </c>
      <c r="Q559" s="93">
        <f t="shared" si="199"/>
        <v>18807445820901.191</v>
      </c>
      <c r="R559" s="93">
        <f t="shared" si="200"/>
        <v>167145390669193.44</v>
      </c>
      <c r="S559" s="93">
        <f t="shared" si="201"/>
        <v>61210738294316.117</v>
      </c>
      <c r="T559">
        <f t="shared" si="202"/>
        <v>0.5</v>
      </c>
    </row>
    <row r="560" spans="1:20" x14ac:dyDescent="0.25">
      <c r="A560">
        <v>258.5</v>
      </c>
      <c r="B560" s="95">
        <f t="shared" si="203"/>
        <v>31748.155568342794</v>
      </c>
      <c r="C560" s="95">
        <f t="shared" si="204"/>
        <v>-6162.5874503737869</v>
      </c>
      <c r="D560" s="95">
        <f t="shared" si="205"/>
        <v>-2178.1356134209605</v>
      </c>
      <c r="E560" s="95">
        <f t="shared" si="206"/>
        <v>-1973.3246803257741</v>
      </c>
      <c r="F560" s="96">
        <f t="shared" si="188"/>
        <v>-1040.8317521923279</v>
      </c>
      <c r="G560" s="94">
        <f t="shared" si="189"/>
        <v>333.93162670197773</v>
      </c>
      <c r="H560" s="97">
        <f t="shared" si="190"/>
        <v>-635.65211814413692</v>
      </c>
      <c r="I560" s="94">
        <f t="shared" si="191"/>
        <v>399.32823842777805</v>
      </c>
      <c r="J560" s="95">
        <f t="shared" si="192"/>
        <v>-57.963734608461834</v>
      </c>
      <c r="K560" s="94">
        <f t="shared" si="193"/>
        <v>18.103909584221803</v>
      </c>
      <c r="L560" s="94">
        <f t="shared" si="194"/>
        <v>-347.21589943972907</v>
      </c>
      <c r="M560" s="93">
        <f t="shared" si="195"/>
        <v>-83.500521310022123</v>
      </c>
      <c r="N560" s="93">
        <f t="shared" si="196"/>
        <v>25683.624480667659</v>
      </c>
      <c r="O560" s="93">
        <f t="shared" si="197"/>
        <v>54213.474688645321</v>
      </c>
      <c r="P560" s="93">
        <f t="shared" si="198"/>
        <v>37795.856892620046</v>
      </c>
      <c r="Q560" s="93">
        <f t="shared" si="199"/>
        <v>17914370615726.461</v>
      </c>
      <c r="R560" s="93">
        <f t="shared" si="200"/>
        <v>160336078753058.53</v>
      </c>
      <c r="S560" s="93">
        <f t="shared" si="201"/>
        <v>55415922174439.656</v>
      </c>
      <c r="T560">
        <f t="shared" si="202"/>
        <v>0.5</v>
      </c>
    </row>
    <row r="561" spans="1:20" x14ac:dyDescent="0.25">
      <c r="A561">
        <v>259</v>
      </c>
      <c r="B561" s="95">
        <f t="shared" si="203"/>
        <v>30398.87982358423</v>
      </c>
      <c r="C561" s="95">
        <f t="shared" si="204"/>
        <v>-7065.7668838611789</v>
      </c>
      <c r="D561" s="95">
        <f t="shared" si="205"/>
        <v>-2698.5514895171245</v>
      </c>
      <c r="E561" s="95">
        <f t="shared" si="206"/>
        <v>-1806.3588669747853</v>
      </c>
      <c r="F561" s="96">
        <f t="shared" si="188"/>
        <v>-1076.7928076676017</v>
      </c>
      <c r="G561" s="94">
        <f t="shared" si="189"/>
        <v>392.37694905896319</v>
      </c>
      <c r="H561" s="97">
        <f t="shared" si="190"/>
        <v>-639.67595066866943</v>
      </c>
      <c r="I561" s="94">
        <f t="shared" si="191"/>
        <v>456.7589426101631</v>
      </c>
      <c r="J561" s="95">
        <f t="shared" si="192"/>
        <v>-59.693245117614985</v>
      </c>
      <c r="K561" s="94">
        <f t="shared" si="193"/>
        <v>20.212969202575302</v>
      </c>
      <c r="L561" s="94">
        <f t="shared" si="194"/>
        <v>-377.42361188131736</v>
      </c>
      <c r="M561" s="93">
        <f t="shared" si="195"/>
        <v>-84.594962753775235</v>
      </c>
      <c r="N561" s="93">
        <f t="shared" si="196"/>
        <v>25065.431633467211</v>
      </c>
      <c r="O561" s="93">
        <f t="shared" si="197"/>
        <v>53209.843890077122</v>
      </c>
      <c r="P561" s="93">
        <f t="shared" si="198"/>
        <v>36277.165654248573</v>
      </c>
      <c r="Q561" s="93">
        <f t="shared" si="199"/>
        <v>16697248799240.623</v>
      </c>
      <c r="R561" s="93">
        <f t="shared" si="200"/>
        <v>151631152876676.44</v>
      </c>
      <c r="S561" s="93">
        <f t="shared" si="201"/>
        <v>49108772079178.727</v>
      </c>
      <c r="T561">
        <f t="shared" si="202"/>
        <v>0.5</v>
      </c>
    </row>
    <row r="562" spans="1:20" x14ac:dyDescent="0.25">
      <c r="A562">
        <v>259.5</v>
      </c>
      <c r="B562" s="95">
        <f t="shared" si="203"/>
        <v>28780.405876908768</v>
      </c>
      <c r="C562" s="95">
        <f t="shared" si="204"/>
        <v>-7870.8520800838314</v>
      </c>
      <c r="D562" s="95">
        <f t="shared" si="205"/>
        <v>-3236.9478933509254</v>
      </c>
      <c r="E562" s="95">
        <f t="shared" si="206"/>
        <v>-1610.1703924453036</v>
      </c>
      <c r="F562" s="96">
        <f t="shared" si="188"/>
        <v>-1125.0757751798242</v>
      </c>
      <c r="G562" s="94">
        <f t="shared" si="189"/>
        <v>463.8354932587925</v>
      </c>
      <c r="H562" s="97">
        <f t="shared" si="190"/>
        <v>-646.37764830208653</v>
      </c>
      <c r="I562" s="94">
        <f t="shared" si="191"/>
        <v>529.02878058347756</v>
      </c>
      <c r="J562" s="95">
        <f t="shared" si="192"/>
        <v>-62.059596719304636</v>
      </c>
      <c r="K562" s="94">
        <f t="shared" si="193"/>
        <v>22.735724584147931</v>
      </c>
      <c r="L562" s="94">
        <f t="shared" si="194"/>
        <v>-416.6385301584329</v>
      </c>
      <c r="M562" s="93">
        <f t="shared" si="195"/>
        <v>-87.929011908832933</v>
      </c>
      <c r="N562" s="93">
        <f t="shared" si="196"/>
        <v>24268.636932659541</v>
      </c>
      <c r="O562" s="93">
        <f t="shared" si="197"/>
        <v>51950.893655299064</v>
      </c>
      <c r="P562" s="93">
        <f t="shared" si="198"/>
        <v>34524.492339102362</v>
      </c>
      <c r="Q562" s="93">
        <f t="shared" si="199"/>
        <v>15213084097538.068</v>
      </c>
      <c r="R562" s="93">
        <f t="shared" si="200"/>
        <v>141165705454231.69</v>
      </c>
      <c r="S562" s="93">
        <f t="shared" si="201"/>
        <v>42452576696728.281</v>
      </c>
      <c r="T562">
        <f t="shared" si="202"/>
        <v>0.5</v>
      </c>
    </row>
    <row r="563" spans="1:20" x14ac:dyDescent="0.25">
      <c r="A563">
        <v>260</v>
      </c>
      <c r="B563" s="95">
        <f t="shared" si="203"/>
        <v>26880.66298643835</v>
      </c>
      <c r="C563" s="95">
        <f t="shared" si="204"/>
        <v>-8559.9784029917864</v>
      </c>
      <c r="D563" s="95">
        <f t="shared" si="205"/>
        <v>-3799.4857809408377</v>
      </c>
      <c r="E563" s="95">
        <f t="shared" si="206"/>
        <v>-1378.2526458159073</v>
      </c>
      <c r="F563" s="96">
        <f t="shared" si="188"/>
        <v>-1186.807991006943</v>
      </c>
      <c r="G563" s="94">
        <f t="shared" si="189"/>
        <v>552.5686776886871</v>
      </c>
      <c r="H563" s="97">
        <f t="shared" si="190"/>
        <v>-653.13599357159217</v>
      </c>
      <c r="I563" s="94">
        <f t="shared" si="191"/>
        <v>621.38258191655893</v>
      </c>
      <c r="J563" s="95">
        <f t="shared" si="192"/>
        <v>-65.211274687484661</v>
      </c>
      <c r="K563" s="94">
        <f t="shared" si="193"/>
        <v>25.81703783031827</v>
      </c>
      <c r="L563" s="94">
        <f t="shared" si="194"/>
        <v>-468.46072274786616</v>
      </c>
      <c r="M563" s="93">
        <f t="shared" si="195"/>
        <v>-94.630942058190143</v>
      </c>
      <c r="N563" s="93">
        <f t="shared" si="196"/>
        <v>23299.778736423061</v>
      </c>
      <c r="O563" s="93">
        <f t="shared" si="197"/>
        <v>50420.921851623578</v>
      </c>
      <c r="P563" s="93">
        <f t="shared" si="198"/>
        <v>32524.614534607361</v>
      </c>
      <c r="Q563" s="93">
        <f t="shared" si="199"/>
        <v>13532701547580.24</v>
      </c>
      <c r="R563" s="93">
        <f t="shared" si="200"/>
        <v>129111164362361.17</v>
      </c>
      <c r="S563" s="93">
        <f t="shared" si="201"/>
        <v>35633032385396.844</v>
      </c>
      <c r="T563">
        <f t="shared" si="202"/>
        <v>0.5</v>
      </c>
    </row>
    <row r="564" spans="1:20" x14ac:dyDescent="0.25">
      <c r="A564">
        <v>260.5</v>
      </c>
      <c r="B564" s="95">
        <f t="shared" si="203"/>
        <v>24684.218098216195</v>
      </c>
      <c r="C564" s="95">
        <f t="shared" si="204"/>
        <v>-9110.9625564775688</v>
      </c>
      <c r="D564" s="95">
        <f t="shared" si="205"/>
        <v>-4392.8897764443091</v>
      </c>
      <c r="E564" s="95">
        <f t="shared" si="206"/>
        <v>-1101.9683069715638</v>
      </c>
      <c r="F564" s="96">
        <f t="shared" si="188"/>
        <v>-1262.86594404883</v>
      </c>
      <c r="G564" s="94">
        <f t="shared" si="189"/>
        <v>663.65977469196037</v>
      </c>
      <c r="H564" s="97">
        <f t="shared" si="190"/>
        <v>-654.90826790583344</v>
      </c>
      <c r="I564" s="94">
        <f t="shared" si="191"/>
        <v>740.84003951377531</v>
      </c>
      <c r="J564" s="95">
        <f t="shared" si="192"/>
        <v>-69.371712167503901</v>
      </c>
      <c r="K564" s="94">
        <f t="shared" si="193"/>
        <v>29.669539943563009</v>
      </c>
      <c r="L564" s="94">
        <f t="shared" si="194"/>
        <v>-538.58596397549252</v>
      </c>
      <c r="M564" s="93">
        <f t="shared" si="195"/>
        <v>-106.84980476537794</v>
      </c>
      <c r="N564" s="93">
        <f t="shared" si="196"/>
        <v>22170.934536204826</v>
      </c>
      <c r="O564" s="93">
        <f t="shared" si="197"/>
        <v>48599.467454736987</v>
      </c>
      <c r="P564" s="93">
        <f t="shared" si="198"/>
        <v>30262.742210739514</v>
      </c>
      <c r="Q564" s="93">
        <f t="shared" si="199"/>
        <v>11740023746272.047</v>
      </c>
      <c r="R564" s="93">
        <f t="shared" si="200"/>
        <v>115681654607385.06</v>
      </c>
      <c r="S564" s="93">
        <f t="shared" si="201"/>
        <v>28858197744503.613</v>
      </c>
      <c r="T564">
        <f t="shared" si="202"/>
        <v>0.5</v>
      </c>
    </row>
    <row r="565" spans="1:20" x14ac:dyDescent="0.25">
      <c r="A565">
        <v>261</v>
      </c>
      <c r="B565" s="95">
        <f t="shared" si="203"/>
        <v>22172.056723981834</v>
      </c>
      <c r="C565" s="95">
        <f t="shared" si="204"/>
        <v>-9496.0317662903617</v>
      </c>
      <c r="D565" s="95">
        <f t="shared" si="205"/>
        <v>-5024.3227484687241</v>
      </c>
      <c r="E565" s="95">
        <f t="shared" si="206"/>
        <v>-770.13841962558365</v>
      </c>
      <c r="F565" s="96">
        <f t="shared" si="188"/>
        <v>-1352.9979699945516</v>
      </c>
      <c r="G565" s="94">
        <f t="shared" si="189"/>
        <v>801.80085497916923</v>
      </c>
      <c r="H565" s="97">
        <f t="shared" si="190"/>
        <v>-641.74973902615648</v>
      </c>
      <c r="I565" s="94">
        <f t="shared" si="191"/>
        <v>896.08512331423344</v>
      </c>
      <c r="J565" s="95">
        <f t="shared" si="192"/>
        <v>-74.882358685025011</v>
      </c>
      <c r="K565" s="94">
        <f t="shared" si="193"/>
        <v>34.617918998192827</v>
      </c>
      <c r="L565" s="94">
        <f t="shared" si="194"/>
        <v>-636.36587228336998</v>
      </c>
      <c r="M565" s="93">
        <f t="shared" si="195"/>
        <v>-128.90218733325705</v>
      </c>
      <c r="N565" s="93">
        <f t="shared" si="196"/>
        <v>20905.12044195351</v>
      </c>
      <c r="O565" s="93">
        <f t="shared" si="197"/>
        <v>46460.495293990833</v>
      </c>
      <c r="P565" s="93">
        <f t="shared" si="198"/>
        <v>27723.894620506897</v>
      </c>
      <c r="Q565" s="93">
        <f t="shared" si="199"/>
        <v>9931089347790.3945</v>
      </c>
      <c r="R565" s="93">
        <f t="shared" si="200"/>
        <v>101143507161684.33</v>
      </c>
      <c r="S565" s="93">
        <f t="shared" si="201"/>
        <v>22357037438407.914</v>
      </c>
      <c r="T565">
        <f t="shared" si="202"/>
        <v>0.5</v>
      </c>
    </row>
    <row r="566" spans="1:20" x14ac:dyDescent="0.25">
      <c r="A566">
        <v>261.5</v>
      </c>
      <c r="B566" s="95">
        <f t="shared" si="203"/>
        <v>19321.645857248834</v>
      </c>
      <c r="C566" s="95">
        <f t="shared" si="204"/>
        <v>-9680.6507623583602</v>
      </c>
      <c r="D566" s="95">
        <f t="shared" si="205"/>
        <v>-5700.8217334660003</v>
      </c>
      <c r="E566" s="95">
        <f t="shared" si="206"/>
        <v>-369.23799213599904</v>
      </c>
      <c r="F566" s="96">
        <f t="shared" si="188"/>
        <v>-1454.2650242554937</v>
      </c>
      <c r="G566" s="94">
        <f t="shared" si="189"/>
        <v>966.40233851708911</v>
      </c>
      <c r="H566" s="97">
        <f t="shared" si="190"/>
        <v>-594.27988315800371</v>
      </c>
      <c r="I566" s="94">
        <f t="shared" si="191"/>
        <v>1095.3124892309716</v>
      </c>
      <c r="J566" s="95">
        <f t="shared" si="192"/>
        <v>-82.278663058126099</v>
      </c>
      <c r="K566" s="94">
        <f t="shared" si="193"/>
        <v>41.180820322713508</v>
      </c>
      <c r="L566" s="94">
        <f t="shared" si="194"/>
        <v>-777.70647803936401</v>
      </c>
      <c r="M566" s="93">
        <f t="shared" si="195"/>
        <v>-170.09097103659596</v>
      </c>
      <c r="N566" s="93">
        <f t="shared" si="196"/>
        <v>19546.555760698335</v>
      </c>
      <c r="O566" s="93">
        <f t="shared" si="197"/>
        <v>43971.807415124647</v>
      </c>
      <c r="P566" s="93">
        <f t="shared" si="198"/>
        <v>24896.544609994136</v>
      </c>
      <c r="Q566" s="93">
        <f t="shared" si="199"/>
        <v>8212969167793.2236</v>
      </c>
      <c r="R566" s="93">
        <f t="shared" si="200"/>
        <v>85829622735986.781</v>
      </c>
      <c r="S566" s="93">
        <f t="shared" si="201"/>
        <v>16374794798541.396</v>
      </c>
      <c r="T566">
        <f t="shared" si="202"/>
        <v>0.5</v>
      </c>
    </row>
    <row r="567" spans="1:20" x14ac:dyDescent="0.25">
      <c r="A567">
        <v>262</v>
      </c>
      <c r="B567" s="95">
        <f t="shared" si="203"/>
        <v>16107.66873445196</v>
      </c>
      <c r="C567" s="95">
        <f t="shared" si="204"/>
        <v>-9623.6691737970887</v>
      </c>
      <c r="D567" s="95">
        <f t="shared" si="205"/>
        <v>-6427.9542455937471</v>
      </c>
      <c r="E567" s="95">
        <f t="shared" si="206"/>
        <v>113.96317712254552</v>
      </c>
      <c r="F567" s="96">
        <f t="shared" si="188"/>
        <v>-1559.6682570820221</v>
      </c>
      <c r="G567" s="94">
        <f t="shared" si="189"/>
        <v>1135.5187334654229</v>
      </c>
      <c r="H567" s="97">
        <f t="shared" si="190"/>
        <v>-477.05815891292258</v>
      </c>
      <c r="I567" s="94">
        <f t="shared" si="191"/>
        <v>1337.496587496016</v>
      </c>
      <c r="J567" s="95">
        <f t="shared" si="192"/>
        <v>-92.426521377211998</v>
      </c>
      <c r="K567" s="94">
        <f t="shared" si="193"/>
        <v>50.231641697230771</v>
      </c>
      <c r="L567" s="94">
        <f t="shared" si="194"/>
        <v>-990.18357679188762</v>
      </c>
      <c r="M567" s="93">
        <f t="shared" si="195"/>
        <v>-252.20949572782385</v>
      </c>
      <c r="N567" s="93">
        <f t="shared" si="196"/>
        <v>18180.309770283089</v>
      </c>
      <c r="O567" s="93">
        <f t="shared" si="197"/>
        <v>41095.646159654847</v>
      </c>
      <c r="P567" s="93">
        <f t="shared" si="198"/>
        <v>21781.611798857779</v>
      </c>
      <c r="Q567" s="93">
        <f t="shared" si="199"/>
        <v>6703517823500.3887</v>
      </c>
      <c r="R567" s="93">
        <f t="shared" si="200"/>
        <v>70160969860964.18</v>
      </c>
      <c r="S567" s="93">
        <f t="shared" si="201"/>
        <v>11161515666520.078</v>
      </c>
      <c r="T567">
        <f t="shared" si="202"/>
        <v>0.5</v>
      </c>
    </row>
    <row r="568" spans="1:20" x14ac:dyDescent="0.25">
      <c r="A568">
        <v>262.5</v>
      </c>
      <c r="B568" s="95">
        <f t="shared" si="203"/>
        <v>12503.774547384581</v>
      </c>
      <c r="C568" s="95">
        <f t="shared" si="204"/>
        <v>-9282.8079018694589</v>
      </c>
      <c r="D568" s="95">
        <f t="shared" si="205"/>
        <v>-7207.7883741347578</v>
      </c>
      <c r="E568" s="95">
        <f t="shared" si="206"/>
        <v>681.72254385525696</v>
      </c>
      <c r="F568" s="96">
        <f t="shared" si="188"/>
        <v>-1662.9219162391246</v>
      </c>
      <c r="G568" s="94">
        <f t="shared" si="189"/>
        <v>1219.8178218210576</v>
      </c>
      <c r="H568" s="97">
        <f t="shared" si="190"/>
        <v>-236.82080951792051</v>
      </c>
      <c r="I568" s="94">
        <f t="shared" si="191"/>
        <v>1587.4105587726431</v>
      </c>
      <c r="J568" s="95">
        <f t="shared" si="192"/>
        <v>-106.76381084373446</v>
      </c>
      <c r="K568" s="94">
        <f t="shared" si="193"/>
        <v>63.337445697884746</v>
      </c>
      <c r="L568" s="94">
        <f t="shared" si="194"/>
        <v>-1319.3372958774696</v>
      </c>
      <c r="M568" s="93">
        <f t="shared" si="195"/>
        <v>-430.93018264947028</v>
      </c>
      <c r="N568" s="93">
        <f t="shared" si="196"/>
        <v>16968.545254534427</v>
      </c>
      <c r="O568" s="93">
        <f t="shared" si="197"/>
        <v>37793.148061620966</v>
      </c>
      <c r="P568" s="93">
        <f t="shared" si="198"/>
        <v>18413.810276327778</v>
      </c>
      <c r="Q568" s="93">
        <f t="shared" si="199"/>
        <v>5535718292887.3838</v>
      </c>
      <c r="R568" s="93">
        <f t="shared" si="200"/>
        <v>54676722312053.398</v>
      </c>
      <c r="S568" s="93">
        <f t="shared" si="201"/>
        <v>6946635216026.2178</v>
      </c>
      <c r="T568">
        <f t="shared" si="202"/>
        <v>0.5</v>
      </c>
    </row>
    <row r="569" spans="1:20" x14ac:dyDescent="0.25">
      <c r="A569">
        <v>263</v>
      </c>
      <c r="B569" s="95">
        <f t="shared" si="203"/>
        <v>8484.1498812574209</v>
      </c>
      <c r="C569" s="95">
        <f t="shared" si="204"/>
        <v>-8636.992174486566</v>
      </c>
      <c r="D569" s="95">
        <f t="shared" si="205"/>
        <v>-8039.2493322543196</v>
      </c>
      <c r="E569" s="95">
        <f t="shared" si="206"/>
        <v>1291.6314547657857</v>
      </c>
      <c r="F569" s="96">
        <f t="shared" si="188"/>
        <v>-1780.3713641200372</v>
      </c>
      <c r="G569" s="94">
        <f t="shared" si="189"/>
        <v>958.34865837597533</v>
      </c>
      <c r="H569" s="97">
        <f t="shared" si="190"/>
        <v>162.64636868529612</v>
      </c>
      <c r="I569" s="94">
        <f t="shared" si="191"/>
        <v>1731.4529624211432</v>
      </c>
      <c r="J569" s="95">
        <f t="shared" si="192"/>
        <v>-127.67246060193368</v>
      </c>
      <c r="K569" s="94">
        <f t="shared" si="193"/>
        <v>83.535252379125708</v>
      </c>
      <c r="L569" s="94">
        <f t="shared" si="194"/>
        <v>-1815.3452722033996</v>
      </c>
      <c r="M569" s="93">
        <f t="shared" si="195"/>
        <v>-856.63955642429357</v>
      </c>
      <c r="N569" s="93">
        <f t="shared" si="196"/>
        <v>16208.032515451485</v>
      </c>
      <c r="O569" s="93">
        <f t="shared" si="197"/>
        <v>34039.451696080694</v>
      </c>
      <c r="P569" s="93">
        <f t="shared" si="198"/>
        <v>14910.069302580714</v>
      </c>
      <c r="Q569" s="93">
        <f t="shared" si="199"/>
        <v>4879895398709.2842</v>
      </c>
      <c r="R569" s="93">
        <f t="shared" si="200"/>
        <v>40068102506161.875</v>
      </c>
      <c r="S569" s="93">
        <f t="shared" si="201"/>
        <v>3889223981750.2139</v>
      </c>
      <c r="T569">
        <f t="shared" si="202"/>
        <v>0.5</v>
      </c>
    </row>
    <row r="570" spans="1:20" x14ac:dyDescent="0.25">
      <c r="A570">
        <v>263.5</v>
      </c>
      <c r="B570" s="95">
        <f t="shared" si="203"/>
        <v>4019.4323741002518</v>
      </c>
      <c r="C570" s="95">
        <f t="shared" si="204"/>
        <v>-7751.5892825096789</v>
      </c>
      <c r="D570" s="95">
        <f t="shared" si="205"/>
        <v>-8929.4350143143383</v>
      </c>
      <c r="E570" s="95">
        <f t="shared" si="206"/>
        <v>1770.8057839537735</v>
      </c>
      <c r="F570" s="96">
        <f t="shared" si="188"/>
        <v>-1893.4200299226961</v>
      </c>
      <c r="G570" s="94">
        <f t="shared" si="189"/>
        <v>-188.53983391639076</v>
      </c>
      <c r="H570" s="97">
        <f t="shared" si="190"/>
        <v>623.15968141739131</v>
      </c>
      <c r="I570" s="94">
        <f t="shared" si="191"/>
        <v>1589.1761640213495</v>
      </c>
      <c r="J570" s="95">
        <f t="shared" si="192"/>
        <v>-158.62995705568463</v>
      </c>
      <c r="K570" s="94">
        <f t="shared" si="193"/>
        <v>117.23565327010125</v>
      </c>
      <c r="L570" s="94">
        <f t="shared" si="194"/>
        <v>-2357.9497542844028</v>
      </c>
      <c r="M570" s="93">
        <f t="shared" si="195"/>
        <v>-1894.9516512078415</v>
      </c>
      <c r="N570" s="93">
        <f t="shared" si="196"/>
        <v>16382.251517124385</v>
      </c>
      <c r="O570" s="93">
        <f t="shared" si="197"/>
        <v>29867.240475626262</v>
      </c>
      <c r="P570" s="93">
        <f t="shared" si="198"/>
        <v>11571.068156414785</v>
      </c>
      <c r="Q570" s="93">
        <f t="shared" si="199"/>
        <v>5025064970797.6123</v>
      </c>
      <c r="R570" s="93">
        <f t="shared" si="200"/>
        <v>27193823575139.52</v>
      </c>
      <c r="S570" s="93">
        <f t="shared" si="201"/>
        <v>2002826285458.2185</v>
      </c>
      <c r="T570">
        <f t="shared" si="202"/>
        <v>0.5</v>
      </c>
    </row>
    <row r="571" spans="1:20" x14ac:dyDescent="0.25">
      <c r="A571">
        <v>264</v>
      </c>
      <c r="B571" s="95">
        <f t="shared" si="203"/>
        <v>-918.64014053759138</v>
      </c>
      <c r="C571" s="95">
        <f t="shared" si="204"/>
        <v>-6913.3213490118897</v>
      </c>
      <c r="D571" s="95">
        <f t="shared" si="205"/>
        <v>-9876.1450292756872</v>
      </c>
      <c r="E571" s="95">
        <f t="shared" si="206"/>
        <v>1676.5358669955781</v>
      </c>
      <c r="F571" s="96">
        <f t="shared" si="188"/>
        <v>-1264.5455224826389</v>
      </c>
      <c r="G571" s="94">
        <f t="shared" si="189"/>
        <v>-2501.6587001156645</v>
      </c>
      <c r="H571" s="97">
        <f t="shared" si="190"/>
        <v>865.81722471124851</v>
      </c>
      <c r="I571" s="94">
        <f t="shared" si="191"/>
        <v>1142.9355422147314</v>
      </c>
      <c r="J571" s="95">
        <f t="shared" si="192"/>
        <v>-201.00783694977932</v>
      </c>
      <c r="K571" s="94">
        <f t="shared" si="193"/>
        <v>178.16917478842549</v>
      </c>
      <c r="L571" s="94">
        <f t="shared" si="194"/>
        <v>-1929.3549102441082</v>
      </c>
      <c r="M571" s="93">
        <f t="shared" si="195"/>
        <v>-3822.7634171188215</v>
      </c>
      <c r="N571" s="93">
        <f t="shared" si="196"/>
        <v>18082.050072611808</v>
      </c>
      <c r="O571" s="93">
        <f t="shared" si="197"/>
        <v>25498.210390951845</v>
      </c>
      <c r="P571" s="93">
        <f t="shared" si="198"/>
        <v>9058.248721843418</v>
      </c>
      <c r="Q571" s="93">
        <f t="shared" si="199"/>
        <v>6602994772586.7256</v>
      </c>
      <c r="R571" s="93">
        <f t="shared" si="200"/>
        <v>17048613855537.402</v>
      </c>
      <c r="S571" s="93">
        <f t="shared" si="201"/>
        <v>1107621523569.3379</v>
      </c>
      <c r="T571">
        <f t="shared" si="202"/>
        <v>0.5</v>
      </c>
    </row>
    <row r="572" spans="1:20" x14ac:dyDescent="0.25">
      <c r="A572">
        <v>264.5</v>
      </c>
      <c r="B572" s="95">
        <f t="shared" si="203"/>
        <v>-6172.8490357960954</v>
      </c>
      <c r="C572" s="95">
        <f t="shared" si="204"/>
        <v>-6700.4680905430168</v>
      </c>
      <c r="D572" s="95">
        <f t="shared" si="205"/>
        <v>-10508.417790517007</v>
      </c>
      <c r="E572" s="95">
        <f t="shared" si="206"/>
        <v>425.70651693774585</v>
      </c>
      <c r="F572" s="96">
        <f t="shared" si="188"/>
        <v>1211.1091245722268</v>
      </c>
      <c r="G572" s="94">
        <f t="shared" si="189"/>
        <v>-3701.7438419512473</v>
      </c>
      <c r="H572" s="97">
        <f t="shared" si="190"/>
        <v>784.99945967617111</v>
      </c>
      <c r="I572" s="94">
        <f t="shared" si="191"/>
        <v>689.26382442277338</v>
      </c>
      <c r="J572" s="95">
        <f t="shared" si="192"/>
        <v>-234.41628463049881</v>
      </c>
      <c r="K572" s="94">
        <f t="shared" si="193"/>
        <v>283.12858458768494</v>
      </c>
      <c r="L572" s="94">
        <f t="shared" si="194"/>
        <v>660.52594952655465</v>
      </c>
      <c r="M572" s="93">
        <f t="shared" si="195"/>
        <v>-4674.1362509617056</v>
      </c>
      <c r="N572" s="93">
        <f t="shared" si="196"/>
        <v>21522.414825599408</v>
      </c>
      <c r="O572" s="93">
        <f t="shared" si="197"/>
        <v>21681.69131387426</v>
      </c>
      <c r="P572" s="93">
        <f t="shared" si="198"/>
        <v>8381.9928881419655</v>
      </c>
      <c r="Q572" s="93">
        <f t="shared" si="199"/>
        <v>10787375518159.244</v>
      </c>
      <c r="R572" s="93">
        <f t="shared" si="200"/>
        <v>10593456034484.574</v>
      </c>
      <c r="S572" s="93">
        <f t="shared" si="201"/>
        <v>929717173934.87903</v>
      </c>
      <c r="T572">
        <f t="shared" si="202"/>
        <v>0.5</v>
      </c>
    </row>
    <row r="573" spans="1:20" x14ac:dyDescent="0.25">
      <c r="A573">
        <v>265</v>
      </c>
      <c r="B573" s="95">
        <f t="shared" si="203"/>
        <v>-11124.280649911541</v>
      </c>
      <c r="C573" s="95">
        <f t="shared" si="204"/>
        <v>-7413.0507925619559</v>
      </c>
      <c r="D573" s="95">
        <f t="shared" si="205"/>
        <v>-9902.8632282308936</v>
      </c>
      <c r="E573" s="95">
        <f t="shared" si="206"/>
        <v>-1425.1654040378778</v>
      </c>
      <c r="F573" s="96">
        <f t="shared" si="188"/>
        <v>2839.1274349979622</v>
      </c>
      <c r="G573" s="94">
        <f t="shared" si="189"/>
        <v>-2192.4673027687281</v>
      </c>
      <c r="H573" s="97">
        <f t="shared" si="190"/>
        <v>605.4589370058485</v>
      </c>
      <c r="I573" s="94">
        <f t="shared" si="191"/>
        <v>427.43419432919723</v>
      </c>
      <c r="J573" s="95">
        <f t="shared" si="192"/>
        <v>-203.63421951064186</v>
      </c>
      <c r="K573" s="94">
        <f t="shared" si="193"/>
        <v>399.50485899570248</v>
      </c>
      <c r="L573" s="94">
        <f t="shared" si="194"/>
        <v>2437.3027175027555</v>
      </c>
      <c r="M573" s="93">
        <f t="shared" si="195"/>
        <v>-3019.4063560936279</v>
      </c>
      <c r="N573" s="93">
        <f t="shared" si="196"/>
        <v>25857.964284099395</v>
      </c>
      <c r="O573" s="93">
        <f t="shared" si="197"/>
        <v>19544.634350273151</v>
      </c>
      <c r="P573" s="93">
        <f t="shared" si="198"/>
        <v>9750.3134183022903</v>
      </c>
      <c r="Q573" s="93">
        <f t="shared" si="199"/>
        <v>18268204179768.637</v>
      </c>
      <c r="R573" s="93">
        <f t="shared" si="200"/>
        <v>7827904945602.8662</v>
      </c>
      <c r="S573" s="93">
        <f t="shared" si="201"/>
        <v>1315661705329.5562</v>
      </c>
      <c r="T573">
        <f t="shared" si="202"/>
        <v>0.5</v>
      </c>
    </row>
    <row r="574" spans="1:20" x14ac:dyDescent="0.25">
      <c r="A574">
        <v>265.5</v>
      </c>
      <c r="B574" s="95">
        <f t="shared" si="203"/>
        <v>-15365.930405277497</v>
      </c>
      <c r="C574" s="95">
        <f t="shared" si="204"/>
        <v>-8673.7503202730768</v>
      </c>
      <c r="D574" s="95">
        <f t="shared" si="205"/>
        <v>-8483.299510731913</v>
      </c>
      <c r="E574" s="95">
        <f t="shared" si="206"/>
        <v>-2521.3990554222419</v>
      </c>
      <c r="F574" s="96">
        <f t="shared" si="188"/>
        <v>2753.1964687757509</v>
      </c>
      <c r="G574" s="94">
        <f t="shared" si="189"/>
        <v>-715.36593412222499</v>
      </c>
      <c r="H574" s="97">
        <f t="shared" si="190"/>
        <v>468.2853259748523</v>
      </c>
      <c r="I574" s="94">
        <f t="shared" si="191"/>
        <v>298.58671927086732</v>
      </c>
      <c r="J574" s="95">
        <f t="shared" si="192"/>
        <v>-111.28107522987811</v>
      </c>
      <c r="K574" s="94">
        <f t="shared" si="193"/>
        <v>448.42550845175765</v>
      </c>
      <c r="L574" s="94">
        <f t="shared" si="194"/>
        <v>2396.1922180307765</v>
      </c>
      <c r="M574" s="93">
        <f t="shared" si="195"/>
        <v>-1462.37816184485</v>
      </c>
      <c r="N574" s="93">
        <f t="shared" si="196"/>
        <v>30083.560705938962</v>
      </c>
      <c r="O574" s="93">
        <f t="shared" si="197"/>
        <v>19240.154677980903</v>
      </c>
      <c r="P574" s="93">
        <f t="shared" si="198"/>
        <v>12143.885217561201</v>
      </c>
      <c r="Q574" s="93">
        <f t="shared" si="199"/>
        <v>28362131729124.906</v>
      </c>
      <c r="R574" s="93">
        <f t="shared" si="200"/>
        <v>7478835499763.4961</v>
      </c>
      <c r="S574" s="93">
        <f t="shared" si="201"/>
        <v>2265088930386.7871</v>
      </c>
      <c r="T574">
        <f t="shared" si="202"/>
        <v>0.5</v>
      </c>
    </row>
    <row r="575" spans="1:20" x14ac:dyDescent="0.25">
      <c r="A575">
        <v>266</v>
      </c>
      <c r="B575" s="95">
        <f t="shared" si="203"/>
        <v>-18919.281043449515</v>
      </c>
      <c r="C575" s="95">
        <f t="shared" si="204"/>
        <v>-10113.291331514753</v>
      </c>
      <c r="D575" s="95">
        <f t="shared" si="205"/>
        <v>-7106.701276344038</v>
      </c>
      <c r="E575" s="95">
        <f t="shared" si="206"/>
        <v>-2879.0820224833542</v>
      </c>
      <c r="F575" s="96">
        <f t="shared" si="188"/>
        <v>2283.3464578047142</v>
      </c>
      <c r="G575" s="94">
        <f t="shared" si="189"/>
        <v>-24.31045700293123</v>
      </c>
      <c r="H575" s="97">
        <f t="shared" si="190"/>
        <v>377.60982721901712</v>
      </c>
      <c r="I575" s="94">
        <f t="shared" si="191"/>
        <v>229.98330720804694</v>
      </c>
      <c r="J575" s="95">
        <f t="shared" si="192"/>
        <v>-22.714314011950158</v>
      </c>
      <c r="K575" s="94">
        <f t="shared" si="193"/>
        <v>422.73674607883061</v>
      </c>
      <c r="L575" s="94">
        <f t="shared" si="194"/>
        <v>1928.4509445976473</v>
      </c>
      <c r="M575" s="93">
        <f t="shared" si="195"/>
        <v>-677.03051028980883</v>
      </c>
      <c r="N575" s="93">
        <f t="shared" si="196"/>
        <v>33860.786281461791</v>
      </c>
      <c r="O575" s="93">
        <f t="shared" si="197"/>
        <v>20142.304775011078</v>
      </c>
      <c r="P575" s="93">
        <f t="shared" si="198"/>
        <v>14752.162769478307</v>
      </c>
      <c r="Q575" s="93">
        <f t="shared" si="199"/>
        <v>40099857191350.859</v>
      </c>
      <c r="R575" s="93">
        <f t="shared" si="200"/>
        <v>8544878391945.8994</v>
      </c>
      <c r="S575" s="93">
        <f t="shared" si="201"/>
        <v>3779260515791.5347</v>
      </c>
      <c r="T575">
        <f t="shared" si="202"/>
        <v>0.5</v>
      </c>
    </row>
    <row r="576" spans="1:20" x14ac:dyDescent="0.25">
      <c r="A576">
        <v>266.5</v>
      </c>
      <c r="B576" s="95">
        <f t="shared" si="203"/>
        <v>-21901.795067170355</v>
      </c>
      <c r="C576" s="95">
        <f t="shared" si="204"/>
        <v>-11558.909957007163</v>
      </c>
      <c r="D576" s="95">
        <f t="shared" si="205"/>
        <v>-5965.0280474416813</v>
      </c>
      <c r="E576" s="95">
        <f t="shared" si="206"/>
        <v>-2891.2372509848196</v>
      </c>
      <c r="F576" s="96">
        <f t="shared" si="188"/>
        <v>1877.2242688072877</v>
      </c>
      <c r="G576" s="94">
        <f t="shared" si="189"/>
        <v>245.63718090313091</v>
      </c>
      <c r="H576" s="97">
        <f t="shared" si="190"/>
        <v>316.84820278583476</v>
      </c>
      <c r="I576" s="94">
        <f t="shared" si="191"/>
        <v>189.29283929697073</v>
      </c>
      <c r="J576" s="95">
        <f t="shared" si="192"/>
        <v>32.412191761173034</v>
      </c>
      <c r="K576" s="94">
        <f t="shared" si="193"/>
        <v>367.42735100689259</v>
      </c>
      <c r="L576" s="94">
        <f t="shared" si="194"/>
        <v>1527.9638742602799</v>
      </c>
      <c r="M576" s="93">
        <f t="shared" si="195"/>
        <v>-311.08300940073241</v>
      </c>
      <c r="N576" s="93">
        <f t="shared" si="196"/>
        <v>37161.358657307479</v>
      </c>
      <c r="O576" s="93">
        <f t="shared" si="197"/>
        <v>21642.629761927179</v>
      </c>
      <c r="P576" s="93">
        <f t="shared" si="198"/>
        <v>17248.529710575582</v>
      </c>
      <c r="Q576" s="93">
        <f t="shared" si="199"/>
        <v>52718433274020.18</v>
      </c>
      <c r="R576" s="93">
        <f t="shared" si="200"/>
        <v>10537754081849.314</v>
      </c>
      <c r="S576" s="93">
        <f t="shared" si="201"/>
        <v>5791864160969.2002</v>
      </c>
      <c r="T576">
        <f t="shared" si="202"/>
        <v>0.5</v>
      </c>
    </row>
    <row r="577" spans="1:20" x14ac:dyDescent="0.25">
      <c r="A577">
        <v>267</v>
      </c>
      <c r="B577" s="95">
        <f t="shared" si="203"/>
        <v>-24415.003023689373</v>
      </c>
      <c r="C577" s="95">
        <f t="shared" si="204"/>
        <v>-12943.11928727379</v>
      </c>
      <c r="D577" s="95">
        <f t="shared" si="205"/>
        <v>-5026.4159130380376</v>
      </c>
      <c r="E577" s="95">
        <f t="shared" si="206"/>
        <v>-2768.4186605332543</v>
      </c>
      <c r="F577" s="96">
        <f t="shared" si="188"/>
        <v>1576.4830810178321</v>
      </c>
      <c r="G577" s="94">
        <f t="shared" si="189"/>
        <v>343.98681506923788</v>
      </c>
      <c r="H577" s="97">
        <f t="shared" si="190"/>
        <v>274.49824342479639</v>
      </c>
      <c r="I577" s="94">
        <f t="shared" si="191"/>
        <v>163.05680201793146</v>
      </c>
      <c r="J577" s="95">
        <f t="shared" si="192"/>
        <v>60.134249413669252</v>
      </c>
      <c r="K577" s="94">
        <f t="shared" si="193"/>
        <v>312.49520105550823</v>
      </c>
      <c r="L577" s="94">
        <f t="shared" si="194"/>
        <v>1241.8505881793665</v>
      </c>
      <c r="M577" s="93">
        <f t="shared" si="195"/>
        <v>-131.56518800420176</v>
      </c>
      <c r="N577" s="93">
        <f t="shared" si="196"/>
        <v>40028.909044767308</v>
      </c>
      <c r="O577" s="93">
        <f t="shared" si="197"/>
        <v>23364.053037289159</v>
      </c>
      <c r="P577" s="93">
        <f t="shared" si="198"/>
        <v>19523.654900562356</v>
      </c>
      <c r="Q577" s="93">
        <f t="shared" si="199"/>
        <v>65645787822144.32</v>
      </c>
      <c r="R577" s="93">
        <f t="shared" si="200"/>
        <v>13185659397135.273</v>
      </c>
      <c r="S577" s="93">
        <f t="shared" si="201"/>
        <v>8185905702508.5127</v>
      </c>
      <c r="T577">
        <f t="shared" si="202"/>
        <v>0.5</v>
      </c>
    </row>
    <row r="578" spans="1:20" x14ac:dyDescent="0.25">
      <c r="A578">
        <v>267.5</v>
      </c>
      <c r="B578" s="95">
        <f t="shared" si="203"/>
        <v>-26534.090209953931</v>
      </c>
      <c r="C578" s="95">
        <f t="shared" si="204"/>
        <v>-14241.331913773109</v>
      </c>
      <c r="D578" s="95">
        <f t="shared" si="205"/>
        <v>-4238.1743725291217</v>
      </c>
      <c r="E578" s="95">
        <f t="shared" si="206"/>
        <v>-2596.4252529986352</v>
      </c>
      <c r="F578" s="96">
        <f t="shared" si="188"/>
        <v>1357.6813739149961</v>
      </c>
      <c r="G578" s="94">
        <f t="shared" si="189"/>
        <v>375.6943808829526</v>
      </c>
      <c r="H578" s="97">
        <f t="shared" si="190"/>
        <v>243.86951466041296</v>
      </c>
      <c r="I578" s="94">
        <f t="shared" si="191"/>
        <v>145.12604615067767</v>
      </c>
      <c r="J578" s="95">
        <f t="shared" si="192"/>
        <v>72.041121414245566</v>
      </c>
      <c r="K578" s="94">
        <f t="shared" si="193"/>
        <v>267.27098640033427</v>
      </c>
      <c r="L578" s="94">
        <f t="shared" si="194"/>
        <v>1041.7707378403377</v>
      </c>
      <c r="M578" s="93">
        <f t="shared" si="195"/>
        <v>-36.702651668059318</v>
      </c>
      <c r="N578" s="93">
        <f t="shared" si="196"/>
        <v>42513.824349897062</v>
      </c>
      <c r="O578" s="93">
        <f t="shared" si="197"/>
        <v>25106.503297463198</v>
      </c>
      <c r="P578" s="93">
        <f t="shared" si="198"/>
        <v>21547.450392923354</v>
      </c>
      <c r="Q578" s="93">
        <f t="shared" si="199"/>
        <v>78440328747801.844</v>
      </c>
      <c r="R578" s="93">
        <f t="shared" si="200"/>
        <v>16289111791729.215</v>
      </c>
      <c r="S578" s="93">
        <f t="shared" si="201"/>
        <v>10823133015743.469</v>
      </c>
      <c r="T578">
        <f t="shared" si="202"/>
        <v>0.5</v>
      </c>
    </row>
    <row r="579" spans="1:20" x14ac:dyDescent="0.25">
      <c r="A579">
        <v>268</v>
      </c>
      <c r="B579" s="95">
        <f t="shared" si="203"/>
        <v>-28313.757052739744</v>
      </c>
      <c r="C579" s="95">
        <f t="shared" si="204"/>
        <v>-15445.620945051687</v>
      </c>
      <c r="D579" s="95">
        <f t="shared" si="205"/>
        <v>-3559.3336855716234</v>
      </c>
      <c r="E579" s="95">
        <f t="shared" si="206"/>
        <v>-2408.5780625571588</v>
      </c>
      <c r="F579" s="96">
        <f t="shared" si="188"/>
        <v>1196.9580735225854</v>
      </c>
      <c r="G579" s="94">
        <f t="shared" si="189"/>
        <v>381.83856838227661</v>
      </c>
      <c r="H579" s="97">
        <f t="shared" si="190"/>
        <v>221.05745090407945</v>
      </c>
      <c r="I579" s="94">
        <f t="shared" si="191"/>
        <v>132.38849086353616</v>
      </c>
      <c r="J579" s="95">
        <f t="shared" si="192"/>
        <v>75.881247073492801</v>
      </c>
      <c r="K579" s="94">
        <f t="shared" si="193"/>
        <v>232.24703796626017</v>
      </c>
      <c r="L579" s="94">
        <f t="shared" si="194"/>
        <v>900.01937554501308</v>
      </c>
      <c r="M579" s="93">
        <f t="shared" si="195"/>
        <v>17.203039552480288</v>
      </c>
      <c r="N579" s="93">
        <f t="shared" si="196"/>
        <v>44659.215175038167</v>
      </c>
      <c r="O579" s="93">
        <f t="shared" si="197"/>
        <v>26769.351535127498</v>
      </c>
      <c r="P579" s="93">
        <f t="shared" si="198"/>
        <v>23318.01548032853</v>
      </c>
      <c r="Q579" s="93">
        <f t="shared" si="199"/>
        <v>90750328474972.063</v>
      </c>
      <c r="R579" s="93">
        <f t="shared" si="200"/>
        <v>19676851675388.617</v>
      </c>
      <c r="S579" s="93">
        <f t="shared" si="201"/>
        <v>13563102061018.037</v>
      </c>
      <c r="T579">
        <f t="shared" si="202"/>
        <v>0.5</v>
      </c>
    </row>
    <row r="580" spans="1:20" x14ac:dyDescent="0.25">
      <c r="A580">
        <v>268.5</v>
      </c>
      <c r="B580" s="95">
        <f t="shared" si="203"/>
        <v>-29794.184377144909</v>
      </c>
      <c r="C580" s="95">
        <f t="shared" si="204"/>
        <v>-16554.450334234698</v>
      </c>
      <c r="D580" s="95">
        <f t="shared" si="205"/>
        <v>-2960.8546488103307</v>
      </c>
      <c r="E580" s="95">
        <f t="shared" si="206"/>
        <v>-2217.6587783660207</v>
      </c>
      <c r="F580" s="96">
        <f t="shared" si="188"/>
        <v>1077.2999248674967</v>
      </c>
      <c r="G580" s="94">
        <f t="shared" si="189"/>
        <v>378.75400600675817</v>
      </c>
      <c r="H580" s="97">
        <f t="shared" si="190"/>
        <v>203.69828068157847</v>
      </c>
      <c r="I580" s="94">
        <f t="shared" si="191"/>
        <v>123.12980533502707</v>
      </c>
      <c r="J580" s="95">
        <f t="shared" si="192"/>
        <v>75.835567424295562</v>
      </c>
      <c r="K580" s="94">
        <f t="shared" si="193"/>
        <v>205.60893395433456</v>
      </c>
      <c r="L580" s="94">
        <f t="shared" si="194"/>
        <v>797.76607676162268</v>
      </c>
      <c r="M580" s="93">
        <f t="shared" si="195"/>
        <v>50.0152667173965</v>
      </c>
      <c r="N580" s="93">
        <f t="shared" si="196"/>
        <v>46499.394524277064</v>
      </c>
      <c r="O580" s="93">
        <f t="shared" si="197"/>
        <v>28303.089586948747</v>
      </c>
      <c r="P580" s="93">
        <f t="shared" si="198"/>
        <v>24842.864061324712</v>
      </c>
      <c r="Q580" s="93">
        <f t="shared" si="199"/>
        <v>102289455493132.95</v>
      </c>
      <c r="R580" s="93">
        <f t="shared" si="200"/>
        <v>23194663544528.91</v>
      </c>
      <c r="S580" s="93">
        <f t="shared" si="201"/>
        <v>16273197068657.391</v>
      </c>
      <c r="T580">
        <f t="shared" si="202"/>
        <v>0.5</v>
      </c>
    </row>
    <row r="581" spans="1:20" x14ac:dyDescent="0.25">
      <c r="A581">
        <v>269</v>
      </c>
      <c r="B581" s="95">
        <f t="shared" si="203"/>
        <v>-31005.286720333203</v>
      </c>
      <c r="C581" s="95">
        <f t="shared" si="204"/>
        <v>-17568.59122191602</v>
      </c>
      <c r="D581" s="95">
        <f t="shared" si="205"/>
        <v>-2422.2046863765822</v>
      </c>
      <c r="E581" s="95">
        <f t="shared" si="206"/>
        <v>-2028.2817753626416</v>
      </c>
      <c r="F581" s="96">
        <f t="shared" si="188"/>
        <v>987.30168258161882</v>
      </c>
      <c r="G581" s="94">
        <f t="shared" si="189"/>
        <v>373.16617995267529</v>
      </c>
      <c r="H581" s="97">
        <f t="shared" si="190"/>
        <v>190.30273505868789</v>
      </c>
      <c r="I581" s="94">
        <f t="shared" si="191"/>
        <v>116.34161970713001</v>
      </c>
      <c r="J581" s="95">
        <f t="shared" si="192"/>
        <v>74.016727436828774</v>
      </c>
      <c r="K581" s="94">
        <f t="shared" si="193"/>
        <v>185.41424264029789</v>
      </c>
      <c r="L581" s="94">
        <f t="shared" si="194"/>
        <v>722.98222008610219</v>
      </c>
      <c r="M581" s="93">
        <f t="shared" si="195"/>
        <v>71.410317605247457</v>
      </c>
      <c r="N581" s="93">
        <f t="shared" si="196"/>
        <v>48061.084100010259</v>
      </c>
      <c r="O581" s="93">
        <f t="shared" si="197"/>
        <v>29684.062352680896</v>
      </c>
      <c r="P581" s="93">
        <f t="shared" si="198"/>
        <v>26131.831131247622</v>
      </c>
      <c r="Q581" s="93">
        <f t="shared" si="199"/>
        <v>112821909328851.03</v>
      </c>
      <c r="R581" s="93">
        <f t="shared" si="200"/>
        <v>26703256331886.516</v>
      </c>
      <c r="S581" s="93">
        <f t="shared" si="201"/>
        <v>18833570048551.891</v>
      </c>
      <c r="T581">
        <f t="shared" si="202"/>
        <v>0.5</v>
      </c>
    </row>
    <row r="582" spans="1:20" x14ac:dyDescent="0.25">
      <c r="A582">
        <v>269.5</v>
      </c>
      <c r="B582" s="95">
        <f t="shared" si="203"/>
        <v>-31969.563642876088</v>
      </c>
      <c r="C582" s="95">
        <f t="shared" si="204"/>
        <v>-18489.440564609173</v>
      </c>
      <c r="D582" s="95">
        <f t="shared" si="205"/>
        <v>-1928.5538450857728</v>
      </c>
      <c r="E582" s="95">
        <f t="shared" si="206"/>
        <v>-1841.6986853863041</v>
      </c>
      <c r="F582" s="96">
        <f t="shared" si="188"/>
        <v>919.36990927233501</v>
      </c>
      <c r="G582" s="94">
        <f t="shared" si="189"/>
        <v>367.93800769155115</v>
      </c>
      <c r="H582" s="97">
        <f t="shared" si="190"/>
        <v>179.89898338844418</v>
      </c>
      <c r="I582" s="94">
        <f t="shared" si="191"/>
        <v>111.40153793810522</v>
      </c>
      <c r="J582" s="95">
        <f t="shared" si="192"/>
        <v>71.469003368552293</v>
      </c>
      <c r="K582" s="94">
        <f t="shared" si="193"/>
        <v>170.10744789281048</v>
      </c>
      <c r="L582" s="94">
        <f t="shared" si="194"/>
        <v>668.00192251533861</v>
      </c>
      <c r="M582" s="93">
        <f t="shared" si="195"/>
        <v>86.429021860635416</v>
      </c>
      <c r="N582" s="93">
        <f t="shared" si="196"/>
        <v>49364.919661990534</v>
      </c>
      <c r="O582" s="93">
        <f t="shared" si="197"/>
        <v>30901.758485323448</v>
      </c>
      <c r="P582" s="93">
        <f t="shared" si="198"/>
        <v>27194.366301517006</v>
      </c>
      <c r="Q582" s="93">
        <f t="shared" si="199"/>
        <v>122153064580443.77</v>
      </c>
      <c r="R582" s="93">
        <f t="shared" si="200"/>
        <v>30078303325276.883</v>
      </c>
      <c r="S582" s="93">
        <f t="shared" si="201"/>
        <v>21139505779650.008</v>
      </c>
      <c r="T582">
        <f t="shared" si="202"/>
        <v>0.5</v>
      </c>
    </row>
    <row r="583" spans="1:20" x14ac:dyDescent="0.25">
      <c r="A583">
        <v>270</v>
      </c>
      <c r="B583" s="95">
        <f t="shared" si="203"/>
        <v>-32703.998088100892</v>
      </c>
      <c r="C583" s="95">
        <f t="shared" si="204"/>
        <v>-19318.305405379437</v>
      </c>
      <c r="D583" s="95">
        <f t="shared" si="205"/>
        <v>-1468.8688904496053</v>
      </c>
      <c r="E583" s="95">
        <f t="shared" si="206"/>
        <v>-1657.7296815405284</v>
      </c>
      <c r="F583" s="96">
        <f t="shared" si="188"/>
        <v>868.42217663296537</v>
      </c>
      <c r="G583" s="94">
        <f t="shared" si="189"/>
        <v>364.32879575877769</v>
      </c>
      <c r="H583" s="97">
        <f t="shared" si="190"/>
        <v>171.83512079223249</v>
      </c>
      <c r="I583" s="94">
        <f t="shared" si="191"/>
        <v>107.91323892599246</v>
      </c>
      <c r="J583" s="95">
        <f t="shared" si="192"/>
        <v>68.699514190873884</v>
      </c>
      <c r="K583" s="94">
        <f t="shared" si="193"/>
        <v>158.5448395285718</v>
      </c>
      <c r="L583" s="94">
        <f t="shared" si="194"/>
        <v>627.88754164985903</v>
      </c>
      <c r="M583" s="93">
        <f t="shared" si="195"/>
        <v>97.870717304213457</v>
      </c>
      <c r="N583" s="93">
        <f t="shared" si="196"/>
        <v>50426.708771490616</v>
      </c>
      <c r="O583" s="93">
        <f t="shared" si="197"/>
        <v>31952.380181538469</v>
      </c>
      <c r="P583" s="93">
        <f t="shared" si="198"/>
        <v>28038.531909492463</v>
      </c>
      <c r="Q583" s="93">
        <f t="shared" si="199"/>
        <v>130123347363413.13</v>
      </c>
      <c r="R583" s="93">
        <f t="shared" si="200"/>
        <v>33210812149245.469</v>
      </c>
      <c r="S583" s="93">
        <f t="shared" si="201"/>
        <v>23102512019893.48</v>
      </c>
      <c r="T583">
        <f t="shared" si="202"/>
        <v>0.5</v>
      </c>
    </row>
    <row r="584" spans="1:20" x14ac:dyDescent="0.25">
      <c r="A584">
        <v>270.5</v>
      </c>
      <c r="B584" s="95">
        <f t="shared" si="203"/>
        <v>-33221.32698916745</v>
      </c>
      <c r="C584" s="95">
        <f t="shared" si="204"/>
        <v>-20056.088047210007</v>
      </c>
      <c r="D584" s="95">
        <f t="shared" si="205"/>
        <v>-1034.6578021331225</v>
      </c>
      <c r="E584" s="95">
        <f t="shared" si="206"/>
        <v>-1475.5652836611396</v>
      </c>
      <c r="F584" s="96">
        <f t="shared" si="188"/>
        <v>831.04938174248241</v>
      </c>
      <c r="G584" s="94">
        <f t="shared" si="189"/>
        <v>362.92709366335623</v>
      </c>
      <c r="H584" s="97">
        <f t="shared" si="190"/>
        <v>165.66585603503958</v>
      </c>
      <c r="I584" s="94">
        <f t="shared" si="191"/>
        <v>105.62153532357112</v>
      </c>
      <c r="J584" s="95">
        <f t="shared" si="192"/>
        <v>65.944097836102927</v>
      </c>
      <c r="K584" s="94">
        <f t="shared" si="193"/>
        <v>149.91094406632996</v>
      </c>
      <c r="L584" s="94">
        <f t="shared" si="194"/>
        <v>599.43942787133994</v>
      </c>
      <c r="M584" s="93">
        <f t="shared" si="195"/>
        <v>107.39461427345512</v>
      </c>
      <c r="N584" s="93">
        <f t="shared" si="196"/>
        <v>51258.375853806807</v>
      </c>
      <c r="O584" s="93">
        <f t="shared" si="197"/>
        <v>32835.528259130042</v>
      </c>
      <c r="P584" s="93">
        <f t="shared" si="198"/>
        <v>28670.670089320392</v>
      </c>
      <c r="Q584" s="93">
        <f t="shared" si="199"/>
        <v>136604092315046.72</v>
      </c>
      <c r="R584" s="93">
        <f t="shared" si="200"/>
        <v>36007407815295.406</v>
      </c>
      <c r="S584" s="93">
        <f t="shared" si="201"/>
        <v>24650784666868.582</v>
      </c>
      <c r="T584">
        <f t="shared" si="202"/>
        <v>0.5</v>
      </c>
    </row>
    <row r="585" spans="1:20" x14ac:dyDescent="0.25">
      <c r="A585">
        <v>271</v>
      </c>
      <c r="B585" s="95">
        <f t="shared" si="203"/>
        <v>-33530.893544798389</v>
      </c>
      <c r="C585" s="95">
        <f t="shared" si="204"/>
        <v>-20703.138915624739</v>
      </c>
      <c r="D585" s="95">
        <f t="shared" si="205"/>
        <v>-619.13311126188125</v>
      </c>
      <c r="E585" s="95">
        <f t="shared" si="206"/>
        <v>-1294.1017368294615</v>
      </c>
      <c r="F585" s="96">
        <f t="shared" si="188"/>
        <v>804.9945032076339</v>
      </c>
      <c r="G585" s="94">
        <f t="shared" si="189"/>
        <v>364.05770103736342</v>
      </c>
      <c r="H585" s="97">
        <f t="shared" si="190"/>
        <v>161.08537135452843</v>
      </c>
      <c r="I585" s="94">
        <f t="shared" si="191"/>
        <v>104.36526190098461</v>
      </c>
      <c r="J585" s="95">
        <f t="shared" si="192"/>
        <v>63.298821728551296</v>
      </c>
      <c r="K585" s="94">
        <f t="shared" si="193"/>
        <v>143.63223761184605</v>
      </c>
      <c r="L585" s="94">
        <f t="shared" si="194"/>
        <v>580.61031012455419</v>
      </c>
      <c r="M585" s="93">
        <f t="shared" si="195"/>
        <v>116.06020152453279</v>
      </c>
      <c r="N585" s="93">
        <f t="shared" si="196"/>
        <v>51868.639248611456</v>
      </c>
      <c r="O585" s="93">
        <f t="shared" si="197"/>
        <v>33552.463685887764</v>
      </c>
      <c r="P585" s="93">
        <f t="shared" si="198"/>
        <v>29095.320585199464</v>
      </c>
      <c r="Q585" s="93">
        <f t="shared" si="199"/>
        <v>141494676823213.44</v>
      </c>
      <c r="R585" s="93">
        <f t="shared" si="200"/>
        <v>38390484547310.734</v>
      </c>
      <c r="S585" s="93">
        <f t="shared" si="201"/>
        <v>25729375910629.531</v>
      </c>
      <c r="T585">
        <f t="shared" si="202"/>
        <v>0.5</v>
      </c>
    </row>
    <row r="586" spans="1:20" x14ac:dyDescent="0.25">
      <c r="A586">
        <v>271.5</v>
      </c>
      <c r="B586" s="95">
        <f t="shared" si="203"/>
        <v>-33639.211474627424</v>
      </c>
      <c r="C586" s="95">
        <f t="shared" si="204"/>
        <v>-21259.175358780129</v>
      </c>
      <c r="D586" s="95">
        <f t="shared" si="205"/>
        <v>-216.63585965806431</v>
      </c>
      <c r="E586" s="95">
        <f t="shared" si="206"/>
        <v>-1112.0728863107797</v>
      </c>
      <c r="F586" s="96">
        <f t="shared" si="188"/>
        <v>788.83587121419646</v>
      </c>
      <c r="G586" s="94">
        <f t="shared" si="189"/>
        <v>367.97211746122764</v>
      </c>
      <c r="H586" s="97">
        <f t="shared" si="190"/>
        <v>157.88664204600056</v>
      </c>
      <c r="I586" s="94">
        <f t="shared" si="191"/>
        <v>104.05067992692562</v>
      </c>
      <c r="J586" s="95">
        <f t="shared" si="192"/>
        <v>60.784891049679786</v>
      </c>
      <c r="K586" s="94">
        <f t="shared" si="193"/>
        <v>139.31051454264431</v>
      </c>
      <c r="L586" s="94">
        <f t="shared" si="194"/>
        <v>570.16433811851607</v>
      </c>
      <c r="M586" s="93">
        <f t="shared" si="195"/>
        <v>124.6109229916577</v>
      </c>
      <c r="N586" s="93">
        <f t="shared" si="196"/>
        <v>52263.476208958011</v>
      </c>
      <c r="O586" s="93">
        <f t="shared" si="197"/>
        <v>34105.192181844912</v>
      </c>
      <c r="P586" s="93">
        <f t="shared" si="198"/>
        <v>29315.212945847612</v>
      </c>
      <c r="Q586" s="93">
        <f t="shared" si="199"/>
        <v>144720524802427.09</v>
      </c>
      <c r="R586" s="93">
        <f t="shared" si="200"/>
        <v>40298266338664.953</v>
      </c>
      <c r="S586" s="93">
        <f t="shared" si="201"/>
        <v>26300234966815.25</v>
      </c>
      <c r="T586">
        <f t="shared" si="202"/>
        <v>0.5</v>
      </c>
    </row>
    <row r="587" spans="1:20" x14ac:dyDescent="0.25">
      <c r="A587">
        <v>272</v>
      </c>
      <c r="B587" s="95">
        <f t="shared" si="203"/>
        <v>-33550.32043665291</v>
      </c>
      <c r="C587" s="95">
        <f t="shared" si="204"/>
        <v>-21723.218772570213</v>
      </c>
      <c r="D587" s="95">
        <f t="shared" si="205"/>
        <v>177.78207594903392</v>
      </c>
      <c r="E587" s="95">
        <f t="shared" si="206"/>
        <v>-928.08682758016585</v>
      </c>
      <c r="F587" s="96">
        <f t="shared" si="188"/>
        <v>781.80564423785472</v>
      </c>
      <c r="G587" s="94">
        <f t="shared" si="189"/>
        <v>374.94891418123223</v>
      </c>
      <c r="H587" s="97">
        <f t="shared" si="190"/>
        <v>155.9367000634372</v>
      </c>
      <c r="I587" s="94">
        <f t="shared" si="191"/>
        <v>104.63694078336196</v>
      </c>
      <c r="J587" s="95">
        <f t="shared" si="192"/>
        <v>58.380032116490192</v>
      </c>
      <c r="K587" s="94">
        <f t="shared" si="193"/>
        <v>136.67592138791963</v>
      </c>
      <c r="L587" s="94">
        <f t="shared" si="194"/>
        <v>567.48891205792734</v>
      </c>
      <c r="M587" s="93">
        <f t="shared" si="195"/>
        <v>133.63605200995062</v>
      </c>
      <c r="N587" s="93">
        <f t="shared" si="196"/>
        <v>52446.419568590652</v>
      </c>
      <c r="O587" s="93">
        <f t="shared" si="197"/>
        <v>34495.996771050472</v>
      </c>
      <c r="P587" s="93">
        <f t="shared" si="198"/>
        <v>29331.25411057975</v>
      </c>
      <c r="Q587" s="93">
        <f t="shared" si="199"/>
        <v>146231736648707.47</v>
      </c>
      <c r="R587" s="93">
        <f t="shared" si="200"/>
        <v>41684824584809.734</v>
      </c>
      <c r="S587" s="93">
        <f t="shared" si="201"/>
        <v>26342211285433.215</v>
      </c>
      <c r="T587">
        <f t="shared" si="202"/>
        <v>0.5</v>
      </c>
    </row>
    <row r="588" spans="1:20" x14ac:dyDescent="0.25">
      <c r="A588">
        <v>272.5</v>
      </c>
      <c r="B588" s="95">
        <f t="shared" si="203"/>
        <v>-33265.977987618935</v>
      </c>
      <c r="C588" s="95">
        <f t="shared" si="204"/>
        <v>-22093.524957814989</v>
      </c>
      <c r="D588" s="95">
        <f t="shared" si="205"/>
        <v>568.68489806796129</v>
      </c>
      <c r="E588" s="95">
        <f t="shared" si="206"/>
        <v>-740.61237048954968</v>
      </c>
      <c r="F588" s="96">
        <f t="shared" si="188"/>
        <v>783.70574969138227</v>
      </c>
      <c r="G588" s="94">
        <f t="shared" si="189"/>
        <v>385.35991702415242</v>
      </c>
      <c r="H588" s="97">
        <f t="shared" si="190"/>
        <v>155.16213818834441</v>
      </c>
      <c r="I588" s="94">
        <f t="shared" si="191"/>
        <v>106.12945373149091</v>
      </c>
      <c r="J588" s="95">
        <f t="shared" si="192"/>
        <v>56.032216619415117</v>
      </c>
      <c r="K588" s="94">
        <f t="shared" si="193"/>
        <v>135.55512787637755</v>
      </c>
      <c r="L588" s="94">
        <f t="shared" si="194"/>
        <v>572.51139488362276</v>
      </c>
      <c r="M588" s="93">
        <f t="shared" si="195"/>
        <v>143.67533541628399</v>
      </c>
      <c r="N588" s="93">
        <f t="shared" si="196"/>
        <v>52418.713935520631</v>
      </c>
      <c r="O588" s="93">
        <f t="shared" si="197"/>
        <v>34727.23018304057</v>
      </c>
      <c r="P588" s="93">
        <f t="shared" si="198"/>
        <v>29142.47086167716</v>
      </c>
      <c r="Q588" s="93">
        <f t="shared" si="199"/>
        <v>146002197210517.47</v>
      </c>
      <c r="R588" s="93">
        <f t="shared" si="200"/>
        <v>42520093544815.961</v>
      </c>
      <c r="S588" s="93">
        <f t="shared" si="201"/>
        <v>25851068813074.398</v>
      </c>
      <c r="T588">
        <f t="shared" si="202"/>
        <v>0.5</v>
      </c>
    </row>
    <row r="589" spans="1:20" x14ac:dyDescent="0.25">
      <c r="A589">
        <v>273</v>
      </c>
      <c r="B589" s="95">
        <f t="shared" si="203"/>
        <v>-32785.709101162109</v>
      </c>
      <c r="C589" s="95">
        <f t="shared" si="204"/>
        <v>-22367.491163803727</v>
      </c>
      <c r="D589" s="95">
        <f t="shared" si="205"/>
        <v>960.53777291365236</v>
      </c>
      <c r="E589" s="95">
        <f t="shared" si="206"/>
        <v>-547.93241197747352</v>
      </c>
      <c r="F589" s="96">
        <f t="shared" si="188"/>
        <v>794.90682741823173</v>
      </c>
      <c r="G589" s="94">
        <f t="shared" si="189"/>
        <v>399.730732128363</v>
      </c>
      <c r="H589" s="97">
        <f t="shared" si="190"/>
        <v>155.5418268144912</v>
      </c>
      <c r="I589" s="94">
        <f t="shared" si="191"/>
        <v>108.57934192465036</v>
      </c>
      <c r="J589" s="95">
        <f t="shared" si="192"/>
        <v>53.663144075257463</v>
      </c>
      <c r="K589" s="94">
        <f t="shared" si="193"/>
        <v>135.85021588829591</v>
      </c>
      <c r="L589" s="94">
        <f t="shared" si="194"/>
        <v>585.70185652848306</v>
      </c>
      <c r="M589" s="93">
        <f t="shared" si="195"/>
        <v>155.30117431541672</v>
      </c>
      <c r="N589" s="93">
        <f t="shared" si="196"/>
        <v>52179.343917963932</v>
      </c>
      <c r="O589" s="93">
        <f t="shared" si="197"/>
        <v>34801.276434327119</v>
      </c>
      <c r="P589" s="93">
        <f t="shared" si="198"/>
        <v>28745.878944696207</v>
      </c>
      <c r="Q589" s="93">
        <f t="shared" si="199"/>
        <v>144029071519084.91</v>
      </c>
      <c r="R589" s="93">
        <f t="shared" si="200"/>
        <v>42789917341586.344</v>
      </c>
      <c r="S589" s="93">
        <f t="shared" si="201"/>
        <v>24839537560508.793</v>
      </c>
      <c r="T589">
        <f t="shared" si="202"/>
        <v>0.5</v>
      </c>
    </row>
    <row r="590" spans="1:20" x14ac:dyDescent="0.25">
      <c r="A590">
        <v>273.5</v>
      </c>
      <c r="B590" s="95">
        <f t="shared" si="203"/>
        <v>-32106.713507850724</v>
      </c>
      <c r="C590" s="95">
        <f t="shared" si="204"/>
        <v>-22541.524686760375</v>
      </c>
      <c r="D590" s="95">
        <f t="shared" si="205"/>
        <v>1357.9911866227683</v>
      </c>
      <c r="E590" s="95">
        <f t="shared" si="206"/>
        <v>-348.06704591329202</v>
      </c>
      <c r="F590" s="96">
        <f t="shared" si="188"/>
        <v>816.43685578101406</v>
      </c>
      <c r="G590" s="94">
        <f t="shared" si="189"/>
        <v>418.81531146127583</v>
      </c>
      <c r="H590" s="97">
        <f t="shared" si="190"/>
        <v>157.10546314350606</v>
      </c>
      <c r="I590" s="94">
        <f t="shared" si="191"/>
        <v>112.08872068751178</v>
      </c>
      <c r="J590" s="95">
        <f t="shared" si="192"/>
        <v>51.164568308494978</v>
      </c>
      <c r="K590" s="94">
        <f t="shared" si="193"/>
        <v>137.52477595333016</v>
      </c>
      <c r="L590" s="94">
        <f t="shared" si="194"/>
        <v>608.16682432901302</v>
      </c>
      <c r="M590" s="93">
        <f t="shared" si="195"/>
        <v>169.20181482043387</v>
      </c>
      <c r="N590" s="93">
        <f t="shared" si="196"/>
        <v>51724.931396159933</v>
      </c>
      <c r="O590" s="93">
        <f t="shared" si="197"/>
        <v>34720.647184351423</v>
      </c>
      <c r="P590" s="93">
        <f t="shared" si="198"/>
        <v>28136.249071219729</v>
      </c>
      <c r="Q590" s="93">
        <f t="shared" si="199"/>
        <v>140332635135930.36</v>
      </c>
      <c r="R590" s="93">
        <f t="shared" si="200"/>
        <v>42496160497945.508</v>
      </c>
      <c r="S590" s="93">
        <f t="shared" si="201"/>
        <v>23337415714616.805</v>
      </c>
      <c r="T590">
        <f t="shared" si="202"/>
        <v>0.5</v>
      </c>
    </row>
    <row r="591" spans="1:20" x14ac:dyDescent="0.25">
      <c r="A591">
        <v>274</v>
      </c>
      <c r="B591" s="95">
        <f t="shared" si="203"/>
        <v>-31223.608700594086</v>
      </c>
      <c r="C591" s="95">
        <f t="shared" si="204"/>
        <v>-22610.854381851699</v>
      </c>
      <c r="D591" s="95">
        <f t="shared" si="205"/>
        <v>1766.2096145132753</v>
      </c>
      <c r="E591" s="95">
        <f t="shared" si="206"/>
        <v>-138.65939018265411</v>
      </c>
      <c r="F591" s="96">
        <f t="shared" si="188"/>
        <v>850.19312790607569</v>
      </c>
      <c r="G591" s="94">
        <f t="shared" si="189"/>
        <v>443.70583238446261</v>
      </c>
      <c r="H591" s="97">
        <f t="shared" si="190"/>
        <v>159.93779693255965</v>
      </c>
      <c r="I591" s="94">
        <f t="shared" si="191"/>
        <v>116.8229532879558</v>
      </c>
      <c r="J591" s="95">
        <f t="shared" si="192"/>
        <v>48.388047468772115</v>
      </c>
      <c r="K591" s="94">
        <f t="shared" si="193"/>
        <v>140.59431435298791</v>
      </c>
      <c r="L591" s="94">
        <f t="shared" si="194"/>
        <v>641.86728350474391</v>
      </c>
      <c r="M591" s="93">
        <f t="shared" si="195"/>
        <v>186.28856474351889</v>
      </c>
      <c r="N591" s="93">
        <f t="shared" si="196"/>
        <v>51049.480564495207</v>
      </c>
      <c r="O591" s="93">
        <f t="shared" si="197"/>
        <v>34488.218506881261</v>
      </c>
      <c r="P591" s="93">
        <f t="shared" si="198"/>
        <v>27305.727562246444</v>
      </c>
      <c r="Q591" s="93">
        <f t="shared" si="199"/>
        <v>134956410900645.02</v>
      </c>
      <c r="R591" s="93">
        <f t="shared" si="200"/>
        <v>41656920494380.281</v>
      </c>
      <c r="S591" s="93">
        <f t="shared" si="201"/>
        <v>21391726545754.813</v>
      </c>
      <c r="T591">
        <f t="shared" si="202"/>
        <v>0.5</v>
      </c>
    </row>
    <row r="592" spans="1:20" x14ac:dyDescent="0.25">
      <c r="A592">
        <v>274.5</v>
      </c>
      <c r="B592" s="95">
        <f t="shared" si="203"/>
        <v>-30127.955611360929</v>
      </c>
      <c r="C592" s="95">
        <f t="shared" si="204"/>
        <v>-22569.25761884691</v>
      </c>
      <c r="D592" s="95">
        <f t="shared" si="205"/>
        <v>2191.3061784663132</v>
      </c>
      <c r="E592" s="95">
        <f t="shared" si="206"/>
        <v>83.193526009577198</v>
      </c>
      <c r="F592" s="96">
        <f t="shared" si="188"/>
        <v>899.3577810953775</v>
      </c>
      <c r="G592" s="94">
        <f t="shared" si="189"/>
        <v>476.01102930062177</v>
      </c>
      <c r="H592" s="97">
        <f t="shared" si="190"/>
        <v>164.18959423870137</v>
      </c>
      <c r="I592" s="94">
        <f t="shared" si="191"/>
        <v>123.03291140253569</v>
      </c>
      <c r="J592" s="95">
        <f t="shared" si="192"/>
        <v>45.126860994241788</v>
      </c>
      <c r="K592" s="94">
        <f t="shared" si="193"/>
        <v>145.11797026466823</v>
      </c>
      <c r="L592" s="94">
        <f t="shared" si="194"/>
        <v>690.04132586243429</v>
      </c>
      <c r="M592" s="93">
        <f t="shared" si="195"/>
        <v>207.86014763341788</v>
      </c>
      <c r="N592" s="93">
        <f t="shared" si="196"/>
        <v>50143.923612895873</v>
      </c>
      <c r="O592" s="93">
        <f t="shared" si="197"/>
        <v>34107.653491680059</v>
      </c>
      <c r="P592" s="93">
        <f t="shared" si="198"/>
        <v>26243.243208624142</v>
      </c>
      <c r="Q592" s="93">
        <f t="shared" si="199"/>
        <v>127967600643591.5</v>
      </c>
      <c r="R592" s="93">
        <f t="shared" si="200"/>
        <v>40306900788601.586</v>
      </c>
      <c r="S592" s="93">
        <f t="shared" si="201"/>
        <v>19066925846728.113</v>
      </c>
      <c r="T592">
        <f t="shared" si="202"/>
        <v>0.5</v>
      </c>
    </row>
    <row r="593" spans="1:20" x14ac:dyDescent="0.25">
      <c r="A593">
        <v>275</v>
      </c>
      <c r="B593" s="95">
        <f t="shared" si="203"/>
        <v>-28807.463076853928</v>
      </c>
      <c r="C593" s="95">
        <f t="shared" si="204"/>
        <v>-22408.658098516968</v>
      </c>
      <c r="D593" s="95">
        <f t="shared" si="205"/>
        <v>2640.985069014002</v>
      </c>
      <c r="E593" s="95">
        <f t="shared" si="206"/>
        <v>321.19904065988806</v>
      </c>
      <c r="F593" s="96">
        <f t="shared" si="188"/>
        <v>969.1935576052515</v>
      </c>
      <c r="G593" s="94">
        <f t="shared" si="189"/>
        <v>518.16576168934228</v>
      </c>
      <c r="H593" s="97">
        <f t="shared" si="190"/>
        <v>170.09804744142167</v>
      </c>
      <c r="I593" s="94">
        <f t="shared" si="191"/>
        <v>131.09345318645933</v>
      </c>
      <c r="J593" s="95">
        <f t="shared" si="192"/>
        <v>41.087040181008533</v>
      </c>
      <c r="K593" s="94">
        <f t="shared" si="193"/>
        <v>151.18721769106523</v>
      </c>
      <c r="L593" s="94">
        <f t="shared" si="194"/>
        <v>758.00846998282134</v>
      </c>
      <c r="M593" s="93">
        <f t="shared" si="195"/>
        <v>235.88509081181766</v>
      </c>
      <c r="N593" s="93">
        <f t="shared" si="196"/>
        <v>48995.377534165054</v>
      </c>
      <c r="O593" s="93">
        <f t="shared" si="197"/>
        <v>33584.11120748493</v>
      </c>
      <c r="P593" s="93">
        <f t="shared" si="198"/>
        <v>24933.582032601818</v>
      </c>
      <c r="Q593" s="93">
        <f t="shared" si="199"/>
        <v>119457809520797.39</v>
      </c>
      <c r="R593" s="93">
        <f t="shared" si="200"/>
        <v>38498048629400.641</v>
      </c>
      <c r="S593" s="93">
        <f t="shared" si="201"/>
        <v>16445144099016.375</v>
      </c>
      <c r="T593">
        <f>A594-A593</f>
        <v>0.5</v>
      </c>
    </row>
    <row r="594" spans="1:20" x14ac:dyDescent="0.25">
      <c r="A594">
        <v>275.5</v>
      </c>
      <c r="B594" s="95">
        <f t="shared" si="203"/>
        <v>-27244.672152945615</v>
      </c>
      <c r="C594" s="95">
        <f t="shared" si="204"/>
        <v>-22118.517137764691</v>
      </c>
      <c r="D594" s="95">
        <f t="shared" si="205"/>
        <v>3125.5818478166275</v>
      </c>
      <c r="E594" s="95">
        <f t="shared" si="206"/>
        <v>580.28192150455925</v>
      </c>
      <c r="F594" s="96">
        <f t="shared" si="188"/>
        <v>1068.6213971044508</v>
      </c>
      <c r="G594" s="94">
        <f t="shared" si="189"/>
        <v>574.00492238882214</v>
      </c>
      <c r="H594" s="97">
        <f t="shared" si="190"/>
        <v>178.02211420579101</v>
      </c>
      <c r="I594" s="94">
        <f t="shared" si="191"/>
        <v>141.57061227046702</v>
      </c>
      <c r="J594" s="95">
        <f t="shared" si="192"/>
        <v>35.842385516949271</v>
      </c>
      <c r="K594" s="94">
        <f t="shared" si="193"/>
        <v>158.90357067661583</v>
      </c>
      <c r="L594" s="94">
        <f t="shared" si="194"/>
        <v>854.75689738171047</v>
      </c>
      <c r="M594" s="93">
        <f t="shared" si="195"/>
        <v>273.53073944173929</v>
      </c>
      <c r="N594" s="93">
        <f t="shared" si="196"/>
        <v>47585.944996610742</v>
      </c>
      <c r="O594" s="93">
        <f t="shared" si="197"/>
        <v>32925.437244363966</v>
      </c>
      <c r="P594" s="93">
        <f t="shared" si="198"/>
        <v>23355.914142518242</v>
      </c>
      <c r="Q594" s="93">
        <f t="shared" si="199"/>
        <v>109544057623645.55</v>
      </c>
      <c r="R594" s="93">
        <f t="shared" si="200"/>
        <v>36300664285170.75</v>
      </c>
      <c r="S594" s="93">
        <f t="shared" si="201"/>
        <v>13626427746352.012</v>
      </c>
      <c r="T594">
        <f t="shared" ref="T594:T657" si="207">A595-A594</f>
        <v>0.5</v>
      </c>
    </row>
    <row r="595" spans="1:20" x14ac:dyDescent="0.25">
      <c r="A595">
        <v>276</v>
      </c>
      <c r="B595" s="95">
        <f t="shared" si="203"/>
        <v>-25414.72587976119</v>
      </c>
      <c r="C595" s="95">
        <f t="shared" si="204"/>
        <v>-21684.874946415206</v>
      </c>
      <c r="D595" s="95">
        <f t="shared" si="205"/>
        <v>3659.8925463688529</v>
      </c>
      <c r="E595" s="95">
        <f t="shared" si="206"/>
        <v>867.28438269897038</v>
      </c>
      <c r="F595" s="96">
        <f t="shared" si="188"/>
        <v>1213.5620802682649</v>
      </c>
      <c r="G595" s="94">
        <f t="shared" si="189"/>
        <v>649.91190838823184</v>
      </c>
      <c r="H595" s="97">
        <f t="shared" si="190"/>
        <v>188.5035968495765</v>
      </c>
      <c r="I595" s="94">
        <f t="shared" si="191"/>
        <v>155.34368159964578</v>
      </c>
      <c r="J595" s="95">
        <f t="shared" si="192"/>
        <v>28.766221163219338</v>
      </c>
      <c r="K595" s="94">
        <f t="shared" si="193"/>
        <v>168.328765015474</v>
      </c>
      <c r="L595" s="94">
        <f t="shared" si="194"/>
        <v>996.29226225546904</v>
      </c>
      <c r="M595" s="93">
        <f t="shared" si="195"/>
        <v>326.23946177311205</v>
      </c>
      <c r="N595" s="93">
        <f t="shared" si="196"/>
        <v>45890.736916904272</v>
      </c>
      <c r="O595" s="93">
        <f t="shared" si="197"/>
        <v>32144.214980660603</v>
      </c>
      <c r="P595" s="93">
        <f t="shared" si="198"/>
        <v>21481.354375248342</v>
      </c>
      <c r="Q595" s="93">
        <f t="shared" si="199"/>
        <v>98370043960431.75</v>
      </c>
      <c r="R595" s="93">
        <f t="shared" si="200"/>
        <v>33805425185726.711</v>
      </c>
      <c r="S595" s="93">
        <f t="shared" si="201"/>
        <v>10728905442484.467</v>
      </c>
      <c r="T595">
        <f t="shared" si="207"/>
        <v>0.5</v>
      </c>
    </row>
    <row r="596" spans="1:20" x14ac:dyDescent="0.25">
      <c r="A596">
        <v>276.5</v>
      </c>
      <c r="B596" s="95">
        <f t="shared" si="203"/>
        <v>-23281.389086509698</v>
      </c>
      <c r="C596" s="95">
        <f t="shared" si="204"/>
        <v>-21088.754777968665</v>
      </c>
      <c r="D596" s="95">
        <f t="shared" si="205"/>
        <v>4266.673586502985</v>
      </c>
      <c r="E596" s="95">
        <f t="shared" si="206"/>
        <v>1192.2403368930864</v>
      </c>
      <c r="F596" s="96">
        <f t="shared" si="188"/>
        <v>1434.7003799937181</v>
      </c>
      <c r="G596" s="94">
        <f t="shared" si="189"/>
        <v>757.34220088054599</v>
      </c>
      <c r="H596" s="97">
        <f t="shared" si="190"/>
        <v>202.37595935455363</v>
      </c>
      <c r="I596" s="94">
        <f t="shared" si="191"/>
        <v>173.84120175707022</v>
      </c>
      <c r="J596" s="95">
        <f t="shared" si="192"/>
        <v>18.932510940961759</v>
      </c>
      <c r="K596" s="94">
        <f t="shared" si="193"/>
        <v>179.37165464301282</v>
      </c>
      <c r="L596" s="94">
        <f t="shared" si="194"/>
        <v>1213.3919096982027</v>
      </c>
      <c r="M596" s="93">
        <f t="shared" si="195"/>
        <v>404.12934448046298</v>
      </c>
      <c r="N596" s="93">
        <f t="shared" si="196"/>
        <v>43874.454518346698</v>
      </c>
      <c r="O596" s="93">
        <f t="shared" si="197"/>
        <v>31261.448910466937</v>
      </c>
      <c r="P596" s="93">
        <f t="shared" si="198"/>
        <v>19268.682406396969</v>
      </c>
      <c r="Q596" s="93">
        <f t="shared" si="199"/>
        <v>86107532888218.828</v>
      </c>
      <c r="R596" s="93">
        <f t="shared" si="200"/>
        <v>31127357616078.09</v>
      </c>
      <c r="S596" s="93">
        <f t="shared" si="201"/>
        <v>7888723227364.665</v>
      </c>
      <c r="T596">
        <f t="shared" si="207"/>
        <v>0.5</v>
      </c>
    </row>
    <row r="597" spans="1:20" x14ac:dyDescent="0.25">
      <c r="A597">
        <v>277</v>
      </c>
      <c r="B597" s="95">
        <f t="shared" si="203"/>
        <v>-20789.377198259775</v>
      </c>
      <c r="C597" s="95">
        <f t="shared" si="204"/>
        <v>-20303.299059301986</v>
      </c>
      <c r="D597" s="95">
        <f t="shared" si="205"/>
        <v>4984.0237764998437</v>
      </c>
      <c r="E597" s="95">
        <f t="shared" si="206"/>
        <v>1570.9114373333593</v>
      </c>
      <c r="F597" s="96">
        <f t="shared" si="188"/>
        <v>1797.8671268692888</v>
      </c>
      <c r="G597" s="94">
        <f t="shared" si="189"/>
        <v>919.04032537539399</v>
      </c>
      <c r="H597" s="97">
        <f t="shared" si="190"/>
        <v>220.96818057731718</v>
      </c>
      <c r="I597" s="94">
        <f t="shared" si="191"/>
        <v>199.53779407815483</v>
      </c>
      <c r="J597" s="95">
        <f t="shared" si="192"/>
        <v>4.9892896603927195</v>
      </c>
      <c r="K597" s="94">
        <f t="shared" si="193"/>
        <v>191.53319478403299</v>
      </c>
      <c r="L597" s="94">
        <f t="shared" si="194"/>
        <v>1571.9096566315789</v>
      </c>
      <c r="M597" s="93">
        <f t="shared" si="195"/>
        <v>527.96933651320614</v>
      </c>
      <c r="N597" s="93">
        <f t="shared" si="196"/>
        <v>41485.047750215999</v>
      </c>
      <c r="O597" s="93">
        <f t="shared" si="197"/>
        <v>30313.578644538575</v>
      </c>
      <c r="P597" s="93">
        <f t="shared" si="198"/>
        <v>16656.212451254309</v>
      </c>
      <c r="Q597" s="93">
        <f t="shared" si="199"/>
        <v>72957473606939.219</v>
      </c>
      <c r="R597" s="93">
        <f t="shared" si="200"/>
        <v>28414407296668.121</v>
      </c>
      <c r="S597" s="93">
        <f t="shared" si="201"/>
        <v>5259398040841.8535</v>
      </c>
      <c r="T597">
        <f t="shared" si="207"/>
        <v>0.5</v>
      </c>
    </row>
    <row r="598" spans="1:20" x14ac:dyDescent="0.25">
      <c r="A598">
        <v>277.5</v>
      </c>
      <c r="B598" s="95">
        <f t="shared" si="203"/>
        <v>-17847.898528292531</v>
      </c>
      <c r="C598" s="95">
        <f t="shared" si="204"/>
        <v>-19288.083259291459</v>
      </c>
      <c r="D598" s="95">
        <f t="shared" si="205"/>
        <v>5882.9573399344881</v>
      </c>
      <c r="E598" s="95">
        <f t="shared" si="206"/>
        <v>2030.4316000210563</v>
      </c>
      <c r="F598" s="96">
        <f t="shared" si="188"/>
        <v>2466.7305647710591</v>
      </c>
      <c r="G598" s="94">
        <f t="shared" si="189"/>
        <v>1186.4679825740493</v>
      </c>
      <c r="H598" s="97">
        <f t="shared" si="190"/>
        <v>246.51170028930744</v>
      </c>
      <c r="I598" s="94">
        <f t="shared" si="191"/>
        <v>237.13013551203721</v>
      </c>
      <c r="J598" s="95">
        <f t="shared" si="192"/>
        <v>-14.941239814883136</v>
      </c>
      <c r="K598" s="94">
        <f t="shared" si="193"/>
        <v>203.33626524968059</v>
      </c>
      <c r="L598" s="94">
        <f t="shared" si="194"/>
        <v>2235.1601042966349</v>
      </c>
      <c r="M598" s="93">
        <f t="shared" si="195"/>
        <v>746.00158181233144</v>
      </c>
      <c r="N598" s="93">
        <f t="shared" si="196"/>
        <v>38640.740898031552</v>
      </c>
      <c r="O598" s="93">
        <f t="shared" si="197"/>
        <v>29367.04550593597</v>
      </c>
      <c r="P598" s="93">
        <f t="shared" si="198"/>
        <v>13544.598725392978</v>
      </c>
      <c r="Q598" s="93">
        <f t="shared" si="199"/>
        <v>59149831652157.492</v>
      </c>
      <c r="R598" s="93">
        <f t="shared" si="200"/>
        <v>25868357269014.391</v>
      </c>
      <c r="S598" s="93">
        <f t="shared" si="201"/>
        <v>3009692203029.9331</v>
      </c>
      <c r="T598">
        <f t="shared" si="207"/>
        <v>0.5</v>
      </c>
    </row>
    <row r="599" spans="1:20" x14ac:dyDescent="0.25">
      <c r="A599">
        <v>278</v>
      </c>
      <c r="B599" s="95">
        <f t="shared" si="203"/>
        <v>-14289.737217132522</v>
      </c>
      <c r="C599" s="95">
        <f t="shared" si="204"/>
        <v>-17976.250463637421</v>
      </c>
      <c r="D599" s="95">
        <f t="shared" si="205"/>
        <v>7116.3226223200181</v>
      </c>
      <c r="E599" s="95">
        <f t="shared" si="206"/>
        <v>2623.6655913080808</v>
      </c>
      <c r="F599" s="96">
        <f t="shared" si="188"/>
        <v>3932.8986245191272</v>
      </c>
      <c r="G599" s="94">
        <f t="shared" si="189"/>
        <v>1691.0428700058801</v>
      </c>
      <c r="H599" s="97">
        <f t="shared" si="190"/>
        <v>282.99907777925978</v>
      </c>
      <c r="I599" s="94">
        <f t="shared" si="191"/>
        <v>296.82311183661147</v>
      </c>
      <c r="J599" s="95">
        <f t="shared" si="192"/>
        <v>-43.079934488633192</v>
      </c>
      <c r="K599" s="94">
        <f t="shared" si="193"/>
        <v>211.06122135518967</v>
      </c>
      <c r="L599" s="94">
        <f t="shared" si="194"/>
        <v>3692.9794812285008</v>
      </c>
      <c r="M599" s="93">
        <f t="shared" si="195"/>
        <v>1183.1585368140791</v>
      </c>
      <c r="N599" s="93">
        <f t="shared" si="196"/>
        <v>35199.867496388943</v>
      </c>
      <c r="O599" s="93">
        <f t="shared" si="197"/>
        <v>28553.067979703588</v>
      </c>
      <c r="P599" s="93">
        <f t="shared" si="198"/>
        <v>9754.8595267015025</v>
      </c>
      <c r="Q599" s="93">
        <f t="shared" si="199"/>
        <v>44940346683444.531</v>
      </c>
      <c r="R599" s="93">
        <f t="shared" si="200"/>
        <v>23805307888044.582</v>
      </c>
      <c r="S599" s="93">
        <f t="shared" si="201"/>
        <v>1317119430867.364</v>
      </c>
      <c r="T599">
        <f t="shared" si="207"/>
        <v>0.5</v>
      </c>
    </row>
    <row r="600" spans="1:20" x14ac:dyDescent="0.25">
      <c r="A600">
        <v>278.5</v>
      </c>
      <c r="B600" s="95">
        <f t="shared" si="203"/>
        <v>-9748.3512498427317</v>
      </c>
      <c r="C600" s="95">
        <f t="shared" si="204"/>
        <v>-16241.656950481909</v>
      </c>
      <c r="D600" s="95">
        <f t="shared" si="205"/>
        <v>9082.7719345795813</v>
      </c>
      <c r="E600" s="95">
        <f t="shared" si="206"/>
        <v>3469.1870263110209</v>
      </c>
      <c r="F600" s="96">
        <f t="shared" si="188"/>
        <v>7486.1543722689757</v>
      </c>
      <c r="G600" s="94">
        <f t="shared" si="189"/>
        <v>2502.2981847995507</v>
      </c>
      <c r="H600" s="97">
        <f t="shared" si="190"/>
        <v>337.73749463579162</v>
      </c>
      <c r="I600" s="94">
        <f t="shared" si="191"/>
        <v>406.03124967316171</v>
      </c>
      <c r="J600" s="95">
        <f t="shared" si="192"/>
        <v>-80.465080209746446</v>
      </c>
      <c r="K600" s="94">
        <f t="shared" si="193"/>
        <v>205.97048170664107</v>
      </c>
      <c r="L600" s="94">
        <f t="shared" si="194"/>
        <v>7228.8819578429302</v>
      </c>
      <c r="M600" s="93">
        <f t="shared" si="195"/>
        <v>1890.2964534197481</v>
      </c>
      <c r="N600" s="93">
        <f t="shared" si="196"/>
        <v>30881.445106107498</v>
      </c>
      <c r="O600" s="93">
        <f t="shared" si="197"/>
        <v>28173.052046297304</v>
      </c>
      <c r="P600" s="93">
        <f t="shared" si="198"/>
        <v>4908.0089216058959</v>
      </c>
      <c r="Q600" s="93">
        <f t="shared" si="199"/>
        <v>30616122576658.055</v>
      </c>
      <c r="R600" s="93">
        <f t="shared" si="200"/>
        <v>22881211287837.977</v>
      </c>
      <c r="S600" s="93">
        <f t="shared" si="201"/>
        <v>343930211480.47461</v>
      </c>
      <c r="T600">
        <f t="shared" si="207"/>
        <v>0.5</v>
      </c>
    </row>
    <row r="601" spans="1:20" x14ac:dyDescent="0.25">
      <c r="A601">
        <v>279</v>
      </c>
      <c r="B601" s="95">
        <f t="shared" si="203"/>
        <v>-3335.4266894856974</v>
      </c>
      <c r="C601" s="95">
        <f t="shared" si="204"/>
        <v>-13881.488891126512</v>
      </c>
      <c r="D601" s="95">
        <f t="shared" si="205"/>
        <v>12825.849120714069</v>
      </c>
      <c r="E601" s="95">
        <f t="shared" si="206"/>
        <v>4720.3361187107967</v>
      </c>
      <c r="F601" s="96">
        <f t="shared" si="188"/>
        <v>-5281.40571373885</v>
      </c>
      <c r="G601" s="94">
        <f t="shared" si="189"/>
        <v>-2915.6098986060151</v>
      </c>
      <c r="H601" s="97">
        <f t="shared" si="190"/>
        <v>411.80155737429925</v>
      </c>
      <c r="I601" s="94">
        <f t="shared" si="191"/>
        <v>660.26611891537107</v>
      </c>
      <c r="J601" s="95">
        <f t="shared" si="192"/>
        <v>-118.61088299066894</v>
      </c>
      <c r="K601" s="94">
        <f t="shared" si="193"/>
        <v>169.97761849210806</v>
      </c>
      <c r="L601" s="94">
        <f t="shared" si="194"/>
        <v>-5574.5963881224807</v>
      </c>
      <c r="M601" s="93">
        <f t="shared" si="195"/>
        <v>-3745.853636013494</v>
      </c>
      <c r="N601" s="93">
        <f t="shared" si="196"/>
        <v>25199.239516144407</v>
      </c>
      <c r="O601" s="93">
        <f t="shared" si="197"/>
        <v>29121.015011130785</v>
      </c>
      <c r="P601" s="93">
        <f t="shared" si="198"/>
        <v>2005.4603977017211</v>
      </c>
      <c r="Q601" s="93">
        <f t="shared" si="199"/>
        <v>16955771442964.83</v>
      </c>
      <c r="R601" s="93">
        <f t="shared" si="200"/>
        <v>25232623151497.457</v>
      </c>
      <c r="S601" s="93">
        <f t="shared" si="201"/>
        <v>156346484408.43253</v>
      </c>
      <c r="T601">
        <f t="shared" si="207"/>
        <v>0.5</v>
      </c>
    </row>
    <row r="602" spans="1:20" x14ac:dyDescent="0.25">
      <c r="A602">
        <v>279.5</v>
      </c>
      <c r="B602" s="95">
        <f t="shared" si="203"/>
        <v>1757.1464424366245</v>
      </c>
      <c r="C602" s="95">
        <f t="shared" si="204"/>
        <v>-12250.223306422618</v>
      </c>
      <c r="D602" s="95">
        <f t="shared" si="205"/>
        <v>10185.146263844643</v>
      </c>
      <c r="E602" s="95">
        <f t="shared" si="206"/>
        <v>3262.5311694077891</v>
      </c>
      <c r="F602" s="96">
        <f t="shared" si="188"/>
        <v>-4834.921557005604</v>
      </c>
      <c r="G602" s="94">
        <f t="shared" si="189"/>
        <v>-976.94419152225146</v>
      </c>
      <c r="H602" s="97">
        <f t="shared" si="190"/>
        <v>406.56874676291943</v>
      </c>
      <c r="I602" s="94">
        <f t="shared" si="191"/>
        <v>974.15579227561784</v>
      </c>
      <c r="J602" s="95">
        <f t="shared" si="192"/>
        <v>-127.23106583109703</v>
      </c>
      <c r="K602" s="94">
        <f t="shared" si="193"/>
        <v>130.11447221472235</v>
      </c>
      <c r="L602" s="94">
        <f t="shared" si="194"/>
        <v>-5114.2592379374264</v>
      </c>
      <c r="M602" s="93">
        <f t="shared" si="195"/>
        <v>-2081.2144560125917</v>
      </c>
      <c r="N602" s="93">
        <f t="shared" si="196"/>
        <v>21401.307329810352</v>
      </c>
      <c r="O602" s="93">
        <f t="shared" si="197"/>
        <v>31119.862764853333</v>
      </c>
      <c r="P602" s="93">
        <f t="shared" si="198"/>
        <v>7295.2244591290873</v>
      </c>
      <c r="Q602" s="93">
        <f t="shared" si="199"/>
        <v>10615543040481.182</v>
      </c>
      <c r="R602" s="93">
        <f t="shared" si="200"/>
        <v>30711534176278.188</v>
      </c>
      <c r="S602" s="93">
        <f t="shared" si="201"/>
        <v>691797861468.02771</v>
      </c>
      <c r="T602">
        <f t="shared" si="207"/>
        <v>0.5</v>
      </c>
    </row>
    <row r="603" spans="1:20" x14ac:dyDescent="0.25">
      <c r="A603">
        <v>280</v>
      </c>
      <c r="B603" s="95">
        <f t="shared" si="203"/>
        <v>5640.9891851075445</v>
      </c>
      <c r="C603" s="95">
        <f t="shared" si="204"/>
        <v>-10863.193769599286</v>
      </c>
      <c r="D603" s="95">
        <f t="shared" si="205"/>
        <v>7767.6854853418408</v>
      </c>
      <c r="E603" s="95">
        <f t="shared" si="206"/>
        <v>2774.0590736466634</v>
      </c>
      <c r="F603" s="96">
        <f t="shared" si="188"/>
        <v>-2696.3807695451842</v>
      </c>
      <c r="G603" s="94">
        <f t="shared" si="189"/>
        <v>275.11178682065361</v>
      </c>
      <c r="H603" s="97">
        <f t="shared" si="190"/>
        <v>306.65058510324758</v>
      </c>
      <c r="I603" s="94">
        <f t="shared" si="191"/>
        <v>1291.8261396767975</v>
      </c>
      <c r="J603" s="95">
        <f t="shared" si="192"/>
        <v>-125.37011278832327</v>
      </c>
      <c r="K603" s="94">
        <f t="shared" si="193"/>
        <v>102.00936231970627</v>
      </c>
      <c r="L603" s="94">
        <f t="shared" si="194"/>
        <v>-2877.6612418601085</v>
      </c>
      <c r="M603" s="93">
        <f t="shared" si="195"/>
        <v>-1118.7237151758502</v>
      </c>
      <c r="N603" s="93">
        <f t="shared" si="196"/>
        <v>18873.469757948573</v>
      </c>
      <c r="O603" s="93">
        <f t="shared" si="197"/>
        <v>33056.514950288518</v>
      </c>
      <c r="P603" s="93">
        <f t="shared" si="198"/>
        <v>11416.821651644466</v>
      </c>
      <c r="Q603" s="93">
        <f t="shared" si="199"/>
        <v>7442910062372.6836</v>
      </c>
      <c r="R603" s="93">
        <f t="shared" si="200"/>
        <v>36731063358266.156</v>
      </c>
      <c r="S603" s="93">
        <f t="shared" si="201"/>
        <v>1936158720640.6494</v>
      </c>
      <c r="T603">
        <f t="shared" si="207"/>
        <v>0.5</v>
      </c>
    </row>
    <row r="604" spans="1:20" x14ac:dyDescent="0.25">
      <c r="A604">
        <v>280.5</v>
      </c>
      <c r="B604" s="95">
        <f t="shared" si="203"/>
        <v>8850.7367353921691</v>
      </c>
      <c r="C604" s="95">
        <f t="shared" si="204"/>
        <v>-9407.3862860707904</v>
      </c>
      <c r="D604" s="95">
        <f t="shared" si="205"/>
        <v>6419.4951005692492</v>
      </c>
      <c r="E604" s="95">
        <f t="shared" si="206"/>
        <v>2911.6149670569903</v>
      </c>
      <c r="F604" s="96">
        <f t="shared" si="188"/>
        <v>-1867.8825818753523</v>
      </c>
      <c r="G604" s="94">
        <f t="shared" si="189"/>
        <v>937.39647803692037</v>
      </c>
      <c r="H604" s="97">
        <f t="shared" si="190"/>
        <v>109.09615735208348</v>
      </c>
      <c r="I604" s="94">
        <f t="shared" si="191"/>
        <v>1604.9680969373503</v>
      </c>
      <c r="J604" s="95">
        <f t="shared" si="192"/>
        <v>-121.40499889582556</v>
      </c>
      <c r="K604" s="94">
        <f t="shared" si="193"/>
        <v>81.667020577013943</v>
      </c>
      <c r="L604" s="94">
        <f t="shared" si="194"/>
        <v>-1855.5737403316102</v>
      </c>
      <c r="M604" s="93">
        <f t="shared" si="195"/>
        <v>-749.23863947744394</v>
      </c>
      <c r="N604" s="93">
        <f t="shared" si="196"/>
        <v>16946.401301686197</v>
      </c>
      <c r="O604" s="93">
        <f t="shared" si="197"/>
        <v>34770.844865083098</v>
      </c>
      <c r="P604" s="93">
        <f t="shared" si="198"/>
        <v>14937.209788523798</v>
      </c>
      <c r="Q604" s="93">
        <f t="shared" si="199"/>
        <v>5515802323327.8613</v>
      </c>
      <c r="R604" s="93">
        <f t="shared" si="200"/>
        <v>42678886574133.563</v>
      </c>
      <c r="S604" s="93">
        <f t="shared" si="201"/>
        <v>3908348473658.4331</v>
      </c>
      <c r="T604">
        <f t="shared" si="207"/>
        <v>0.5</v>
      </c>
    </row>
    <row r="605" spans="1:20" x14ac:dyDescent="0.25">
      <c r="A605">
        <v>281</v>
      </c>
      <c r="B605" s="95">
        <f t="shared" si="203"/>
        <v>11593.513640207955</v>
      </c>
      <c r="C605" s="95">
        <f t="shared" si="204"/>
        <v>-7717.2296830330652</v>
      </c>
      <c r="D605" s="95">
        <f t="shared" si="205"/>
        <v>5485.5538096315731</v>
      </c>
      <c r="E605" s="95">
        <f t="shared" si="206"/>
        <v>3380.3132060754506</v>
      </c>
      <c r="F605" s="96">
        <f t="shared" si="188"/>
        <v>-1625.6687138948896</v>
      </c>
      <c r="G605" s="94">
        <f t="shared" si="189"/>
        <v>1402.4079330427469</v>
      </c>
      <c r="H605" s="97">
        <f t="shared" si="190"/>
        <v>-200.05288918443014</v>
      </c>
      <c r="I605" s="94">
        <f t="shared" si="191"/>
        <v>1910.4014466274396</v>
      </c>
      <c r="J605" s="95">
        <f t="shared" si="192"/>
        <v>-117.7364505397814</v>
      </c>
      <c r="K605" s="94">
        <f t="shared" si="193"/>
        <v>66.025063246641778</v>
      </c>
      <c r="L605" s="94">
        <f t="shared" si="194"/>
        <v>-1307.8793741706781</v>
      </c>
      <c r="M605" s="93">
        <f t="shared" si="195"/>
        <v>-574.01857683133449</v>
      </c>
      <c r="N605" s="93">
        <f t="shared" si="196"/>
        <v>15300.436756763233</v>
      </c>
      <c r="O605" s="93">
        <f t="shared" si="197"/>
        <v>36222.235322731729</v>
      </c>
      <c r="P605" s="93">
        <f t="shared" si="198"/>
        <v>18121.353106693277</v>
      </c>
      <c r="Q605" s="93">
        <f t="shared" si="199"/>
        <v>4170706028358.6782</v>
      </c>
      <c r="R605" s="93">
        <f t="shared" si="200"/>
        <v>48192530598433.234</v>
      </c>
      <c r="S605" s="93">
        <f t="shared" si="201"/>
        <v>6643077027188.2334</v>
      </c>
      <c r="T605">
        <f t="shared" si="207"/>
        <v>0.5</v>
      </c>
    </row>
    <row r="606" spans="1:20" x14ac:dyDescent="0.25">
      <c r="A606">
        <v>281.5</v>
      </c>
      <c r="B606" s="95">
        <f t="shared" si="203"/>
        <v>13929.873366550019</v>
      </c>
      <c r="C606" s="95">
        <f t="shared" si="204"/>
        <v>-5676.4710967346527</v>
      </c>
      <c r="D606" s="95">
        <f t="shared" si="205"/>
        <v>4672.7194526841286</v>
      </c>
      <c r="E606" s="95">
        <f t="shared" si="206"/>
        <v>4081.5171725968239</v>
      </c>
      <c r="F606" s="96">
        <f t="shared" si="188"/>
        <v>-1744.0972621926419</v>
      </c>
      <c r="G606" s="94">
        <f t="shared" si="189"/>
        <v>1777.3695441465193</v>
      </c>
      <c r="H606" s="97">
        <f t="shared" si="190"/>
        <v>-656.99772944514802</v>
      </c>
      <c r="I606" s="94">
        <f t="shared" si="191"/>
        <v>2202.8474673864794</v>
      </c>
      <c r="J606" s="95">
        <f t="shared" si="192"/>
        <v>-115.18566625062917</v>
      </c>
      <c r="K606" s="94">
        <f t="shared" si="193"/>
        <v>53.218729944223064</v>
      </c>
      <c r="L606" s="94">
        <f t="shared" si="194"/>
        <v>-971.91386649686467</v>
      </c>
      <c r="M606" s="93">
        <f t="shared" si="195"/>
        <v>-478.69665318418299</v>
      </c>
      <c r="N606" s="93">
        <f t="shared" si="196"/>
        <v>13750.028917795151</v>
      </c>
      <c r="O606" s="93">
        <f t="shared" si="197"/>
        <v>37376.303358102137</v>
      </c>
      <c r="P606" s="93">
        <f t="shared" si="198"/>
        <v>21101.38139752097</v>
      </c>
      <c r="Q606" s="93">
        <f t="shared" si="199"/>
        <v>3131939108404.0991</v>
      </c>
      <c r="R606" s="93">
        <f t="shared" si="200"/>
        <v>52902542218320.688</v>
      </c>
      <c r="S606" s="93">
        <f t="shared" si="201"/>
        <v>10198083244435.746</v>
      </c>
      <c r="T606">
        <f t="shared" si="207"/>
        <v>0.5</v>
      </c>
    </row>
    <row r="607" spans="1:20" x14ac:dyDescent="0.25">
      <c r="A607">
        <v>282</v>
      </c>
      <c r="B607" s="95">
        <f t="shared" si="203"/>
        <v>15830.208777343922</v>
      </c>
      <c r="C607" s="95">
        <f t="shared" si="204"/>
        <v>-3191.3701243996111</v>
      </c>
      <c r="D607" s="95">
        <f t="shared" si="205"/>
        <v>3800.6708215878075</v>
      </c>
      <c r="E607" s="95">
        <f t="shared" si="206"/>
        <v>4970.2019446700833</v>
      </c>
      <c r="F607" s="96">
        <f t="shared" si="188"/>
        <v>-2197.4854665094354</v>
      </c>
      <c r="G607" s="94">
        <f t="shared" si="189"/>
        <v>2073.4235157285229</v>
      </c>
      <c r="H607" s="97">
        <f t="shared" si="190"/>
        <v>-1338.1265236568329</v>
      </c>
      <c r="I607" s="94">
        <f t="shared" si="191"/>
        <v>2453.8411031326677</v>
      </c>
      <c r="J607" s="95">
        <f t="shared" si="192"/>
        <v>-114.16599969258021</v>
      </c>
      <c r="K607" s="94">
        <f t="shared" si="193"/>
        <v>42.031738272180888</v>
      </c>
      <c r="L607" s="94">
        <f t="shared" si="194"/>
        <v>-745.1929431600222</v>
      </c>
      <c r="M607" s="93">
        <f t="shared" si="195"/>
        <v>-422.44932567632577</v>
      </c>
      <c r="N607" s="93">
        <f t="shared" si="196"/>
        <v>12177.714462259437</v>
      </c>
      <c r="O607" s="93">
        <f t="shared" si="197"/>
        <v>38181.358105585452</v>
      </c>
      <c r="P607" s="93">
        <f t="shared" si="198"/>
        <v>23944.547129704872</v>
      </c>
      <c r="Q607" s="93">
        <f t="shared" si="199"/>
        <v>2281316544684.6826</v>
      </c>
      <c r="R607" s="93">
        <f t="shared" si="200"/>
        <v>56364453068758.227</v>
      </c>
      <c r="S607" s="93">
        <f t="shared" si="201"/>
        <v>14636037433505.49</v>
      </c>
      <c r="T607">
        <f t="shared" si="207"/>
        <v>0.5</v>
      </c>
    </row>
    <row r="608" spans="1:20" x14ac:dyDescent="0.25">
      <c r="A608">
        <v>282.5</v>
      </c>
      <c r="B608" s="95">
        <f t="shared" si="203"/>
        <v>17181.172821510467</v>
      </c>
      <c r="C608" s="95">
        <f t="shared" si="204"/>
        <v>-187.91327313243869</v>
      </c>
      <c r="D608" s="95">
        <f t="shared" si="205"/>
        <v>2701.9280883330898</v>
      </c>
      <c r="E608" s="95">
        <f t="shared" si="206"/>
        <v>6006.9137025343443</v>
      </c>
      <c r="F608" s="96">
        <f t="shared" si="188"/>
        <v>-3075.6150762549169</v>
      </c>
      <c r="G608" s="94">
        <f t="shared" si="189"/>
        <v>2190.65993586679</v>
      </c>
      <c r="H608" s="97">
        <f t="shared" si="190"/>
        <v>-2379.318826060186</v>
      </c>
      <c r="I608" s="94">
        <f t="shared" si="191"/>
        <v>2547.2157875229241</v>
      </c>
      <c r="J608" s="95">
        <f t="shared" si="192"/>
        <v>-115.11661597628034</v>
      </c>
      <c r="K608" s="94">
        <f t="shared" si="193"/>
        <v>31.542794669035725</v>
      </c>
      <c r="L608" s="94">
        <f t="shared" si="194"/>
        <v>-581.17963421845047</v>
      </c>
      <c r="M608" s="93">
        <f t="shared" si="195"/>
        <v>-388.09864632516957</v>
      </c>
      <c r="N608" s="93">
        <f t="shared" si="196"/>
        <v>10520.135625913124</v>
      </c>
      <c r="O608" s="93">
        <f t="shared" si="197"/>
        <v>38551.695024264453</v>
      </c>
      <c r="P608" s="93">
        <f t="shared" si="198"/>
        <v>26672.126667027525</v>
      </c>
      <c r="Q608" s="93">
        <f t="shared" si="199"/>
        <v>1580306622012.8115</v>
      </c>
      <c r="R608" s="93">
        <f t="shared" si="200"/>
        <v>58006653731477.016</v>
      </c>
      <c r="S608" s="93">
        <f t="shared" si="201"/>
        <v>19983554561913.172</v>
      </c>
      <c r="T608">
        <f t="shared" si="207"/>
        <v>0.5</v>
      </c>
    </row>
    <row r="609" spans="1:20" x14ac:dyDescent="0.25">
      <c r="A609">
        <v>283</v>
      </c>
      <c r="B609" s="95">
        <f t="shared" si="203"/>
        <v>17763.233096613279</v>
      </c>
      <c r="C609" s="95">
        <f t="shared" si="204"/>
        <v>3363.2085621014307</v>
      </c>
      <c r="D609" s="95">
        <f t="shared" si="205"/>
        <v>1164.1205502056314</v>
      </c>
      <c r="E609" s="95">
        <f t="shared" si="206"/>
        <v>7102.2436704677393</v>
      </c>
      <c r="F609" s="96">
        <f t="shared" si="188"/>
        <v>-4498.9712120788081</v>
      </c>
      <c r="G609" s="94">
        <f t="shared" si="189"/>
        <v>1743.7045497713266</v>
      </c>
      <c r="H609" s="97">
        <f t="shared" si="190"/>
        <v>-3923.8578880369496</v>
      </c>
      <c r="I609" s="94">
        <f t="shared" si="191"/>
        <v>2090.9048476005864</v>
      </c>
      <c r="J609" s="95">
        <f t="shared" si="192"/>
        <v>-118.8315929768452</v>
      </c>
      <c r="K609" s="94">
        <f t="shared" si="193"/>
        <v>20.884347926536606</v>
      </c>
      <c r="L609" s="94">
        <f t="shared" si="194"/>
        <v>-456.28173106501356</v>
      </c>
      <c r="M609" s="93">
        <f t="shared" si="195"/>
        <v>-368.08464575579643</v>
      </c>
      <c r="N609" s="93">
        <f t="shared" si="196"/>
        <v>8796.6375117440602</v>
      </c>
      <c r="O609" s="93">
        <f t="shared" si="197"/>
        <v>38341.997528810527</v>
      </c>
      <c r="P609" s="93">
        <f t="shared" si="198"/>
        <v>29246.746993571531</v>
      </c>
      <c r="Q609" s="93">
        <f t="shared" si="199"/>
        <v>1035924200125.5236</v>
      </c>
      <c r="R609" s="93">
        <f t="shared" si="200"/>
        <v>57072906842579.539</v>
      </c>
      <c r="S609" s="93">
        <f t="shared" si="201"/>
        <v>26121582712122.938</v>
      </c>
      <c r="T609">
        <f t="shared" si="207"/>
        <v>0.5</v>
      </c>
    </row>
    <row r="610" spans="1:20" x14ac:dyDescent="0.25">
      <c r="A610">
        <v>283.5</v>
      </c>
      <c r="B610" s="95">
        <f t="shared" si="203"/>
        <v>17220.550568696395</v>
      </c>
      <c r="C610" s="95">
        <f t="shared" si="204"/>
        <v>7350.2565347781319</v>
      </c>
      <c r="D610" s="95">
        <f t="shared" si="205"/>
        <v>-1085.3650558337727</v>
      </c>
      <c r="E610" s="95">
        <f t="shared" si="206"/>
        <v>7974.0959453534024</v>
      </c>
      <c r="F610" s="96">
        <f t="shared" si="188"/>
        <v>-6063.1914811358529</v>
      </c>
      <c r="G610" s="94">
        <f t="shared" si="189"/>
        <v>-235.42147843236123</v>
      </c>
      <c r="H610" s="97">
        <f t="shared" si="190"/>
        <v>-5578.1599322062229</v>
      </c>
      <c r="I610" s="94">
        <f t="shared" si="191"/>
        <v>115.68272943501385</v>
      </c>
      <c r="J610" s="95">
        <f t="shared" si="192"/>
        <v>-126.977784209587</v>
      </c>
      <c r="K610" s="94">
        <f t="shared" si="193"/>
        <v>9.0395910000503168</v>
      </c>
      <c r="L610" s="94">
        <f t="shared" si="194"/>
        <v>-358.05376472004281</v>
      </c>
      <c r="M610" s="93">
        <f t="shared" si="195"/>
        <v>-360.1437988674254</v>
      </c>
      <c r="N610" s="93">
        <f t="shared" si="196"/>
        <v>7222.1031300084942</v>
      </c>
      <c r="O610" s="93">
        <f t="shared" si="197"/>
        <v>37314.749430598771</v>
      </c>
      <c r="P610" s="93">
        <f t="shared" si="198"/>
        <v>31516.453397334961</v>
      </c>
      <c r="Q610" s="93">
        <f t="shared" si="199"/>
        <v>677763184072.01636</v>
      </c>
      <c r="R610" s="93">
        <f t="shared" si="200"/>
        <v>52643867944134.875</v>
      </c>
      <c r="S610" s="93">
        <f t="shared" si="201"/>
        <v>32494150927267.824</v>
      </c>
      <c r="T610">
        <f t="shared" si="207"/>
        <v>0.5</v>
      </c>
    </row>
    <row r="611" spans="1:20" x14ac:dyDescent="0.25">
      <c r="A611">
        <v>284</v>
      </c>
      <c r="B611" s="95">
        <f t="shared" si="203"/>
        <v>15162.070170495545</v>
      </c>
      <c r="C611" s="95">
        <f t="shared" si="204"/>
        <v>11278.449137846743</v>
      </c>
      <c r="D611" s="95">
        <f t="shared" si="205"/>
        <v>-4116.9607964016996</v>
      </c>
      <c r="E611" s="95">
        <f t="shared" si="206"/>
        <v>7856.3852061372218</v>
      </c>
      <c r="F611" s="96">
        <f t="shared" si="188"/>
        <v>-5473.3600370489066</v>
      </c>
      <c r="G611" s="94">
        <f t="shared" si="189"/>
        <v>-4067.4259740237603</v>
      </c>
      <c r="H611" s="97">
        <f t="shared" si="190"/>
        <v>-5049.6432266410602</v>
      </c>
      <c r="I611" s="94">
        <f t="shared" si="191"/>
        <v>-3696.1566708621381</v>
      </c>
      <c r="J611" s="95">
        <f t="shared" si="192"/>
        <v>-142.8462883211088</v>
      </c>
      <c r="K611" s="94">
        <f t="shared" si="193"/>
        <v>-5.1937133753281257</v>
      </c>
      <c r="L611" s="94">
        <f t="shared" si="194"/>
        <v>-280.87052208673805</v>
      </c>
      <c r="M611" s="93">
        <f t="shared" si="195"/>
        <v>-366.0755897862943</v>
      </c>
      <c r="N611" s="93">
        <f t="shared" si="196"/>
        <v>6397.1592392572729</v>
      </c>
      <c r="O611" s="93">
        <f t="shared" si="197"/>
        <v>35185.303904796863</v>
      </c>
      <c r="P611" s="93">
        <f t="shared" si="198"/>
        <v>33121.986091573439</v>
      </c>
      <c r="Q611" s="93">
        <f t="shared" si="199"/>
        <v>535256353669.53687</v>
      </c>
      <c r="R611" s="93">
        <f t="shared" si="200"/>
        <v>44207730330756.828</v>
      </c>
      <c r="S611" s="93">
        <f t="shared" si="201"/>
        <v>37586127502331.133</v>
      </c>
      <c r="T611">
        <f t="shared" si="207"/>
        <v>0.5</v>
      </c>
    </row>
    <row r="612" spans="1:20" x14ac:dyDescent="0.25">
      <c r="A612">
        <v>284.5</v>
      </c>
      <c r="B612" s="95">
        <f t="shared" si="203"/>
        <v>11735.249763032467</v>
      </c>
      <c r="C612" s="95">
        <f t="shared" si="204"/>
        <v>14189.785247409414</v>
      </c>
      <c r="D612" s="95">
        <f t="shared" si="205"/>
        <v>-6853.6408149261533</v>
      </c>
      <c r="E612" s="95">
        <f t="shared" si="206"/>
        <v>5822.6722191253411</v>
      </c>
      <c r="F612" s="96">
        <f t="shared" si="188"/>
        <v>-1857.1165952022227</v>
      </c>
      <c r="G612" s="94">
        <f t="shared" si="189"/>
        <v>-6054.1337056202692</v>
      </c>
      <c r="H612" s="97">
        <f t="shared" si="190"/>
        <v>-1463.8039601625114</v>
      </c>
      <c r="I612" s="94">
        <f t="shared" si="191"/>
        <v>-5643.2995101993429</v>
      </c>
      <c r="J612" s="95">
        <f t="shared" si="192"/>
        <v>-170.69085993137526</v>
      </c>
      <c r="K612" s="94">
        <f t="shared" si="193"/>
        <v>-22.535132136920222</v>
      </c>
      <c r="L612" s="94">
        <f t="shared" si="194"/>
        <v>-222.62177510833607</v>
      </c>
      <c r="M612" s="93">
        <f t="shared" si="195"/>
        <v>-388.29906328400688</v>
      </c>
      <c r="N612" s="93">
        <f t="shared" si="196"/>
        <v>6911.1734457008733</v>
      </c>
      <c r="O612" s="93">
        <f t="shared" si="197"/>
        <v>32010.629140044432</v>
      </c>
      <c r="P612" s="93">
        <f t="shared" si="198"/>
        <v>33646.874259297227</v>
      </c>
      <c r="Q612" s="93">
        <f t="shared" si="199"/>
        <v>620694215897.7135</v>
      </c>
      <c r="R612" s="93">
        <f t="shared" si="200"/>
        <v>33390613349697.301</v>
      </c>
      <c r="S612" s="93">
        <f t="shared" si="201"/>
        <v>39360733158251.625</v>
      </c>
      <c r="T612">
        <f t="shared" si="207"/>
        <v>0.5</v>
      </c>
    </row>
    <row r="613" spans="1:20" x14ac:dyDescent="0.25">
      <c r="A613">
        <v>285</v>
      </c>
      <c r="B613" s="95">
        <f t="shared" si="203"/>
        <v>7844.1502067688352</v>
      </c>
      <c r="C613" s="95">
        <f t="shared" si="204"/>
        <v>15587.587930567019</v>
      </c>
      <c r="D613" s="95">
        <f t="shared" si="205"/>
        <v>-7782.1991125272643</v>
      </c>
      <c r="E613" s="95">
        <f t="shared" si="206"/>
        <v>2795.6053663152065</v>
      </c>
      <c r="F613" s="96">
        <f t="shared" si="188"/>
        <v>826.45027330343999</v>
      </c>
      <c r="G613" s="94">
        <f t="shared" si="189"/>
        <v>-5036.1782616972823</v>
      </c>
      <c r="H613" s="97">
        <f t="shared" si="190"/>
        <v>1217.9867471422442</v>
      </c>
      <c r="I613" s="94">
        <f t="shared" si="191"/>
        <v>-4569.2306331853761</v>
      </c>
      <c r="J613" s="95">
        <f t="shared" si="192"/>
        <v>-213.444784221058</v>
      </c>
      <c r="K613" s="94">
        <f t="shared" si="193"/>
        <v>-42.832749116047275</v>
      </c>
      <c r="L613" s="94">
        <f t="shared" si="194"/>
        <v>-178.09168961774631</v>
      </c>
      <c r="M613" s="93">
        <f t="shared" si="195"/>
        <v>-424.11487939585925</v>
      </c>
      <c r="N613" s="93">
        <f t="shared" si="196"/>
        <v>8369.9920469274148</v>
      </c>
      <c r="O613" s="93">
        <f t="shared" si="197"/>
        <v>28399.25773006969</v>
      </c>
      <c r="P613" s="93">
        <f t="shared" si="198"/>
        <v>33174.881008742275</v>
      </c>
      <c r="Q613" s="93">
        <f t="shared" si="199"/>
        <v>926775529174.00928</v>
      </c>
      <c r="R613" s="93">
        <f t="shared" si="200"/>
        <v>23428320875125.516</v>
      </c>
      <c r="S613" s="93">
        <f t="shared" si="201"/>
        <v>37762465706848.195</v>
      </c>
      <c r="T613">
        <f t="shared" si="207"/>
        <v>0.5</v>
      </c>
    </row>
    <row r="614" spans="1:20" x14ac:dyDescent="0.25">
      <c r="A614">
        <v>285.5</v>
      </c>
      <c r="B614" s="95">
        <f t="shared" si="203"/>
        <v>4159.6632188310632</v>
      </c>
      <c r="C614" s="95">
        <f t="shared" si="204"/>
        <v>15726.346048300302</v>
      </c>
      <c r="D614" s="95">
        <f t="shared" si="205"/>
        <v>-7368.9739758755441</v>
      </c>
      <c r="E614" s="95">
        <f t="shared" si="206"/>
        <v>277.51623546656538</v>
      </c>
      <c r="F614" s="96">
        <f t="shared" si="188"/>
        <v>1726.56314340841</v>
      </c>
      <c r="G614" s="94">
        <f t="shared" si="189"/>
        <v>-3553.3559231227609</v>
      </c>
      <c r="H614" s="97">
        <f t="shared" si="190"/>
        <v>2142.143491937225</v>
      </c>
      <c r="I614" s="94">
        <f t="shared" si="191"/>
        <v>-3017.2940893766363</v>
      </c>
      <c r="J614" s="95">
        <f t="shared" si="192"/>
        <v>-275.22441942476075</v>
      </c>
      <c r="K614" s="94">
        <f t="shared" si="193"/>
        <v>-65.233950171138943</v>
      </c>
      <c r="L614" s="94">
        <f t="shared" si="194"/>
        <v>-140.35592910405421</v>
      </c>
      <c r="M614" s="93">
        <f t="shared" si="195"/>
        <v>-470.82788357498589</v>
      </c>
      <c r="N614" s="93">
        <f t="shared" si="196"/>
        <v>10088.721575296879</v>
      </c>
      <c r="O614" s="93">
        <f t="shared" si="197"/>
        <v>24829.022653181957</v>
      </c>
      <c r="P614" s="93">
        <f t="shared" si="198"/>
        <v>32062.560280836995</v>
      </c>
      <c r="Q614" s="93">
        <f t="shared" si="199"/>
        <v>1427538911007.4512</v>
      </c>
      <c r="R614" s="93">
        <f t="shared" si="200"/>
        <v>15765097248977.732</v>
      </c>
      <c r="S614" s="93">
        <f t="shared" si="201"/>
        <v>34170187728351.441</v>
      </c>
      <c r="T614">
        <f t="shared" si="207"/>
        <v>0.5</v>
      </c>
    </row>
    <row r="615" spans="1:20" x14ac:dyDescent="0.25">
      <c r="A615">
        <v>286</v>
      </c>
      <c r="B615" s="95">
        <f t="shared" si="203"/>
        <v>906.81701674539363</v>
      </c>
      <c r="C615" s="95">
        <f t="shared" si="204"/>
        <v>14976.765185252894</v>
      </c>
      <c r="D615" s="95">
        <f t="shared" si="205"/>
        <v>-6505.6924041713391</v>
      </c>
      <c r="E615" s="95">
        <f t="shared" si="206"/>
        <v>-1499.1617260948151</v>
      </c>
      <c r="F615" s="96">
        <f t="shared" si="188"/>
        <v>1807.6198153975715</v>
      </c>
      <c r="G615" s="94">
        <f t="shared" si="189"/>
        <v>-2486.5580083934901</v>
      </c>
      <c r="H615" s="97">
        <f t="shared" si="190"/>
        <v>2275.5553880709986</v>
      </c>
      <c r="I615" s="94">
        <f t="shared" si="191"/>
        <v>-1871.0492611855871</v>
      </c>
      <c r="J615" s="95">
        <f t="shared" si="192"/>
        <v>-363.71197875612432</v>
      </c>
      <c r="K615" s="94">
        <f t="shared" si="193"/>
        <v>-86.579851532785028</v>
      </c>
      <c r="L615" s="94">
        <f t="shared" si="194"/>
        <v>-104.22359391730268</v>
      </c>
      <c r="M615" s="93">
        <f t="shared" si="195"/>
        <v>-528.9288956751177</v>
      </c>
      <c r="N615" s="93">
        <f t="shared" si="196"/>
        <v>11772.340226240529</v>
      </c>
      <c r="O615" s="93">
        <f t="shared" si="197"/>
        <v>21491.002523866122</v>
      </c>
      <c r="P615" s="93">
        <f t="shared" si="198"/>
        <v>30553.182129544264</v>
      </c>
      <c r="Q615" s="93">
        <f t="shared" si="199"/>
        <v>2092315353553.9634</v>
      </c>
      <c r="R615" s="93">
        <f t="shared" si="200"/>
        <v>10323407145864.717</v>
      </c>
      <c r="S615" s="93">
        <f t="shared" si="201"/>
        <v>29674683451283.605</v>
      </c>
      <c r="T615">
        <f t="shared" si="207"/>
        <v>0.5</v>
      </c>
    </row>
    <row r="616" spans="1:20" x14ac:dyDescent="0.25">
      <c r="A616">
        <v>286.5</v>
      </c>
      <c r="B616" s="95">
        <f t="shared" si="203"/>
        <v>-1894.1242314908832</v>
      </c>
      <c r="C616" s="95">
        <f t="shared" si="204"/>
        <v>13605.544820107114</v>
      </c>
      <c r="D616" s="95">
        <f t="shared" si="205"/>
        <v>-5601.8824964725536</v>
      </c>
      <c r="E616" s="95">
        <f t="shared" si="206"/>
        <v>-2742.4407302915602</v>
      </c>
      <c r="F616" s="96">
        <f t="shared" si="188"/>
        <v>1585.9478205693176</v>
      </c>
      <c r="G616" s="94">
        <f t="shared" si="189"/>
        <v>-1798.1104346201762</v>
      </c>
      <c r="H616" s="97">
        <f t="shared" si="190"/>
        <v>2141.3688488729767</v>
      </c>
      <c r="I616" s="94">
        <f t="shared" si="191"/>
        <v>-1099.216993930484</v>
      </c>
      <c r="J616" s="95">
        <f t="shared" si="192"/>
        <v>-490.13541911245352</v>
      </c>
      <c r="K616" s="94">
        <f t="shared" si="193"/>
        <v>-97.603962610058943</v>
      </c>
      <c r="L616" s="94">
        <f t="shared" si="194"/>
        <v>-65.285609191205523</v>
      </c>
      <c r="M616" s="93">
        <f t="shared" si="195"/>
        <v>-601.28947807963323</v>
      </c>
      <c r="N616" s="93">
        <f t="shared" si="196"/>
        <v>13369.662253941771</v>
      </c>
      <c r="O616" s="93">
        <f t="shared" si="197"/>
        <v>18461.383772471851</v>
      </c>
      <c r="P616" s="93">
        <f t="shared" si="198"/>
        <v>28773.662588286687</v>
      </c>
      <c r="Q616" s="93">
        <f t="shared" si="199"/>
        <v>2908302737148.9072</v>
      </c>
      <c r="R616" s="93">
        <f t="shared" si="200"/>
        <v>6634316572015.5049</v>
      </c>
      <c r="S616" s="93">
        <f t="shared" si="201"/>
        <v>24909513286288.902</v>
      </c>
      <c r="T616">
        <f t="shared" si="207"/>
        <v>0.5</v>
      </c>
    </row>
    <row r="617" spans="1:20" x14ac:dyDescent="0.25">
      <c r="A617">
        <v>287</v>
      </c>
      <c r="B617" s="95">
        <f t="shared" si="203"/>
        <v>-4298.578524584831</v>
      </c>
      <c r="C617" s="95">
        <f t="shared" si="204"/>
        <v>11784.79684630629</v>
      </c>
      <c r="D617" s="95">
        <f t="shared" si="205"/>
        <v>-4808.9085861878948</v>
      </c>
      <c r="E617" s="95">
        <f t="shared" si="206"/>
        <v>-3641.4959476016484</v>
      </c>
      <c r="F617" s="96">
        <f t="shared" si="188"/>
        <v>1235.9960232607084</v>
      </c>
      <c r="G617" s="94">
        <f t="shared" si="189"/>
        <v>-1343.3005821683919</v>
      </c>
      <c r="H617" s="97">
        <f t="shared" si="190"/>
        <v>1919.1826834856963</v>
      </c>
      <c r="I617" s="94">
        <f t="shared" si="191"/>
        <v>-575.11366570782423</v>
      </c>
      <c r="J617" s="95">
        <f t="shared" si="192"/>
        <v>-665.04959798582001</v>
      </c>
      <c r="K617" s="94">
        <f t="shared" si="193"/>
        <v>-75.5968768165923</v>
      </c>
      <c r="L617" s="94">
        <f t="shared" si="194"/>
        <v>-18.137062239167985</v>
      </c>
      <c r="M617" s="93">
        <f t="shared" si="195"/>
        <v>-692.59003964397539</v>
      </c>
      <c r="N617" s="93">
        <f t="shared" si="196"/>
        <v>14926.782367202746</v>
      </c>
      <c r="O617" s="93">
        <f t="shared" si="197"/>
        <v>15802.535750037508</v>
      </c>
      <c r="P617" s="93">
        <f t="shared" si="198"/>
        <v>26793.979439121635</v>
      </c>
      <c r="Q617" s="93">
        <f t="shared" si="199"/>
        <v>3900992997014.2656</v>
      </c>
      <c r="R617" s="93">
        <f t="shared" si="200"/>
        <v>4240115419978.7061</v>
      </c>
      <c r="S617" s="93">
        <f t="shared" si="201"/>
        <v>20249333704805.242</v>
      </c>
      <c r="T617">
        <f t="shared" si="207"/>
        <v>0.5</v>
      </c>
    </row>
    <row r="618" spans="1:20" x14ac:dyDescent="0.25">
      <c r="A618">
        <v>287.5</v>
      </c>
      <c r="B618" s="95">
        <f t="shared" si="203"/>
        <v>-6394.0338118636018</v>
      </c>
      <c r="C618" s="95">
        <f t="shared" si="204"/>
        <v>9628.2237269633679</v>
      </c>
      <c r="D618" s="95">
        <f t="shared" si="205"/>
        <v>-4190.9105745575407</v>
      </c>
      <c r="E618" s="95">
        <f t="shared" si="206"/>
        <v>-4313.1462386858439</v>
      </c>
      <c r="F618" s="96">
        <f t="shared" si="188"/>
        <v>831.63243528147302</v>
      </c>
      <c r="G618" s="94">
        <f t="shared" si="189"/>
        <v>-1001.0018096702397</v>
      </c>
      <c r="H618" s="97">
        <f t="shared" si="190"/>
        <v>1666.1663873577538</v>
      </c>
      <c r="I618" s="94">
        <f t="shared" si="191"/>
        <v>-216.29666495365839</v>
      </c>
      <c r="J618" s="95">
        <f t="shared" si="192"/>
        <v>-880.31223223446</v>
      </c>
      <c r="K618" s="94">
        <f t="shared" si="193"/>
        <v>24.0540948201131</v>
      </c>
      <c r="L618" s="94">
        <f t="shared" si="194"/>
        <v>45.778280158179214</v>
      </c>
      <c r="M618" s="93">
        <f t="shared" si="195"/>
        <v>-808.75923953669439</v>
      </c>
      <c r="N618" s="93">
        <f t="shared" si="196"/>
        <v>16531.596440045858</v>
      </c>
      <c r="O618" s="93">
        <f t="shared" si="197"/>
        <v>13611.044541470867</v>
      </c>
      <c r="P618" s="93">
        <f t="shared" si="198"/>
        <v>24667.645493925447</v>
      </c>
      <c r="Q618" s="93">
        <f t="shared" si="199"/>
        <v>5151884047199.7764</v>
      </c>
      <c r="R618" s="93">
        <f t="shared" si="200"/>
        <v>2775782242702.7627</v>
      </c>
      <c r="S618" s="93">
        <f t="shared" si="201"/>
        <v>15944556993235.955</v>
      </c>
      <c r="T618">
        <f t="shared" si="207"/>
        <v>0.5</v>
      </c>
    </row>
    <row r="619" spans="1:20" x14ac:dyDescent="0.25">
      <c r="A619">
        <v>288</v>
      </c>
      <c r="B619" s="95">
        <f t="shared" si="203"/>
        <v>-8281.5809903220052</v>
      </c>
      <c r="C619" s="95">
        <f t="shared" si="204"/>
        <v>7221.4001552028858</v>
      </c>
      <c r="D619" s="95">
        <f t="shared" si="205"/>
        <v>-3775.0943569168044</v>
      </c>
      <c r="E619" s="95">
        <f t="shared" si="206"/>
        <v>-4813.6471435209642</v>
      </c>
      <c r="F619" s="96">
        <f t="shared" si="188"/>
        <v>479.67269198117231</v>
      </c>
      <c r="G619" s="94">
        <f t="shared" si="189"/>
        <v>-680.38494849633457</v>
      </c>
      <c r="H619" s="97">
        <f t="shared" si="190"/>
        <v>1405.52232993548</v>
      </c>
      <c r="I619" s="94">
        <f t="shared" si="191"/>
        <v>21.419280049477052</v>
      </c>
      <c r="J619" s="95">
        <f t="shared" si="192"/>
        <v>-1066.8465914641292</v>
      </c>
      <c r="K619" s="94">
        <f t="shared" si="193"/>
        <v>252.96413884982044</v>
      </c>
      <c r="L619" s="94">
        <f t="shared" si="194"/>
        <v>140.99695350982157</v>
      </c>
      <c r="M619" s="93">
        <f t="shared" si="195"/>
        <v>-954.76836739563214</v>
      </c>
      <c r="N619" s="93">
        <f t="shared" si="196"/>
        <v>18283.703710660593</v>
      </c>
      <c r="O619" s="93">
        <f t="shared" si="197"/>
        <v>12043.3367960831</v>
      </c>
      <c r="P619" s="93">
        <f t="shared" si="198"/>
        <v>22462.399663742373</v>
      </c>
      <c r="Q619" s="93">
        <f t="shared" si="199"/>
        <v>6810431409491.1221</v>
      </c>
      <c r="R619" s="93">
        <f t="shared" si="200"/>
        <v>1972694306581.7402</v>
      </c>
      <c r="S619" s="93">
        <f t="shared" si="201"/>
        <v>12186304354721.865</v>
      </c>
      <c r="T619">
        <f t="shared" si="207"/>
        <v>0.5</v>
      </c>
    </row>
    <row r="620" spans="1:20" x14ac:dyDescent="0.25">
      <c r="A620">
        <v>288.5</v>
      </c>
      <c r="B620" s="95">
        <f t="shared" si="203"/>
        <v>-10049.209995785115</v>
      </c>
      <c r="C620" s="95">
        <f t="shared" si="204"/>
        <v>4644.4803463183198</v>
      </c>
      <c r="D620" s="95">
        <f t="shared" si="205"/>
        <v>-3535.258010926218</v>
      </c>
      <c r="E620" s="95">
        <f t="shared" si="206"/>
        <v>-5153.8396177691311</v>
      </c>
      <c r="F620" s="96">
        <f t="shared" ref="F620:F683" si="208">SUM(H620,J620,L620)</f>
        <v>367.1529363668468</v>
      </c>
      <c r="G620" s="94">
        <f t="shared" ref="G620:G683" si="209">SUM(I620,K620,M620)</f>
        <v>-382.59446269444823</v>
      </c>
      <c r="H620" s="97">
        <f t="shared" ref="H620:H683" si="210">$D$22*(($D$18-$B620)/$Q620)</f>
        <v>1156.5784901112813</v>
      </c>
      <c r="I620" s="94">
        <f t="shared" ref="I620:I683" si="211">$D$22*(($E$18-$C620)/$Q620)</f>
        <v>164.72632139782809</v>
      </c>
      <c r="J620" s="95">
        <f t="shared" ref="J620:J683" si="212">$D$30*(($D$26-$B620)/$R620)</f>
        <v>-1079.4233844292139</v>
      </c>
      <c r="K620" s="94">
        <f t="shared" ref="K620:K683" si="213">$D$30*(($E$26-$C620)/$R620)</f>
        <v>580.94615075844524</v>
      </c>
      <c r="L620" s="94">
        <f t="shared" ref="L620:L683" si="214">$D$38*(($D$34-$B620)/$S620)</f>
        <v>289.99783068477939</v>
      </c>
      <c r="M620" s="93">
        <f t="shared" ref="M620:M683" si="215">$D$38*(($E$34-$C620)/$S620)</f>
        <v>-1128.2669348507216</v>
      </c>
      <c r="N620" s="93">
        <f t="shared" ref="N620:N683" si="216">SQRT(($D$18-$B620)^2+($E$18-$C620)^2)</f>
        <v>20251.538557543034</v>
      </c>
      <c r="O620" s="93">
        <f t="shared" ref="O620:O683" si="217">SQRT(($D$26-$B620)^2+($E$26-$C620)^2)</f>
        <v>11300.434171701263</v>
      </c>
      <c r="P620" s="93">
        <f t="shared" ref="P620:P683" si="218">SQRT(($D$34-$B620)^2+($E$34-$C620)^2)</f>
        <v>20283.001002278314</v>
      </c>
      <c r="Q620" s="93">
        <f t="shared" ref="Q620:Q683" si="219">($N620^2+$D$39^2)^(3/2)</f>
        <v>9076549404352.3242</v>
      </c>
      <c r="R620" s="93">
        <f t="shared" ref="R620:R683" si="220">($O620^2+$D$31^2)^(3/2)</f>
        <v>1655611678787.9746</v>
      </c>
      <c r="S620" s="93">
        <f t="shared" ref="S620:S683" si="221">($P620^2+$D$23^2)^(3/2)</f>
        <v>9116482579504.125</v>
      </c>
      <c r="T620">
        <f t="shared" si="207"/>
        <v>0.5</v>
      </c>
    </row>
    <row r="621" spans="1:20" x14ac:dyDescent="0.25">
      <c r="A621">
        <v>289</v>
      </c>
      <c r="B621" s="95">
        <f t="shared" ref="B621:B684" si="222">B620+(D620*$T620)+(F620*($T620)^2)</f>
        <v>-11725.050767156512</v>
      </c>
      <c r="C621" s="95">
        <f t="shared" ref="C621:C684" si="223">C620+(E620*$T620)+(G620*($T620)^2)</f>
        <v>1971.9119217601421</v>
      </c>
      <c r="D621" s="95">
        <f t="shared" ref="D621:D684" si="224">D620+(F620*$T620)</f>
        <v>-3351.6815427427946</v>
      </c>
      <c r="E621" s="95">
        <f t="shared" ref="E621:E684" si="225">E620+(G620*$T620)</f>
        <v>-5345.1368491163548</v>
      </c>
      <c r="F621" s="96">
        <f t="shared" si="208"/>
        <v>608.44975967721643</v>
      </c>
      <c r="G621" s="94">
        <f t="shared" si="209"/>
        <v>-247.2650048250066</v>
      </c>
      <c r="H621" s="97">
        <f t="shared" si="210"/>
        <v>938.81345988887472</v>
      </c>
      <c r="I621" s="94">
        <f t="shared" si="211"/>
        <v>238.8875198003542</v>
      </c>
      <c r="J621" s="95">
        <f t="shared" si="212"/>
        <v>-849.61154385245516</v>
      </c>
      <c r="K621" s="94">
        <f t="shared" si="213"/>
        <v>824.26563769903225</v>
      </c>
      <c r="L621" s="94">
        <f t="shared" si="214"/>
        <v>519.24784364079687</v>
      </c>
      <c r="M621" s="93">
        <f t="shared" si="215"/>
        <v>-1310.4181623243931</v>
      </c>
      <c r="N621" s="93">
        <f t="shared" si="216"/>
        <v>22417.350169819481</v>
      </c>
      <c r="O621" s="93">
        <f t="shared" si="217"/>
        <v>11529.309736411542</v>
      </c>
      <c r="P621" s="93">
        <f t="shared" si="218"/>
        <v>18255.741620126435</v>
      </c>
      <c r="Q621" s="93">
        <f t="shared" si="219"/>
        <v>12116581693279.611</v>
      </c>
      <c r="R621" s="93">
        <f t="shared" si="220"/>
        <v>1749192778755.5186</v>
      </c>
      <c r="S621" s="93">
        <f t="shared" si="221"/>
        <v>6781401965639.0732</v>
      </c>
      <c r="T621">
        <f t="shared" si="207"/>
        <v>0.5</v>
      </c>
    </row>
    <row r="622" spans="1:20" x14ac:dyDescent="0.25">
      <c r="A622">
        <v>289.5</v>
      </c>
      <c r="B622" s="95">
        <f t="shared" si="222"/>
        <v>-13248.779098608604</v>
      </c>
      <c r="C622" s="95">
        <f t="shared" si="223"/>
        <v>-762.47275400428691</v>
      </c>
      <c r="D622" s="95">
        <f t="shared" si="224"/>
        <v>-3047.4566629041865</v>
      </c>
      <c r="E622" s="95">
        <f t="shared" si="225"/>
        <v>-5468.7693515288584</v>
      </c>
      <c r="F622" s="96">
        <f t="shared" si="208"/>
        <v>1082.319021289919</v>
      </c>
      <c r="G622" s="94">
        <f t="shared" si="209"/>
        <v>-349.94915660787274</v>
      </c>
      <c r="H622" s="97">
        <f t="shared" si="210"/>
        <v>762.95154097512125</v>
      </c>
      <c r="I622" s="94">
        <f t="shared" si="211"/>
        <v>271.1482737736452</v>
      </c>
      <c r="J622" s="95">
        <f t="shared" si="212"/>
        <v>-529.81726094914313</v>
      </c>
      <c r="K622" s="94">
        <f t="shared" si="213"/>
        <v>844.60928161766208</v>
      </c>
      <c r="L622" s="94">
        <f t="shared" si="214"/>
        <v>849.18474126394085</v>
      </c>
      <c r="M622" s="93">
        <f t="shared" si="215"/>
        <v>-1465.70671199918</v>
      </c>
      <c r="N622" s="93">
        <f t="shared" si="216"/>
        <v>24673.349703405969</v>
      </c>
      <c r="O622" s="93">
        <f t="shared" si="217"/>
        <v>12704.71579532847</v>
      </c>
      <c r="P622" s="93">
        <f t="shared" si="218"/>
        <v>16454.468654384207</v>
      </c>
      <c r="Q622" s="93">
        <f t="shared" si="219"/>
        <v>15955184066642.748</v>
      </c>
      <c r="R622" s="93">
        <f t="shared" si="220"/>
        <v>2288489676724.2412</v>
      </c>
      <c r="S622" s="93">
        <f t="shared" si="221"/>
        <v>5086114276834.2217</v>
      </c>
      <c r="T622">
        <f t="shared" si="207"/>
        <v>0.5</v>
      </c>
    </row>
    <row r="623" spans="1:20" x14ac:dyDescent="0.25">
      <c r="A623">
        <v>290</v>
      </c>
      <c r="B623" s="95">
        <f t="shared" si="222"/>
        <v>-14501.927674738217</v>
      </c>
      <c r="C623" s="95">
        <f t="shared" si="223"/>
        <v>-3584.344718920684</v>
      </c>
      <c r="D623" s="95">
        <f t="shared" si="224"/>
        <v>-2506.297152259227</v>
      </c>
      <c r="E623" s="95">
        <f t="shared" si="225"/>
        <v>-5643.7439298327945</v>
      </c>
      <c r="F623" s="96">
        <f t="shared" si="208"/>
        <v>1630.7477925108835</v>
      </c>
      <c r="G623" s="94">
        <f t="shared" si="209"/>
        <v>-556.06044902297617</v>
      </c>
      <c r="H623" s="97">
        <f t="shared" si="210"/>
        <v>626.85354772217897</v>
      </c>
      <c r="I623" s="94">
        <f t="shared" si="211"/>
        <v>283.58016983270949</v>
      </c>
      <c r="J623" s="95">
        <f t="shared" si="212"/>
        <v>-288.68649354897974</v>
      </c>
      <c r="K623" s="94">
        <f t="shared" si="213"/>
        <v>713.27123618350936</v>
      </c>
      <c r="L623" s="94">
        <f t="shared" si="214"/>
        <v>1292.5807383376844</v>
      </c>
      <c r="M623" s="93">
        <f t="shared" si="215"/>
        <v>-1552.911855039195</v>
      </c>
      <c r="N623" s="93">
        <f t="shared" si="216"/>
        <v>26892.511181107046</v>
      </c>
      <c r="O623" s="93">
        <f t="shared" si="217"/>
        <v>14654.801968511132</v>
      </c>
      <c r="P623" s="93">
        <f t="shared" si="218"/>
        <v>14852.737627534869</v>
      </c>
      <c r="Q623" s="93">
        <f t="shared" si="219"/>
        <v>20465991421614.938</v>
      </c>
      <c r="R623" s="93">
        <f t="shared" si="220"/>
        <v>3420398642408.7778</v>
      </c>
      <c r="S623" s="93">
        <f t="shared" si="221"/>
        <v>3849042113001.6558</v>
      </c>
      <c r="T623">
        <f t="shared" si="207"/>
        <v>0.5</v>
      </c>
    </row>
    <row r="624" spans="1:20" x14ac:dyDescent="0.25">
      <c r="A624">
        <v>290.5</v>
      </c>
      <c r="B624" s="95">
        <f t="shared" si="222"/>
        <v>-15347.38930274011</v>
      </c>
      <c r="C624" s="95">
        <f t="shared" si="223"/>
        <v>-6545.2317960928249</v>
      </c>
      <c r="D624" s="95">
        <f t="shared" si="224"/>
        <v>-1690.9232560037854</v>
      </c>
      <c r="E624" s="95">
        <f t="shared" si="225"/>
        <v>-5921.7741543442826</v>
      </c>
      <c r="F624" s="96">
        <f t="shared" si="208"/>
        <v>2232.6452382201792</v>
      </c>
      <c r="G624" s="94">
        <f t="shared" si="209"/>
        <v>-684.49393282586425</v>
      </c>
      <c r="H624" s="97">
        <f t="shared" si="210"/>
        <v>521.90260188491948</v>
      </c>
      <c r="I624" s="94">
        <f t="shared" si="211"/>
        <v>289.19124296817546</v>
      </c>
      <c r="J624" s="95">
        <f t="shared" si="212"/>
        <v>-154.8538887860808</v>
      </c>
      <c r="K624" s="94">
        <f t="shared" si="213"/>
        <v>550.67867294398957</v>
      </c>
      <c r="L624" s="94">
        <f t="shared" si="214"/>
        <v>1865.5965251213406</v>
      </c>
      <c r="M624" s="93">
        <f t="shared" si="215"/>
        <v>-1524.3638487380292</v>
      </c>
      <c r="N624" s="93">
        <f t="shared" si="216"/>
        <v>28978.590039383223</v>
      </c>
      <c r="O624" s="93">
        <f t="shared" si="217"/>
        <v>17186.956725572396</v>
      </c>
      <c r="P624" s="93">
        <f t="shared" si="218"/>
        <v>13362.319063854906</v>
      </c>
      <c r="Q624" s="93">
        <f t="shared" si="219"/>
        <v>25429767844795.316</v>
      </c>
      <c r="R624" s="93">
        <f t="shared" si="220"/>
        <v>5395942848103.9902</v>
      </c>
      <c r="S624" s="93">
        <f t="shared" si="221"/>
        <v>2904100804540.9341</v>
      </c>
      <c r="T624">
        <f t="shared" si="207"/>
        <v>0.5</v>
      </c>
    </row>
    <row r="625" spans="1:20" x14ac:dyDescent="0.25">
      <c r="A625">
        <v>291</v>
      </c>
      <c r="B625" s="95">
        <f t="shared" si="222"/>
        <v>-15634.689621186957</v>
      </c>
      <c r="C625" s="95">
        <f t="shared" si="223"/>
        <v>-9677.2423564714318</v>
      </c>
      <c r="D625" s="95">
        <f t="shared" si="224"/>
        <v>-574.60063689369576</v>
      </c>
      <c r="E625" s="95">
        <f t="shared" si="225"/>
        <v>-6264.0211207572147</v>
      </c>
      <c r="F625" s="96">
        <f t="shared" si="208"/>
        <v>2941.2992119231699</v>
      </c>
      <c r="G625" s="94">
        <f t="shared" si="209"/>
        <v>-590.85406834070773</v>
      </c>
      <c r="H625" s="97">
        <f t="shared" si="210"/>
        <v>439.3947399073873</v>
      </c>
      <c r="I625" s="94">
        <f t="shared" si="211"/>
        <v>294.42876231705463</v>
      </c>
      <c r="J625" s="95">
        <f t="shared" si="212"/>
        <v>-91.572482074584471</v>
      </c>
      <c r="K625" s="94">
        <f t="shared" si="213"/>
        <v>412.77567151025391</v>
      </c>
      <c r="L625" s="94">
        <f t="shared" si="214"/>
        <v>2593.4769540903671</v>
      </c>
      <c r="M625" s="93">
        <f t="shared" si="215"/>
        <v>-1298.0585021680163</v>
      </c>
      <c r="N625" s="93">
        <f t="shared" si="216"/>
        <v>30857.656536871793</v>
      </c>
      <c r="O625" s="93">
        <f t="shared" si="217"/>
        <v>20155.639445541943</v>
      </c>
      <c r="P625" s="93">
        <f t="shared" si="218"/>
        <v>11892.366134236003</v>
      </c>
      <c r="Q625" s="93">
        <f t="shared" si="219"/>
        <v>30547229812821.543</v>
      </c>
      <c r="R625" s="93">
        <f t="shared" si="220"/>
        <v>8561362467862.9268</v>
      </c>
      <c r="S625" s="93">
        <f t="shared" si="221"/>
        <v>2147044513250.533</v>
      </c>
      <c r="T625">
        <f t="shared" si="207"/>
        <v>0.5</v>
      </c>
    </row>
    <row r="626" spans="1:20" x14ac:dyDescent="0.25">
      <c r="A626">
        <v>291.5</v>
      </c>
      <c r="B626" s="95">
        <f t="shared" si="222"/>
        <v>-15186.665136653011</v>
      </c>
      <c r="C626" s="95">
        <f t="shared" si="223"/>
        <v>-12956.966433935215</v>
      </c>
      <c r="D626" s="95">
        <f t="shared" si="224"/>
        <v>896.04896906788917</v>
      </c>
      <c r="E626" s="95">
        <f t="shared" si="225"/>
        <v>-6559.4481549275688</v>
      </c>
      <c r="F626" s="96">
        <f t="shared" si="208"/>
        <v>3787.5251576001565</v>
      </c>
      <c r="G626" s="94">
        <f t="shared" si="209"/>
        <v>-86.093135451490753</v>
      </c>
      <c r="H626" s="97">
        <f t="shared" si="210"/>
        <v>372.67343044901486</v>
      </c>
      <c r="I626" s="94">
        <f t="shared" si="211"/>
        <v>302.69064269332205</v>
      </c>
      <c r="J626" s="95">
        <f t="shared" si="212"/>
        <v>-64.807301755922225</v>
      </c>
      <c r="K626" s="94">
        <f t="shared" si="213"/>
        <v>309.09527247187594</v>
      </c>
      <c r="L626" s="94">
        <f t="shared" si="214"/>
        <v>3479.6590289070641</v>
      </c>
      <c r="M626" s="93">
        <f t="shared" si="215"/>
        <v>-697.8790506166888</v>
      </c>
      <c r="N626" s="93">
        <f t="shared" si="216"/>
        <v>32447.736074879624</v>
      </c>
      <c r="O626" s="93">
        <f t="shared" si="217"/>
        <v>23456.139928716741</v>
      </c>
      <c r="P626" s="93">
        <f t="shared" si="218"/>
        <v>10389.520333411418</v>
      </c>
      <c r="Q626" s="93">
        <f t="shared" si="219"/>
        <v>35386764790467.336</v>
      </c>
      <c r="R626" s="93">
        <f t="shared" si="220"/>
        <v>13338742197851.717</v>
      </c>
      <c r="S626" s="93">
        <f t="shared" si="221"/>
        <v>1532829897605.4211</v>
      </c>
      <c r="T626">
        <f t="shared" si="207"/>
        <v>0.5</v>
      </c>
    </row>
    <row r="627" spans="1:20" x14ac:dyDescent="0.25">
      <c r="A627">
        <v>292</v>
      </c>
      <c r="B627" s="95">
        <f t="shared" si="222"/>
        <v>-13791.759362719029</v>
      </c>
      <c r="C627" s="95">
        <f t="shared" si="223"/>
        <v>-16258.213795261872</v>
      </c>
      <c r="D627" s="95">
        <f t="shared" si="224"/>
        <v>2789.8115478679674</v>
      </c>
      <c r="E627" s="95">
        <f t="shared" si="225"/>
        <v>-6602.4947226533141</v>
      </c>
      <c r="F627" s="96">
        <f t="shared" si="208"/>
        <v>4609.7848211692763</v>
      </c>
      <c r="G627" s="94">
        <f t="shared" si="209"/>
        <v>1173.0902539936078</v>
      </c>
      <c r="H627" s="97">
        <f t="shared" si="210"/>
        <v>317.15382522616159</v>
      </c>
      <c r="I627" s="94">
        <f t="shared" si="211"/>
        <v>316.7066491734696</v>
      </c>
      <c r="J627" s="95">
        <f t="shared" si="212"/>
        <v>-55.355648366435709</v>
      </c>
      <c r="K627" s="94">
        <f t="shared" si="213"/>
        <v>234.13081652353861</v>
      </c>
      <c r="L627" s="94">
        <f t="shared" si="214"/>
        <v>4347.9866443095507</v>
      </c>
      <c r="M627" s="93">
        <f t="shared" si="215"/>
        <v>622.25278829659965</v>
      </c>
      <c r="N627" s="93">
        <f t="shared" si="216"/>
        <v>33622.916832346651</v>
      </c>
      <c r="O627" s="93">
        <f t="shared" si="217"/>
        <v>26982.143049210674</v>
      </c>
      <c r="P627" s="93">
        <f t="shared" si="218"/>
        <v>8881.3363097309284</v>
      </c>
      <c r="Q627" s="93">
        <f t="shared" si="219"/>
        <v>39278530103698.891</v>
      </c>
      <c r="R627" s="93">
        <f t="shared" si="220"/>
        <v>20141849318612.973</v>
      </c>
      <c r="S627" s="93">
        <f t="shared" si="221"/>
        <v>1058732423591.7852</v>
      </c>
      <c r="T627">
        <f t="shared" si="207"/>
        <v>0.5</v>
      </c>
    </row>
    <row r="628" spans="1:20" x14ac:dyDescent="0.25">
      <c r="A628">
        <v>292.5</v>
      </c>
      <c r="B628" s="95">
        <f t="shared" si="222"/>
        <v>-11244.407383492726</v>
      </c>
      <c r="C628" s="95">
        <f t="shared" si="223"/>
        <v>-19266.188593090126</v>
      </c>
      <c r="D628" s="95">
        <f t="shared" si="224"/>
        <v>5094.7039584526055</v>
      </c>
      <c r="E628" s="95">
        <f t="shared" si="225"/>
        <v>-6015.9495956565097</v>
      </c>
      <c r="F628" s="96">
        <f t="shared" si="208"/>
        <v>4603.6479056523531</v>
      </c>
      <c r="G628" s="94">
        <f t="shared" si="209"/>
        <v>3518.7175693107674</v>
      </c>
      <c r="H628" s="97">
        <f t="shared" si="210"/>
        <v>270.03315225557481</v>
      </c>
      <c r="I628" s="94">
        <f t="shared" si="211"/>
        <v>340.21934098643914</v>
      </c>
      <c r="J628" s="95">
        <f t="shared" si="212"/>
        <v>-54.092988401312134</v>
      </c>
      <c r="K628" s="94">
        <f t="shared" si="213"/>
        <v>180.80964584075818</v>
      </c>
      <c r="L628" s="94">
        <f t="shared" si="214"/>
        <v>4387.70774179809</v>
      </c>
      <c r="M628" s="93">
        <f t="shared" si="215"/>
        <v>2997.6885824835704</v>
      </c>
      <c r="N628" s="93">
        <f t="shared" si="216"/>
        <v>34172.411341265753</v>
      </c>
      <c r="O628" s="93">
        <f t="shared" si="217"/>
        <v>30547.834568632774</v>
      </c>
      <c r="P628" s="93">
        <f t="shared" si="218"/>
        <v>7562.6046229345338</v>
      </c>
      <c r="Q628" s="93">
        <f t="shared" si="219"/>
        <v>41193259425347.484</v>
      </c>
      <c r="R628" s="93">
        <f t="shared" si="220"/>
        <v>29069483388361.332</v>
      </c>
      <c r="S628" s="93">
        <f t="shared" si="221"/>
        <v>745164503366.37402</v>
      </c>
      <c r="T628">
        <f t="shared" si="207"/>
        <v>0.5</v>
      </c>
    </row>
    <row r="629" spans="1:20" x14ac:dyDescent="0.25">
      <c r="A629">
        <v>293</v>
      </c>
      <c r="B629" s="95">
        <f t="shared" si="222"/>
        <v>-7546.1434278533343</v>
      </c>
      <c r="C629" s="95">
        <f t="shared" si="223"/>
        <v>-21394.483998590687</v>
      </c>
      <c r="D629" s="95">
        <f t="shared" si="224"/>
        <v>7396.5279112787821</v>
      </c>
      <c r="E629" s="95">
        <f t="shared" si="225"/>
        <v>-4256.590811001126</v>
      </c>
      <c r="F629" s="96">
        <f t="shared" si="208"/>
        <v>2338.418265373115</v>
      </c>
      <c r="G629" s="94">
        <f t="shared" si="209"/>
        <v>5961.229507464659</v>
      </c>
      <c r="H629" s="97">
        <f t="shared" si="210"/>
        <v>230.22412058102901</v>
      </c>
      <c r="I629" s="94">
        <f t="shared" si="211"/>
        <v>379.12645565510536</v>
      </c>
      <c r="J629" s="95">
        <f t="shared" si="212"/>
        <v>-57.131288097713629</v>
      </c>
      <c r="K629" s="94">
        <f t="shared" si="213"/>
        <v>144.02023177414688</v>
      </c>
      <c r="L629" s="94">
        <f t="shared" si="214"/>
        <v>2165.3254328897997</v>
      </c>
      <c r="M629" s="93">
        <f t="shared" si="215"/>
        <v>5438.0828200354072</v>
      </c>
      <c r="N629" s="93">
        <f t="shared" si="216"/>
        <v>33804.70906154369</v>
      </c>
      <c r="O629" s="93">
        <f t="shared" si="217"/>
        <v>33774.430699234108</v>
      </c>
      <c r="P629" s="93">
        <f t="shared" si="218"/>
        <v>6882.7517726148662</v>
      </c>
      <c r="Q629" s="93">
        <f t="shared" si="219"/>
        <v>39905198430599.133</v>
      </c>
      <c r="R629" s="93">
        <f t="shared" si="220"/>
        <v>39149172450558.266</v>
      </c>
      <c r="S629" s="93">
        <f t="shared" si="221"/>
        <v>615684626925.78088</v>
      </c>
      <c r="T629">
        <f t="shared" si="207"/>
        <v>0.5</v>
      </c>
    </row>
    <row r="630" spans="1:20" x14ac:dyDescent="0.25">
      <c r="A630">
        <v>293.5</v>
      </c>
      <c r="B630" s="95">
        <f t="shared" si="222"/>
        <v>-3263.2749058706645</v>
      </c>
      <c r="C630" s="95">
        <f t="shared" si="223"/>
        <v>-22032.472027225085</v>
      </c>
      <c r="D630" s="95">
        <f t="shared" si="224"/>
        <v>8565.7370439653387</v>
      </c>
      <c r="E630" s="95">
        <f t="shared" si="225"/>
        <v>-1275.9760572687965</v>
      </c>
      <c r="F630" s="96">
        <f t="shared" si="208"/>
        <v>-1198.7894207287115</v>
      </c>
      <c r="G630" s="94">
        <f t="shared" si="209"/>
        <v>5960.0231982203095</v>
      </c>
      <c r="H630" s="97">
        <f t="shared" si="210"/>
        <v>197.56063521656353</v>
      </c>
      <c r="I630" s="94">
        <f t="shared" si="211"/>
        <v>439.89542361302512</v>
      </c>
      <c r="J630" s="95">
        <f t="shared" si="212"/>
        <v>-62.786908010606624</v>
      </c>
      <c r="K630" s="94">
        <f t="shared" si="213"/>
        <v>120.16806533024659</v>
      </c>
      <c r="L630" s="94">
        <f t="shared" si="214"/>
        <v>-1333.5631479346685</v>
      </c>
      <c r="M630" s="93">
        <f t="shared" si="215"/>
        <v>5399.9597092770382</v>
      </c>
      <c r="N630" s="93">
        <f t="shared" si="216"/>
        <v>32374.08477884017</v>
      </c>
      <c r="O630" s="93">
        <f t="shared" si="217"/>
        <v>36141.350708729966</v>
      </c>
      <c r="P630" s="93">
        <f t="shared" si="218"/>
        <v>7243.7474325297844</v>
      </c>
      <c r="Q630" s="93">
        <f t="shared" si="219"/>
        <v>35151914213704.059</v>
      </c>
      <c r="R630" s="93">
        <f t="shared" si="220"/>
        <v>47873384153724.375</v>
      </c>
      <c r="S630" s="93">
        <f t="shared" si="221"/>
        <v>681892817933.14038</v>
      </c>
      <c r="T630">
        <f t="shared" si="207"/>
        <v>0.5</v>
      </c>
    </row>
    <row r="631" spans="1:20" x14ac:dyDescent="0.25">
      <c r="A631">
        <v>294</v>
      </c>
      <c r="B631" s="95">
        <f t="shared" si="222"/>
        <v>719.89626092982689</v>
      </c>
      <c r="C631" s="95">
        <f t="shared" si="223"/>
        <v>-21180.454256304405</v>
      </c>
      <c r="D631" s="95">
        <f t="shared" si="224"/>
        <v>7966.3423336009828</v>
      </c>
      <c r="E631" s="95">
        <f t="shared" si="225"/>
        <v>1704.0355418413583</v>
      </c>
      <c r="F631" s="96">
        <f t="shared" si="208"/>
        <v>-3087.9604723027846</v>
      </c>
      <c r="G631" s="94">
        <f t="shared" si="209"/>
        <v>4076.6876045063632</v>
      </c>
      <c r="H631" s="97">
        <f t="shared" si="210"/>
        <v>170.31317381838375</v>
      </c>
      <c r="I631" s="94">
        <f t="shared" si="211"/>
        <v>526.35825291254753</v>
      </c>
      <c r="J631" s="95">
        <f t="shared" si="212"/>
        <v>-70.001177212218522</v>
      </c>
      <c r="K631" s="94">
        <f t="shared" si="213"/>
        <v>105.34167142857541</v>
      </c>
      <c r="L631" s="94">
        <f t="shared" si="214"/>
        <v>-3188.27246890895</v>
      </c>
      <c r="M631" s="93">
        <f t="shared" si="215"/>
        <v>3444.9876801652404</v>
      </c>
      <c r="N631" s="93">
        <f t="shared" si="216"/>
        <v>30144.465192732707</v>
      </c>
      <c r="O631" s="93">
        <f t="shared" si="217"/>
        <v>37437.078260638678</v>
      </c>
      <c r="P631" s="93">
        <f t="shared" si="218"/>
        <v>8421.1179810088306</v>
      </c>
      <c r="Q631" s="93">
        <f t="shared" si="219"/>
        <v>28530094567927.352</v>
      </c>
      <c r="R631" s="93">
        <f t="shared" si="220"/>
        <v>53158776344443.703</v>
      </c>
      <c r="S631" s="93">
        <f t="shared" si="221"/>
        <v>939358448180.8833</v>
      </c>
      <c r="T631">
        <f t="shared" si="207"/>
        <v>0.5</v>
      </c>
    </row>
    <row r="632" spans="1:20" x14ac:dyDescent="0.25">
      <c r="A632">
        <v>294.5</v>
      </c>
      <c r="B632" s="95">
        <f t="shared" si="222"/>
        <v>3931.0773096546227</v>
      </c>
      <c r="C632" s="95">
        <f t="shared" si="223"/>
        <v>-19309.264584257133</v>
      </c>
      <c r="D632" s="95">
        <f t="shared" si="224"/>
        <v>6422.3620974495907</v>
      </c>
      <c r="E632" s="95">
        <f t="shared" si="225"/>
        <v>3742.3793440945401</v>
      </c>
      <c r="F632" s="96">
        <f t="shared" si="208"/>
        <v>-3346.7357064116286</v>
      </c>
      <c r="G632" s="94">
        <f t="shared" si="209"/>
        <v>2386.9262750648313</v>
      </c>
      <c r="H632" s="97">
        <f t="shared" si="210"/>
        <v>145.71145801578305</v>
      </c>
      <c r="I632" s="94">
        <f t="shared" si="211"/>
        <v>643.67553027449958</v>
      </c>
      <c r="J632" s="95">
        <f t="shared" si="212"/>
        <v>-78.327357009894726</v>
      </c>
      <c r="K632" s="94">
        <f t="shared" si="213"/>
        <v>95.930375431213903</v>
      </c>
      <c r="L632" s="94">
        <f t="shared" si="214"/>
        <v>-3414.1198074175168</v>
      </c>
      <c r="M632" s="93">
        <f t="shared" si="215"/>
        <v>1647.3203693591181</v>
      </c>
      <c r="N632" s="93">
        <f t="shared" si="216"/>
        <v>27487.60611930571</v>
      </c>
      <c r="O632" s="93">
        <f t="shared" si="217"/>
        <v>37838.20095711021</v>
      </c>
      <c r="P632" s="93">
        <f t="shared" si="218"/>
        <v>9916.3452525696393</v>
      </c>
      <c r="Q632" s="93">
        <f t="shared" si="219"/>
        <v>21808034406747.723</v>
      </c>
      <c r="R632" s="93">
        <f t="shared" si="220"/>
        <v>54870828749394.313</v>
      </c>
      <c r="S632" s="93">
        <f t="shared" si="221"/>
        <v>1369694506311.4587</v>
      </c>
      <c r="T632">
        <f t="shared" si="207"/>
        <v>0.5</v>
      </c>
    </row>
    <row r="633" spans="1:20" x14ac:dyDescent="0.25">
      <c r="A633">
        <v>295</v>
      </c>
      <c r="B633" s="95">
        <f t="shared" si="222"/>
        <v>6305.5744317765111</v>
      </c>
      <c r="C633" s="95">
        <f t="shared" si="223"/>
        <v>-16841.343343443656</v>
      </c>
      <c r="D633" s="95">
        <f t="shared" si="224"/>
        <v>4748.9942442437768</v>
      </c>
      <c r="E633" s="95">
        <f t="shared" si="225"/>
        <v>4935.8424816269562</v>
      </c>
      <c r="F633" s="96">
        <f t="shared" si="208"/>
        <v>-2997.949121026275</v>
      </c>
      <c r="G633" s="94">
        <f t="shared" si="209"/>
        <v>1387.2744630943207</v>
      </c>
      <c r="H633" s="97">
        <f t="shared" si="210"/>
        <v>121.9963661882425</v>
      </c>
      <c r="I633" s="94">
        <f t="shared" si="211"/>
        <v>803.79354819927789</v>
      </c>
      <c r="J633" s="95">
        <f t="shared" si="212"/>
        <v>-87.853593431404889</v>
      </c>
      <c r="K633" s="94">
        <f t="shared" si="213"/>
        <v>89.642918513845714</v>
      </c>
      <c r="L633" s="94">
        <f t="shared" si="214"/>
        <v>-3032.0918937831125</v>
      </c>
      <c r="M633" s="93">
        <f t="shared" si="215"/>
        <v>493.83799638119694</v>
      </c>
      <c r="N633" s="93">
        <f t="shared" si="216"/>
        <v>24620.109180150932</v>
      </c>
      <c r="O633" s="93">
        <f t="shared" si="217"/>
        <v>37582.455463505328</v>
      </c>
      <c r="P633" s="93">
        <f t="shared" si="218"/>
        <v>11454.543139771356</v>
      </c>
      <c r="Q633" s="93">
        <f t="shared" si="219"/>
        <v>15856182970860.465</v>
      </c>
      <c r="R633" s="93">
        <f t="shared" si="220"/>
        <v>53775072218330.203</v>
      </c>
      <c r="S633" s="93">
        <f t="shared" si="221"/>
        <v>1952310529258.9944</v>
      </c>
      <c r="T633">
        <f t="shared" si="207"/>
        <v>0.5</v>
      </c>
    </row>
    <row r="634" spans="1:20" x14ac:dyDescent="0.25">
      <c r="A634">
        <v>295.5</v>
      </c>
      <c r="B634" s="95">
        <f t="shared" si="222"/>
        <v>7930.5842736418317</v>
      </c>
      <c r="C634" s="95">
        <f t="shared" si="223"/>
        <v>-14026.603486856598</v>
      </c>
      <c r="D634" s="95">
        <f t="shared" si="224"/>
        <v>3250.0196837306394</v>
      </c>
      <c r="E634" s="95">
        <f t="shared" si="225"/>
        <v>5629.4797131741161</v>
      </c>
      <c r="F634" s="96">
        <f t="shared" si="208"/>
        <v>-2522.0971741570947</v>
      </c>
      <c r="G634" s="94">
        <f t="shared" si="209"/>
        <v>925.95464279883458</v>
      </c>
      <c r="H634" s="97">
        <f t="shared" si="210"/>
        <v>99.083822148790375</v>
      </c>
      <c r="I634" s="94">
        <f t="shared" si="211"/>
        <v>1030.6958259725081</v>
      </c>
      <c r="J634" s="95">
        <f t="shared" si="212"/>
        <v>-98.960216589149155</v>
      </c>
      <c r="K634" s="94">
        <f t="shared" si="213"/>
        <v>85.128111236998222</v>
      </c>
      <c r="L634" s="94">
        <f t="shared" si="214"/>
        <v>-2522.2207797167362</v>
      </c>
      <c r="M634" s="93">
        <f t="shared" si="215"/>
        <v>-189.8692944106717</v>
      </c>
      <c r="N634" s="93">
        <f t="shared" si="216"/>
        <v>21625.84424083474</v>
      </c>
      <c r="O634" s="93">
        <f t="shared" si="217"/>
        <v>36842.844800335901</v>
      </c>
      <c r="P634" s="93">
        <f t="shared" si="218"/>
        <v>12967.170486638679</v>
      </c>
      <c r="Q634" s="93">
        <f t="shared" si="219"/>
        <v>10935625181050.094</v>
      </c>
      <c r="R634" s="93">
        <f t="shared" si="220"/>
        <v>50688813539404.047</v>
      </c>
      <c r="S634" s="93">
        <f t="shared" si="221"/>
        <v>2684316197811.1411</v>
      </c>
      <c r="T634">
        <f t="shared" si="207"/>
        <v>0.5</v>
      </c>
    </row>
    <row r="635" spans="1:20" x14ac:dyDescent="0.25">
      <c r="A635">
        <v>296</v>
      </c>
      <c r="B635" s="95">
        <f t="shared" si="222"/>
        <v>8925.0698219678779</v>
      </c>
      <c r="C635" s="95">
        <f t="shared" si="223"/>
        <v>-10980.374969569833</v>
      </c>
      <c r="D635" s="95">
        <f t="shared" si="224"/>
        <v>1988.971096652092</v>
      </c>
      <c r="E635" s="95">
        <f t="shared" si="225"/>
        <v>6092.4570345735337</v>
      </c>
      <c r="F635" s="96">
        <f t="shared" si="208"/>
        <v>-2055.4928602508971</v>
      </c>
      <c r="G635" s="94">
        <f t="shared" si="209"/>
        <v>869.9014930649447</v>
      </c>
      <c r="H635" s="97">
        <f t="shared" si="210"/>
        <v>79.831509066013382</v>
      </c>
      <c r="I635" s="94">
        <f t="shared" si="211"/>
        <v>1372.476326441413</v>
      </c>
      <c r="J635" s="95">
        <f t="shared" si="212"/>
        <v>-112.23916384524487</v>
      </c>
      <c r="K635" s="94">
        <f t="shared" si="213"/>
        <v>81.411030577903588</v>
      </c>
      <c r="L635" s="94">
        <f t="shared" si="214"/>
        <v>-2023.0852054716656</v>
      </c>
      <c r="M635" s="93">
        <f t="shared" si="215"/>
        <v>-583.98586395437189</v>
      </c>
      <c r="N635" s="93">
        <f t="shared" si="216"/>
        <v>18511.610786302404</v>
      </c>
      <c r="O635" s="93">
        <f t="shared" si="217"/>
        <v>35732.839210864135</v>
      </c>
      <c r="P635" s="93">
        <f t="shared" si="218"/>
        <v>14493.617730985638</v>
      </c>
      <c r="Q635" s="93">
        <f t="shared" si="219"/>
        <v>7050250354228.8008</v>
      </c>
      <c r="R635" s="93">
        <f t="shared" si="220"/>
        <v>46283131520559.063</v>
      </c>
      <c r="S635" s="93">
        <f t="shared" si="221"/>
        <v>3603975497019.8257</v>
      </c>
      <c r="T635">
        <f t="shared" si="207"/>
        <v>0.5</v>
      </c>
    </row>
    <row r="636" spans="1:20" x14ac:dyDescent="0.25">
      <c r="A636">
        <v>296.5</v>
      </c>
      <c r="B636" s="95">
        <f t="shared" si="222"/>
        <v>9405.6821552311994</v>
      </c>
      <c r="C636" s="95">
        <f t="shared" si="223"/>
        <v>-7716.6710790168299</v>
      </c>
      <c r="D636" s="95">
        <f t="shared" si="224"/>
        <v>961.22466652664343</v>
      </c>
      <c r="E636" s="95">
        <f t="shared" si="225"/>
        <v>6527.407781106006</v>
      </c>
      <c r="F636" s="96">
        <f t="shared" si="208"/>
        <v>-1615.952859075534</v>
      </c>
      <c r="G636" s="94">
        <f t="shared" si="209"/>
        <v>1222.1472889632219</v>
      </c>
      <c r="H636" s="97">
        <f t="shared" si="210"/>
        <v>75.57366685214491</v>
      </c>
      <c r="I636" s="94">
        <f t="shared" si="211"/>
        <v>1934.9572637712859</v>
      </c>
      <c r="J636" s="95">
        <f t="shared" si="212"/>
        <v>-128.51455505888501</v>
      </c>
      <c r="K636" s="94">
        <f t="shared" si="213"/>
        <v>77.428916249080046</v>
      </c>
      <c r="L636" s="94">
        <f t="shared" si="214"/>
        <v>-1563.0119708687939</v>
      </c>
      <c r="M636" s="93">
        <f t="shared" si="215"/>
        <v>-790.23889105714409</v>
      </c>
      <c r="N636" s="93">
        <f t="shared" si="216"/>
        <v>15228.272798567728</v>
      </c>
      <c r="O636" s="93">
        <f t="shared" si="217"/>
        <v>34330.37397315319</v>
      </c>
      <c r="P636" s="93">
        <f t="shared" si="218"/>
        <v>16142.198069927666</v>
      </c>
      <c r="Q636" s="93">
        <f t="shared" si="219"/>
        <v>4117626003856.2876</v>
      </c>
      <c r="R636" s="93">
        <f t="shared" si="220"/>
        <v>41093362954994.203</v>
      </c>
      <c r="S636" s="93">
        <f t="shared" si="221"/>
        <v>4825809193223.6992</v>
      </c>
      <c r="T636">
        <f t="shared" si="207"/>
        <v>0.5</v>
      </c>
    </row>
    <row r="637" spans="1:20" x14ac:dyDescent="0.25">
      <c r="A637">
        <v>297</v>
      </c>
      <c r="B637" s="95">
        <f t="shared" si="222"/>
        <v>9482.3062737256369</v>
      </c>
      <c r="C637" s="95">
        <f t="shared" si="223"/>
        <v>-4147.4303662230213</v>
      </c>
      <c r="D637" s="95">
        <f t="shared" si="224"/>
        <v>153.24823698887644</v>
      </c>
      <c r="E637" s="95">
        <f t="shared" si="225"/>
        <v>7138.4814255876172</v>
      </c>
      <c r="F637" s="96">
        <f t="shared" si="208"/>
        <v>-1161.7716399458038</v>
      </c>
      <c r="G637" s="94">
        <f t="shared" si="209"/>
        <v>2200.1245003592257</v>
      </c>
      <c r="H637" s="97">
        <f t="shared" si="210"/>
        <v>132.77411425306212</v>
      </c>
      <c r="I637" s="94">
        <f t="shared" si="211"/>
        <v>2987.2435606451436</v>
      </c>
      <c r="J637" s="95">
        <f t="shared" si="212"/>
        <v>-148.85055637729135</v>
      </c>
      <c r="K637" s="94">
        <f t="shared" si="213"/>
        <v>71.427684855102413</v>
      </c>
      <c r="L637" s="94">
        <f t="shared" si="214"/>
        <v>-1145.6951978215745</v>
      </c>
      <c r="M637" s="93">
        <f t="shared" si="215"/>
        <v>-858.54674514102066</v>
      </c>
      <c r="N637" s="93">
        <f t="shared" si="216"/>
        <v>11658.929664863665</v>
      </c>
      <c r="O637" s="93">
        <f t="shared" si="217"/>
        <v>32701.011745585049</v>
      </c>
      <c r="P637" s="93">
        <f t="shared" si="218"/>
        <v>18097.388282897926</v>
      </c>
      <c r="Q637" s="93">
        <f t="shared" si="219"/>
        <v>2041541024295.9004</v>
      </c>
      <c r="R637" s="93">
        <f t="shared" si="220"/>
        <v>35571627315049.141</v>
      </c>
      <c r="S637" s="93">
        <f t="shared" si="221"/>
        <v>6618617104427.4854</v>
      </c>
      <c r="T637">
        <f t="shared" si="207"/>
        <v>0.5</v>
      </c>
    </row>
    <row r="638" spans="1:20" x14ac:dyDescent="0.25">
      <c r="A638">
        <v>297.5</v>
      </c>
      <c r="B638" s="95">
        <f t="shared" si="222"/>
        <v>9268.4874822336242</v>
      </c>
      <c r="C638" s="95">
        <f t="shared" si="223"/>
        <v>-28.158528339406303</v>
      </c>
      <c r="D638" s="95">
        <f t="shared" si="224"/>
        <v>-427.63758298402547</v>
      </c>
      <c r="E638" s="95">
        <f t="shared" si="225"/>
        <v>8238.5436757672305</v>
      </c>
      <c r="F638" s="96">
        <f t="shared" si="208"/>
        <v>-435.8011709923548</v>
      </c>
      <c r="G638" s="94">
        <f t="shared" si="209"/>
        <v>4534.1876823845478</v>
      </c>
      <c r="H638" s="97">
        <f t="shared" si="210"/>
        <v>513.86262470213353</v>
      </c>
      <c r="I638" s="94">
        <f t="shared" si="211"/>
        <v>5288.2749188739208</v>
      </c>
      <c r="J638" s="95">
        <f t="shared" si="212"/>
        <v>-174.1403074760745</v>
      </c>
      <c r="K638" s="94">
        <f t="shared" si="213"/>
        <v>59.665078716618858</v>
      </c>
      <c r="L638" s="94">
        <f t="shared" si="214"/>
        <v>-775.52348821841383</v>
      </c>
      <c r="M638" s="93">
        <f t="shared" si="215"/>
        <v>-813.75231520599243</v>
      </c>
      <c r="N638" s="93">
        <f t="shared" si="216"/>
        <v>7563.6156295424107</v>
      </c>
      <c r="O638" s="93">
        <f t="shared" si="217"/>
        <v>30938.783475876564</v>
      </c>
      <c r="P638" s="93">
        <f t="shared" si="218"/>
        <v>20682.015667801668</v>
      </c>
      <c r="Q638" s="93">
        <f t="shared" si="219"/>
        <v>745372479384.59167</v>
      </c>
      <c r="R638" s="93">
        <f t="shared" si="220"/>
        <v>30185176194868.59</v>
      </c>
      <c r="S638" s="93">
        <f t="shared" si="221"/>
        <v>9633444620097.8262</v>
      </c>
      <c r="T638">
        <f t="shared" si="207"/>
        <v>0.5</v>
      </c>
    </row>
    <row r="639" spans="1:20" x14ac:dyDescent="0.25">
      <c r="A639">
        <v>298</v>
      </c>
      <c r="B639" s="95">
        <f t="shared" si="222"/>
        <v>8945.7183979935235</v>
      </c>
      <c r="C639" s="95">
        <f t="shared" si="223"/>
        <v>5224.6602301403464</v>
      </c>
      <c r="D639" s="95">
        <f t="shared" si="224"/>
        <v>-645.5381684802029</v>
      </c>
      <c r="E639" s="95">
        <f t="shared" si="225"/>
        <v>10505.637516959505</v>
      </c>
      <c r="F639" s="96">
        <f t="shared" si="208"/>
        <v>2489.1177682865618</v>
      </c>
      <c r="G639" s="94">
        <f t="shared" si="209"/>
        <v>6168.3338304260897</v>
      </c>
      <c r="H639" s="97">
        <f t="shared" si="210"/>
        <v>3154.0921083500921</v>
      </c>
      <c r="I639" s="94">
        <f t="shared" si="211"/>
        <v>6807.1293269948965</v>
      </c>
      <c r="J639" s="95">
        <f t="shared" si="212"/>
        <v>-201.56912179120468</v>
      </c>
      <c r="K639" s="94">
        <f t="shared" si="213"/>
        <v>33.254004285896301</v>
      </c>
      <c r="L639" s="94">
        <f t="shared" si="214"/>
        <v>-463.4052182723251</v>
      </c>
      <c r="M639" s="93">
        <f t="shared" si="215"/>
        <v>-672.04950085470341</v>
      </c>
      <c r="N639" s="93">
        <f t="shared" si="216"/>
        <v>2507.7242202112902</v>
      </c>
      <c r="O639" s="93">
        <f t="shared" si="217"/>
        <v>29336.981499355788</v>
      </c>
      <c r="P639" s="93">
        <f t="shared" si="218"/>
        <v>24566.642893581444</v>
      </c>
      <c r="Q639" s="93">
        <f t="shared" si="219"/>
        <v>175017259161.51715</v>
      </c>
      <c r="R639" s="93">
        <f t="shared" si="220"/>
        <v>25790102690439.516</v>
      </c>
      <c r="S639" s="93">
        <f t="shared" si="221"/>
        <v>15757183540684.691</v>
      </c>
      <c r="T639">
        <f t="shared" si="207"/>
        <v>0.5</v>
      </c>
    </row>
    <row r="640" spans="1:20" x14ac:dyDescent="0.25">
      <c r="A640">
        <v>298.5</v>
      </c>
      <c r="B640" s="95">
        <f t="shared" si="222"/>
        <v>9245.2287558250628</v>
      </c>
      <c r="C640" s="95">
        <f t="shared" si="223"/>
        <v>12019.562446226622</v>
      </c>
      <c r="D640" s="95">
        <f t="shared" si="224"/>
        <v>599.02071566307802</v>
      </c>
      <c r="E640" s="95">
        <f t="shared" si="225"/>
        <v>13589.80443217255</v>
      </c>
      <c r="F640" s="96">
        <f t="shared" si="208"/>
        <v>811.20684768398633</v>
      </c>
      <c r="G640" s="94">
        <f t="shared" si="209"/>
        <v>-8077.2341606391419</v>
      </c>
      <c r="H640" s="97">
        <f t="shared" si="210"/>
        <v>1266.8701666462507</v>
      </c>
      <c r="I640" s="94">
        <f t="shared" si="211"/>
        <v>-7586.0055263210097</v>
      </c>
      <c r="J640" s="95">
        <f t="shared" si="212"/>
        <v>-204.1093670315025</v>
      </c>
      <c r="K640" s="94">
        <f t="shared" si="213"/>
        <v>-14.095003872992596</v>
      </c>
      <c r="L640" s="94">
        <f t="shared" si="214"/>
        <v>-251.55395193076197</v>
      </c>
      <c r="M640" s="93">
        <f t="shared" si="215"/>
        <v>-477.13363044513966</v>
      </c>
      <c r="N640" s="93">
        <f t="shared" si="216"/>
        <v>4582.1528058736058</v>
      </c>
      <c r="O640" s="93">
        <f t="shared" si="217"/>
        <v>29314.877408147997</v>
      </c>
      <c r="P640" s="93">
        <f t="shared" si="218"/>
        <v>30544.775283038591</v>
      </c>
      <c r="Q640" s="93">
        <f t="shared" si="219"/>
        <v>311947751009.87366</v>
      </c>
      <c r="R640" s="93">
        <f t="shared" si="220"/>
        <v>25732668733589.375</v>
      </c>
      <c r="S640" s="93">
        <f t="shared" si="221"/>
        <v>29650833459061.086</v>
      </c>
      <c r="T640">
        <f t="shared" si="207"/>
        <v>0.5</v>
      </c>
    </row>
    <row r="641" spans="1:20" x14ac:dyDescent="0.25">
      <c r="A641">
        <v>299</v>
      </c>
      <c r="B641" s="95">
        <f t="shared" si="222"/>
        <v>9747.5408255775983</v>
      </c>
      <c r="C641" s="95">
        <f t="shared" si="223"/>
        <v>16795.156122153112</v>
      </c>
      <c r="D641" s="95">
        <f t="shared" si="224"/>
        <v>1004.6241395050712</v>
      </c>
      <c r="E641" s="95">
        <f t="shared" si="225"/>
        <v>9551.1873518529792</v>
      </c>
      <c r="F641" s="96">
        <f t="shared" si="208"/>
        <v>-246.07240723049154</v>
      </c>
      <c r="G641" s="94">
        <f t="shared" si="209"/>
        <v>-4553.0377929976785</v>
      </c>
      <c r="H641" s="97">
        <f t="shared" si="210"/>
        <v>112.328462260894</v>
      </c>
      <c r="I641" s="94">
        <f t="shared" si="211"/>
        <v>-4135.7601523699886</v>
      </c>
      <c r="J641" s="95">
        <f t="shared" si="212"/>
        <v>-184.39163166264814</v>
      </c>
      <c r="K641" s="94">
        <f t="shared" si="213"/>
        <v>-42.12011783135074</v>
      </c>
      <c r="L641" s="94">
        <f t="shared" si="214"/>
        <v>-174.00923782873741</v>
      </c>
      <c r="M641" s="93">
        <f t="shared" si="215"/>
        <v>-375.15752279633961</v>
      </c>
      <c r="N641" s="93">
        <f t="shared" si="216"/>
        <v>9298.5839228320419</v>
      </c>
      <c r="O641" s="93">
        <f t="shared" si="217"/>
        <v>30513.772823003073</v>
      </c>
      <c r="P641" s="93">
        <f t="shared" si="218"/>
        <v>35048.850383916564</v>
      </c>
      <c r="Q641" s="93">
        <f t="shared" si="219"/>
        <v>1176792702005.5588</v>
      </c>
      <c r="R641" s="93">
        <f t="shared" si="220"/>
        <v>28973609614602.605</v>
      </c>
      <c r="S641" s="93">
        <f t="shared" si="221"/>
        <v>44375772319388.383</v>
      </c>
      <c r="T641">
        <f t="shared" si="207"/>
        <v>0.5</v>
      </c>
    </row>
    <row r="642" spans="1:20" x14ac:dyDescent="0.25">
      <c r="A642">
        <v>299.5</v>
      </c>
      <c r="B642" s="95">
        <f t="shared" si="222"/>
        <v>10188.33479352251</v>
      </c>
      <c r="C642" s="95">
        <f t="shared" si="223"/>
        <v>20432.490349830183</v>
      </c>
      <c r="D642" s="95">
        <f t="shared" si="224"/>
        <v>881.58793588982542</v>
      </c>
      <c r="E642" s="95">
        <f t="shared" si="225"/>
        <v>7274.66845535414</v>
      </c>
      <c r="F642" s="96">
        <f t="shared" si="208"/>
        <v>-335.79729620191819</v>
      </c>
      <c r="G642" s="94">
        <f t="shared" si="209"/>
        <v>-2911.88943065595</v>
      </c>
      <c r="H642" s="97">
        <f t="shared" si="210"/>
        <v>-36.983825337050966</v>
      </c>
      <c r="I642" s="94">
        <f t="shared" si="211"/>
        <v>-2539.5889698631281</v>
      </c>
      <c r="J642" s="95">
        <f t="shared" si="212"/>
        <v>-163.43526223709009</v>
      </c>
      <c r="K642" s="94">
        <f t="shared" si="213"/>
        <v>-56.479988305822552</v>
      </c>
      <c r="L642" s="94">
        <f t="shared" si="214"/>
        <v>-135.37820862777713</v>
      </c>
      <c r="M642" s="93">
        <f t="shared" si="215"/>
        <v>-315.82047248699939</v>
      </c>
      <c r="N642" s="93">
        <f t="shared" si="216"/>
        <v>12933.861629184919</v>
      </c>
      <c r="O642" s="93">
        <f t="shared" si="217"/>
        <v>31940.137953758149</v>
      </c>
      <c r="P642" s="93">
        <f t="shared" si="218"/>
        <v>38550.575692081897</v>
      </c>
      <c r="Q642" s="93">
        <f t="shared" si="219"/>
        <v>2666351206027.189</v>
      </c>
      <c r="R642" s="93">
        <f t="shared" si="220"/>
        <v>33173105957527.547</v>
      </c>
      <c r="S642" s="93">
        <f t="shared" si="221"/>
        <v>58743527351075.469</v>
      </c>
      <c r="T642">
        <f t="shared" si="207"/>
        <v>0.5</v>
      </c>
    </row>
    <row r="643" spans="1:20" x14ac:dyDescent="0.25">
      <c r="A643">
        <v>300</v>
      </c>
      <c r="B643" s="95">
        <f t="shared" si="222"/>
        <v>10545.179437416942</v>
      </c>
      <c r="C643" s="95">
        <f t="shared" si="223"/>
        <v>23341.852219843266</v>
      </c>
      <c r="D643" s="95">
        <f t="shared" si="224"/>
        <v>713.6892877888663</v>
      </c>
      <c r="E643" s="95">
        <f t="shared" si="225"/>
        <v>5818.7237400261647</v>
      </c>
      <c r="F643" s="96">
        <f t="shared" si="208"/>
        <v>-320.34214322132243</v>
      </c>
      <c r="G643" s="94">
        <f t="shared" si="209"/>
        <v>-2147.4642420985133</v>
      </c>
      <c r="H643" s="97">
        <f t="shared" si="210"/>
        <v>-62.166660098778088</v>
      </c>
      <c r="I643" s="94">
        <f t="shared" si="211"/>
        <v>-1806.4420165078377</v>
      </c>
      <c r="J643" s="95">
        <f t="shared" si="212"/>
        <v>-145.71801225207861</v>
      </c>
      <c r="K643" s="94">
        <f t="shared" si="213"/>
        <v>-63.648281694329128</v>
      </c>
      <c r="L643" s="94">
        <f t="shared" si="214"/>
        <v>-112.45747087046574</v>
      </c>
      <c r="M643" s="93">
        <f t="shared" si="215"/>
        <v>-277.37394389634642</v>
      </c>
      <c r="N643" s="93">
        <f t="shared" si="216"/>
        <v>15851.230311062143</v>
      </c>
      <c r="O643" s="93">
        <f t="shared" si="217"/>
        <v>33331.861746985203</v>
      </c>
      <c r="P643" s="93">
        <f t="shared" si="218"/>
        <v>41373.303414034883</v>
      </c>
      <c r="Q643" s="93">
        <f t="shared" si="219"/>
        <v>4591774521251.6416</v>
      </c>
      <c r="R643" s="93">
        <f t="shared" si="220"/>
        <v>37646290113296.281</v>
      </c>
      <c r="S643" s="93">
        <f t="shared" si="221"/>
        <v>72377911906473.359</v>
      </c>
      <c r="T643">
        <f t="shared" si="207"/>
        <v>0.5</v>
      </c>
    </row>
    <row r="644" spans="1:20" x14ac:dyDescent="0.25">
      <c r="A644">
        <v>300.5</v>
      </c>
      <c r="B644" s="95">
        <f t="shared" si="222"/>
        <v>10821.938545506046</v>
      </c>
      <c r="C644" s="95">
        <f t="shared" si="223"/>
        <v>25714.348029331719</v>
      </c>
      <c r="D644" s="95">
        <f t="shared" si="224"/>
        <v>553.51821617820508</v>
      </c>
      <c r="E644" s="95">
        <f t="shared" si="225"/>
        <v>4744.9916189769083</v>
      </c>
      <c r="F644" s="96">
        <f t="shared" si="208"/>
        <v>-292.81261629699861</v>
      </c>
      <c r="G644" s="94">
        <f t="shared" si="209"/>
        <v>-1729.2354712694062</v>
      </c>
      <c r="H644" s="97">
        <f t="shared" si="210"/>
        <v>-63.684945819132778</v>
      </c>
      <c r="I644" s="94">
        <f t="shared" si="211"/>
        <v>-1411.2731100409096</v>
      </c>
      <c r="J644" s="95">
        <f t="shared" si="212"/>
        <v>-131.64817497136758</v>
      </c>
      <c r="K644" s="94">
        <f t="shared" si="213"/>
        <v>-67.119893704027291</v>
      </c>
      <c r="L644" s="94">
        <f t="shared" si="214"/>
        <v>-97.479495506498253</v>
      </c>
      <c r="M644" s="93">
        <f t="shared" si="215"/>
        <v>-250.84246752446919</v>
      </c>
      <c r="N644" s="93">
        <f t="shared" si="216"/>
        <v>18232.883949233288</v>
      </c>
      <c r="O644" s="93">
        <f t="shared" si="217"/>
        <v>34596.714145853693</v>
      </c>
      <c r="P644" s="93">
        <f t="shared" si="218"/>
        <v>43680.566328646855</v>
      </c>
      <c r="Q644" s="93">
        <f t="shared" si="219"/>
        <v>6757735450796.5645</v>
      </c>
      <c r="R644" s="93">
        <f t="shared" si="220"/>
        <v>42047274454154.094</v>
      </c>
      <c r="S644" s="93">
        <f t="shared" si="221"/>
        <v>84985540876811.75</v>
      </c>
      <c r="T644">
        <f t="shared" si="207"/>
        <v>0.5</v>
      </c>
    </row>
    <row r="645" spans="1:20" x14ac:dyDescent="0.25">
      <c r="A645">
        <v>301</v>
      </c>
      <c r="B645" s="95">
        <f t="shared" si="222"/>
        <v>11025.494499520899</v>
      </c>
      <c r="C645" s="95">
        <f t="shared" si="223"/>
        <v>27654.53497100282</v>
      </c>
      <c r="D645" s="95">
        <f t="shared" si="224"/>
        <v>407.11190802970577</v>
      </c>
      <c r="E645" s="95">
        <f t="shared" si="225"/>
        <v>3880.3738833422053</v>
      </c>
      <c r="F645" s="96">
        <f t="shared" si="208"/>
        <v>-267.61473043338606</v>
      </c>
      <c r="G645" s="94">
        <f t="shared" si="209"/>
        <v>-1474.8309315607364</v>
      </c>
      <c r="H645" s="97">
        <f t="shared" si="210"/>
        <v>-59.747402245194706</v>
      </c>
      <c r="I645" s="94">
        <f t="shared" si="211"/>
        <v>-1174.2443363079285</v>
      </c>
      <c r="J645" s="95">
        <f t="shared" si="212"/>
        <v>-120.75071839024916</v>
      </c>
      <c r="K645" s="94">
        <f t="shared" si="213"/>
        <v>-68.711162061487414</v>
      </c>
      <c r="L645" s="94">
        <f t="shared" si="214"/>
        <v>-87.116609797942203</v>
      </c>
      <c r="M645" s="93">
        <f t="shared" si="215"/>
        <v>-231.87543319132052</v>
      </c>
      <c r="N645" s="93">
        <f t="shared" si="216"/>
        <v>20180.607494967124</v>
      </c>
      <c r="O645" s="93">
        <f t="shared" si="217"/>
        <v>35696.833388721796</v>
      </c>
      <c r="P645" s="93">
        <f t="shared" si="218"/>
        <v>45565.621114461697</v>
      </c>
      <c r="Q645" s="93">
        <f t="shared" si="219"/>
        <v>8986962514761.3496</v>
      </c>
      <c r="R645" s="93">
        <f t="shared" si="220"/>
        <v>46144689854054.719</v>
      </c>
      <c r="S645" s="93">
        <f t="shared" si="221"/>
        <v>96318363602168.313</v>
      </c>
      <c r="T645">
        <f t="shared" si="207"/>
        <v>0.5</v>
      </c>
    </row>
    <row r="646" spans="1:20" x14ac:dyDescent="0.25">
      <c r="A646">
        <v>301.5</v>
      </c>
      <c r="B646" s="95">
        <f t="shared" si="222"/>
        <v>11162.146770927406</v>
      </c>
      <c r="C646" s="95">
        <f t="shared" si="223"/>
        <v>29226.014179783739</v>
      </c>
      <c r="D646" s="95">
        <f t="shared" si="224"/>
        <v>273.30454281301274</v>
      </c>
      <c r="E646" s="95">
        <f t="shared" si="225"/>
        <v>3142.958417561837</v>
      </c>
      <c r="F646" s="96">
        <f t="shared" si="208"/>
        <v>-246.85792287097885</v>
      </c>
      <c r="G646" s="94">
        <f t="shared" si="209"/>
        <v>-1309.9634832072895</v>
      </c>
      <c r="H646" s="97">
        <f t="shared" si="210"/>
        <v>-54.692956758481273</v>
      </c>
      <c r="I646" s="94">
        <f t="shared" si="211"/>
        <v>-1022.4697807496541</v>
      </c>
      <c r="J646" s="95">
        <f t="shared" si="212"/>
        <v>-112.4574770833307</v>
      </c>
      <c r="K646" s="94">
        <f t="shared" si="213"/>
        <v>-69.382544948538381</v>
      </c>
      <c r="L646" s="94">
        <f t="shared" si="214"/>
        <v>-79.707489029166879</v>
      </c>
      <c r="M646" s="93">
        <f t="shared" si="215"/>
        <v>-218.11115750909701</v>
      </c>
      <c r="N646" s="93">
        <f t="shared" si="216"/>
        <v>21757.074188809052</v>
      </c>
      <c r="O646" s="93">
        <f t="shared" si="217"/>
        <v>36615.830082275439</v>
      </c>
      <c r="P646" s="93">
        <f t="shared" si="218"/>
        <v>47086.678779410977</v>
      </c>
      <c r="Q646" s="93">
        <f t="shared" si="219"/>
        <v>11125721891580.602</v>
      </c>
      <c r="R646" s="93">
        <f t="shared" si="220"/>
        <v>49765889960240.656</v>
      </c>
      <c r="S646" s="93">
        <f t="shared" si="221"/>
        <v>106169198946926.63</v>
      </c>
      <c r="T646">
        <f t="shared" si="207"/>
        <v>0.5</v>
      </c>
    </row>
    <row r="647" spans="1:20" x14ac:dyDescent="0.25">
      <c r="A647">
        <v>302</v>
      </c>
      <c r="B647" s="95">
        <f t="shared" si="222"/>
        <v>11237.084561616168</v>
      </c>
      <c r="C647" s="95">
        <f t="shared" si="223"/>
        <v>30470.002517762834</v>
      </c>
      <c r="D647" s="95">
        <f t="shared" si="224"/>
        <v>149.8755813775233</v>
      </c>
      <c r="E647" s="95">
        <f t="shared" si="225"/>
        <v>2487.9766759581921</v>
      </c>
      <c r="F647" s="96">
        <f t="shared" si="208"/>
        <v>-230.28425857782412</v>
      </c>
      <c r="G647" s="94">
        <f t="shared" si="209"/>
        <v>-1199.7949270399502</v>
      </c>
      <c r="H647" s="97">
        <f t="shared" si="210"/>
        <v>-49.654128572221609</v>
      </c>
      <c r="I647" s="94">
        <f t="shared" si="211"/>
        <v>-921.97048909186185</v>
      </c>
      <c r="J647" s="95">
        <f t="shared" si="212"/>
        <v>-106.29426687782764</v>
      </c>
      <c r="K647" s="94">
        <f t="shared" si="213"/>
        <v>-69.655793463085942</v>
      </c>
      <c r="L647" s="94">
        <f t="shared" si="214"/>
        <v>-74.335863127774886</v>
      </c>
      <c r="M647" s="93">
        <f t="shared" si="215"/>
        <v>-208.16864448500243</v>
      </c>
      <c r="N647" s="93">
        <f t="shared" si="216"/>
        <v>23003.290935833942</v>
      </c>
      <c r="O647" s="93">
        <f t="shared" si="217"/>
        <v>37346.706079476084</v>
      </c>
      <c r="P647" s="93">
        <f t="shared" si="218"/>
        <v>48282.129655043515</v>
      </c>
      <c r="Q647" s="93">
        <f t="shared" si="219"/>
        <v>13044956792095.465</v>
      </c>
      <c r="R647" s="93">
        <f t="shared" si="220"/>
        <v>52778056621275.008</v>
      </c>
      <c r="S647" s="93">
        <f t="shared" si="221"/>
        <v>114368990121696.45</v>
      </c>
      <c r="T647">
        <f t="shared" si="207"/>
        <v>0.5</v>
      </c>
    </row>
    <row r="648" spans="1:20" x14ac:dyDescent="0.25">
      <c r="A648">
        <v>302.5</v>
      </c>
      <c r="B648" s="95">
        <f t="shared" si="222"/>
        <v>11254.451287660473</v>
      </c>
      <c r="C648" s="95">
        <f t="shared" si="223"/>
        <v>31414.042123981941</v>
      </c>
      <c r="D648" s="95">
        <f t="shared" si="224"/>
        <v>34.733452088611244</v>
      </c>
      <c r="E648" s="95">
        <f t="shared" si="225"/>
        <v>1888.0792124382169</v>
      </c>
      <c r="F648" s="96">
        <f t="shared" si="208"/>
        <v>-217.23562549506403</v>
      </c>
      <c r="G648" s="94">
        <f t="shared" si="209"/>
        <v>-1126.298900660707</v>
      </c>
      <c r="H648" s="97">
        <f t="shared" si="210"/>
        <v>-44.86473535514925</v>
      </c>
      <c r="I648" s="94">
        <f t="shared" si="211"/>
        <v>-855.27208726077617</v>
      </c>
      <c r="J648" s="95">
        <f t="shared" si="212"/>
        <v>-101.90802680057728</v>
      </c>
      <c r="K648" s="94">
        <f t="shared" si="213"/>
        <v>-69.822463321921077</v>
      </c>
      <c r="L648" s="94">
        <f t="shared" si="214"/>
        <v>-70.462863339337488</v>
      </c>
      <c r="M648" s="93">
        <f t="shared" si="215"/>
        <v>-201.2043500780097</v>
      </c>
      <c r="N648" s="93">
        <f t="shared" si="216"/>
        <v>23946.921696549969</v>
      </c>
      <c r="O648" s="93">
        <f t="shared" si="217"/>
        <v>37886.698528380832</v>
      </c>
      <c r="P648" s="93">
        <f t="shared" si="218"/>
        <v>49177.947221795432</v>
      </c>
      <c r="Q648" s="93">
        <f t="shared" si="219"/>
        <v>14640210246806.836</v>
      </c>
      <c r="R648" s="93">
        <f t="shared" si="220"/>
        <v>55080291302040.875</v>
      </c>
      <c r="S648" s="93">
        <f t="shared" si="221"/>
        <v>120784344957067.08</v>
      </c>
      <c r="T648">
        <f t="shared" si="207"/>
        <v>0.5</v>
      </c>
    </row>
    <row r="649" spans="1:20" x14ac:dyDescent="0.25">
      <c r="A649">
        <v>303</v>
      </c>
      <c r="B649" s="95">
        <f t="shared" si="222"/>
        <v>11217.509107331012</v>
      </c>
      <c r="C649" s="95">
        <f t="shared" si="223"/>
        <v>32076.50700503587</v>
      </c>
      <c r="D649" s="95">
        <f t="shared" si="224"/>
        <v>-73.88436065892077</v>
      </c>
      <c r="E649" s="95">
        <f t="shared" si="225"/>
        <v>1324.9297621078636</v>
      </c>
      <c r="F649" s="96">
        <f t="shared" si="208"/>
        <v>-207.08335167383666</v>
      </c>
      <c r="G649" s="94">
        <f t="shared" si="209"/>
        <v>-1079.5861900031191</v>
      </c>
      <c r="H649" s="97">
        <f t="shared" si="210"/>
        <v>-40.267680176689403</v>
      </c>
      <c r="I649" s="94">
        <f t="shared" si="211"/>
        <v>-812.83903174113289</v>
      </c>
      <c r="J649" s="95">
        <f t="shared" si="212"/>
        <v>-99.054964949599935</v>
      </c>
      <c r="K649" s="94">
        <f t="shared" si="213"/>
        <v>-70.050035705119342</v>
      </c>
      <c r="L649" s="94">
        <f t="shared" si="214"/>
        <v>-67.760706547547315</v>
      </c>
      <c r="M649" s="93">
        <f t="shared" si="215"/>
        <v>-196.69712255686676</v>
      </c>
      <c r="N649" s="93">
        <f t="shared" si="216"/>
        <v>24606.645951754803</v>
      </c>
      <c r="O649" s="93">
        <f t="shared" si="217"/>
        <v>38234.866763331251</v>
      </c>
      <c r="P649" s="93">
        <f t="shared" si="218"/>
        <v>49791.616899248766</v>
      </c>
      <c r="Q649" s="93">
        <f t="shared" si="219"/>
        <v>15831214390327.131</v>
      </c>
      <c r="R649" s="93">
        <f t="shared" si="220"/>
        <v>56599779698790.297</v>
      </c>
      <c r="S649" s="93">
        <f t="shared" si="221"/>
        <v>125315516093303.47</v>
      </c>
      <c r="T649">
        <f t="shared" si="207"/>
        <v>0.5</v>
      </c>
    </row>
    <row r="650" spans="1:20" x14ac:dyDescent="0.25">
      <c r="A650">
        <v>303.5</v>
      </c>
      <c r="B650" s="95">
        <f t="shared" si="222"/>
        <v>11128.796089083093</v>
      </c>
      <c r="C650" s="95">
        <f t="shared" si="223"/>
        <v>32469.075338589024</v>
      </c>
      <c r="D650" s="95">
        <f t="shared" si="224"/>
        <v>-177.4260364958391</v>
      </c>
      <c r="E650" s="95">
        <f t="shared" si="225"/>
        <v>785.136667106304</v>
      </c>
      <c r="F650" s="96">
        <f t="shared" si="208"/>
        <v>-199.3022731099382</v>
      </c>
      <c r="G650" s="94">
        <f t="shared" si="209"/>
        <v>-1054.184640889622</v>
      </c>
      <c r="H650" s="97">
        <f t="shared" si="210"/>
        <v>-35.687476326978697</v>
      </c>
      <c r="I650" s="94">
        <f t="shared" si="211"/>
        <v>-789.41032279466833</v>
      </c>
      <c r="J650" s="95">
        <f t="shared" si="212"/>
        <v>-97.583876313487721</v>
      </c>
      <c r="K650" s="94">
        <f t="shared" si="213"/>
        <v>-70.43701473210082</v>
      </c>
      <c r="L650" s="94">
        <f t="shared" si="214"/>
        <v>-66.030920469471781</v>
      </c>
      <c r="M650" s="93">
        <f t="shared" si="215"/>
        <v>-194.33730336285285</v>
      </c>
      <c r="N650" s="93">
        <f t="shared" si="216"/>
        <v>24994.577489424857</v>
      </c>
      <c r="O650" s="93">
        <f t="shared" si="217"/>
        <v>38390.901168465745</v>
      </c>
      <c r="P650" s="93">
        <f t="shared" si="218"/>
        <v>50134.331318806508</v>
      </c>
      <c r="Q650" s="93">
        <f t="shared" si="219"/>
        <v>16561447066999.504</v>
      </c>
      <c r="R650" s="93">
        <f t="shared" si="220"/>
        <v>57289759803620.336</v>
      </c>
      <c r="S650" s="93">
        <f t="shared" si="221"/>
        <v>127894898694058.69</v>
      </c>
      <c r="T650">
        <f t="shared" si="207"/>
        <v>0.5</v>
      </c>
    </row>
    <row r="651" spans="1:20" x14ac:dyDescent="0.25">
      <c r="A651">
        <v>304</v>
      </c>
      <c r="B651" s="95">
        <f t="shared" si="222"/>
        <v>10990.257502557688</v>
      </c>
      <c r="C651" s="95">
        <f t="shared" si="223"/>
        <v>32598.097511919772</v>
      </c>
      <c r="D651" s="95">
        <f t="shared" si="224"/>
        <v>-277.0771730508082</v>
      </c>
      <c r="E651" s="95">
        <f t="shared" si="225"/>
        <v>258.04434666149302</v>
      </c>
      <c r="F651" s="96">
        <f t="shared" si="208"/>
        <v>-193.45353335233568</v>
      </c>
      <c r="G651" s="94">
        <f t="shared" si="209"/>
        <v>-1047.3366259085424</v>
      </c>
      <c r="H651" s="97">
        <f t="shared" si="210"/>
        <v>-30.867053562140654</v>
      </c>
      <c r="I651" s="94">
        <f t="shared" si="211"/>
        <v>-782.32613053403838</v>
      </c>
      <c r="J651" s="95">
        <f t="shared" si="212"/>
        <v>-97.4239238453616</v>
      </c>
      <c r="K651" s="94">
        <f t="shared" si="213"/>
        <v>-71.041530741383013</v>
      </c>
      <c r="L651" s="94">
        <f t="shared" si="214"/>
        <v>-65.162555944833414</v>
      </c>
      <c r="M651" s="93">
        <f t="shared" si="215"/>
        <v>-193.96896463312089</v>
      </c>
      <c r="N651" s="93">
        <f t="shared" si="216"/>
        <v>25117.625457817569</v>
      </c>
      <c r="O651" s="93">
        <f t="shared" si="217"/>
        <v>38354.531299874696</v>
      </c>
      <c r="P651" s="93">
        <f t="shared" si="218"/>
        <v>50212.221836444609</v>
      </c>
      <c r="Q651" s="93">
        <f t="shared" si="219"/>
        <v>16797768365626.813</v>
      </c>
      <c r="R651" s="93">
        <f t="shared" si="220"/>
        <v>57128432765476.203</v>
      </c>
      <c r="S651" s="93">
        <f t="shared" si="221"/>
        <v>128486047369425.69</v>
      </c>
      <c r="T651">
        <f t="shared" si="207"/>
        <v>0.5</v>
      </c>
    </row>
    <row r="652" spans="1:20" x14ac:dyDescent="0.25">
      <c r="A652">
        <v>304.5</v>
      </c>
      <c r="B652" s="95">
        <f t="shared" si="222"/>
        <v>10803.355532694199</v>
      </c>
      <c r="C652" s="95">
        <f t="shared" si="223"/>
        <v>32465.285528773384</v>
      </c>
      <c r="D652" s="95">
        <f t="shared" si="224"/>
        <v>-373.80393972697607</v>
      </c>
      <c r="E652" s="95">
        <f t="shared" si="225"/>
        <v>-265.62396629277816</v>
      </c>
      <c r="F652" s="96">
        <f t="shared" si="208"/>
        <v>-189.13750023114801</v>
      </c>
      <c r="G652" s="94">
        <f t="shared" si="209"/>
        <v>-1058.2414862736691</v>
      </c>
      <c r="H652" s="97">
        <f t="shared" si="210"/>
        <v>-25.446546263323079</v>
      </c>
      <c r="I652" s="94">
        <f t="shared" si="211"/>
        <v>-790.78349165589759</v>
      </c>
      <c r="J652" s="95">
        <f t="shared" si="212"/>
        <v>-98.579139043753798</v>
      </c>
      <c r="K652" s="94">
        <f t="shared" si="213"/>
        <v>-71.895040897347386</v>
      </c>
      <c r="L652" s="94">
        <f t="shared" si="214"/>
        <v>-65.111814924071112</v>
      </c>
      <c r="M652" s="93">
        <f t="shared" si="215"/>
        <v>-195.56295372042408</v>
      </c>
      <c r="N652" s="93">
        <f t="shared" si="216"/>
        <v>24978.20773484543</v>
      </c>
      <c r="O652" s="93">
        <f t="shared" si="217"/>
        <v>38125.264142860404</v>
      </c>
      <c r="P652" s="93">
        <f t="shared" si="218"/>
        <v>50026.986481505359</v>
      </c>
      <c r="Q652" s="93">
        <f t="shared" si="219"/>
        <v>16530179338917.896</v>
      </c>
      <c r="R652" s="93">
        <f t="shared" si="220"/>
        <v>56118460694702.953</v>
      </c>
      <c r="S652" s="93">
        <f t="shared" si="221"/>
        <v>127083197065118.98</v>
      </c>
      <c r="T652">
        <f t="shared" si="207"/>
        <v>0.5</v>
      </c>
    </row>
    <row r="653" spans="1:20" x14ac:dyDescent="0.25">
      <c r="A653">
        <v>305</v>
      </c>
      <c r="B653" s="95">
        <f t="shared" si="222"/>
        <v>10569.169187772924</v>
      </c>
      <c r="C653" s="95">
        <f t="shared" si="223"/>
        <v>32067.91317405858</v>
      </c>
      <c r="D653" s="95">
        <f t="shared" si="224"/>
        <v>-468.37268984255007</v>
      </c>
      <c r="E653" s="95">
        <f t="shared" si="225"/>
        <v>-794.74470942961273</v>
      </c>
      <c r="F653" s="96">
        <f t="shared" si="208"/>
        <v>-185.9212571635465</v>
      </c>
      <c r="G653" s="94">
        <f t="shared" si="209"/>
        <v>-1087.8376633219127</v>
      </c>
      <c r="H653" s="97">
        <f t="shared" si="210"/>
        <v>-18.895616849053102</v>
      </c>
      <c r="I653" s="94">
        <f t="shared" si="211"/>
        <v>-815.62017777923427</v>
      </c>
      <c r="J653" s="95">
        <f t="shared" si="212"/>
        <v>-101.13029466140216</v>
      </c>
      <c r="K653" s="94">
        <f t="shared" si="213"/>
        <v>-73.006058756331313</v>
      </c>
      <c r="L653" s="94">
        <f t="shared" si="214"/>
        <v>-65.895345653091255</v>
      </c>
      <c r="M653" s="93">
        <f t="shared" si="215"/>
        <v>-199.21142678634715</v>
      </c>
      <c r="N653" s="93">
        <f t="shared" si="216"/>
        <v>24574.505311244644</v>
      </c>
      <c r="O653" s="93">
        <f t="shared" si="217"/>
        <v>37702.34603693083</v>
      </c>
      <c r="P653" s="93">
        <f t="shared" si="218"/>
        <v>49576.077696387147</v>
      </c>
      <c r="Q653" s="93">
        <f t="shared" si="219"/>
        <v>15771715324610.621</v>
      </c>
      <c r="R653" s="93">
        <f t="shared" si="220"/>
        <v>54286907861766.898</v>
      </c>
      <c r="S653" s="93">
        <f t="shared" si="221"/>
        <v>123711285569654.5</v>
      </c>
      <c r="T653">
        <f t="shared" si="207"/>
        <v>0.5</v>
      </c>
    </row>
    <row r="654" spans="1:20" x14ac:dyDescent="0.25">
      <c r="A654">
        <v>305.5</v>
      </c>
      <c r="B654" s="95">
        <f t="shared" si="222"/>
        <v>10288.502528560764</v>
      </c>
      <c r="C654" s="95">
        <f t="shared" si="223"/>
        <v>31398.581403513293</v>
      </c>
      <c r="D654" s="95">
        <f t="shared" si="224"/>
        <v>-561.33331842432335</v>
      </c>
      <c r="E654" s="95">
        <f t="shared" si="225"/>
        <v>-1338.6635410905692</v>
      </c>
      <c r="F654" s="96">
        <f t="shared" si="208"/>
        <v>-183.21596593505109</v>
      </c>
      <c r="G654" s="94">
        <f t="shared" si="209"/>
        <v>-1139.0146395372581</v>
      </c>
      <c r="H654" s="97">
        <f t="shared" si="210"/>
        <v>-10.376060765410967</v>
      </c>
      <c r="I654" s="94">
        <f t="shared" si="211"/>
        <v>-859.51805721434562</v>
      </c>
      <c r="J654" s="95">
        <f t="shared" si="212"/>
        <v>-105.24489098688315</v>
      </c>
      <c r="K654" s="94">
        <f t="shared" si="213"/>
        <v>-74.354661969936473</v>
      </c>
      <c r="L654" s="94">
        <f t="shared" si="214"/>
        <v>-67.595014182756969</v>
      </c>
      <c r="M654" s="93">
        <f t="shared" si="215"/>
        <v>-205.14192035297603</v>
      </c>
      <c r="N654" s="93">
        <f t="shared" si="216"/>
        <v>23900.32273441799</v>
      </c>
      <c r="O654" s="93">
        <f t="shared" si="217"/>
        <v>37084.938607275821</v>
      </c>
      <c r="P654" s="93">
        <f t="shared" si="218"/>
        <v>48852.499074502404</v>
      </c>
      <c r="Q654" s="93">
        <f t="shared" si="219"/>
        <v>14558470129145.049</v>
      </c>
      <c r="R654" s="93">
        <f t="shared" si="220"/>
        <v>51685595211823.328</v>
      </c>
      <c r="S654" s="93">
        <f t="shared" si="221"/>
        <v>118426503810512.45</v>
      </c>
      <c r="T654">
        <f t="shared" si="207"/>
        <v>0.5</v>
      </c>
    </row>
    <row r="655" spans="1:20" x14ac:dyDescent="0.25">
      <c r="A655">
        <v>306</v>
      </c>
      <c r="B655" s="95">
        <f t="shared" si="222"/>
        <v>9962.0318778648398</v>
      </c>
      <c r="C655" s="95">
        <f t="shared" si="223"/>
        <v>30444.495973083693</v>
      </c>
      <c r="D655" s="95">
        <f t="shared" si="224"/>
        <v>-652.94130139184892</v>
      </c>
      <c r="E655" s="95">
        <f t="shared" si="225"/>
        <v>-1908.1708608591982</v>
      </c>
      <c r="F655" s="96">
        <f t="shared" si="208"/>
        <v>-180.03753530804528</v>
      </c>
      <c r="G655" s="94">
        <f t="shared" si="209"/>
        <v>-1217.348552615455</v>
      </c>
      <c r="H655" s="97">
        <f t="shared" si="210"/>
        <v>1.5351716763919914</v>
      </c>
      <c r="I655" s="94">
        <f t="shared" si="211"/>
        <v>-927.71879055744455</v>
      </c>
      <c r="J655" s="95">
        <f t="shared" si="212"/>
        <v>-111.19648049988049</v>
      </c>
      <c r="K655" s="94">
        <f t="shared" si="213"/>
        <v>-75.874560412586092</v>
      </c>
      <c r="L655" s="94">
        <f t="shared" si="214"/>
        <v>-70.376226484556796</v>
      </c>
      <c r="M655" s="93">
        <f t="shared" si="215"/>
        <v>-213.75520164542445</v>
      </c>
      <c r="N655" s="93">
        <f t="shared" si="216"/>
        <v>22944.527387530827</v>
      </c>
      <c r="O655" s="93">
        <f t="shared" si="217"/>
        <v>36272.589786829725</v>
      </c>
      <c r="P655" s="93">
        <f t="shared" si="218"/>
        <v>47844.170095862915</v>
      </c>
      <c r="Q655" s="93">
        <f t="shared" si="219"/>
        <v>12949732311671.688</v>
      </c>
      <c r="R655" s="93">
        <f t="shared" si="220"/>
        <v>48391932148936.164</v>
      </c>
      <c r="S655" s="93">
        <f t="shared" si="221"/>
        <v>111317442878694.89</v>
      </c>
      <c r="T655">
        <f t="shared" si="207"/>
        <v>0.5</v>
      </c>
    </row>
    <row r="656" spans="1:20" x14ac:dyDescent="0.25">
      <c r="A656">
        <v>306.5</v>
      </c>
      <c r="B656" s="95">
        <f t="shared" si="222"/>
        <v>9590.5518433419038</v>
      </c>
      <c r="C656" s="95">
        <f t="shared" si="223"/>
        <v>29186.073404500228</v>
      </c>
      <c r="D656" s="95">
        <f t="shared" si="224"/>
        <v>-742.96006904587159</v>
      </c>
      <c r="E656" s="95">
        <f t="shared" si="225"/>
        <v>-2516.8451371669257</v>
      </c>
      <c r="F656" s="96">
        <f t="shared" si="208"/>
        <v>-174.48213209140215</v>
      </c>
      <c r="G656" s="94">
        <f t="shared" si="209"/>
        <v>-1332.7291052332303</v>
      </c>
      <c r="H656" s="97">
        <f t="shared" si="210"/>
        <v>19.439866887690901</v>
      </c>
      <c r="I656" s="94">
        <f t="shared" si="211"/>
        <v>-1029.6160171804313</v>
      </c>
      <c r="J656" s="95">
        <f t="shared" si="212"/>
        <v>-119.39443388522075</v>
      </c>
      <c r="K656" s="94">
        <f t="shared" si="213"/>
        <v>-77.413573925152107</v>
      </c>
      <c r="L656" s="94">
        <f t="shared" si="214"/>
        <v>-74.527565093872312</v>
      </c>
      <c r="M656" s="93">
        <f t="shared" si="215"/>
        <v>-225.69951412764692</v>
      </c>
      <c r="N656" s="93">
        <f t="shared" si="216"/>
        <v>21689.938393143555</v>
      </c>
      <c r="O656" s="93">
        <f t="shared" si="217"/>
        <v>35266.218553686413</v>
      </c>
      <c r="P656" s="93">
        <f t="shared" si="218"/>
        <v>46532.711999206862</v>
      </c>
      <c r="Q656" s="93">
        <f t="shared" si="219"/>
        <v>11028190405609.553</v>
      </c>
      <c r="R656" s="93">
        <f t="shared" si="220"/>
        <v>44510423477243.867</v>
      </c>
      <c r="S656" s="93">
        <f t="shared" si="221"/>
        <v>102506972700030.61</v>
      </c>
      <c r="T656">
        <f t="shared" si="207"/>
        <v>0.5</v>
      </c>
    </row>
    <row r="657" spans="1:20" x14ac:dyDescent="0.25">
      <c r="A657">
        <v>307</v>
      </c>
      <c r="B657" s="95">
        <f t="shared" si="222"/>
        <v>9175.4512757961165</v>
      </c>
      <c r="C657" s="95">
        <f t="shared" si="223"/>
        <v>27594.468559608456</v>
      </c>
      <c r="D657" s="95">
        <f t="shared" si="224"/>
        <v>-830.20113509157272</v>
      </c>
      <c r="E657" s="95">
        <f t="shared" si="225"/>
        <v>-3183.2096897835409</v>
      </c>
      <c r="F657" s="96">
        <f t="shared" si="208"/>
        <v>-162.45418254808604</v>
      </c>
      <c r="G657" s="94">
        <f t="shared" si="209"/>
        <v>-1502.8306086914413</v>
      </c>
      <c r="H657" s="97">
        <f t="shared" si="210"/>
        <v>48.508675700586288</v>
      </c>
      <c r="I657" s="94">
        <f t="shared" si="211"/>
        <v>-1182.1691430968112</v>
      </c>
      <c r="J657" s="95">
        <f t="shared" si="212"/>
        <v>-130.4220230465242</v>
      </c>
      <c r="K657" s="94">
        <f t="shared" si="213"/>
        <v>-78.651951679536907</v>
      </c>
      <c r="L657" s="94">
        <f t="shared" si="214"/>
        <v>-80.540835202148116</v>
      </c>
      <c r="M657" s="93">
        <f t="shared" si="215"/>
        <v>-242.00951391509309</v>
      </c>
      <c r="N657" s="93">
        <f t="shared" si="216"/>
        <v>20111.378552741706</v>
      </c>
      <c r="O657" s="93">
        <f t="shared" si="217"/>
        <v>34070.108321539039</v>
      </c>
      <c r="P657" s="93">
        <f t="shared" si="218"/>
        <v>44891.337368672175</v>
      </c>
      <c r="Q657" s="93">
        <f t="shared" si="219"/>
        <v>8900113148400.6836</v>
      </c>
      <c r="R657" s="93">
        <f t="shared" si="220"/>
        <v>40175324393712.773</v>
      </c>
      <c r="S657" s="93">
        <f t="shared" si="221"/>
        <v>92155102600205.344</v>
      </c>
      <c r="T657">
        <f t="shared" si="207"/>
        <v>0.5</v>
      </c>
    </row>
    <row r="658" spans="1:20" x14ac:dyDescent="0.25">
      <c r="A658">
        <v>307.5</v>
      </c>
      <c r="B658" s="95">
        <f t="shared" si="222"/>
        <v>8719.7371626133099</v>
      </c>
      <c r="C658" s="95">
        <f t="shared" si="223"/>
        <v>25627.156062543825</v>
      </c>
      <c r="D658" s="95">
        <f t="shared" si="224"/>
        <v>-911.42822636561573</v>
      </c>
      <c r="E658" s="95">
        <f t="shared" si="225"/>
        <v>-3934.6249941292617</v>
      </c>
      <c r="F658" s="96">
        <f t="shared" si="208"/>
        <v>-134.22259704033615</v>
      </c>
      <c r="G658" s="94">
        <f t="shared" si="209"/>
        <v>-1760.9230903214923</v>
      </c>
      <c r="H658" s="97">
        <f t="shared" si="210"/>
        <v>100.1216650165415</v>
      </c>
      <c r="I658" s="94">
        <f t="shared" si="211"/>
        <v>-1417.6159722805453</v>
      </c>
      <c r="J658" s="95">
        <f t="shared" si="212"/>
        <v>-145.06584076345339</v>
      </c>
      <c r="K658" s="94">
        <f t="shared" si="213"/>
        <v>-78.934097485603118</v>
      </c>
      <c r="L658" s="94">
        <f t="shared" si="214"/>
        <v>-89.278421293424245</v>
      </c>
      <c r="M658" s="93">
        <f t="shared" si="215"/>
        <v>-264.37302055534383</v>
      </c>
      <c r="N658" s="93">
        <f t="shared" si="216"/>
        <v>18172.310250725215</v>
      </c>
      <c r="O658" s="93">
        <f t="shared" si="217"/>
        <v>32696.044245331763</v>
      </c>
      <c r="P658" s="93">
        <f t="shared" si="218"/>
        <v>42881.196316584785</v>
      </c>
      <c r="Q658" s="93">
        <f t="shared" si="219"/>
        <v>6695294709580.835</v>
      </c>
      <c r="R658" s="93">
        <f t="shared" si="220"/>
        <v>35555602636742.477</v>
      </c>
      <c r="S658" s="93">
        <f t="shared" si="221"/>
        <v>80463313259818.078</v>
      </c>
      <c r="T658">
        <f t="shared" ref="T658:T721" si="226">A659-A658</f>
        <v>0.5</v>
      </c>
    </row>
    <row r="659" spans="1:20" x14ac:dyDescent="0.25">
      <c r="A659">
        <v>308</v>
      </c>
      <c r="B659" s="95">
        <f t="shared" si="222"/>
        <v>8230.467400170417</v>
      </c>
      <c r="C659" s="95">
        <f t="shared" si="223"/>
        <v>23219.612792898821</v>
      </c>
      <c r="D659" s="95">
        <f t="shared" si="224"/>
        <v>-978.53952488578375</v>
      </c>
      <c r="E659" s="95">
        <f t="shared" si="225"/>
        <v>-4815.0865392900077</v>
      </c>
      <c r="F659" s="96">
        <f t="shared" si="208"/>
        <v>-63.710356139707017</v>
      </c>
      <c r="G659" s="94">
        <f t="shared" si="209"/>
        <v>-2175.1115563082576</v>
      </c>
      <c r="H659" s="97">
        <f t="shared" si="210"/>
        <v>202.90644873315415</v>
      </c>
      <c r="I659" s="94">
        <f t="shared" si="211"/>
        <v>-1802.5159907054203</v>
      </c>
      <c r="J659" s="95">
        <f t="shared" si="212"/>
        <v>-164.26298537082792</v>
      </c>
      <c r="K659" s="94">
        <f t="shared" si="213"/>
        <v>-76.920195192901403</v>
      </c>
      <c r="L659" s="94">
        <f t="shared" si="214"/>
        <v>-102.35381950203325</v>
      </c>
      <c r="M659" s="93">
        <f t="shared" si="215"/>
        <v>-295.67537040993568</v>
      </c>
      <c r="N659" s="93">
        <f t="shared" si="216"/>
        <v>15818.896041776363</v>
      </c>
      <c r="O659" s="93">
        <f t="shared" si="217"/>
        <v>31172.382841647814</v>
      </c>
      <c r="P659" s="93">
        <f t="shared" si="218"/>
        <v>40444.82747726942</v>
      </c>
      <c r="Q659" s="93">
        <f t="shared" si="219"/>
        <v>4566267402720.8154</v>
      </c>
      <c r="R659" s="93">
        <f t="shared" si="220"/>
        <v>30865342421794.625</v>
      </c>
      <c r="S659" s="93">
        <f t="shared" si="221"/>
        <v>67681465772606.805</v>
      </c>
      <c r="T659">
        <f t="shared" si="226"/>
        <v>0.5</v>
      </c>
    </row>
    <row r="660" spans="1:20" x14ac:dyDescent="0.25">
      <c r="A660">
        <v>308.5</v>
      </c>
      <c r="B660" s="95">
        <f t="shared" si="222"/>
        <v>7725.2700486925987</v>
      </c>
      <c r="C660" s="95">
        <f t="shared" si="223"/>
        <v>20268.291634176752</v>
      </c>
      <c r="D660" s="95">
        <f t="shared" si="224"/>
        <v>-1010.3947029556373</v>
      </c>
      <c r="E660" s="95">
        <f t="shared" si="225"/>
        <v>-5902.642317444137</v>
      </c>
      <c r="F660" s="96">
        <f t="shared" si="208"/>
        <v>131.71294809589662</v>
      </c>
      <c r="G660" s="94">
        <f t="shared" si="209"/>
        <v>-2900.5697401666116</v>
      </c>
      <c r="H660" s="97">
        <f t="shared" si="210"/>
        <v>443.51204467712967</v>
      </c>
      <c r="I660" s="94">
        <f t="shared" si="211"/>
        <v>-2489.4784220223037</v>
      </c>
      <c r="J660" s="95">
        <f t="shared" si="212"/>
        <v>-188.68604081745809</v>
      </c>
      <c r="K660" s="94">
        <f t="shared" si="213"/>
        <v>-69.881494066933413</v>
      </c>
      <c r="L660" s="94">
        <f t="shared" si="214"/>
        <v>-123.11305576377495</v>
      </c>
      <c r="M660" s="93">
        <f t="shared" si="215"/>
        <v>-341.20982407737421</v>
      </c>
      <c r="N660" s="93">
        <f t="shared" si="216"/>
        <v>12969.335665590703</v>
      </c>
      <c r="O660" s="93">
        <f t="shared" si="217"/>
        <v>29565.662724813643</v>
      </c>
      <c r="P660" s="93">
        <f t="shared" si="218"/>
        <v>37493.798055218344</v>
      </c>
      <c r="Q660" s="93">
        <f t="shared" si="219"/>
        <v>2685486970682.8306</v>
      </c>
      <c r="R660" s="93">
        <f t="shared" si="220"/>
        <v>26389353785754.828</v>
      </c>
      <c r="S660" s="93">
        <f t="shared" si="221"/>
        <v>54120464928088.195</v>
      </c>
      <c r="T660">
        <f t="shared" si="226"/>
        <v>0.5</v>
      </c>
    </row>
    <row r="661" spans="1:20" x14ac:dyDescent="0.25">
      <c r="A661">
        <v>309</v>
      </c>
      <c r="B661" s="95">
        <f t="shared" si="222"/>
        <v>7253.0009342387548</v>
      </c>
      <c r="C661" s="95">
        <f t="shared" si="223"/>
        <v>16591.828040413031</v>
      </c>
      <c r="D661" s="95">
        <f t="shared" si="224"/>
        <v>-944.53822890768902</v>
      </c>
      <c r="E661" s="95">
        <f t="shared" si="225"/>
        <v>-7352.9271875274426</v>
      </c>
      <c r="F661" s="96">
        <f t="shared" si="208"/>
        <v>786.54703431818814</v>
      </c>
      <c r="G661" s="94">
        <f t="shared" si="209"/>
        <v>-4313.8467375586824</v>
      </c>
      <c r="H661" s="97">
        <f t="shared" si="210"/>
        <v>1163.1531585910111</v>
      </c>
      <c r="I661" s="94">
        <f t="shared" si="211"/>
        <v>-3849.724098701925</v>
      </c>
      <c r="J661" s="95">
        <f t="shared" si="212"/>
        <v>-216.94678857769048</v>
      </c>
      <c r="K661" s="94">
        <f t="shared" si="213"/>
        <v>-52.47407166919848</v>
      </c>
      <c r="L661" s="94">
        <f t="shared" si="214"/>
        <v>-159.6593356951324</v>
      </c>
      <c r="M661" s="93">
        <f t="shared" si="215"/>
        <v>-411.64856718755868</v>
      </c>
      <c r="N661" s="93">
        <f t="shared" si="216"/>
        <v>9497.7545232404173</v>
      </c>
      <c r="O661" s="93">
        <f t="shared" si="217"/>
        <v>28038.870462912626</v>
      </c>
      <c r="P661" s="93">
        <f t="shared" si="218"/>
        <v>33884.79940665848</v>
      </c>
      <c r="Q661" s="93">
        <f t="shared" si="219"/>
        <v>1236574338279.3872</v>
      </c>
      <c r="R661" s="93">
        <f t="shared" si="220"/>
        <v>22560766346604.684</v>
      </c>
      <c r="S661" s="93">
        <f t="shared" si="221"/>
        <v>40183408371577.109</v>
      </c>
      <c r="T661">
        <f t="shared" si="226"/>
        <v>0.5</v>
      </c>
    </row>
    <row r="662" spans="1:20" x14ac:dyDescent="0.25">
      <c r="A662">
        <v>309.5</v>
      </c>
      <c r="B662" s="95">
        <f t="shared" si="222"/>
        <v>6977.3685783644569</v>
      </c>
      <c r="C662" s="95">
        <f t="shared" si="223"/>
        <v>11836.902762259639</v>
      </c>
      <c r="D662" s="95">
        <f t="shared" si="224"/>
        <v>-551.26471174859489</v>
      </c>
      <c r="E662" s="95">
        <f t="shared" si="225"/>
        <v>-9509.8505563067847</v>
      </c>
      <c r="F662" s="96">
        <f t="shared" si="208"/>
        <v>3632.3906290747736</v>
      </c>
      <c r="G662" s="94">
        <f t="shared" si="209"/>
        <v>-6441.1031353167764</v>
      </c>
      <c r="H662" s="97">
        <f t="shared" si="210"/>
        <v>4108.1478262568744</v>
      </c>
      <c r="I662" s="94">
        <f t="shared" si="211"/>
        <v>-5894.412903913968</v>
      </c>
      <c r="J662" s="95">
        <f t="shared" si="212"/>
        <v>-239.03207996279599</v>
      </c>
      <c r="K662" s="94">
        <f t="shared" si="213"/>
        <v>-16.275816029902295</v>
      </c>
      <c r="L662" s="94">
        <f t="shared" si="214"/>
        <v>-236.72511721930454</v>
      </c>
      <c r="M662" s="93">
        <f t="shared" si="215"/>
        <v>-530.41441537290541</v>
      </c>
      <c r="N662" s="93">
        <f t="shared" si="216"/>
        <v>5286.3055417137766</v>
      </c>
      <c r="O662" s="93">
        <f t="shared" si="217"/>
        <v>27039.834081793531</v>
      </c>
      <c r="P662" s="93">
        <f t="shared" si="218"/>
        <v>29388.377089131194</v>
      </c>
      <c r="Q662" s="93">
        <f t="shared" si="219"/>
        <v>385245657748.23608</v>
      </c>
      <c r="R662" s="93">
        <f t="shared" si="220"/>
        <v>20269178034312.813</v>
      </c>
      <c r="S662" s="93">
        <f t="shared" si="221"/>
        <v>26492057945466.508</v>
      </c>
      <c r="T662">
        <f t="shared" si="226"/>
        <v>0.5</v>
      </c>
    </row>
    <row r="663" spans="1:20" x14ac:dyDescent="0.25">
      <c r="A663">
        <v>310</v>
      </c>
      <c r="B663" s="95">
        <f t="shared" si="222"/>
        <v>7609.8338797588522</v>
      </c>
      <c r="C663" s="95">
        <f t="shared" si="223"/>
        <v>5471.7017002770517</v>
      </c>
      <c r="D663" s="95">
        <f t="shared" si="224"/>
        <v>1264.9306027887919</v>
      </c>
      <c r="E663" s="95">
        <f t="shared" si="225"/>
        <v>-12730.402123965174</v>
      </c>
      <c r="F663" s="96">
        <f t="shared" si="208"/>
        <v>5422.1510213966558</v>
      </c>
      <c r="G663" s="94">
        <f t="shared" si="209"/>
        <v>4479.7951605372109</v>
      </c>
      <c r="H663" s="97">
        <f t="shared" si="210"/>
        <v>6089.1223868831667</v>
      </c>
      <c r="I663" s="94">
        <f t="shared" si="211"/>
        <v>5167.2377411466277</v>
      </c>
      <c r="J663" s="95">
        <f t="shared" si="212"/>
        <v>-221.1861759727413</v>
      </c>
      <c r="K663" s="94">
        <f t="shared" si="213"/>
        <v>36.276820387313876</v>
      </c>
      <c r="L663" s="94">
        <f t="shared" si="214"/>
        <v>-445.78518951376907</v>
      </c>
      <c r="M663" s="93">
        <f t="shared" si="215"/>
        <v>-723.71940099673054</v>
      </c>
      <c r="N663" s="93">
        <f t="shared" si="216"/>
        <v>3134.7867670716655</v>
      </c>
      <c r="O663" s="93">
        <f t="shared" si="217"/>
        <v>27978.713557973919</v>
      </c>
      <c r="P663" s="93">
        <f t="shared" si="218"/>
        <v>24043.678607489343</v>
      </c>
      <c r="Q663" s="93">
        <f t="shared" si="219"/>
        <v>205528477589.92068</v>
      </c>
      <c r="R663" s="93">
        <f t="shared" si="220"/>
        <v>22418087281293.957</v>
      </c>
      <c r="S663" s="93">
        <f t="shared" si="221"/>
        <v>14810930769461.438</v>
      </c>
      <c r="T663">
        <f t="shared" si="226"/>
        <v>0.5</v>
      </c>
    </row>
    <row r="664" spans="1:20" x14ac:dyDescent="0.25">
      <c r="A664">
        <v>310.5</v>
      </c>
      <c r="B664" s="95">
        <f t="shared" si="222"/>
        <v>9597.8369365024118</v>
      </c>
      <c r="C664" s="95">
        <f t="shared" si="223"/>
        <v>226.44942842876753</v>
      </c>
      <c r="D664" s="95">
        <f t="shared" si="224"/>
        <v>3976.0061134871198</v>
      </c>
      <c r="E664" s="95">
        <f t="shared" si="225"/>
        <v>-10490.504543696568</v>
      </c>
      <c r="F664" s="96">
        <f t="shared" si="208"/>
        <v>-617.25335968997706</v>
      </c>
      <c r="G664" s="94">
        <f t="shared" si="209"/>
        <v>4795.7070793794701</v>
      </c>
      <c r="H664" s="97">
        <f t="shared" si="210"/>
        <v>305.28511767477494</v>
      </c>
      <c r="I664" s="94">
        <f t="shared" si="211"/>
        <v>5521.4089599475774</v>
      </c>
      <c r="J664" s="95">
        <f t="shared" si="212"/>
        <v>-172.26207697686121</v>
      </c>
      <c r="K664" s="94">
        <f t="shared" si="213"/>
        <v>56.882944672922527</v>
      </c>
      <c r="L664" s="94">
        <f t="shared" si="214"/>
        <v>-750.27640038789082</v>
      </c>
      <c r="M664" s="93">
        <f t="shared" si="215"/>
        <v>-782.58482524102999</v>
      </c>
      <c r="N664" s="93">
        <f t="shared" si="216"/>
        <v>7284.660118828192</v>
      </c>
      <c r="O664" s="93">
        <f t="shared" si="217"/>
        <v>31169.764870701973</v>
      </c>
      <c r="P664" s="93">
        <f t="shared" si="218"/>
        <v>21093.638980062518</v>
      </c>
      <c r="Q664" s="93">
        <f t="shared" si="219"/>
        <v>689755495590.59692</v>
      </c>
      <c r="R664" s="93">
        <f t="shared" si="220"/>
        <v>30857663324009.512</v>
      </c>
      <c r="S664" s="93">
        <f t="shared" si="221"/>
        <v>10187458305212.137</v>
      </c>
      <c r="T664">
        <f t="shared" si="226"/>
        <v>0.5</v>
      </c>
    </row>
    <row r="665" spans="1:20" x14ac:dyDescent="0.25">
      <c r="A665">
        <v>311</v>
      </c>
      <c r="B665" s="95">
        <f t="shared" si="222"/>
        <v>11431.526653323479</v>
      </c>
      <c r="C665" s="95">
        <f t="shared" si="223"/>
        <v>-3819.8760735746491</v>
      </c>
      <c r="D665" s="95">
        <f t="shared" si="224"/>
        <v>3667.3794336421315</v>
      </c>
      <c r="E665" s="95">
        <f t="shared" si="225"/>
        <v>-8092.6510040068333</v>
      </c>
      <c r="F665" s="96">
        <f t="shared" si="208"/>
        <v>-1524.5974838586965</v>
      </c>
      <c r="G665" s="94">
        <f t="shared" si="209"/>
        <v>2446.0898178490324</v>
      </c>
      <c r="H665" s="97">
        <f t="shared" si="210"/>
        <v>-387.71020687009076</v>
      </c>
      <c r="I665" s="94">
        <f t="shared" si="211"/>
        <v>3065.8398738438877</v>
      </c>
      <c r="J665" s="95">
        <f t="shared" si="212"/>
        <v>-137.30685336237792</v>
      </c>
      <c r="K665" s="94">
        <f t="shared" si="213"/>
        <v>60.371350028583684</v>
      </c>
      <c r="L665" s="94">
        <f t="shared" si="214"/>
        <v>-999.5804236262278</v>
      </c>
      <c r="M665" s="93">
        <f t="shared" si="215"/>
        <v>-680.12140602343891</v>
      </c>
      <c r="N665" s="93">
        <f t="shared" si="216"/>
        <v>11410.033430286843</v>
      </c>
      <c r="O665" s="93">
        <f t="shared" si="217"/>
        <v>34335.547795943858</v>
      </c>
      <c r="P665" s="93">
        <f t="shared" si="218"/>
        <v>19874.361352483971</v>
      </c>
      <c r="Q665" s="93">
        <f t="shared" si="219"/>
        <v>1933262497697.5464</v>
      </c>
      <c r="R665" s="93">
        <f t="shared" si="220"/>
        <v>41111753743339.125</v>
      </c>
      <c r="S665" s="93">
        <f t="shared" si="221"/>
        <v>8607138588888.668</v>
      </c>
      <c r="T665">
        <f t="shared" si="226"/>
        <v>0.5</v>
      </c>
    </row>
    <row r="666" spans="1:20" x14ac:dyDescent="0.25">
      <c r="A666">
        <v>311.5</v>
      </c>
      <c r="B666" s="95">
        <f t="shared" si="222"/>
        <v>12884.06699917987</v>
      </c>
      <c r="C666" s="95">
        <f t="shared" si="223"/>
        <v>-7254.6791211158079</v>
      </c>
      <c r="D666" s="95">
        <f t="shared" si="224"/>
        <v>2905.0806917127834</v>
      </c>
      <c r="E666" s="95">
        <f t="shared" si="225"/>
        <v>-6869.6060950823176</v>
      </c>
      <c r="F666" s="96">
        <f t="shared" si="208"/>
        <v>-1643.1260723965588</v>
      </c>
      <c r="G666" s="94">
        <f t="shared" si="209"/>
        <v>1504.365797610692</v>
      </c>
      <c r="H666" s="97">
        <f t="shared" si="210"/>
        <v>-379.70440547080506</v>
      </c>
      <c r="I666" s="94">
        <f t="shared" si="211"/>
        <v>1942.5404004792244</v>
      </c>
      <c r="J666" s="95">
        <f t="shared" si="212"/>
        <v>-113.79687088024353</v>
      </c>
      <c r="K666" s="94">
        <f t="shared" si="213"/>
        <v>59.710634091416374</v>
      </c>
      <c r="L666" s="94">
        <f t="shared" si="214"/>
        <v>-1149.6247960455103</v>
      </c>
      <c r="M666" s="93">
        <f t="shared" si="215"/>
        <v>-497.88523695994888</v>
      </c>
      <c r="N666" s="93">
        <f t="shared" si="216"/>
        <v>15033.908288360986</v>
      </c>
      <c r="O666" s="93">
        <f t="shared" si="217"/>
        <v>37136.044673325407</v>
      </c>
      <c r="P666" s="93">
        <f t="shared" si="218"/>
        <v>19489.223892911537</v>
      </c>
      <c r="Q666" s="93">
        <f t="shared" si="219"/>
        <v>3977025095723.1743</v>
      </c>
      <c r="R666" s="93">
        <f t="shared" si="220"/>
        <v>51897680313238.969</v>
      </c>
      <c r="S666" s="93">
        <f t="shared" si="221"/>
        <v>8145331951519.4473</v>
      </c>
      <c r="T666">
        <f t="shared" si="226"/>
        <v>0.5</v>
      </c>
    </row>
    <row r="667" spans="1:20" x14ac:dyDescent="0.25">
      <c r="A667">
        <v>312</v>
      </c>
      <c r="B667" s="95">
        <f t="shared" si="222"/>
        <v>13925.825826937122</v>
      </c>
      <c r="C667" s="95">
        <f t="shared" si="223"/>
        <v>-10313.390719254294</v>
      </c>
      <c r="D667" s="95">
        <f t="shared" si="224"/>
        <v>2083.517655514504</v>
      </c>
      <c r="E667" s="95">
        <f t="shared" si="225"/>
        <v>-6117.4231962769718</v>
      </c>
      <c r="F667" s="96">
        <f t="shared" si="208"/>
        <v>-1616.3501616512613</v>
      </c>
      <c r="G667" s="94">
        <f t="shared" si="209"/>
        <v>1135.9346369933389</v>
      </c>
      <c r="H667" s="97">
        <f t="shared" si="210"/>
        <v>-303.80745889528947</v>
      </c>
      <c r="I667" s="94">
        <f t="shared" si="211"/>
        <v>1378.5229419991429</v>
      </c>
      <c r="J667" s="95">
        <f t="shared" si="212"/>
        <v>-97.398600451743476</v>
      </c>
      <c r="K667" s="94">
        <f t="shared" si="213"/>
        <v>58.318280491609329</v>
      </c>
      <c r="L667" s="94">
        <f t="shared" si="214"/>
        <v>-1215.1441023042285</v>
      </c>
      <c r="M667" s="93">
        <f t="shared" si="215"/>
        <v>-300.90658549741323</v>
      </c>
      <c r="N667" s="93">
        <f t="shared" si="216"/>
        <v>18240.860652399642</v>
      </c>
      <c r="O667" s="93">
        <f t="shared" si="217"/>
        <v>39542.325431779558</v>
      </c>
      <c r="P667" s="93">
        <f t="shared" si="218"/>
        <v>19497.46624005109</v>
      </c>
      <c r="Q667" s="93">
        <f t="shared" si="219"/>
        <v>6765987917712.4688</v>
      </c>
      <c r="R667" s="93">
        <f t="shared" si="220"/>
        <v>62556213622603.602</v>
      </c>
      <c r="S667" s="93">
        <f t="shared" si="221"/>
        <v>8155032157404.1152</v>
      </c>
      <c r="T667">
        <f t="shared" si="226"/>
        <v>0.5</v>
      </c>
    </row>
    <row r="668" spans="1:20" x14ac:dyDescent="0.25">
      <c r="A668">
        <v>312.5</v>
      </c>
      <c r="B668" s="95">
        <f t="shared" si="222"/>
        <v>14563.497114281559</v>
      </c>
      <c r="C668" s="95">
        <f t="shared" si="223"/>
        <v>-13088.118658144444</v>
      </c>
      <c r="D668" s="95">
        <f t="shared" si="224"/>
        <v>1275.3425746888734</v>
      </c>
      <c r="E668" s="95">
        <f t="shared" si="225"/>
        <v>-5549.4558777803022</v>
      </c>
      <c r="F668" s="96">
        <f t="shared" si="208"/>
        <v>-1547.899701126885</v>
      </c>
      <c r="G668" s="94">
        <f t="shared" si="209"/>
        <v>996.14310776039565</v>
      </c>
      <c r="H668" s="97">
        <f t="shared" si="210"/>
        <v>-234.73125550903444</v>
      </c>
      <c r="I668" s="94">
        <f t="shared" si="211"/>
        <v>1058.9849889619225</v>
      </c>
      <c r="J668" s="95">
        <f t="shared" si="212"/>
        <v>-85.527653474005646</v>
      </c>
      <c r="K668" s="94">
        <f t="shared" si="213"/>
        <v>57.131736566800463</v>
      </c>
      <c r="L668" s="94">
        <f t="shared" si="214"/>
        <v>-1227.6407921438449</v>
      </c>
      <c r="M668" s="93">
        <f t="shared" si="215"/>
        <v>-119.97361776832741</v>
      </c>
      <c r="N668" s="93">
        <f t="shared" si="216"/>
        <v>21087.819607391644</v>
      </c>
      <c r="O668" s="93">
        <f t="shared" si="217"/>
        <v>41565.569356638283</v>
      </c>
      <c r="P668" s="93">
        <f t="shared" si="218"/>
        <v>19656.6963044617</v>
      </c>
      <c r="Q668" s="93">
        <f t="shared" si="219"/>
        <v>10179477361472.336</v>
      </c>
      <c r="R668" s="93">
        <f t="shared" si="220"/>
        <v>72577810611888.094</v>
      </c>
      <c r="S668" s="93">
        <f t="shared" si="221"/>
        <v>8343990523132.1416</v>
      </c>
      <c r="T668">
        <f t="shared" si="226"/>
        <v>0.5</v>
      </c>
    </row>
    <row r="669" spans="1:20" x14ac:dyDescent="0.25">
      <c r="A669">
        <v>313</v>
      </c>
      <c r="B669" s="95">
        <f t="shared" si="222"/>
        <v>14814.193476344275</v>
      </c>
      <c r="C669" s="95">
        <f t="shared" si="223"/>
        <v>-15613.810820094495</v>
      </c>
      <c r="D669" s="95">
        <f t="shared" si="224"/>
        <v>501.39272412543085</v>
      </c>
      <c r="E669" s="95">
        <f t="shared" si="225"/>
        <v>-5051.3843239001044</v>
      </c>
      <c r="F669" s="96">
        <f t="shared" si="208"/>
        <v>-1470.0845593758906</v>
      </c>
      <c r="G669" s="94">
        <f t="shared" si="209"/>
        <v>955.04144874849783</v>
      </c>
      <c r="H669" s="97">
        <f t="shared" si="210"/>
        <v>-179.33393367036248</v>
      </c>
      <c r="I669" s="94">
        <f t="shared" si="211"/>
        <v>861.01454726488578</v>
      </c>
      <c r="J669" s="95">
        <f t="shared" si="212"/>
        <v>-76.681860696093111</v>
      </c>
      <c r="K669" s="94">
        <f t="shared" si="213"/>
        <v>56.41706663511119</v>
      </c>
      <c r="L669" s="94">
        <f t="shared" si="214"/>
        <v>-1214.0687650094351</v>
      </c>
      <c r="M669" s="93">
        <f t="shared" si="215"/>
        <v>37.609834848500917</v>
      </c>
      <c r="N669" s="93">
        <f t="shared" si="216"/>
        <v>23609.843486452701</v>
      </c>
      <c r="O669" s="93">
        <f t="shared" si="217"/>
        <v>43221.468879897198</v>
      </c>
      <c r="P669" s="93">
        <f t="shared" si="218"/>
        <v>19823.698616576807</v>
      </c>
      <c r="Q669" s="93">
        <f t="shared" si="219"/>
        <v>14055933297824.957</v>
      </c>
      <c r="R669" s="93">
        <f t="shared" si="220"/>
        <v>81537321041488.719</v>
      </c>
      <c r="S669" s="93">
        <f t="shared" si="221"/>
        <v>8545387001700.0527</v>
      </c>
      <c r="T669">
        <f t="shared" si="226"/>
        <v>0.5</v>
      </c>
    </row>
    <row r="670" spans="1:20" x14ac:dyDescent="0.25">
      <c r="A670">
        <v>313.5</v>
      </c>
      <c r="B670" s="95">
        <f t="shared" si="222"/>
        <v>14697.368698563017</v>
      </c>
      <c r="C670" s="95">
        <f t="shared" si="223"/>
        <v>-17900.742619857425</v>
      </c>
      <c r="D670" s="95">
        <f t="shared" si="224"/>
        <v>-233.64955556251448</v>
      </c>
      <c r="E670" s="95">
        <f t="shared" si="225"/>
        <v>-4573.8635995258555</v>
      </c>
      <c r="F670" s="96">
        <f t="shared" si="208"/>
        <v>-1397.2284723963023</v>
      </c>
      <c r="G670" s="94">
        <f t="shared" si="209"/>
        <v>962.02003383036447</v>
      </c>
      <c r="H670" s="97">
        <f t="shared" si="210"/>
        <v>-135.03507600477874</v>
      </c>
      <c r="I670" s="94">
        <f t="shared" si="211"/>
        <v>730.19416408585221</v>
      </c>
      <c r="J670" s="95">
        <f t="shared" si="212"/>
        <v>-69.952409178409923</v>
      </c>
      <c r="K670" s="94">
        <f t="shared" si="213"/>
        <v>56.249918576868836</v>
      </c>
      <c r="L670" s="94">
        <f t="shared" si="214"/>
        <v>-1192.2409872131136</v>
      </c>
      <c r="M670" s="93">
        <f t="shared" si="215"/>
        <v>175.57595116764347</v>
      </c>
      <c r="N670" s="93">
        <f t="shared" si="216"/>
        <v>25831.434306489467</v>
      </c>
      <c r="O670" s="93">
        <f t="shared" si="217"/>
        <v>44523.688451694441</v>
      </c>
      <c r="P670" s="93">
        <f t="shared" si="218"/>
        <v>19909.812691077419</v>
      </c>
      <c r="Q670" s="93">
        <f t="shared" si="219"/>
        <v>18214056464961.223</v>
      </c>
      <c r="R670" s="93">
        <f t="shared" si="220"/>
        <v>89081312470672.406</v>
      </c>
      <c r="S670" s="93">
        <f t="shared" si="221"/>
        <v>8650531430884.541</v>
      </c>
      <c r="T670">
        <f t="shared" si="226"/>
        <v>0.5</v>
      </c>
    </row>
    <row r="671" spans="1:20" x14ac:dyDescent="0.25">
      <c r="A671">
        <v>314</v>
      </c>
      <c r="B671" s="95">
        <f t="shared" si="222"/>
        <v>14231.236802682684</v>
      </c>
      <c r="C671" s="95">
        <f t="shared" si="223"/>
        <v>-19947.169411162758</v>
      </c>
      <c r="D671" s="95">
        <f t="shared" si="224"/>
        <v>-932.26379176066564</v>
      </c>
      <c r="E671" s="95">
        <f t="shared" si="225"/>
        <v>-4092.8535826106731</v>
      </c>
      <c r="F671" s="96">
        <f t="shared" si="208"/>
        <v>-1336.0924997315783</v>
      </c>
      <c r="G671" s="94">
        <f t="shared" si="209"/>
        <v>997.95924076266783</v>
      </c>
      <c r="H671" s="97">
        <f t="shared" si="210"/>
        <v>-98.603288285244062</v>
      </c>
      <c r="I671" s="94">
        <f t="shared" si="211"/>
        <v>639.6194030896396</v>
      </c>
      <c r="J671" s="95">
        <f t="shared" si="212"/>
        <v>-64.766566584164437</v>
      </c>
      <c r="K671" s="94">
        <f t="shared" si="213"/>
        <v>56.660977599363918</v>
      </c>
      <c r="L671" s="94">
        <f t="shared" si="214"/>
        <v>-1172.7226448621698</v>
      </c>
      <c r="M671" s="93">
        <f t="shared" si="215"/>
        <v>301.67886007366428</v>
      </c>
      <c r="N671" s="93">
        <f t="shared" si="216"/>
        <v>27771.396680135571</v>
      </c>
      <c r="O671" s="93">
        <f t="shared" si="217"/>
        <v>45481.980264520367</v>
      </c>
      <c r="P671" s="93">
        <f t="shared" si="218"/>
        <v>19857.365236697475</v>
      </c>
      <c r="Q671" s="93">
        <f t="shared" si="219"/>
        <v>22468524606827.523</v>
      </c>
      <c r="R671" s="93">
        <f t="shared" si="220"/>
        <v>94921470682814.656</v>
      </c>
      <c r="S671" s="93">
        <f t="shared" si="221"/>
        <v>8586388339340.9365</v>
      </c>
      <c r="T671">
        <f t="shared" si="226"/>
        <v>0.5</v>
      </c>
    </row>
    <row r="672" spans="1:20" x14ac:dyDescent="0.25">
      <c r="A672">
        <v>314.5</v>
      </c>
      <c r="B672" s="95">
        <f t="shared" si="222"/>
        <v>13431.081781869456</v>
      </c>
      <c r="C672" s="95">
        <f t="shared" si="223"/>
        <v>-21744.10639227743</v>
      </c>
      <c r="D672" s="95">
        <f t="shared" si="224"/>
        <v>-1600.3100416264547</v>
      </c>
      <c r="E672" s="95">
        <f t="shared" si="225"/>
        <v>-3593.8739622293392</v>
      </c>
      <c r="F672" s="96">
        <f t="shared" si="208"/>
        <v>-1289.8380625538093</v>
      </c>
      <c r="G672" s="94">
        <f t="shared" si="209"/>
        <v>1057.5189964211379</v>
      </c>
      <c r="H672" s="97">
        <f t="shared" si="210"/>
        <v>-67.435666580272624</v>
      </c>
      <c r="I672" s="94">
        <f t="shared" si="211"/>
        <v>574.77376917350136</v>
      </c>
      <c r="J672" s="95">
        <f t="shared" si="212"/>
        <v>-60.752054810810471</v>
      </c>
      <c r="K672" s="94">
        <f t="shared" si="213"/>
        <v>57.686427978819516</v>
      </c>
      <c r="L672" s="94">
        <f t="shared" si="214"/>
        <v>-1161.6503411627261</v>
      </c>
      <c r="M672" s="93">
        <f t="shared" si="215"/>
        <v>425.05879926881704</v>
      </c>
      <c r="N672" s="93">
        <f t="shared" si="216"/>
        <v>29444.695292645127</v>
      </c>
      <c r="O672" s="93">
        <f t="shared" si="217"/>
        <v>46101.252908682131</v>
      </c>
      <c r="P672" s="93">
        <f t="shared" si="218"/>
        <v>19626.200515645342</v>
      </c>
      <c r="Q672" s="93">
        <f t="shared" si="219"/>
        <v>26640356818093.953</v>
      </c>
      <c r="R672" s="93">
        <f t="shared" si="220"/>
        <v>98828499300173.938</v>
      </c>
      <c r="S672" s="93">
        <f t="shared" si="221"/>
        <v>8307570283394.8545</v>
      </c>
      <c r="T672">
        <f t="shared" si="226"/>
        <v>0.5</v>
      </c>
    </row>
    <row r="673" spans="1:20" x14ac:dyDescent="0.25">
      <c r="A673">
        <v>315</v>
      </c>
      <c r="B673" s="95">
        <f t="shared" si="222"/>
        <v>12308.467245417776</v>
      </c>
      <c r="C673" s="95">
        <f t="shared" si="223"/>
        <v>-23276.663624286815</v>
      </c>
      <c r="D673" s="95">
        <f t="shared" si="224"/>
        <v>-2245.2290729033593</v>
      </c>
      <c r="E673" s="95">
        <f t="shared" si="225"/>
        <v>-3065.1144640187704</v>
      </c>
      <c r="F673" s="96">
        <f t="shared" si="208"/>
        <v>-1260.0659928554066</v>
      </c>
      <c r="G673" s="94">
        <f t="shared" si="209"/>
        <v>1142.7102642797927</v>
      </c>
      <c r="H673" s="97">
        <f t="shared" si="210"/>
        <v>-39.548119199375748</v>
      </c>
      <c r="I673" s="94">
        <f t="shared" si="211"/>
        <v>527.25857990335498</v>
      </c>
      <c r="J673" s="95">
        <f t="shared" si="212"/>
        <v>-57.662944291251861</v>
      </c>
      <c r="K673" s="94">
        <f t="shared" si="213"/>
        <v>59.390944986352466</v>
      </c>
      <c r="L673" s="94">
        <f t="shared" si="214"/>
        <v>-1162.8549293647791</v>
      </c>
      <c r="M673" s="93">
        <f t="shared" si="215"/>
        <v>556.06073939008525</v>
      </c>
      <c r="N673" s="93">
        <f t="shared" si="216"/>
        <v>30863.11787337219</v>
      </c>
      <c r="O673" s="93">
        <f t="shared" si="217"/>
        <v>46380.743824481367</v>
      </c>
      <c r="P673" s="93">
        <f t="shared" si="218"/>
        <v>19185.572681973626</v>
      </c>
      <c r="Q673" s="93">
        <f t="shared" si="219"/>
        <v>30563036818919.176</v>
      </c>
      <c r="R673" s="93">
        <f t="shared" si="220"/>
        <v>100626480593146.84</v>
      </c>
      <c r="S673" s="93">
        <f t="shared" si="221"/>
        <v>7793484834892.167</v>
      </c>
      <c r="T673">
        <f t="shared" si="226"/>
        <v>0.5</v>
      </c>
    </row>
    <row r="674" spans="1:20" x14ac:dyDescent="0.25">
      <c r="A674">
        <v>315.5</v>
      </c>
      <c r="B674" s="95">
        <f t="shared" si="222"/>
        <v>10870.836210752244</v>
      </c>
      <c r="C674" s="95">
        <f t="shared" si="223"/>
        <v>-24523.543290226251</v>
      </c>
      <c r="D674" s="95">
        <f t="shared" si="224"/>
        <v>-2875.2620693310628</v>
      </c>
      <c r="E674" s="95">
        <f t="shared" si="225"/>
        <v>-2493.759331878874</v>
      </c>
      <c r="F674" s="96">
        <f t="shared" si="208"/>
        <v>-1247.863413013393</v>
      </c>
      <c r="G674" s="94">
        <f t="shared" si="209"/>
        <v>1261.3775801907068</v>
      </c>
      <c r="H674" s="97">
        <f t="shared" si="210"/>
        <v>-13.377235466230255</v>
      </c>
      <c r="I674" s="94">
        <f t="shared" si="211"/>
        <v>491.92543186315879</v>
      </c>
      <c r="J674" s="95">
        <f t="shared" si="212"/>
        <v>-55.338270224100846</v>
      </c>
      <c r="K674" s="94">
        <f t="shared" si="213"/>
        <v>61.886019369393381</v>
      </c>
      <c r="L674" s="94">
        <f t="shared" si="214"/>
        <v>-1179.1479073230619</v>
      </c>
      <c r="M674" s="93">
        <f t="shared" si="215"/>
        <v>707.56612895815454</v>
      </c>
      <c r="N674" s="93">
        <f t="shared" si="216"/>
        <v>32035.381698474455</v>
      </c>
      <c r="O674" s="93">
        <f t="shared" si="217"/>
        <v>46312.887727534522</v>
      </c>
      <c r="P674" s="93">
        <f t="shared" si="218"/>
        <v>18508.952396862933</v>
      </c>
      <c r="Q674" s="93">
        <f t="shared" si="219"/>
        <v>34085426308566.773</v>
      </c>
      <c r="R674" s="93">
        <f t="shared" si="220"/>
        <v>100187965179110.23</v>
      </c>
      <c r="S674" s="93">
        <f t="shared" si="221"/>
        <v>7047419883512.7695</v>
      </c>
      <c r="T674">
        <f t="shared" si="226"/>
        <v>0.5</v>
      </c>
    </row>
    <row r="675" spans="1:20" x14ac:dyDescent="0.25">
      <c r="A675">
        <v>316</v>
      </c>
      <c r="B675" s="95">
        <f t="shared" si="222"/>
        <v>9121.239322833364</v>
      </c>
      <c r="C675" s="95">
        <f t="shared" si="223"/>
        <v>-25455.078561118011</v>
      </c>
      <c r="D675" s="95">
        <f t="shared" si="224"/>
        <v>-3499.1937758377594</v>
      </c>
      <c r="E675" s="95">
        <f t="shared" si="225"/>
        <v>-1863.0705417835206</v>
      </c>
      <c r="F675" s="96">
        <f t="shared" si="208"/>
        <v>-1254.1036780911513</v>
      </c>
      <c r="G675" s="94">
        <f t="shared" si="209"/>
        <v>1428.7663305979963</v>
      </c>
      <c r="H675" s="97">
        <f t="shared" si="210"/>
        <v>12.411483984028999</v>
      </c>
      <c r="I675" s="94">
        <f t="shared" si="211"/>
        <v>465.45258610402345</v>
      </c>
      <c r="J675" s="95">
        <f t="shared" si="212"/>
        <v>-53.679788117648449</v>
      </c>
      <c r="K675" s="94">
        <f t="shared" si="213"/>
        <v>65.355086154012625</v>
      </c>
      <c r="L675" s="94">
        <f t="shared" si="214"/>
        <v>-1212.8353739575318</v>
      </c>
      <c r="M675" s="93">
        <f t="shared" si="215"/>
        <v>897.95865833996027</v>
      </c>
      <c r="N675" s="93">
        <f t="shared" si="216"/>
        <v>32966.792735981981</v>
      </c>
      <c r="O675" s="93">
        <f t="shared" si="217"/>
        <v>45881.468758887677</v>
      </c>
      <c r="P675" s="93">
        <f t="shared" si="218"/>
        <v>17570.374718027066</v>
      </c>
      <c r="Q675" s="93">
        <f t="shared" si="219"/>
        <v>37071958131715.664</v>
      </c>
      <c r="R675" s="93">
        <f t="shared" si="220"/>
        <v>97429798165994.172</v>
      </c>
      <c r="S675" s="93">
        <f t="shared" si="221"/>
        <v>6096345619636.4209</v>
      </c>
      <c r="T675">
        <f t="shared" si="226"/>
        <v>0.5</v>
      </c>
    </row>
    <row r="676" spans="1:20" x14ac:dyDescent="0.25">
      <c r="A676">
        <v>316.5</v>
      </c>
      <c r="B676" s="95">
        <f t="shared" si="222"/>
        <v>7058.1165153916963</v>
      </c>
      <c r="C676" s="95">
        <f t="shared" si="223"/>
        <v>-26029.422249360272</v>
      </c>
      <c r="D676" s="95">
        <f t="shared" si="224"/>
        <v>-4126.2456148833353</v>
      </c>
      <c r="E676" s="95">
        <f t="shared" si="225"/>
        <v>-1148.6873764845225</v>
      </c>
      <c r="F676" s="96">
        <f t="shared" si="208"/>
        <v>-1278.5765038558307</v>
      </c>
      <c r="G676" s="94">
        <f t="shared" si="209"/>
        <v>1672.7908792168669</v>
      </c>
      <c r="H676" s="97">
        <f t="shared" si="210"/>
        <v>39.095839454642146</v>
      </c>
      <c r="I676" s="94">
        <f t="shared" si="211"/>
        <v>445.58559716121107</v>
      </c>
      <c r="J676" s="95">
        <f t="shared" si="212"/>
        <v>-52.643374328091291</v>
      </c>
      <c r="K676" s="94">
        <f t="shared" si="213"/>
        <v>70.097649303084779</v>
      </c>
      <c r="L676" s="94">
        <f t="shared" si="214"/>
        <v>-1265.0289689823815</v>
      </c>
      <c r="M676" s="93">
        <f t="shared" si="215"/>
        <v>1157.1076327525709</v>
      </c>
      <c r="N676" s="93">
        <f t="shared" si="216"/>
        <v>33658.235765008641</v>
      </c>
      <c r="O676" s="93">
        <f t="shared" si="217"/>
        <v>45058.416938272589</v>
      </c>
      <c r="P676" s="93">
        <f t="shared" si="218"/>
        <v>16341.55222289013</v>
      </c>
      <c r="Q676" s="93">
        <f t="shared" si="219"/>
        <v>39399757416153.016</v>
      </c>
      <c r="R676" s="93">
        <f t="shared" si="220"/>
        <v>92309539849804.813</v>
      </c>
      <c r="S676" s="93">
        <f t="shared" si="221"/>
        <v>4990885741185.4648</v>
      </c>
      <c r="T676">
        <f t="shared" si="226"/>
        <v>0.5</v>
      </c>
    </row>
    <row r="677" spans="1:20" x14ac:dyDescent="0.25">
      <c r="A677">
        <v>317</v>
      </c>
      <c r="B677" s="95">
        <f t="shared" si="222"/>
        <v>4675.3495819860709</v>
      </c>
      <c r="C677" s="95">
        <f t="shared" si="223"/>
        <v>-26185.568217798318</v>
      </c>
      <c r="D677" s="95">
        <f t="shared" si="224"/>
        <v>-4765.5338668112508</v>
      </c>
      <c r="E677" s="95">
        <f t="shared" si="225"/>
        <v>-312.29193687608904</v>
      </c>
      <c r="F677" s="96">
        <f t="shared" si="208"/>
        <v>-1315.5487253421259</v>
      </c>
      <c r="G677" s="94">
        <f t="shared" si="209"/>
        <v>2046.5202588003904</v>
      </c>
      <c r="H677" s="97">
        <f t="shared" si="210"/>
        <v>68.081168711053664</v>
      </c>
      <c r="I677" s="94">
        <f t="shared" si="211"/>
        <v>430.70486753551893</v>
      </c>
      <c r="J677" s="95">
        <f t="shared" si="212"/>
        <v>-52.245055861538589</v>
      </c>
      <c r="K677" s="94">
        <f t="shared" si="213"/>
        <v>76.615612947608923</v>
      </c>
      <c r="L677" s="94">
        <f t="shared" si="214"/>
        <v>-1331.3848381916409</v>
      </c>
      <c r="M677" s="93">
        <f t="shared" si="215"/>
        <v>1539.1997783172624</v>
      </c>
      <c r="N677" s="93">
        <f t="shared" si="216"/>
        <v>34103.80342762373</v>
      </c>
      <c r="O677" s="93">
        <f t="shared" si="217"/>
        <v>43798.039045580066</v>
      </c>
      <c r="P677" s="93">
        <f t="shared" si="218"/>
        <v>14789.500528708124</v>
      </c>
      <c r="Q677" s="93">
        <f t="shared" si="219"/>
        <v>40950831076265.094</v>
      </c>
      <c r="R677" s="93">
        <f t="shared" si="220"/>
        <v>84822459027516.172</v>
      </c>
      <c r="S677" s="93">
        <f t="shared" si="221"/>
        <v>3805061503850.6343</v>
      </c>
      <c r="T677">
        <f t="shared" si="226"/>
        <v>0.5</v>
      </c>
    </row>
    <row r="678" spans="1:20" x14ac:dyDescent="0.25">
      <c r="A678">
        <v>317.5</v>
      </c>
      <c r="B678" s="95">
        <f t="shared" si="222"/>
        <v>1963.695467244914</v>
      </c>
      <c r="C678" s="95">
        <f t="shared" si="223"/>
        <v>-25830.084121536267</v>
      </c>
      <c r="D678" s="95">
        <f t="shared" si="224"/>
        <v>-5423.3082294823134</v>
      </c>
      <c r="E678" s="95">
        <f t="shared" si="225"/>
        <v>710.96819252410614</v>
      </c>
      <c r="F678" s="96">
        <f t="shared" si="208"/>
        <v>-1335.0803018624335</v>
      </c>
      <c r="G678" s="94">
        <f t="shared" si="209"/>
        <v>2657.2494598171229</v>
      </c>
      <c r="H678" s="97">
        <f t="shared" si="210"/>
        <v>101.16363040671048</v>
      </c>
      <c r="I678" s="94">
        <f t="shared" si="211"/>
        <v>419.57000232539883</v>
      </c>
      <c r="J678" s="95">
        <f t="shared" si="212"/>
        <v>-52.593986261720993</v>
      </c>
      <c r="K678" s="94">
        <f t="shared" si="213"/>
        <v>85.79826445211441</v>
      </c>
      <c r="L678" s="94">
        <f t="shared" si="214"/>
        <v>-1383.6499460074231</v>
      </c>
      <c r="M678" s="93">
        <f t="shared" si="215"/>
        <v>2151.8811930396096</v>
      </c>
      <c r="N678" s="93">
        <f t="shared" si="216"/>
        <v>34285.225653214882</v>
      </c>
      <c r="O678" s="93">
        <f t="shared" si="217"/>
        <v>42026.168594510731</v>
      </c>
      <c r="P678" s="93">
        <f t="shared" si="218"/>
        <v>12875.704898764934</v>
      </c>
      <c r="Q678" s="93">
        <f t="shared" si="219"/>
        <v>41593991800896.328</v>
      </c>
      <c r="R678" s="93">
        <f t="shared" si="220"/>
        <v>75000138817833.969</v>
      </c>
      <c r="S678" s="93">
        <f t="shared" si="221"/>
        <v>2635191386961.7559</v>
      </c>
      <c r="T678">
        <f t="shared" si="226"/>
        <v>0.5</v>
      </c>
    </row>
    <row r="679" spans="1:20" x14ac:dyDescent="0.25">
      <c r="A679">
        <v>318</v>
      </c>
      <c r="B679" s="95">
        <f t="shared" si="222"/>
        <v>-1081.7287229618512</v>
      </c>
      <c r="C679" s="95">
        <f t="shared" si="223"/>
        <v>-24810.287660319933</v>
      </c>
      <c r="D679" s="95">
        <f t="shared" si="224"/>
        <v>-6090.8483804135303</v>
      </c>
      <c r="E679" s="95">
        <f t="shared" si="225"/>
        <v>2039.5929224326676</v>
      </c>
      <c r="F679" s="96">
        <f t="shared" si="208"/>
        <v>-1198.0848540694378</v>
      </c>
      <c r="G679" s="94">
        <f t="shared" si="209"/>
        <v>3728.1527502603453</v>
      </c>
      <c r="H679" s="97">
        <f t="shared" si="210"/>
        <v>141.03381622586932</v>
      </c>
      <c r="I679" s="94">
        <f t="shared" si="211"/>
        <v>411.20327757604707</v>
      </c>
      <c r="J679" s="95">
        <f t="shared" si="212"/>
        <v>-54.001114355130461</v>
      </c>
      <c r="K679" s="94">
        <f t="shared" si="213"/>
        <v>99.363958638308787</v>
      </c>
      <c r="L679" s="94">
        <f t="shared" si="214"/>
        <v>-1285.1175559401768</v>
      </c>
      <c r="M679" s="93">
        <f t="shared" si="215"/>
        <v>3217.5855140459894</v>
      </c>
      <c r="N679" s="93">
        <f t="shared" si="216"/>
        <v>34157.860005889423</v>
      </c>
      <c r="O679" s="93">
        <f t="shared" si="217"/>
        <v>39618.898459016105</v>
      </c>
      <c r="P679" s="93">
        <f t="shared" si="218"/>
        <v>10563.834236615403</v>
      </c>
      <c r="Q679" s="93">
        <f t="shared" si="219"/>
        <v>41141761218193.672</v>
      </c>
      <c r="R679" s="93">
        <f t="shared" si="220"/>
        <v>62917501644488.242</v>
      </c>
      <c r="S679" s="93">
        <f t="shared" si="221"/>
        <v>1596431418772.6038</v>
      </c>
      <c r="T679">
        <f t="shared" si="226"/>
        <v>0.5</v>
      </c>
    </row>
    <row r="680" spans="1:20" x14ac:dyDescent="0.25">
      <c r="A680">
        <v>318.5</v>
      </c>
      <c r="B680" s="95">
        <f t="shared" si="222"/>
        <v>-4426.6741266859763</v>
      </c>
      <c r="C680" s="95">
        <f t="shared" si="223"/>
        <v>-22858.453011538513</v>
      </c>
      <c r="D680" s="95">
        <f t="shared" si="224"/>
        <v>-6689.8908074482497</v>
      </c>
      <c r="E680" s="95">
        <f t="shared" si="225"/>
        <v>3903.6692975628403</v>
      </c>
      <c r="F680" s="96">
        <f t="shared" si="208"/>
        <v>-234.27345700402984</v>
      </c>
      <c r="G680" s="94">
        <f t="shared" si="209"/>
        <v>5589.3693154651937</v>
      </c>
      <c r="H680" s="97">
        <f t="shared" si="210"/>
        <v>192.49730512234791</v>
      </c>
      <c r="I680" s="94">
        <f t="shared" si="211"/>
        <v>405.07745174577036</v>
      </c>
      <c r="J680" s="95">
        <f t="shared" si="212"/>
        <v>-57.374316391200459</v>
      </c>
      <c r="K680" s="94">
        <f t="shared" si="213"/>
        <v>121.05514869112699</v>
      </c>
      <c r="L680" s="94">
        <f t="shared" si="214"/>
        <v>-369.39644573517728</v>
      </c>
      <c r="M680" s="93">
        <f t="shared" si="215"/>
        <v>5063.2367150282962</v>
      </c>
      <c r="N680" s="93">
        <f t="shared" si="216"/>
        <v>33611.971016460528</v>
      </c>
      <c r="O680" s="93">
        <f t="shared" si="217"/>
        <v>36362.156331382721</v>
      </c>
      <c r="P680" s="93">
        <f t="shared" si="218"/>
        <v>7879.339203992301</v>
      </c>
      <c r="Q680" s="93">
        <f t="shared" si="219"/>
        <v>39241011212532.961</v>
      </c>
      <c r="R680" s="93">
        <f t="shared" si="220"/>
        <v>48747976118026.953</v>
      </c>
      <c r="S680" s="93">
        <f t="shared" si="221"/>
        <v>812657319126.61218</v>
      </c>
      <c r="T680">
        <f t="shared" si="226"/>
        <v>0.5</v>
      </c>
    </row>
    <row r="681" spans="1:20" x14ac:dyDescent="0.25">
      <c r="A681">
        <v>319</v>
      </c>
      <c r="B681" s="95">
        <f t="shared" si="222"/>
        <v>-7830.1878946611087</v>
      </c>
      <c r="C681" s="95">
        <f t="shared" si="223"/>
        <v>-19509.276033890794</v>
      </c>
      <c r="D681" s="95">
        <f t="shared" si="224"/>
        <v>-6807.0275359502648</v>
      </c>
      <c r="E681" s="95">
        <f t="shared" si="225"/>
        <v>6698.3539552954371</v>
      </c>
      <c r="F681" s="96">
        <f t="shared" si="208"/>
        <v>4003.3940769051137</v>
      </c>
      <c r="G681" s="94">
        <f t="shared" si="209"/>
        <v>6622.881663452983</v>
      </c>
      <c r="H681" s="97">
        <f t="shared" si="210"/>
        <v>265.8332219717023</v>
      </c>
      <c r="I681" s="94">
        <f t="shared" si="211"/>
        <v>402.68576605197552</v>
      </c>
      <c r="J681" s="95">
        <f t="shared" si="212"/>
        <v>-66.007422280535067</v>
      </c>
      <c r="K681" s="94">
        <f t="shared" si="213"/>
        <v>160.05433999325183</v>
      </c>
      <c r="L681" s="94">
        <f t="shared" si="214"/>
        <v>3803.5682772139467</v>
      </c>
      <c r="M681" s="93">
        <f t="shared" si="215"/>
        <v>6060.1415574077555</v>
      </c>
      <c r="N681" s="93">
        <f t="shared" si="216"/>
        <v>32363.816095043971</v>
      </c>
      <c r="O681" s="93">
        <f t="shared" si="217"/>
        <v>31920.239640761072</v>
      </c>
      <c r="P681" s="93">
        <f t="shared" si="218"/>
        <v>5323.8645614730067</v>
      </c>
      <c r="Q681" s="93">
        <f t="shared" si="219"/>
        <v>35119254399760.32</v>
      </c>
      <c r="R681" s="93">
        <f t="shared" si="220"/>
        <v>33111880219371.672</v>
      </c>
      <c r="S681" s="93">
        <f t="shared" si="221"/>
        <v>389603343059.51758</v>
      </c>
      <c r="T681">
        <f t="shared" si="226"/>
        <v>0.5</v>
      </c>
    </row>
    <row r="682" spans="1:20" x14ac:dyDescent="0.25">
      <c r="A682">
        <v>319.5</v>
      </c>
      <c r="B682" s="95">
        <f t="shared" si="222"/>
        <v>-10232.853143409964</v>
      </c>
      <c r="C682" s="95">
        <f t="shared" si="223"/>
        <v>-14504.378640379829</v>
      </c>
      <c r="D682" s="95">
        <f t="shared" si="224"/>
        <v>-4805.3304974977082</v>
      </c>
      <c r="E682" s="95">
        <f t="shared" si="225"/>
        <v>10009.794787021929</v>
      </c>
      <c r="F682" s="96">
        <f t="shared" si="208"/>
        <v>7463.8493835630698</v>
      </c>
      <c r="G682" s="94">
        <f t="shared" si="209"/>
        <v>-32.29718343135653</v>
      </c>
      <c r="H682" s="97">
        <f t="shared" si="210"/>
        <v>380.53423103163072</v>
      </c>
      <c r="I682" s="94">
        <f t="shared" si="211"/>
        <v>413.85262107598908</v>
      </c>
      <c r="J682" s="95">
        <f t="shared" si="212"/>
        <v>-93.091017428483752</v>
      </c>
      <c r="K682" s="94">
        <f t="shared" si="213"/>
        <v>233.55208768532512</v>
      </c>
      <c r="L682" s="94">
        <f t="shared" si="214"/>
        <v>7176.4061699599224</v>
      </c>
      <c r="M682" s="93">
        <f t="shared" si="215"/>
        <v>-679.7018921926707</v>
      </c>
      <c r="N682" s="93">
        <f t="shared" si="216"/>
        <v>29892.491125230739</v>
      </c>
      <c r="O682" s="93">
        <f t="shared" si="217"/>
        <v>26379.191236072798</v>
      </c>
      <c r="P682" s="93">
        <f t="shared" si="218"/>
        <v>5256.2717350425564</v>
      </c>
      <c r="Q682" s="93">
        <f t="shared" si="219"/>
        <v>27839537862413.918</v>
      </c>
      <c r="R682" s="93">
        <f t="shared" si="220"/>
        <v>18843114328629.555</v>
      </c>
      <c r="S682" s="93">
        <f t="shared" si="221"/>
        <v>381794931040.04004</v>
      </c>
      <c r="T682">
        <f t="shared" si="226"/>
        <v>0.5</v>
      </c>
    </row>
    <row r="683" spans="1:20" x14ac:dyDescent="0.25">
      <c r="A683">
        <v>320</v>
      </c>
      <c r="B683" s="95">
        <f t="shared" si="222"/>
        <v>-10769.55604626805</v>
      </c>
      <c r="C683" s="95">
        <f t="shared" si="223"/>
        <v>-9507.5555427267045</v>
      </c>
      <c r="D683" s="95">
        <f t="shared" si="224"/>
        <v>-1073.4058057161733</v>
      </c>
      <c r="E683" s="95">
        <f t="shared" si="225"/>
        <v>9993.6461953062499</v>
      </c>
      <c r="F683" s="96">
        <f t="shared" si="208"/>
        <v>4006.7709422962812</v>
      </c>
      <c r="G683" s="94">
        <f t="shared" si="209"/>
        <v>-2684.2496008438675</v>
      </c>
      <c r="H683" s="97">
        <f t="shared" si="210"/>
        <v>534.1208719524451</v>
      </c>
      <c r="I683" s="94">
        <f t="shared" si="211"/>
        <v>437.37528024307915</v>
      </c>
      <c r="J683" s="95">
        <f t="shared" si="212"/>
        <v>-158.62775775416492</v>
      </c>
      <c r="K683" s="94">
        <f t="shared" si="213"/>
        <v>335.2427911938579</v>
      </c>
      <c r="L683" s="94">
        <f t="shared" si="214"/>
        <v>3631.277828098001</v>
      </c>
      <c r="M683" s="93">
        <f t="shared" si="215"/>
        <v>-3456.8676722808045</v>
      </c>
      <c r="N683" s="93">
        <f t="shared" si="216"/>
        <v>26844.578668662387</v>
      </c>
      <c r="O683" s="93">
        <f t="shared" si="217"/>
        <v>21581.144984350438</v>
      </c>
      <c r="P683" s="93">
        <f t="shared" si="218"/>
        <v>7965.8472924893777</v>
      </c>
      <c r="Q683" s="93">
        <f t="shared" si="219"/>
        <v>20360399090553.48</v>
      </c>
      <c r="R683" s="93">
        <f t="shared" si="220"/>
        <v>10450477789916.467</v>
      </c>
      <c r="S683" s="93">
        <f t="shared" si="221"/>
        <v>831919953410.45654</v>
      </c>
      <c r="T683">
        <f t="shared" si="226"/>
        <v>0.5</v>
      </c>
    </row>
    <row r="684" spans="1:20" x14ac:dyDescent="0.25">
      <c r="A684">
        <v>320.5</v>
      </c>
      <c r="B684" s="95">
        <f t="shared" si="222"/>
        <v>-10304.566213552067</v>
      </c>
      <c r="C684" s="95">
        <f t="shared" si="223"/>
        <v>-5181.7948452845467</v>
      </c>
      <c r="D684" s="95">
        <f t="shared" si="224"/>
        <v>929.97966543196731</v>
      </c>
      <c r="E684" s="95">
        <f t="shared" si="225"/>
        <v>8651.5213948843157</v>
      </c>
      <c r="F684" s="96">
        <f t="shared" ref="F684:F747" si="227">SUM(H684,J684,L684)</f>
        <v>1963.9436117847051</v>
      </c>
      <c r="G684" s="94">
        <f t="shared" ref="G684:G747" si="228">SUM(I684,K684,M684)</f>
        <v>-1916.1441577572914</v>
      </c>
      <c r="H684" s="97">
        <f t="shared" ref="H684:H747" si="229">$D$22*(($D$18-$B684)/$Q684)</f>
        <v>726.82190528503247</v>
      </c>
      <c r="I684" s="94">
        <f t="shared" ref="I684:I747" si="230">$D$22*(($E$18-$C684)/$Q684)</f>
        <v>453.95731161848499</v>
      </c>
      <c r="J684" s="95">
        <f t="shared" ref="J684:J747" si="231">$D$30*(($D$26-$B684)/$R684)</f>
        <v>-281.78713045021982</v>
      </c>
      <c r="K684" s="94">
        <f t="shared" ref="K684:K747" si="232">$D$30*(($E$26-$C684)/$R684)</f>
        <v>441.2421866586738</v>
      </c>
      <c r="L684" s="94">
        <f t="shared" ref="L684:L747" si="233">$D$38*(($D$34-$B684)/$S684)</f>
        <v>1518.9088369498925</v>
      </c>
      <c r="M684" s="93">
        <f t="shared" ref="M684:M747" si="234">$D$38*(($E$34-$C684)/$S684)</f>
        <v>-2811.3436560344503</v>
      </c>
      <c r="N684" s="93">
        <f t="shared" ref="N684:N747" si="235">SQRT(($D$18-$B684)^2+($E$18-$C684)^2)</f>
        <v>23939.576638245002</v>
      </c>
      <c r="O684" s="93">
        <f t="shared" ref="O684:O747" si="236">SQRT(($D$26-$B684)^2+($E$26-$C684)^2)</f>
        <v>18013.559643549204</v>
      </c>
      <c r="P684" s="93">
        <f t="shared" ref="P684:P747" si="237">SQRT(($D$34-$B684)^2+($E$34-$C684)^2)</f>
        <v>11159.550850013598</v>
      </c>
      <c r="Q684" s="93">
        <f t="shared" ref="Q684:Q747" si="238">($N684^2+$D$39^2)^(3/2)</f>
        <v>14627305439151.826</v>
      </c>
      <c r="R684" s="93">
        <f t="shared" ref="R684:R747" si="239">($O684^2+$D$31^2)^(3/2)</f>
        <v>6179293629269.3379</v>
      </c>
      <c r="S684" s="93">
        <f t="shared" ref="S684:S747" si="240">($P684^2+$D$23^2)^(3/2)</f>
        <v>1828591885786.4888</v>
      </c>
      <c r="T684">
        <f t="shared" si="226"/>
        <v>0.5</v>
      </c>
    </row>
    <row r="685" spans="1:20" x14ac:dyDescent="0.25">
      <c r="A685">
        <v>321</v>
      </c>
      <c r="B685" s="95">
        <f t="shared" ref="B685:B748" si="241">B684+(D684*$T684)+(F684*($T684)^2)</f>
        <v>-9348.5904778899057</v>
      </c>
      <c r="C685" s="95">
        <f t="shared" ref="C685:C748" si="242">C684+(E684*$T684)+(G684*($T684)^2)</f>
        <v>-1335.0701872817117</v>
      </c>
      <c r="D685" s="95">
        <f t="shared" ref="D685:D748" si="243">D684+(F684*$T684)</f>
        <v>1911.9514713243198</v>
      </c>
      <c r="E685" s="95">
        <f t="shared" ref="E685:E748" si="244">E684+(G684*$T684)</f>
        <v>7693.44931600567</v>
      </c>
      <c r="F685" s="96">
        <f t="shared" si="227"/>
        <v>1149.1676649445869</v>
      </c>
      <c r="G685" s="94">
        <f t="shared" si="228"/>
        <v>-1096.9065321813214</v>
      </c>
      <c r="H685" s="97">
        <f t="shared" si="229"/>
        <v>971.15440417527907</v>
      </c>
      <c r="I685" s="94">
        <f t="shared" si="230"/>
        <v>443.45438668419592</v>
      </c>
      <c r="J685" s="95">
        <f t="shared" si="231"/>
        <v>-472.03207550794212</v>
      </c>
      <c r="K685" s="94">
        <f t="shared" si="232"/>
        <v>502.32945183679527</v>
      </c>
      <c r="L685" s="94">
        <f t="shared" si="233"/>
        <v>650.04533627724993</v>
      </c>
      <c r="M685" s="93">
        <f t="shared" si="234"/>
        <v>-2042.6903707023125</v>
      </c>
      <c r="N685" s="93">
        <f t="shared" si="235"/>
        <v>21270.31778547951</v>
      </c>
      <c r="O685" s="93">
        <f t="shared" si="236"/>
        <v>15554.302972434998</v>
      </c>
      <c r="P685" s="93">
        <f t="shared" si="237"/>
        <v>14340.172451226374</v>
      </c>
      <c r="Q685" s="93">
        <f t="shared" si="238"/>
        <v>10431810060501.543</v>
      </c>
      <c r="R685" s="93">
        <f t="shared" si="239"/>
        <v>4052549368626.7964</v>
      </c>
      <c r="S685" s="93">
        <f t="shared" si="240"/>
        <v>3502704384960.6992</v>
      </c>
      <c r="T685">
        <f t="shared" si="226"/>
        <v>0.5</v>
      </c>
    </row>
    <row r="686" spans="1:20" x14ac:dyDescent="0.25">
      <c r="A686">
        <v>321.5</v>
      </c>
      <c r="B686" s="95">
        <f t="shared" si="241"/>
        <v>-8105.3228259915995</v>
      </c>
      <c r="C686" s="95">
        <f t="shared" si="242"/>
        <v>2237.4278376757929</v>
      </c>
      <c r="D686" s="95">
        <f t="shared" si="243"/>
        <v>2486.5353037966133</v>
      </c>
      <c r="E686" s="95">
        <f t="shared" si="244"/>
        <v>7144.9960499150093</v>
      </c>
      <c r="F686" s="96">
        <f t="shared" si="227"/>
        <v>863.89109607509226</v>
      </c>
      <c r="G686" s="94">
        <f t="shared" si="228"/>
        <v>-676.91538653037787</v>
      </c>
      <c r="H686" s="97">
        <f t="shared" si="229"/>
        <v>1277.2543442293047</v>
      </c>
      <c r="I686" s="94">
        <f t="shared" si="230"/>
        <v>371.25232290801011</v>
      </c>
      <c r="J686" s="95">
        <f t="shared" si="231"/>
        <v>-682.42123180069109</v>
      </c>
      <c r="K686" s="94">
        <f t="shared" si="232"/>
        <v>445.35416804169398</v>
      </c>
      <c r="L686" s="94">
        <f t="shared" si="233"/>
        <v>269.05798364647859</v>
      </c>
      <c r="M686" s="93">
        <f t="shared" si="234"/>
        <v>-1493.5218774800819</v>
      </c>
      <c r="N686" s="93">
        <f t="shared" si="235"/>
        <v>18854.638166696335</v>
      </c>
      <c r="O686" s="93">
        <f t="shared" si="236"/>
        <v>14203.551374538945</v>
      </c>
      <c r="P686" s="93">
        <f t="shared" si="237"/>
        <v>17514.906460289898</v>
      </c>
      <c r="Q686" s="93">
        <f t="shared" si="238"/>
        <v>7422112053352.4736</v>
      </c>
      <c r="R686" s="93">
        <f t="shared" si="239"/>
        <v>3130349809147.6636</v>
      </c>
      <c r="S686" s="93">
        <f t="shared" si="240"/>
        <v>6043096017782.6006</v>
      </c>
      <c r="T686">
        <f t="shared" si="226"/>
        <v>0.5</v>
      </c>
    </row>
    <row r="687" spans="1:20" x14ac:dyDescent="0.25">
      <c r="A687">
        <v>322</v>
      </c>
      <c r="B687" s="95">
        <f t="shared" si="241"/>
        <v>-6646.0824000745206</v>
      </c>
      <c r="C687" s="95">
        <f t="shared" si="242"/>
        <v>5640.6970160007031</v>
      </c>
      <c r="D687" s="95">
        <f t="shared" si="243"/>
        <v>2918.4808518341597</v>
      </c>
      <c r="E687" s="95">
        <f t="shared" si="244"/>
        <v>6806.5383566498203</v>
      </c>
      <c r="F687" s="96">
        <f t="shared" si="227"/>
        <v>930.60515167976519</v>
      </c>
      <c r="G687" s="94">
        <f t="shared" si="228"/>
        <v>-677.83953589925454</v>
      </c>
      <c r="H687" s="97">
        <f t="shared" si="229"/>
        <v>1631.8837575660123</v>
      </c>
      <c r="I687" s="94">
        <f t="shared" si="230"/>
        <v>182.27510035447673</v>
      </c>
      <c r="J687" s="95">
        <f t="shared" si="231"/>
        <v>-790.45053552714955</v>
      </c>
      <c r="K687" s="94">
        <f t="shared" si="232"/>
        <v>258.03763969957208</v>
      </c>
      <c r="L687" s="94">
        <f t="shared" si="233"/>
        <v>89.171929640902519</v>
      </c>
      <c r="M687" s="93">
        <f t="shared" si="234"/>
        <v>-1118.1522759533034</v>
      </c>
      <c r="N687" s="93">
        <f t="shared" si="235"/>
        <v>16749.599005838299</v>
      </c>
      <c r="O687" s="93">
        <f t="shared" si="236"/>
        <v>14047.44239254622</v>
      </c>
      <c r="P687" s="93">
        <f t="shared" si="237"/>
        <v>20706.229994235444</v>
      </c>
      <c r="Q687" s="93">
        <f t="shared" si="238"/>
        <v>5340986037012.4063</v>
      </c>
      <c r="R687" s="93">
        <f t="shared" si="239"/>
        <v>3034077965085.8237</v>
      </c>
      <c r="S687" s="93">
        <f t="shared" si="240"/>
        <v>9665448899488.5098</v>
      </c>
      <c r="T687">
        <f t="shared" si="226"/>
        <v>0.5</v>
      </c>
    </row>
    <row r="688" spans="1:20" x14ac:dyDescent="0.25">
      <c r="A688">
        <v>322.5</v>
      </c>
      <c r="B688" s="95">
        <f t="shared" si="241"/>
        <v>-4954.1906862374999</v>
      </c>
      <c r="C688" s="95">
        <f t="shared" si="242"/>
        <v>8874.5063103508</v>
      </c>
      <c r="D688" s="95">
        <f t="shared" si="243"/>
        <v>3383.7834276740423</v>
      </c>
      <c r="E688" s="95">
        <f t="shared" si="244"/>
        <v>6467.618588700193</v>
      </c>
      <c r="F688" s="96">
        <f t="shared" si="227"/>
        <v>1245.8207912921573</v>
      </c>
      <c r="G688" s="94">
        <f t="shared" si="228"/>
        <v>-988.422929192894</v>
      </c>
      <c r="H688" s="97">
        <f t="shared" si="229"/>
        <v>1974.7199224673031</v>
      </c>
      <c r="I688" s="94">
        <f t="shared" si="230"/>
        <v>-181.50530854904221</v>
      </c>
      <c r="J688" s="95">
        <f t="shared" si="231"/>
        <v>-727.24647175065388</v>
      </c>
      <c r="K688" s="94">
        <f t="shared" si="232"/>
        <v>54.401281958711813</v>
      </c>
      <c r="L688" s="94">
        <f t="shared" si="233"/>
        <v>-1.6526594244919215</v>
      </c>
      <c r="M688" s="93">
        <f t="shared" si="234"/>
        <v>-861.31890260256364</v>
      </c>
      <c r="N688" s="93">
        <f t="shared" si="235"/>
        <v>15017.226331035521</v>
      </c>
      <c r="O688" s="93">
        <f t="shared" si="236"/>
        <v>15087.84656442206</v>
      </c>
      <c r="P688" s="93">
        <f t="shared" si="237"/>
        <v>23874.550258721265</v>
      </c>
      <c r="Q688" s="93">
        <f t="shared" si="238"/>
        <v>3965117201833.0039</v>
      </c>
      <c r="R688" s="93">
        <f t="shared" si="239"/>
        <v>3715580481612.1533</v>
      </c>
      <c r="S688" s="93">
        <f t="shared" si="240"/>
        <v>14513395949330.15</v>
      </c>
      <c r="T688">
        <f t="shared" si="226"/>
        <v>0.5</v>
      </c>
    </row>
    <row r="689" spans="1:20" x14ac:dyDescent="0.25">
      <c r="A689">
        <v>323</v>
      </c>
      <c r="B689" s="95">
        <f t="shared" si="241"/>
        <v>-2950.8437745774395</v>
      </c>
      <c r="C689" s="95">
        <f t="shared" si="242"/>
        <v>11861.209872402673</v>
      </c>
      <c r="D689" s="95">
        <f t="shared" si="243"/>
        <v>4006.6938233201208</v>
      </c>
      <c r="E689" s="95">
        <f t="shared" si="244"/>
        <v>5973.4071241037464</v>
      </c>
      <c r="F689" s="96">
        <f t="shared" si="227"/>
        <v>1577.6901212208152</v>
      </c>
      <c r="G689" s="94">
        <f t="shared" si="228"/>
        <v>-1487.2062729594747</v>
      </c>
      <c r="H689" s="97">
        <f t="shared" si="229"/>
        <v>2200.7892731162224</v>
      </c>
      <c r="I689" s="94">
        <f t="shared" si="230"/>
        <v>-741.1180361725535</v>
      </c>
      <c r="J689" s="95">
        <f t="shared" si="231"/>
        <v>-570.93723331628166</v>
      </c>
      <c r="K689" s="94">
        <f t="shared" si="232"/>
        <v>-62.327660156342695</v>
      </c>
      <c r="L689" s="94">
        <f t="shared" si="233"/>
        <v>-52.161918579125484</v>
      </c>
      <c r="M689" s="93">
        <f t="shared" si="234"/>
        <v>-683.7605766305785</v>
      </c>
      <c r="N689" s="93">
        <f t="shared" si="235"/>
        <v>13665.449353191931</v>
      </c>
      <c r="O689" s="93">
        <f t="shared" si="236"/>
        <v>17150.446938432655</v>
      </c>
      <c r="P689" s="93">
        <f t="shared" si="237"/>
        <v>26939.258286846925</v>
      </c>
      <c r="Q689" s="93">
        <f t="shared" si="238"/>
        <v>3081188201963.5298</v>
      </c>
      <c r="R689" s="93">
        <f t="shared" si="239"/>
        <v>5362993449486.3369</v>
      </c>
      <c r="S689" s="93">
        <f t="shared" si="240"/>
        <v>20569329500664.863</v>
      </c>
      <c r="T689">
        <f t="shared" si="226"/>
        <v>0.5</v>
      </c>
    </row>
    <row r="690" spans="1:20" x14ac:dyDescent="0.25">
      <c r="A690">
        <v>323.5</v>
      </c>
      <c r="B690" s="95">
        <f t="shared" si="241"/>
        <v>-553.07433261217534</v>
      </c>
      <c r="C690" s="95">
        <f t="shared" si="242"/>
        <v>14476.111866214676</v>
      </c>
      <c r="D690" s="95">
        <f t="shared" si="243"/>
        <v>4795.5388839305288</v>
      </c>
      <c r="E690" s="95">
        <f t="shared" si="244"/>
        <v>5229.8039876240091</v>
      </c>
      <c r="F690" s="96">
        <f t="shared" si="227"/>
        <v>1691.0491457466385</v>
      </c>
      <c r="G690" s="94">
        <f t="shared" si="228"/>
        <v>-2106.7825168225354</v>
      </c>
      <c r="H690" s="97">
        <f t="shared" si="229"/>
        <v>2195.341171558282</v>
      </c>
      <c r="I690" s="94">
        <f t="shared" si="230"/>
        <v>-1451.2307138754411</v>
      </c>
      <c r="J690" s="95">
        <f t="shared" si="231"/>
        <v>-419.97549677496022</v>
      </c>
      <c r="K690" s="94">
        <f t="shared" si="232"/>
        <v>-96.666040524147874</v>
      </c>
      <c r="L690" s="94">
        <f t="shared" si="233"/>
        <v>-84.31652903668332</v>
      </c>
      <c r="M690" s="93">
        <f t="shared" si="234"/>
        <v>-558.88576242294664</v>
      </c>
      <c r="N690" s="93">
        <f t="shared" si="235"/>
        <v>12650.435353756769</v>
      </c>
      <c r="O690" s="93">
        <f t="shared" si="236"/>
        <v>19955.412683073613</v>
      </c>
      <c r="P690" s="93">
        <f t="shared" si="237"/>
        <v>29809.668207493927</v>
      </c>
      <c r="Q690" s="93">
        <f t="shared" si="238"/>
        <v>2516955847655.9897</v>
      </c>
      <c r="R690" s="93">
        <f t="shared" si="239"/>
        <v>8316100785755.3047</v>
      </c>
      <c r="S690" s="93">
        <f t="shared" si="240"/>
        <v>27615046079611.523</v>
      </c>
      <c r="T690">
        <f t="shared" si="226"/>
        <v>0.5</v>
      </c>
    </row>
    <row r="691" spans="1:20" x14ac:dyDescent="0.25">
      <c r="A691">
        <v>324</v>
      </c>
      <c r="B691" s="95">
        <f t="shared" si="241"/>
        <v>2267.4573957897487</v>
      </c>
      <c r="C691" s="95">
        <f t="shared" si="242"/>
        <v>16564.318230821045</v>
      </c>
      <c r="D691" s="95">
        <f t="shared" si="243"/>
        <v>5641.0634568038477</v>
      </c>
      <c r="E691" s="95">
        <f t="shared" si="244"/>
        <v>4176.4127292127414</v>
      </c>
      <c r="F691" s="96">
        <f t="shared" si="227"/>
        <v>1459.6920846676292</v>
      </c>
      <c r="G691" s="94">
        <f t="shared" si="228"/>
        <v>-2760.6609266674641</v>
      </c>
      <c r="H691" s="97">
        <f t="shared" si="229"/>
        <v>1876.8319511980883</v>
      </c>
      <c r="I691" s="94">
        <f t="shared" si="230"/>
        <v>-2200.0786729800079</v>
      </c>
      <c r="J691" s="95">
        <f t="shared" si="231"/>
        <v>-309.04610629346638</v>
      </c>
      <c r="K691" s="94">
        <f t="shared" si="232"/>
        <v>-91.105012738905472</v>
      </c>
      <c r="L691" s="94">
        <f t="shared" si="233"/>
        <v>-108.09376023699278</v>
      </c>
      <c r="M691" s="93">
        <f t="shared" si="234"/>
        <v>-469.47724094855062</v>
      </c>
      <c r="N691" s="93">
        <f t="shared" si="235"/>
        <v>11914.448376468019</v>
      </c>
      <c r="O691" s="93">
        <f t="shared" si="236"/>
        <v>23214.864477502364</v>
      </c>
      <c r="P691" s="93">
        <f t="shared" si="237"/>
        <v>32390.154713680527</v>
      </c>
      <c r="Q691" s="93">
        <f t="shared" si="238"/>
        <v>2157225550876.6367</v>
      </c>
      <c r="R691" s="93">
        <f t="shared" si="239"/>
        <v>12940173405869.135</v>
      </c>
      <c r="S691" s="93">
        <f t="shared" si="240"/>
        <v>35203066169642.367</v>
      </c>
      <c r="T691">
        <f t="shared" si="226"/>
        <v>0.5</v>
      </c>
    </row>
    <row r="692" spans="1:20" x14ac:dyDescent="0.25">
      <c r="A692">
        <v>324.5</v>
      </c>
      <c r="B692" s="95">
        <f t="shared" si="241"/>
        <v>5452.9121453585794</v>
      </c>
      <c r="C692" s="95">
        <f t="shared" si="242"/>
        <v>17962.359363760548</v>
      </c>
      <c r="D692" s="95">
        <f t="shared" si="243"/>
        <v>6370.9094991376624</v>
      </c>
      <c r="E692" s="95">
        <f t="shared" si="244"/>
        <v>2796.0822658790094</v>
      </c>
      <c r="F692" s="96">
        <f t="shared" si="227"/>
        <v>868.92707504595569</v>
      </c>
      <c r="G692" s="94">
        <f t="shared" si="228"/>
        <v>-3313.1281316042632</v>
      </c>
      <c r="H692" s="97">
        <f t="shared" si="229"/>
        <v>1232.1370143185222</v>
      </c>
      <c r="I692" s="94">
        <f t="shared" si="230"/>
        <v>-2835.0145502539303</v>
      </c>
      <c r="J692" s="95">
        <f t="shared" si="231"/>
        <v>-234.89431432367732</v>
      </c>
      <c r="K692" s="94">
        <f t="shared" si="232"/>
        <v>-73.4812948894849</v>
      </c>
      <c r="L692" s="94">
        <f t="shared" si="233"/>
        <v>-128.31562494888925</v>
      </c>
      <c r="M692" s="93">
        <f t="shared" si="234"/>
        <v>-404.63228646084769</v>
      </c>
      <c r="N692" s="93">
        <f t="shared" si="235"/>
        <v>11407.759263514265</v>
      </c>
      <c r="O692" s="93">
        <f t="shared" si="236"/>
        <v>26669.268893560009</v>
      </c>
      <c r="P692" s="93">
        <f t="shared" si="237"/>
        <v>34580.059386072171</v>
      </c>
      <c r="Q692" s="93">
        <f t="shared" si="238"/>
        <v>1932292923238.7014</v>
      </c>
      <c r="R692" s="93">
        <f t="shared" si="239"/>
        <v>19460666767822.512</v>
      </c>
      <c r="S692" s="93">
        <f t="shared" si="240"/>
        <v>42653667493155.258</v>
      </c>
      <c r="T692">
        <f t="shared" si="226"/>
        <v>0.5</v>
      </c>
    </row>
    <row r="693" spans="1:20" x14ac:dyDescent="0.25">
      <c r="A693">
        <v>325</v>
      </c>
      <c r="B693" s="95">
        <f t="shared" si="241"/>
        <v>8855.5986636888993</v>
      </c>
      <c r="C693" s="95">
        <f t="shared" si="242"/>
        <v>18532.118463798986</v>
      </c>
      <c r="D693" s="95">
        <f t="shared" si="243"/>
        <v>6805.3730366606405</v>
      </c>
      <c r="E693" s="95">
        <f t="shared" si="244"/>
        <v>1139.5182000768777</v>
      </c>
      <c r="F693" s="96">
        <f t="shared" si="227"/>
        <v>-1.3420484317552734</v>
      </c>
      <c r="G693" s="94">
        <f t="shared" si="228"/>
        <v>-3620.1643154065778</v>
      </c>
      <c r="H693" s="97">
        <f t="shared" si="229"/>
        <v>332.74251581337279</v>
      </c>
      <c r="I693" s="94">
        <f t="shared" si="230"/>
        <v>-3207.6638989503326</v>
      </c>
      <c r="J693" s="95">
        <f t="shared" si="231"/>
        <v>-186.41333354056584</v>
      </c>
      <c r="K693" s="94">
        <f t="shared" si="232"/>
        <v>-55.119308510525663</v>
      </c>
      <c r="L693" s="94">
        <f t="shared" si="233"/>
        <v>-147.67123070456222</v>
      </c>
      <c r="M693" s="93">
        <f t="shared" si="234"/>
        <v>-357.38110794571963</v>
      </c>
      <c r="N693" s="93">
        <f t="shared" si="235"/>
        <v>11091.316072398493</v>
      </c>
      <c r="O693" s="93">
        <f t="shared" si="236"/>
        <v>30090.57360237894</v>
      </c>
      <c r="P693" s="93">
        <f t="shared" si="237"/>
        <v>36281.959470230751</v>
      </c>
      <c r="Q693" s="93">
        <f t="shared" si="238"/>
        <v>1800813271549.675</v>
      </c>
      <c r="R693" s="93">
        <f t="shared" si="239"/>
        <v>27800068020768.586</v>
      </c>
      <c r="S693" s="93">
        <f t="shared" si="240"/>
        <v>49127879959253.297</v>
      </c>
      <c r="T693">
        <f t="shared" si="226"/>
        <v>0.5</v>
      </c>
    </row>
    <row r="694" spans="1:20" x14ac:dyDescent="0.25">
      <c r="A694">
        <v>325.5</v>
      </c>
      <c r="B694" s="95">
        <f t="shared" si="241"/>
        <v>12257.949669911281</v>
      </c>
      <c r="C694" s="95">
        <f t="shared" si="242"/>
        <v>18196.836484985779</v>
      </c>
      <c r="D694" s="95">
        <f t="shared" si="243"/>
        <v>6804.7020124447627</v>
      </c>
      <c r="E694" s="95">
        <f t="shared" si="244"/>
        <v>-670.56395762641114</v>
      </c>
      <c r="F694" s="96">
        <f t="shared" si="227"/>
        <v>-1003.0499348114547</v>
      </c>
      <c r="G694" s="94">
        <f t="shared" si="228"/>
        <v>-3586.1795567935778</v>
      </c>
      <c r="H694" s="97">
        <f t="shared" si="229"/>
        <v>-680.484177461071</v>
      </c>
      <c r="I694" s="94">
        <f t="shared" si="230"/>
        <v>-3223.7334932302233</v>
      </c>
      <c r="J694" s="95">
        <f t="shared" si="231"/>
        <v>-154.55912413908678</v>
      </c>
      <c r="K694" s="94">
        <f t="shared" si="232"/>
        <v>-39.273911727018863</v>
      </c>
      <c r="L694" s="94">
        <f t="shared" si="233"/>
        <v>-168.0066332112969</v>
      </c>
      <c r="M694" s="93">
        <f t="shared" si="234"/>
        <v>-323.17215183633544</v>
      </c>
      <c r="N694" s="93">
        <f t="shared" si="235"/>
        <v>10932.549908341392</v>
      </c>
      <c r="O694" s="93">
        <f t="shared" si="236"/>
        <v>33283.08046542752</v>
      </c>
      <c r="P694" s="93">
        <f t="shared" si="237"/>
        <v>37414.793590504727</v>
      </c>
      <c r="Q694" s="93">
        <f t="shared" si="238"/>
        <v>1737380120929.7976</v>
      </c>
      <c r="R694" s="93">
        <f t="shared" si="239"/>
        <v>37483044137855.281</v>
      </c>
      <c r="S694" s="93">
        <f t="shared" si="240"/>
        <v>53785027077698.781</v>
      </c>
      <c r="T694">
        <f t="shared" si="226"/>
        <v>0.5</v>
      </c>
    </row>
    <row r="695" spans="1:20" x14ac:dyDescent="0.25">
      <c r="A695">
        <v>326</v>
      </c>
      <c r="B695" s="95">
        <f t="shared" si="241"/>
        <v>15409.538192430799</v>
      </c>
      <c r="C695" s="95">
        <f t="shared" si="242"/>
        <v>16965.009616974177</v>
      </c>
      <c r="D695" s="95">
        <f t="shared" si="243"/>
        <v>6303.177045039035</v>
      </c>
      <c r="E695" s="95">
        <f t="shared" si="244"/>
        <v>-2463.6537360232001</v>
      </c>
      <c r="F695" s="96">
        <f t="shared" si="227"/>
        <v>-1966.0393673360225</v>
      </c>
      <c r="G695" s="94">
        <f t="shared" si="228"/>
        <v>-3197.7224270894985</v>
      </c>
      <c r="H695" s="97">
        <f t="shared" si="229"/>
        <v>-1641.7091966568664</v>
      </c>
      <c r="I695" s="94">
        <f t="shared" si="230"/>
        <v>-2872.4805670795663</v>
      </c>
      <c r="J695" s="95">
        <f t="shared" si="231"/>
        <v>-133.42099396762868</v>
      </c>
      <c r="K695" s="94">
        <f t="shared" si="232"/>
        <v>-26.243734132896186</v>
      </c>
      <c r="L695" s="94">
        <f t="shared" si="233"/>
        <v>-190.90917671152738</v>
      </c>
      <c r="M695" s="93">
        <f t="shared" si="234"/>
        <v>-298.99812587703587</v>
      </c>
      <c r="N695" s="93">
        <f t="shared" si="235"/>
        <v>10901.812257821226</v>
      </c>
      <c r="O695" s="93">
        <f t="shared" si="236"/>
        <v>36088.041703114875</v>
      </c>
      <c r="P695" s="93">
        <f t="shared" si="237"/>
        <v>37925.072037394246</v>
      </c>
      <c r="Q695" s="93">
        <f t="shared" si="238"/>
        <v>1725291896930.8828</v>
      </c>
      <c r="R695" s="93">
        <f t="shared" si="239"/>
        <v>47663818636884.273</v>
      </c>
      <c r="S695" s="93">
        <f t="shared" si="240"/>
        <v>55976404027089.508</v>
      </c>
      <c r="T695">
        <f t="shared" si="226"/>
        <v>0.5</v>
      </c>
    </row>
    <row r="696" spans="1:20" x14ac:dyDescent="0.25">
      <c r="A696">
        <v>326.5</v>
      </c>
      <c r="B696" s="95">
        <f t="shared" si="241"/>
        <v>18069.616873116309</v>
      </c>
      <c r="C696" s="95">
        <f t="shared" si="242"/>
        <v>14933.752142190202</v>
      </c>
      <c r="D696" s="95">
        <f t="shared" si="243"/>
        <v>5320.1573613710234</v>
      </c>
      <c r="E696" s="95">
        <f t="shared" si="244"/>
        <v>-4062.5149495679493</v>
      </c>
      <c r="F696" s="96">
        <f t="shared" si="227"/>
        <v>-2747.8536713856029</v>
      </c>
      <c r="G696" s="94">
        <f t="shared" si="228"/>
        <v>-2518.8930793037521</v>
      </c>
      <c r="H696" s="97">
        <f t="shared" si="229"/>
        <v>-2410.4453332495646</v>
      </c>
      <c r="I696" s="94">
        <f t="shared" si="230"/>
        <v>-2220.5085373224833</v>
      </c>
      <c r="J696" s="95">
        <f t="shared" si="231"/>
        <v>-119.36920286719206</v>
      </c>
      <c r="K696" s="94">
        <f t="shared" si="232"/>
        <v>-15.470028561633285</v>
      </c>
      <c r="L696" s="94">
        <f t="shared" si="233"/>
        <v>-218.03913526884597</v>
      </c>
      <c r="M696" s="93">
        <f t="shared" si="234"/>
        <v>-282.91451341963563</v>
      </c>
      <c r="N696" s="93">
        <f t="shared" si="235"/>
        <v>10971.754070812964</v>
      </c>
      <c r="O696" s="93">
        <f t="shared" si="236"/>
        <v>38387.988213325632</v>
      </c>
      <c r="P696" s="93">
        <f t="shared" si="237"/>
        <v>37792.019527705175</v>
      </c>
      <c r="Q696" s="93">
        <f t="shared" si="238"/>
        <v>1752888338112.5876</v>
      </c>
      <c r="R696" s="93">
        <f t="shared" si="239"/>
        <v>57276827490605.008</v>
      </c>
      <c r="S696" s="93">
        <f t="shared" si="240"/>
        <v>55399335231226.57</v>
      </c>
      <c r="T696">
        <f t="shared" si="226"/>
        <v>0.5</v>
      </c>
    </row>
    <row r="697" spans="1:20" x14ac:dyDescent="0.25">
      <c r="A697">
        <v>327</v>
      </c>
      <c r="B697" s="95">
        <f t="shared" si="241"/>
        <v>20042.732135955419</v>
      </c>
      <c r="C697" s="95">
        <f t="shared" si="242"/>
        <v>12272.771397580289</v>
      </c>
      <c r="D697" s="95">
        <f t="shared" si="243"/>
        <v>3946.230525678222</v>
      </c>
      <c r="E697" s="95">
        <f t="shared" si="244"/>
        <v>-5321.9614892198251</v>
      </c>
      <c r="F697" s="96">
        <f t="shared" si="227"/>
        <v>-3263.4000687007456</v>
      </c>
      <c r="G697" s="94">
        <f t="shared" si="228"/>
        <v>-1659.1136895751256</v>
      </c>
      <c r="H697" s="97">
        <f t="shared" si="229"/>
        <v>-2901.7854301515499</v>
      </c>
      <c r="I697" s="94">
        <f t="shared" si="230"/>
        <v>-1379.0628203014348</v>
      </c>
      <c r="J697" s="95">
        <f t="shared" si="231"/>
        <v>-110.20666966008676</v>
      </c>
      <c r="K697" s="94">
        <f t="shared" si="232"/>
        <v>-6.2551817337438109</v>
      </c>
      <c r="L697" s="94">
        <f t="shared" si="233"/>
        <v>-251.40796888910884</v>
      </c>
      <c r="M697" s="93">
        <f t="shared" si="234"/>
        <v>-273.7956875399471</v>
      </c>
      <c r="N697" s="93">
        <f t="shared" si="235"/>
        <v>11119.164337669994</v>
      </c>
      <c r="O697" s="93">
        <f t="shared" si="236"/>
        <v>40107.179989841417</v>
      </c>
      <c r="P697" s="93">
        <f t="shared" si="237"/>
        <v>37026.240594177099</v>
      </c>
      <c r="Q697" s="93">
        <f t="shared" si="238"/>
        <v>1812112706683.9397</v>
      </c>
      <c r="R697" s="93">
        <f t="shared" si="239"/>
        <v>65254214421447.563</v>
      </c>
      <c r="S697" s="93">
        <f t="shared" si="240"/>
        <v>52155641453855.539</v>
      </c>
      <c r="T697">
        <f t="shared" si="226"/>
        <v>0.5</v>
      </c>
    </row>
    <row r="698" spans="1:20" x14ac:dyDescent="0.25">
      <c r="A698">
        <v>327.5</v>
      </c>
      <c r="B698" s="95">
        <f t="shared" si="241"/>
        <v>21199.997381619341</v>
      </c>
      <c r="C698" s="95">
        <f t="shared" si="242"/>
        <v>9197.0122305765944</v>
      </c>
      <c r="D698" s="95">
        <f t="shared" si="243"/>
        <v>2314.5304913278492</v>
      </c>
      <c r="E698" s="95">
        <f t="shared" si="244"/>
        <v>-6151.5183340073881</v>
      </c>
      <c r="F698" s="96">
        <f t="shared" si="227"/>
        <v>-3487.3305907062513</v>
      </c>
      <c r="G698" s="94">
        <f t="shared" si="228"/>
        <v>-737.2629493023021</v>
      </c>
      <c r="H698" s="97">
        <f t="shared" si="229"/>
        <v>-3089.0092724378492</v>
      </c>
      <c r="I698" s="94">
        <f t="shared" si="230"/>
        <v>-468.04354832211709</v>
      </c>
      <c r="J698" s="95">
        <f t="shared" si="231"/>
        <v>-104.60882367363395</v>
      </c>
      <c r="K698" s="94">
        <f t="shared" si="232"/>
        <v>2.0388255175271599</v>
      </c>
      <c r="L698" s="94">
        <f t="shared" si="233"/>
        <v>-293.71249459476809</v>
      </c>
      <c r="M698" s="93">
        <f t="shared" si="234"/>
        <v>-271.25822649771214</v>
      </c>
      <c r="N698" s="93">
        <f t="shared" si="235"/>
        <v>11327.832619658831</v>
      </c>
      <c r="O698" s="93">
        <f t="shared" si="236"/>
        <v>41207.821752711992</v>
      </c>
      <c r="P698" s="93">
        <f t="shared" si="237"/>
        <v>35664.201430615736</v>
      </c>
      <c r="Q698" s="93">
        <f t="shared" si="238"/>
        <v>1898441991756.1221</v>
      </c>
      <c r="R698" s="93">
        <f t="shared" si="239"/>
        <v>70732924118172.797</v>
      </c>
      <c r="S698" s="93">
        <f t="shared" si="240"/>
        <v>46706513349462.688</v>
      </c>
      <c r="T698">
        <f t="shared" si="226"/>
        <v>0.5</v>
      </c>
    </row>
    <row r="699" spans="1:20" x14ac:dyDescent="0.25">
      <c r="A699">
        <v>328</v>
      </c>
      <c r="B699" s="95">
        <f t="shared" si="241"/>
        <v>21485.429979606706</v>
      </c>
      <c r="C699" s="95">
        <f t="shared" si="242"/>
        <v>5936.9373262473246</v>
      </c>
      <c r="D699" s="95">
        <f t="shared" si="243"/>
        <v>570.86519597472352</v>
      </c>
      <c r="E699" s="95">
        <f t="shared" si="244"/>
        <v>-6520.1498086585389</v>
      </c>
      <c r="F699" s="96">
        <f t="shared" si="227"/>
        <v>-3440.0167737904353</v>
      </c>
      <c r="G699" s="94">
        <f t="shared" si="228"/>
        <v>141.04906322540972</v>
      </c>
      <c r="H699" s="97">
        <f t="shared" si="229"/>
        <v>-2989.399685983773</v>
      </c>
      <c r="I699" s="94">
        <f t="shared" si="230"/>
        <v>406.83013821735977</v>
      </c>
      <c r="J699" s="95">
        <f t="shared" si="231"/>
        <v>-101.79019609928261</v>
      </c>
      <c r="K699" s="94">
        <f t="shared" si="232"/>
        <v>9.9692819027853119</v>
      </c>
      <c r="L699" s="94">
        <f t="shared" si="233"/>
        <v>-348.82689170737973</v>
      </c>
      <c r="M699" s="93">
        <f t="shared" si="234"/>
        <v>-275.75035689473538</v>
      </c>
      <c r="N699" s="93">
        <f t="shared" si="235"/>
        <v>11591.301339302992</v>
      </c>
      <c r="O699" s="93">
        <f t="shared" si="236"/>
        <v>41683.922306852233</v>
      </c>
      <c r="P699" s="93">
        <f t="shared" si="237"/>
        <v>33761.418006473868</v>
      </c>
      <c r="Q699" s="93">
        <f t="shared" si="238"/>
        <v>2011693887150.1272</v>
      </c>
      <c r="R699" s="93">
        <f t="shared" si="239"/>
        <v>73195163807400.641</v>
      </c>
      <c r="S699" s="93">
        <f t="shared" si="240"/>
        <v>39755360146229.125</v>
      </c>
      <c r="T699">
        <f t="shared" si="226"/>
        <v>0.5</v>
      </c>
    </row>
    <row r="700" spans="1:20" x14ac:dyDescent="0.25">
      <c r="A700">
        <v>328.5</v>
      </c>
      <c r="B700" s="95">
        <f t="shared" si="241"/>
        <v>20910.858384146457</v>
      </c>
      <c r="C700" s="95">
        <f t="shared" si="242"/>
        <v>2712.1246877244075</v>
      </c>
      <c r="D700" s="95">
        <f t="shared" si="243"/>
        <v>-1149.1431909204941</v>
      </c>
      <c r="E700" s="95">
        <f t="shared" si="244"/>
        <v>-6449.6252770458341</v>
      </c>
      <c r="F700" s="96">
        <f t="shared" si="227"/>
        <v>-3171.7966236110351</v>
      </c>
      <c r="G700" s="94">
        <f t="shared" si="228"/>
        <v>891.0948811212985</v>
      </c>
      <c r="H700" s="97">
        <f t="shared" si="229"/>
        <v>-2647.8757665249277</v>
      </c>
      <c r="I700" s="94">
        <f t="shared" si="230"/>
        <v>1161.9341545976149</v>
      </c>
      <c r="J700" s="95">
        <f t="shared" si="231"/>
        <v>-101.31154494949318</v>
      </c>
      <c r="K700" s="94">
        <f t="shared" si="232"/>
        <v>18.047675762580184</v>
      </c>
      <c r="L700" s="94">
        <f t="shared" si="233"/>
        <v>-422.60931213661422</v>
      </c>
      <c r="M700" s="93">
        <f t="shared" si="234"/>
        <v>-288.88694923889659</v>
      </c>
      <c r="N700" s="93">
        <f t="shared" si="235"/>
        <v>11915.140816826175</v>
      </c>
      <c r="O700" s="93">
        <f t="shared" si="236"/>
        <v>41554.921011776241</v>
      </c>
      <c r="P700" s="93">
        <f t="shared" si="237"/>
        <v>31386.174395054732</v>
      </c>
      <c r="Q700" s="93">
        <f t="shared" si="238"/>
        <v>2157545366323.2637</v>
      </c>
      <c r="R700" s="93">
        <f t="shared" si="239"/>
        <v>72522438105821.469</v>
      </c>
      <c r="S700" s="93">
        <f t="shared" si="240"/>
        <v>32102685234381.008</v>
      </c>
      <c r="T700">
        <f t="shared" si="226"/>
        <v>0.5</v>
      </c>
    </row>
    <row r="701" spans="1:20" x14ac:dyDescent="0.25">
      <c r="A701">
        <v>329</v>
      </c>
      <c r="B701" s="95">
        <f t="shared" si="241"/>
        <v>19543.337632783452</v>
      </c>
      <c r="C701" s="95">
        <f t="shared" si="242"/>
        <v>-289.91423051818492</v>
      </c>
      <c r="D701" s="95">
        <f t="shared" si="243"/>
        <v>-2735.0415027260115</v>
      </c>
      <c r="E701" s="95">
        <f t="shared" si="244"/>
        <v>-6004.0778364851849</v>
      </c>
      <c r="F701" s="96">
        <f t="shared" si="227"/>
        <v>-2753.6220088815153</v>
      </c>
      <c r="G701" s="94">
        <f t="shared" si="228"/>
        <v>1448.1892197912348</v>
      </c>
      <c r="H701" s="97">
        <f t="shared" si="229"/>
        <v>-2126.3271436783443</v>
      </c>
      <c r="I701" s="94">
        <f t="shared" si="230"/>
        <v>1735.6512692557767</v>
      </c>
      <c r="J701" s="95">
        <f t="shared" si="231"/>
        <v>-102.96781296159169</v>
      </c>
      <c r="K701" s="94">
        <f t="shared" si="232"/>
        <v>26.794146051050898</v>
      </c>
      <c r="L701" s="94">
        <f t="shared" si="233"/>
        <v>-524.32705224157894</v>
      </c>
      <c r="M701" s="93">
        <f t="shared" si="234"/>
        <v>-314.25619551559265</v>
      </c>
      <c r="N701" s="93">
        <f t="shared" si="235"/>
        <v>12319.012009578146</v>
      </c>
      <c r="O701" s="93">
        <f t="shared" si="236"/>
        <v>40860.223763603266</v>
      </c>
      <c r="P701" s="93">
        <f t="shared" si="237"/>
        <v>28614.018338959591</v>
      </c>
      <c r="Q701" s="93">
        <f t="shared" si="238"/>
        <v>2350005225913.8521</v>
      </c>
      <c r="R701" s="93">
        <f t="shared" si="239"/>
        <v>68970690958875.883</v>
      </c>
      <c r="S701" s="93">
        <f t="shared" si="240"/>
        <v>24509247574927.996</v>
      </c>
      <c r="T701">
        <f t="shared" si="226"/>
        <v>0.5</v>
      </c>
    </row>
    <row r="702" spans="1:20" x14ac:dyDescent="0.25">
      <c r="A702">
        <v>329.5</v>
      </c>
      <c r="B702" s="95">
        <f t="shared" si="241"/>
        <v>17487.411379200068</v>
      </c>
      <c r="C702" s="95">
        <f t="shared" si="242"/>
        <v>-2929.9058438129687</v>
      </c>
      <c r="D702" s="95">
        <f t="shared" si="243"/>
        <v>-4111.8525071667691</v>
      </c>
      <c r="E702" s="95">
        <f t="shared" si="244"/>
        <v>-5279.9832265895675</v>
      </c>
      <c r="F702" s="96">
        <f t="shared" si="227"/>
        <v>-2274.8474765848596</v>
      </c>
      <c r="G702" s="94">
        <f t="shared" si="228"/>
        <v>1765.3003403953576</v>
      </c>
      <c r="H702" s="97">
        <f t="shared" si="229"/>
        <v>-1498.7669029502472</v>
      </c>
      <c r="I702" s="94">
        <f t="shared" si="230"/>
        <v>2087.7706443404109</v>
      </c>
      <c r="J702" s="95">
        <f t="shared" si="231"/>
        <v>-106.7190106765734</v>
      </c>
      <c r="K702" s="94">
        <f t="shared" si="232"/>
        <v>36.808803516334166</v>
      </c>
      <c r="L702" s="94">
        <f t="shared" si="233"/>
        <v>-669.36156295803926</v>
      </c>
      <c r="M702" s="93">
        <f t="shared" si="234"/>
        <v>-359.27910746138735</v>
      </c>
      <c r="N702" s="93">
        <f t="shared" si="235"/>
        <v>12839.169173750246</v>
      </c>
      <c r="O702" s="93">
        <f t="shared" si="236"/>
        <v>39654.614826565237</v>
      </c>
      <c r="P702" s="93">
        <f t="shared" si="237"/>
        <v>25521.967860582325</v>
      </c>
      <c r="Q702" s="93">
        <f t="shared" si="238"/>
        <v>2615749936052.6421</v>
      </c>
      <c r="R702" s="93">
        <f t="shared" si="239"/>
        <v>63086495675910.75</v>
      </c>
      <c r="S702" s="93">
        <f t="shared" si="240"/>
        <v>17590464878937.959</v>
      </c>
      <c r="T702">
        <f t="shared" si="226"/>
        <v>0.5</v>
      </c>
    </row>
    <row r="703" spans="1:20" x14ac:dyDescent="0.25">
      <c r="A703">
        <v>330</v>
      </c>
      <c r="B703" s="95">
        <f t="shared" si="241"/>
        <v>14862.773256470469</v>
      </c>
      <c r="C703" s="95">
        <f t="shared" si="242"/>
        <v>-5128.5723720089127</v>
      </c>
      <c r="D703" s="95">
        <f t="shared" si="243"/>
        <v>-5249.2762454591993</v>
      </c>
      <c r="E703" s="95">
        <f t="shared" si="244"/>
        <v>-4397.3330563918889</v>
      </c>
      <c r="F703" s="96">
        <f t="shared" si="227"/>
        <v>-1845.3990545270342</v>
      </c>
      <c r="G703" s="94">
        <f t="shared" si="228"/>
        <v>1811.3704840716046</v>
      </c>
      <c r="H703" s="97">
        <f t="shared" si="229"/>
        <v>-847.98611535444593</v>
      </c>
      <c r="I703" s="94">
        <f t="shared" si="230"/>
        <v>2202.2112616423105</v>
      </c>
      <c r="J703" s="95">
        <f t="shared" si="231"/>
        <v>-112.63478727721291</v>
      </c>
      <c r="K703" s="94">
        <f t="shared" si="232"/>
        <v>48.877452129052415</v>
      </c>
      <c r="L703" s="94">
        <f t="shared" si="233"/>
        <v>-884.77815189537534</v>
      </c>
      <c r="M703" s="93">
        <f t="shared" si="234"/>
        <v>-439.71822969975852</v>
      </c>
      <c r="N703" s="93">
        <f t="shared" si="235"/>
        <v>13532.457422763657</v>
      </c>
      <c r="O703" s="93">
        <f t="shared" si="236"/>
        <v>38003.77167002223</v>
      </c>
      <c r="P703" s="93">
        <f t="shared" si="237"/>
        <v>22180.505964757078</v>
      </c>
      <c r="Q703" s="93">
        <f t="shared" si="238"/>
        <v>3002575250935.376</v>
      </c>
      <c r="R703" s="93">
        <f t="shared" si="239"/>
        <v>55588138447139.578</v>
      </c>
      <c r="S703" s="93">
        <f t="shared" si="240"/>
        <v>11754498836567.547</v>
      </c>
      <c r="T703">
        <f t="shared" si="226"/>
        <v>0.5</v>
      </c>
    </row>
    <row r="704" spans="1:20" x14ac:dyDescent="0.25">
      <c r="A704">
        <v>330.5</v>
      </c>
      <c r="B704" s="95">
        <f t="shared" si="241"/>
        <v>11776.785370109112</v>
      </c>
      <c r="C704" s="95">
        <f t="shared" si="242"/>
        <v>-6874.3962791869553</v>
      </c>
      <c r="D704" s="95">
        <f t="shared" si="243"/>
        <v>-6171.9757727227161</v>
      </c>
      <c r="E704" s="95">
        <f t="shared" si="244"/>
        <v>-3491.6478143560867</v>
      </c>
      <c r="F704" s="96">
        <f t="shared" si="227"/>
        <v>-1601.3386278827927</v>
      </c>
      <c r="G704" s="94">
        <f t="shared" si="228"/>
        <v>1564.4999214236914</v>
      </c>
      <c r="H704" s="97">
        <f t="shared" si="229"/>
        <v>-258.60760571194214</v>
      </c>
      <c r="I704" s="94">
        <f t="shared" si="230"/>
        <v>2092.1650233347596</v>
      </c>
      <c r="J704" s="95">
        <f t="shared" si="231"/>
        <v>-120.81178039374089</v>
      </c>
      <c r="K704" s="94">
        <f t="shared" si="232"/>
        <v>64.154565473313411</v>
      </c>
      <c r="L704" s="94">
        <f t="shared" si="233"/>
        <v>-1221.9192417771096</v>
      </c>
      <c r="M704" s="93">
        <f t="shared" si="234"/>
        <v>-591.81966738438166</v>
      </c>
      <c r="N704" s="93">
        <f t="shared" si="235"/>
        <v>14483.792136127111</v>
      </c>
      <c r="O704" s="93">
        <f t="shared" si="236"/>
        <v>35979.290407747329</v>
      </c>
      <c r="P704" s="93">
        <f t="shared" si="237"/>
        <v>18640.975381733595</v>
      </c>
      <c r="Q704" s="93">
        <f t="shared" si="238"/>
        <v>3597429556369.54</v>
      </c>
      <c r="R704" s="93">
        <f t="shared" si="239"/>
        <v>47238208470220.258</v>
      </c>
      <c r="S704" s="93">
        <f t="shared" si="240"/>
        <v>7188940134447.0605</v>
      </c>
      <c r="T704">
        <f t="shared" si="226"/>
        <v>0.5</v>
      </c>
    </row>
    <row r="705" spans="1:20" x14ac:dyDescent="0.25">
      <c r="A705">
        <v>331</v>
      </c>
      <c r="B705" s="95">
        <f t="shared" si="241"/>
        <v>8290.4628267770568</v>
      </c>
      <c r="C705" s="95">
        <f t="shared" si="242"/>
        <v>-8229.0952060090767</v>
      </c>
      <c r="D705" s="95">
        <f t="shared" si="243"/>
        <v>-6972.6450866641126</v>
      </c>
      <c r="E705" s="95">
        <f t="shared" si="244"/>
        <v>-2709.397853644241</v>
      </c>
      <c r="F705" s="96">
        <f t="shared" si="227"/>
        <v>-1722.6337307271583</v>
      </c>
      <c r="G705" s="94">
        <f t="shared" si="228"/>
        <v>976.62659553440585</v>
      </c>
      <c r="H705" s="97">
        <f t="shared" si="229"/>
        <v>195.93141616181984</v>
      </c>
      <c r="I705" s="94">
        <f t="shared" si="230"/>
        <v>1802.724121434208</v>
      </c>
      <c r="J705" s="95">
        <f t="shared" si="231"/>
        <v>-131.15394205137051</v>
      </c>
      <c r="K705" s="94">
        <f t="shared" si="232"/>
        <v>84.509670659573331</v>
      </c>
      <c r="L705" s="94">
        <f t="shared" si="233"/>
        <v>-1787.4112048376076</v>
      </c>
      <c r="M705" s="93">
        <f t="shared" si="234"/>
        <v>-910.60719655937555</v>
      </c>
      <c r="N705" s="93">
        <f t="shared" si="235"/>
        <v>15821.724095253614</v>
      </c>
      <c r="O705" s="93">
        <f t="shared" si="236"/>
        <v>33654.868874844804</v>
      </c>
      <c r="P705" s="93">
        <f t="shared" si="237"/>
        <v>14915.81556198762</v>
      </c>
      <c r="Q705" s="93">
        <f t="shared" si="238"/>
        <v>4568494365395.8838</v>
      </c>
      <c r="R705" s="93">
        <f t="shared" si="239"/>
        <v>38739271215750.844</v>
      </c>
      <c r="S705" s="93">
        <f t="shared" si="240"/>
        <v>3893267561712.1968</v>
      </c>
      <c r="T705">
        <f t="shared" si="226"/>
        <v>0.5</v>
      </c>
    </row>
    <row r="706" spans="1:20" x14ac:dyDescent="0.25">
      <c r="A706">
        <v>331.5</v>
      </c>
      <c r="B706" s="95">
        <f t="shared" si="241"/>
        <v>4373.4818507632108</v>
      </c>
      <c r="C706" s="95">
        <f t="shared" si="242"/>
        <v>-9339.6374839475957</v>
      </c>
      <c r="D706" s="95">
        <f t="shared" si="243"/>
        <v>-7833.961952027692</v>
      </c>
      <c r="E706" s="95">
        <f t="shared" si="244"/>
        <v>-2221.0845558770379</v>
      </c>
      <c r="F706" s="96">
        <f t="shared" si="227"/>
        <v>-2486.9418355043808</v>
      </c>
      <c r="G706" s="94">
        <f t="shared" si="228"/>
        <v>-181.01413872909279</v>
      </c>
      <c r="H706" s="97">
        <f t="shared" si="229"/>
        <v>469.43702305888229</v>
      </c>
      <c r="I706" s="94">
        <f t="shared" si="230"/>
        <v>1404.9806790239222</v>
      </c>
      <c r="J706" s="95">
        <f t="shared" si="231"/>
        <v>-142.60883466521076</v>
      </c>
      <c r="K706" s="94">
        <f t="shared" si="232"/>
        <v>113.15589546542502</v>
      </c>
      <c r="L706" s="94">
        <f t="shared" si="233"/>
        <v>-2813.7700238980524</v>
      </c>
      <c r="M706" s="93">
        <f t="shared" si="234"/>
        <v>-1699.1507132184399</v>
      </c>
      <c r="N706" s="93">
        <f t="shared" si="235"/>
        <v>17754.748578182232</v>
      </c>
      <c r="O706" s="93">
        <f t="shared" si="236"/>
        <v>31114.115695934452</v>
      </c>
      <c r="P706" s="93">
        <f t="shared" si="237"/>
        <v>10949.971041957984</v>
      </c>
      <c r="Q706" s="93">
        <f t="shared" si="238"/>
        <v>6275683146219.3018</v>
      </c>
      <c r="R706" s="93">
        <f t="shared" si="239"/>
        <v>30694734813883.164</v>
      </c>
      <c r="S706" s="93">
        <f t="shared" si="240"/>
        <v>1744258975846.676</v>
      </c>
      <c r="T706">
        <f t="shared" si="226"/>
        <v>0.5</v>
      </c>
    </row>
    <row r="707" spans="1:20" x14ac:dyDescent="0.25">
      <c r="A707">
        <v>332</v>
      </c>
      <c r="B707" s="95">
        <f t="shared" si="241"/>
        <v>-165.2345841267304</v>
      </c>
      <c r="C707" s="95">
        <f t="shared" si="242"/>
        <v>-10495.433296568388</v>
      </c>
      <c r="D707" s="95">
        <f t="shared" si="243"/>
        <v>-9077.4328697798828</v>
      </c>
      <c r="E707" s="95">
        <f t="shared" si="244"/>
        <v>-2311.5916252415846</v>
      </c>
      <c r="F707" s="96">
        <f t="shared" si="227"/>
        <v>-4045.5476115756319</v>
      </c>
      <c r="G707" s="94">
        <f t="shared" si="228"/>
        <v>-3010.0348222912371</v>
      </c>
      <c r="H707" s="97">
        <f t="shared" si="229"/>
        <v>553.5627373280164</v>
      </c>
      <c r="I707" s="94">
        <f t="shared" si="230"/>
        <v>979.96767635912852</v>
      </c>
      <c r="J707" s="95">
        <f t="shared" si="231"/>
        <v>-150.1281591487346</v>
      </c>
      <c r="K707" s="94">
        <f t="shared" si="232"/>
        <v>155.12871502413097</v>
      </c>
      <c r="L707" s="94">
        <f t="shared" si="233"/>
        <v>-4448.9821897549136</v>
      </c>
      <c r="M707" s="93">
        <f t="shared" si="234"/>
        <v>-4145.1312136744964</v>
      </c>
      <c r="N707" s="93">
        <f t="shared" si="235"/>
        <v>20668.033619131944</v>
      </c>
      <c r="O707" s="93">
        <f t="shared" si="236"/>
        <v>28521.583145344619</v>
      </c>
      <c r="P707" s="93">
        <f t="shared" si="237"/>
        <v>6608.0313113807933</v>
      </c>
      <c r="Q707" s="93">
        <f t="shared" si="238"/>
        <v>9614997583849.9434</v>
      </c>
      <c r="R707" s="93">
        <f t="shared" si="239"/>
        <v>23727809746733.746</v>
      </c>
      <c r="S707" s="93">
        <f t="shared" si="240"/>
        <v>569001435403.74536</v>
      </c>
      <c r="T707">
        <f t="shared" si="226"/>
        <v>0.5</v>
      </c>
    </row>
    <row r="708" spans="1:20" x14ac:dyDescent="0.25">
      <c r="A708">
        <v>332.5</v>
      </c>
      <c r="B708" s="95">
        <f t="shared" si="241"/>
        <v>-5715.33792191058</v>
      </c>
      <c r="C708" s="95">
        <f t="shared" si="242"/>
        <v>-12403.737814761989</v>
      </c>
      <c r="D708" s="95">
        <f t="shared" si="243"/>
        <v>-11100.206675567699</v>
      </c>
      <c r="E708" s="95">
        <f t="shared" si="244"/>
        <v>-3816.6090363872031</v>
      </c>
      <c r="F708" s="96">
        <f t="shared" si="227"/>
        <v>2388.0693001476943</v>
      </c>
      <c r="G708" s="94">
        <f t="shared" si="228"/>
        <v>-6609.2669858871923</v>
      </c>
      <c r="H708" s="97">
        <f t="shared" si="229"/>
        <v>476.46420352750152</v>
      </c>
      <c r="I708" s="94">
        <f t="shared" si="230"/>
        <v>603.44986740048705</v>
      </c>
      <c r="J708" s="95">
        <f t="shared" si="231"/>
        <v>-133.28100940532931</v>
      </c>
      <c r="K708" s="94">
        <f t="shared" si="232"/>
        <v>209.03489169575113</v>
      </c>
      <c r="L708" s="94">
        <f t="shared" si="233"/>
        <v>2044.8861060255219</v>
      </c>
      <c r="M708" s="93">
        <f t="shared" si="234"/>
        <v>-7421.7517449834304</v>
      </c>
      <c r="N708" s="93">
        <f t="shared" si="235"/>
        <v>25360.020208955419</v>
      </c>
      <c r="O708" s="93">
        <f t="shared" si="236"/>
        <v>26570.266064866613</v>
      </c>
      <c r="P708" s="93">
        <f t="shared" si="237"/>
        <v>2693.006809686934</v>
      </c>
      <c r="Q708" s="93">
        <f t="shared" si="238"/>
        <v>17269989294276.424</v>
      </c>
      <c r="R708" s="93">
        <f t="shared" si="239"/>
        <v>19248391359744.855</v>
      </c>
      <c r="S708" s="93">
        <f t="shared" si="240"/>
        <v>183164264722.49524</v>
      </c>
      <c r="T708">
        <f t="shared" si="226"/>
        <v>0.5</v>
      </c>
    </row>
    <row r="709" spans="1:20" x14ac:dyDescent="0.25">
      <c r="A709">
        <v>333</v>
      </c>
      <c r="B709" s="95">
        <f t="shared" si="241"/>
        <v>-10668.423934657505</v>
      </c>
      <c r="C709" s="95">
        <f t="shared" si="242"/>
        <v>-15964.359079427388</v>
      </c>
      <c r="D709" s="95">
        <f t="shared" si="243"/>
        <v>-9906.1720254938518</v>
      </c>
      <c r="E709" s="95">
        <f t="shared" si="244"/>
        <v>-7121.2425293307988</v>
      </c>
      <c r="F709" s="96">
        <f t="shared" si="227"/>
        <v>6971.5335085752195</v>
      </c>
      <c r="G709" s="94">
        <f t="shared" si="228"/>
        <v>1745.0099366864606</v>
      </c>
      <c r="H709" s="97">
        <f t="shared" si="229"/>
        <v>340.80860287696424</v>
      </c>
      <c r="I709" s="94">
        <f t="shared" si="230"/>
        <v>386.91171908147601</v>
      </c>
      <c r="J709" s="95">
        <f t="shared" si="231"/>
        <v>-77.907140583073286</v>
      </c>
      <c r="K709" s="94">
        <f t="shared" si="232"/>
        <v>216.77034605794665</v>
      </c>
      <c r="L709" s="94">
        <f t="shared" si="233"/>
        <v>6708.6320462813283</v>
      </c>
      <c r="M709" s="93">
        <f t="shared" si="234"/>
        <v>1141.3278715470378</v>
      </c>
      <c r="N709" s="93">
        <f t="shared" si="235"/>
        <v>31269.152450154925</v>
      </c>
      <c r="O709" s="93">
        <f t="shared" si="236"/>
        <v>27590.328998921275</v>
      </c>
      <c r="P709" s="93">
        <f t="shared" si="237"/>
        <v>5749.8711583019067</v>
      </c>
      <c r="Q709" s="93">
        <f t="shared" si="238"/>
        <v>31753780199146.242</v>
      </c>
      <c r="R709" s="93">
        <f t="shared" si="239"/>
        <v>21511489262950.969</v>
      </c>
      <c r="S709" s="93">
        <f t="shared" si="240"/>
        <v>442412076155.51758</v>
      </c>
      <c r="T709">
        <f t="shared" si="226"/>
        <v>0.5</v>
      </c>
    </row>
    <row r="710" spans="1:20" x14ac:dyDescent="0.25">
      <c r="A710">
        <v>333.5</v>
      </c>
      <c r="B710" s="95">
        <f t="shared" si="241"/>
        <v>-13878.626570260625</v>
      </c>
      <c r="C710" s="95">
        <f t="shared" si="242"/>
        <v>-19088.727859921171</v>
      </c>
      <c r="D710" s="95">
        <f t="shared" si="243"/>
        <v>-6420.4052712062421</v>
      </c>
      <c r="E710" s="95">
        <f t="shared" si="244"/>
        <v>-6248.7375609875689</v>
      </c>
      <c r="F710" s="96">
        <f t="shared" si="227"/>
        <v>3737.5004480444168</v>
      </c>
      <c r="G710" s="94">
        <f t="shared" si="228"/>
        <v>2108.6228178960737</v>
      </c>
      <c r="H710" s="97">
        <f t="shared" si="229"/>
        <v>266.08280819227178</v>
      </c>
      <c r="I710" s="94">
        <f t="shared" si="230"/>
        <v>296.28183825443102</v>
      </c>
      <c r="J710" s="95">
        <f t="shared" si="231"/>
        <v>-40.998717470170995</v>
      </c>
      <c r="K710" s="94">
        <f t="shared" si="232"/>
        <v>194.82564636583137</v>
      </c>
      <c r="L710" s="94">
        <f t="shared" si="233"/>
        <v>3512.4163573223159</v>
      </c>
      <c r="M710" s="93">
        <f t="shared" si="234"/>
        <v>1617.5153332758114</v>
      </c>
      <c r="N710" s="93">
        <f t="shared" si="235"/>
        <v>35737.225075415481</v>
      </c>
      <c r="O710" s="93">
        <f t="shared" si="236"/>
        <v>29725.835584132423</v>
      </c>
      <c r="P710" s="93">
        <f t="shared" si="237"/>
        <v>9774.8506529068527</v>
      </c>
      <c r="Q710" s="93">
        <f t="shared" si="238"/>
        <v>46988453407042.047</v>
      </c>
      <c r="R710" s="93">
        <f t="shared" si="239"/>
        <v>26814601379844.043</v>
      </c>
      <c r="S710" s="93">
        <f t="shared" si="240"/>
        <v>1323544115574.9028</v>
      </c>
      <c r="T710">
        <f t="shared" si="226"/>
        <v>0.5</v>
      </c>
    </row>
    <row r="711" spans="1:20" x14ac:dyDescent="0.25">
      <c r="A711">
        <v>334</v>
      </c>
      <c r="B711" s="95">
        <f t="shared" si="241"/>
        <v>-16154.454093852641</v>
      </c>
      <c r="C711" s="95">
        <f t="shared" si="242"/>
        <v>-21685.940935940936</v>
      </c>
      <c r="D711" s="95">
        <f t="shared" si="243"/>
        <v>-4551.6550471840337</v>
      </c>
      <c r="E711" s="95">
        <f t="shared" si="244"/>
        <v>-5194.4261520395321</v>
      </c>
      <c r="F711" s="96">
        <f t="shared" si="227"/>
        <v>2360.5909388053583</v>
      </c>
      <c r="G711" s="94">
        <f t="shared" si="228"/>
        <v>1714.0251844123989</v>
      </c>
      <c r="H711" s="97">
        <f t="shared" si="229"/>
        <v>222.07120781967166</v>
      </c>
      <c r="I711" s="94">
        <f t="shared" si="230"/>
        <v>247.81083679821037</v>
      </c>
      <c r="J711" s="95">
        <f t="shared" si="231"/>
        <v>-20.861201507069097</v>
      </c>
      <c r="K711" s="94">
        <f t="shared" si="232"/>
        <v>171.8889372115128</v>
      </c>
      <c r="L711" s="94">
        <f t="shared" si="233"/>
        <v>2159.3809324927556</v>
      </c>
      <c r="M711" s="93">
        <f t="shared" si="234"/>
        <v>1294.3254104026757</v>
      </c>
      <c r="N711" s="93">
        <f t="shared" si="235"/>
        <v>39190.236249143461</v>
      </c>
      <c r="O711" s="93">
        <f t="shared" si="236"/>
        <v>31918.444139904819</v>
      </c>
      <c r="P711" s="93">
        <f t="shared" si="237"/>
        <v>13004.754989262839</v>
      </c>
      <c r="Q711" s="93">
        <f t="shared" si="238"/>
        <v>61666887276550.703</v>
      </c>
      <c r="R711" s="93">
        <f t="shared" si="239"/>
        <v>33106359317714.277</v>
      </c>
      <c r="S711" s="93">
        <f t="shared" si="240"/>
        <v>2704691153897.7705</v>
      </c>
      <c r="T711">
        <f t="shared" si="226"/>
        <v>0.5</v>
      </c>
    </row>
    <row r="712" spans="1:20" x14ac:dyDescent="0.25">
      <c r="A712">
        <v>334.5</v>
      </c>
      <c r="B712" s="95">
        <f t="shared" si="241"/>
        <v>-17840.133882743317</v>
      </c>
      <c r="C712" s="95">
        <f t="shared" si="242"/>
        <v>-23854.647715857602</v>
      </c>
      <c r="D712" s="95">
        <f t="shared" si="243"/>
        <v>-3371.3595777813543</v>
      </c>
      <c r="E712" s="95">
        <f t="shared" si="244"/>
        <v>-4337.4135598333323</v>
      </c>
      <c r="F712" s="96">
        <f t="shared" si="227"/>
        <v>1713.8394440146137</v>
      </c>
      <c r="G712" s="94">
        <f t="shared" si="228"/>
        <v>1426.4353656967355</v>
      </c>
      <c r="H712" s="97">
        <f t="shared" si="229"/>
        <v>193.58629682505855</v>
      </c>
      <c r="I712" s="94">
        <f t="shared" si="230"/>
        <v>218.02445940569032</v>
      </c>
      <c r="J712" s="95">
        <f t="shared" si="231"/>
        <v>-9.7795926796967549</v>
      </c>
      <c r="K712" s="94">
        <f t="shared" si="232"/>
        <v>153.28943878995383</v>
      </c>
      <c r="L712" s="94">
        <f t="shared" si="233"/>
        <v>1530.0327398692518</v>
      </c>
      <c r="M712" s="93">
        <f t="shared" si="234"/>
        <v>1055.1214675010915</v>
      </c>
      <c r="N712" s="93">
        <f t="shared" si="235"/>
        <v>41930.740370217725</v>
      </c>
      <c r="O712" s="93">
        <f t="shared" si="236"/>
        <v>33923.475553210876</v>
      </c>
      <c r="P712" s="93">
        <f t="shared" si="237"/>
        <v>15597.237713733648</v>
      </c>
      <c r="Q712" s="93">
        <f t="shared" si="238"/>
        <v>75300061277943.734</v>
      </c>
      <c r="R712" s="93">
        <f t="shared" si="239"/>
        <v>39664209848156.258</v>
      </c>
      <c r="S712" s="93">
        <f t="shared" si="240"/>
        <v>4394074848422.6221</v>
      </c>
      <c r="T712">
        <f t="shared" si="226"/>
        <v>0.5</v>
      </c>
    </row>
    <row r="713" spans="1:20" x14ac:dyDescent="0.25">
      <c r="A713">
        <v>335</v>
      </c>
      <c r="B713" s="95">
        <f t="shared" si="241"/>
        <v>-19097.353810630342</v>
      </c>
      <c r="C713" s="95">
        <f t="shared" si="242"/>
        <v>-25666.745654350085</v>
      </c>
      <c r="D713" s="95">
        <f t="shared" si="243"/>
        <v>-2514.4398557740474</v>
      </c>
      <c r="E713" s="95">
        <f t="shared" si="244"/>
        <v>-3624.1958769849643</v>
      </c>
      <c r="F713" s="96">
        <f t="shared" si="227"/>
        <v>1360.9104890708065</v>
      </c>
      <c r="G713" s="94">
        <f t="shared" si="228"/>
        <v>1238.1086122176928</v>
      </c>
      <c r="H713" s="97">
        <f t="shared" si="229"/>
        <v>174.01812767523663</v>
      </c>
      <c r="I713" s="94">
        <f t="shared" si="230"/>
        <v>198.35532184174798</v>
      </c>
      <c r="J713" s="95">
        <f t="shared" si="231"/>
        <v>-3.5185488865686483</v>
      </c>
      <c r="K713" s="94">
        <f t="shared" si="232"/>
        <v>139.03031961756506</v>
      </c>
      <c r="L713" s="94">
        <f t="shared" si="233"/>
        <v>1190.4109102821385</v>
      </c>
      <c r="M713" s="93">
        <f t="shared" si="234"/>
        <v>900.7229707583798</v>
      </c>
      <c r="N713" s="93">
        <f t="shared" si="235"/>
        <v>44121.298893860258</v>
      </c>
      <c r="O713" s="93">
        <f t="shared" si="236"/>
        <v>35678.165812094157</v>
      </c>
      <c r="P713" s="93">
        <f t="shared" si="237"/>
        <v>17678.089470208321</v>
      </c>
      <c r="Q713" s="93">
        <f t="shared" si="238"/>
        <v>87550297385279.719</v>
      </c>
      <c r="R713" s="93">
        <f t="shared" si="239"/>
        <v>46073022712659.781</v>
      </c>
      <c r="S713" s="93">
        <f t="shared" si="240"/>
        <v>6200680059856.4824</v>
      </c>
      <c r="T713">
        <f t="shared" si="226"/>
        <v>0.5</v>
      </c>
    </row>
    <row r="714" spans="1:20" x14ac:dyDescent="0.25">
      <c r="A714">
        <v>335.5</v>
      </c>
      <c r="B714" s="95">
        <f t="shared" si="241"/>
        <v>-20014.346116249664</v>
      </c>
      <c r="C714" s="95">
        <f t="shared" si="242"/>
        <v>-27169.316439788145</v>
      </c>
      <c r="D714" s="95">
        <f t="shared" si="243"/>
        <v>-1833.984611238644</v>
      </c>
      <c r="E714" s="95">
        <f t="shared" si="244"/>
        <v>-3005.1415708761178</v>
      </c>
      <c r="F714" s="96">
        <f t="shared" si="227"/>
        <v>1148.3170046295136</v>
      </c>
      <c r="G714" s="94">
        <f t="shared" si="228"/>
        <v>1114.1406157067765</v>
      </c>
      <c r="H714" s="97">
        <f t="shared" si="229"/>
        <v>160.11219853418839</v>
      </c>
      <c r="I714" s="94">
        <f t="shared" si="230"/>
        <v>184.94424150878569</v>
      </c>
      <c r="J714" s="95">
        <f t="shared" si="231"/>
        <v>4.9513374160646287E-2</v>
      </c>
      <c r="K714" s="94">
        <f t="shared" si="232"/>
        <v>128.28407634169079</v>
      </c>
      <c r="L714" s="94">
        <f t="shared" si="233"/>
        <v>988.15529272116441</v>
      </c>
      <c r="M714" s="93">
        <f t="shared" si="234"/>
        <v>800.91229785630003</v>
      </c>
      <c r="N714" s="93">
        <f t="shared" si="235"/>
        <v>45856.542337906329</v>
      </c>
      <c r="O714" s="93">
        <f t="shared" si="236"/>
        <v>37169.319208349203</v>
      </c>
      <c r="P714" s="93">
        <f t="shared" si="237"/>
        <v>19326.739298449684</v>
      </c>
      <c r="Q714" s="93">
        <f t="shared" si="238"/>
        <v>98152889166006.859</v>
      </c>
      <c r="R714" s="93">
        <f t="shared" si="239"/>
        <v>52036079087247.266</v>
      </c>
      <c r="S714" s="93">
        <f t="shared" si="240"/>
        <v>7955726494393.9707</v>
      </c>
      <c r="T714">
        <f t="shared" si="226"/>
        <v>0.5</v>
      </c>
    </row>
    <row r="715" spans="1:20" x14ac:dyDescent="0.25">
      <c r="A715">
        <v>336</v>
      </c>
      <c r="B715" s="95">
        <f t="shared" si="241"/>
        <v>-20644.259170711608</v>
      </c>
      <c r="C715" s="95">
        <f t="shared" si="242"/>
        <v>-28393.352071299509</v>
      </c>
      <c r="D715" s="95">
        <f t="shared" si="243"/>
        <v>-1259.8261089238872</v>
      </c>
      <c r="E715" s="95">
        <f t="shared" si="244"/>
        <v>-2448.0712630227295</v>
      </c>
      <c r="F715" s="96">
        <f t="shared" si="227"/>
        <v>1012.7213051917194</v>
      </c>
      <c r="G715" s="94">
        <f t="shared" si="228"/>
        <v>1032.8731737033324</v>
      </c>
      <c r="H715" s="97">
        <f t="shared" si="229"/>
        <v>150.09924374558014</v>
      </c>
      <c r="I715" s="94">
        <f t="shared" si="230"/>
        <v>175.80992809723722</v>
      </c>
      <c r="J715" s="95">
        <f t="shared" si="231"/>
        <v>2.0184219600774411</v>
      </c>
      <c r="K715" s="94">
        <f t="shared" si="232"/>
        <v>120.28386783551822</v>
      </c>
      <c r="L715" s="94">
        <f t="shared" si="233"/>
        <v>860.60363948606175</v>
      </c>
      <c r="M715" s="93">
        <f t="shared" si="234"/>
        <v>736.77937777057696</v>
      </c>
      <c r="N715" s="93">
        <f t="shared" si="235"/>
        <v>47195.374169890878</v>
      </c>
      <c r="O715" s="93">
        <f t="shared" si="236"/>
        <v>38398.757182359484</v>
      </c>
      <c r="P715" s="93">
        <f t="shared" si="237"/>
        <v>20594.28864287808</v>
      </c>
      <c r="Q715" s="93">
        <f t="shared" si="238"/>
        <v>106897917541133.58</v>
      </c>
      <c r="R715" s="93">
        <f t="shared" si="239"/>
        <v>57324646992194.531</v>
      </c>
      <c r="S715" s="93">
        <f t="shared" si="240"/>
        <v>9518104004090.4004</v>
      </c>
      <c r="T715">
        <f t="shared" si="226"/>
        <v>0.5</v>
      </c>
    </row>
    <row r="716" spans="1:20" x14ac:dyDescent="0.25">
      <c r="A716">
        <v>336.5</v>
      </c>
      <c r="B716" s="95">
        <f t="shared" si="241"/>
        <v>-21020.991898875622</v>
      </c>
      <c r="C716" s="95">
        <f t="shared" si="242"/>
        <v>-29359.169409385038</v>
      </c>
      <c r="D716" s="95">
        <f t="shared" si="243"/>
        <v>-753.46545632802759</v>
      </c>
      <c r="E716" s="95">
        <f t="shared" si="244"/>
        <v>-1931.6346761710633</v>
      </c>
      <c r="F716" s="96">
        <f t="shared" si="227"/>
        <v>924.4018431440262</v>
      </c>
      <c r="G716" s="94">
        <f t="shared" si="228"/>
        <v>982.04145590883559</v>
      </c>
      <c r="H716" s="97">
        <f t="shared" si="229"/>
        <v>142.9519138879256</v>
      </c>
      <c r="I716" s="94">
        <f t="shared" si="230"/>
        <v>169.855587744177</v>
      </c>
      <c r="J716" s="95">
        <f t="shared" si="231"/>
        <v>2.9690083281882278</v>
      </c>
      <c r="K716" s="94">
        <f t="shared" si="232"/>
        <v>114.45507246015009</v>
      </c>
      <c r="L716" s="94">
        <f t="shared" si="233"/>
        <v>778.48092092791239</v>
      </c>
      <c r="M716" s="93">
        <f t="shared" si="234"/>
        <v>697.73079570450852</v>
      </c>
      <c r="N716" s="93">
        <f t="shared" si="235"/>
        <v>48175.723221762353</v>
      </c>
      <c r="O716" s="93">
        <f t="shared" si="236"/>
        <v>39372.409642467159</v>
      </c>
      <c r="P716" s="93">
        <f t="shared" si="237"/>
        <v>21514.133204739097</v>
      </c>
      <c r="Q716" s="93">
        <f t="shared" si="238"/>
        <v>113622496784689.39</v>
      </c>
      <c r="R716" s="93">
        <f t="shared" si="239"/>
        <v>61759478864895.906</v>
      </c>
      <c r="S716" s="93">
        <f t="shared" si="240"/>
        <v>10775564970972.904</v>
      </c>
      <c r="T716">
        <f t="shared" si="226"/>
        <v>0.5</v>
      </c>
    </row>
    <row r="717" spans="1:20" x14ac:dyDescent="0.25">
      <c r="A717">
        <v>337</v>
      </c>
      <c r="B717" s="95">
        <f t="shared" si="241"/>
        <v>-21166.62416625363</v>
      </c>
      <c r="C717" s="95">
        <f t="shared" si="242"/>
        <v>-30079.476383493362</v>
      </c>
      <c r="D717" s="95">
        <f t="shared" si="243"/>
        <v>-291.26453475601448</v>
      </c>
      <c r="E717" s="95">
        <f t="shared" si="244"/>
        <v>-1440.6139482166454</v>
      </c>
      <c r="F717" s="96">
        <f t="shared" si="227"/>
        <v>868.19233636205797</v>
      </c>
      <c r="G717" s="94">
        <f t="shared" si="228"/>
        <v>954.89748622804404</v>
      </c>
      <c r="H717" s="97">
        <f t="shared" si="229"/>
        <v>138.05367996220855</v>
      </c>
      <c r="I717" s="94">
        <f t="shared" si="230"/>
        <v>166.45963894323776</v>
      </c>
      <c r="J717" s="95">
        <f t="shared" si="231"/>
        <v>3.2133724476829841</v>
      </c>
      <c r="K717" s="94">
        <f t="shared" si="232"/>
        <v>110.3956945636241</v>
      </c>
      <c r="L717" s="94">
        <f t="shared" si="233"/>
        <v>726.92528395216641</v>
      </c>
      <c r="M717" s="93">
        <f t="shared" si="234"/>
        <v>678.04215272118211</v>
      </c>
      <c r="N717" s="93">
        <f t="shared" si="235"/>
        <v>48821.875293540703</v>
      </c>
      <c r="O717" s="93">
        <f t="shared" si="236"/>
        <v>40096.451702367493</v>
      </c>
      <c r="P717" s="93">
        <f t="shared" si="237"/>
        <v>22107.698770637118</v>
      </c>
      <c r="Q717" s="93">
        <f t="shared" si="238"/>
        <v>118206238743146.41</v>
      </c>
      <c r="R717" s="93">
        <f t="shared" si="239"/>
        <v>65202259395005.297</v>
      </c>
      <c r="S717" s="93">
        <f t="shared" si="240"/>
        <v>11644696925365.549</v>
      </c>
      <c r="T717">
        <f t="shared" si="226"/>
        <v>0.5</v>
      </c>
    </row>
    <row r="718" spans="1:20" x14ac:dyDescent="0.25">
      <c r="A718">
        <v>337.5</v>
      </c>
      <c r="B718" s="95">
        <f t="shared" si="241"/>
        <v>-21095.208349541124</v>
      </c>
      <c r="C718" s="95">
        <f t="shared" si="242"/>
        <v>-30561.058986044674</v>
      </c>
      <c r="D718" s="95">
        <f t="shared" si="243"/>
        <v>142.8316334250145</v>
      </c>
      <c r="E718" s="95">
        <f t="shared" si="244"/>
        <v>-963.16520510262342</v>
      </c>
      <c r="F718" s="96">
        <f t="shared" si="227"/>
        <v>836.12861588224337</v>
      </c>
      <c r="G718" s="94">
        <f t="shared" si="228"/>
        <v>948.13511853102705</v>
      </c>
      <c r="H718" s="97">
        <f t="shared" si="229"/>
        <v>135.03889511091128</v>
      </c>
      <c r="I718" s="94">
        <f t="shared" si="230"/>
        <v>165.28988307301509</v>
      </c>
      <c r="J718" s="95">
        <f t="shared" si="231"/>
        <v>2.9117746219618796</v>
      </c>
      <c r="K718" s="94">
        <f t="shared" si="232"/>
        <v>107.83762034406313</v>
      </c>
      <c r="L718" s="94">
        <f t="shared" si="233"/>
        <v>698.1779461493702</v>
      </c>
      <c r="M718" s="93">
        <f t="shared" si="234"/>
        <v>675.00761511394887</v>
      </c>
      <c r="N718" s="93">
        <f t="shared" si="235"/>
        <v>49148.308144233655</v>
      </c>
      <c r="O718" s="93">
        <f t="shared" si="236"/>
        <v>40575.84241144354</v>
      </c>
      <c r="P718" s="93">
        <f t="shared" si="237"/>
        <v>22387.547623227962</v>
      </c>
      <c r="Q718" s="93">
        <f t="shared" si="238"/>
        <v>120568322226135.98</v>
      </c>
      <c r="R718" s="93">
        <f t="shared" si="239"/>
        <v>67550992118760.891</v>
      </c>
      <c r="S718" s="93">
        <f t="shared" si="240"/>
        <v>12070606686015.631</v>
      </c>
      <c r="T718">
        <f t="shared" si="226"/>
        <v>0.5</v>
      </c>
    </row>
    <row r="719" spans="1:20" x14ac:dyDescent="0.25">
      <c r="A719">
        <v>338</v>
      </c>
      <c r="B719" s="95">
        <f t="shared" si="241"/>
        <v>-20814.760378858056</v>
      </c>
      <c r="C719" s="95">
        <f t="shared" si="242"/>
        <v>-30805.607808963228</v>
      </c>
      <c r="D719" s="95">
        <f t="shared" si="243"/>
        <v>560.89594136613619</v>
      </c>
      <c r="E719" s="95">
        <f t="shared" si="244"/>
        <v>-489.09764583710989</v>
      </c>
      <c r="F719" s="96">
        <f t="shared" si="227"/>
        <v>824.36213001700457</v>
      </c>
      <c r="G719" s="94">
        <f t="shared" si="228"/>
        <v>960.95503623267791</v>
      </c>
      <c r="H719" s="97">
        <f t="shared" si="229"/>
        <v>133.71307074486631</v>
      </c>
      <c r="I719" s="94">
        <f t="shared" si="230"/>
        <v>166.21776005758494</v>
      </c>
      <c r="J719" s="95">
        <f t="shared" si="231"/>
        <v>2.1287774386704381</v>
      </c>
      <c r="K719" s="94">
        <f t="shared" si="232"/>
        <v>106.61546576025704</v>
      </c>
      <c r="L719" s="94">
        <f t="shared" si="233"/>
        <v>688.52028183346783</v>
      </c>
      <c r="M719" s="93">
        <f t="shared" si="234"/>
        <v>688.12181041483598</v>
      </c>
      <c r="N719" s="93">
        <f t="shared" si="235"/>
        <v>49161.662368359204</v>
      </c>
      <c r="O719" s="93">
        <f t="shared" si="236"/>
        <v>40813.741106812027</v>
      </c>
      <c r="P719" s="93">
        <f t="shared" si="237"/>
        <v>22358.977705867012</v>
      </c>
      <c r="Q719" s="93">
        <f t="shared" si="238"/>
        <v>120665621654227.91</v>
      </c>
      <c r="R719" s="93">
        <f t="shared" si="239"/>
        <v>68737286696155.266</v>
      </c>
      <c r="S719" s="93">
        <f t="shared" si="240"/>
        <v>12026645240863.637</v>
      </c>
      <c r="T719">
        <f t="shared" si="226"/>
        <v>0.5</v>
      </c>
    </row>
    <row r="720" spans="1:20" x14ac:dyDescent="0.25">
      <c r="A720">
        <v>338.5</v>
      </c>
      <c r="B720" s="95">
        <f t="shared" si="241"/>
        <v>-20328.221875670737</v>
      </c>
      <c r="C720" s="95">
        <f t="shared" si="242"/>
        <v>-30809.917872823611</v>
      </c>
      <c r="D720" s="95">
        <f t="shared" si="243"/>
        <v>973.07700637463847</v>
      </c>
      <c r="E720" s="95">
        <f t="shared" si="244"/>
        <v>-8.6201277207709381</v>
      </c>
      <c r="F720" s="96">
        <f t="shared" si="227"/>
        <v>831.90623619256792</v>
      </c>
      <c r="G720" s="94">
        <f t="shared" si="228"/>
        <v>994.86930696033869</v>
      </c>
      <c r="H720" s="97">
        <f t="shared" si="229"/>
        <v>134.01637299155865</v>
      </c>
      <c r="I720" s="94">
        <f t="shared" si="230"/>
        <v>169.28642450479177</v>
      </c>
      <c r="J720" s="95">
        <f t="shared" si="231"/>
        <v>0.85772331079358288</v>
      </c>
      <c r="K720" s="94">
        <f t="shared" si="232"/>
        <v>106.64620631870109</v>
      </c>
      <c r="L720" s="94">
        <f t="shared" si="233"/>
        <v>697.03213989021572</v>
      </c>
      <c r="M720" s="93">
        <f t="shared" si="234"/>
        <v>718.9366761368459</v>
      </c>
      <c r="N720" s="93">
        <f t="shared" si="235"/>
        <v>48861.547760610316</v>
      </c>
      <c r="O720" s="93">
        <f t="shared" si="236"/>
        <v>40811.237746315375</v>
      </c>
      <c r="P720" s="93">
        <f t="shared" si="237"/>
        <v>22020.624174060515</v>
      </c>
      <c r="Q720" s="93">
        <f t="shared" si="238"/>
        <v>118491640130978.39</v>
      </c>
      <c r="R720" s="93">
        <f t="shared" si="239"/>
        <v>68724731544141.031</v>
      </c>
      <c r="S720" s="93">
        <f t="shared" si="240"/>
        <v>11514301488973.445</v>
      </c>
      <c r="T720">
        <f t="shared" si="226"/>
        <v>0.5</v>
      </c>
    </row>
    <row r="721" spans="1:20" x14ac:dyDescent="0.25">
      <c r="A721">
        <v>339</v>
      </c>
      <c r="B721" s="95">
        <f t="shared" si="241"/>
        <v>-19633.706813435278</v>
      </c>
      <c r="C721" s="95">
        <f t="shared" si="242"/>
        <v>-30565.510609943914</v>
      </c>
      <c r="D721" s="95">
        <f t="shared" si="243"/>
        <v>1389.0301244709224</v>
      </c>
      <c r="E721" s="95">
        <f t="shared" si="244"/>
        <v>488.81452575939841</v>
      </c>
      <c r="F721" s="96">
        <f t="shared" si="227"/>
        <v>860.39980290562903</v>
      </c>
      <c r="G721" s="94">
        <f t="shared" si="228"/>
        <v>1054.1809558967243</v>
      </c>
      <c r="H721" s="97">
        <f t="shared" si="229"/>
        <v>136.01598162963231</v>
      </c>
      <c r="I721" s="94">
        <f t="shared" si="230"/>
        <v>174.71718352485462</v>
      </c>
      <c r="J721" s="95">
        <f t="shared" si="231"/>
        <v>-0.97446551309323637</v>
      </c>
      <c r="K721" s="94">
        <f t="shared" si="232"/>
        <v>107.91817200078714</v>
      </c>
      <c r="L721" s="94">
        <f t="shared" si="233"/>
        <v>725.35828678909002</v>
      </c>
      <c r="M721" s="93">
        <f t="shared" si="234"/>
        <v>771.54560037108251</v>
      </c>
      <c r="N721" s="93">
        <f t="shared" si="235"/>
        <v>48240.436124691005</v>
      </c>
      <c r="O721" s="93">
        <f t="shared" si="236"/>
        <v>40567.164329590458</v>
      </c>
      <c r="P721" s="93">
        <f t="shared" si="237"/>
        <v>21364.234029093077</v>
      </c>
      <c r="Q721" s="93">
        <f t="shared" si="238"/>
        <v>114076099132260.63</v>
      </c>
      <c r="R721" s="93">
        <f t="shared" si="239"/>
        <v>67507979365596.648</v>
      </c>
      <c r="S721" s="93">
        <f t="shared" si="240"/>
        <v>10563318996322.576</v>
      </c>
      <c r="T721">
        <f t="shared" si="226"/>
        <v>0.5</v>
      </c>
    </row>
    <row r="722" spans="1:20" x14ac:dyDescent="0.25">
      <c r="A722">
        <v>339.5</v>
      </c>
      <c r="B722" s="95">
        <f t="shared" si="241"/>
        <v>-18724.091800473412</v>
      </c>
      <c r="C722" s="95">
        <f t="shared" si="242"/>
        <v>-30057.558108090034</v>
      </c>
      <c r="D722" s="95">
        <f t="shared" si="243"/>
        <v>1819.2300259237368</v>
      </c>
      <c r="E722" s="95">
        <f t="shared" si="244"/>
        <v>1015.9050037077606</v>
      </c>
      <c r="F722" s="96">
        <f t="shared" si="227"/>
        <v>914.77190528138703</v>
      </c>
      <c r="G722" s="94">
        <f t="shared" si="228"/>
        <v>1147.4377488276577</v>
      </c>
      <c r="H722" s="97">
        <f t="shared" si="229"/>
        <v>139.92546965464425</v>
      </c>
      <c r="I722" s="94">
        <f t="shared" si="230"/>
        <v>182.95648801921303</v>
      </c>
      <c r="J722" s="95">
        <f t="shared" si="231"/>
        <v>-3.5192392206318659</v>
      </c>
      <c r="K722" s="94">
        <f t="shared" si="232"/>
        <v>110.48767429274038</v>
      </c>
      <c r="L722" s="94">
        <f t="shared" si="233"/>
        <v>778.36567484737463</v>
      </c>
      <c r="M722" s="93">
        <f t="shared" si="234"/>
        <v>853.99358651570424</v>
      </c>
      <c r="N722" s="93">
        <f t="shared" si="235"/>
        <v>47282.593211504201</v>
      </c>
      <c r="O722" s="93">
        <f t="shared" si="236"/>
        <v>40077.872988927797</v>
      </c>
      <c r="P722" s="93">
        <f t="shared" si="237"/>
        <v>20373.530669138559</v>
      </c>
      <c r="Q722" s="93">
        <f t="shared" si="238"/>
        <v>107485072832141.3</v>
      </c>
      <c r="R722" s="93">
        <f t="shared" si="239"/>
        <v>65112351762295.109</v>
      </c>
      <c r="S722" s="93">
        <f t="shared" si="240"/>
        <v>9232058780515.4395</v>
      </c>
      <c r="T722">
        <f t="shared" ref="T722:T785" si="245">A723-A722</f>
        <v>0.5</v>
      </c>
    </row>
    <row r="723" spans="1:20" x14ac:dyDescent="0.25">
      <c r="A723">
        <v>340</v>
      </c>
      <c r="B723" s="95">
        <f t="shared" si="241"/>
        <v>-17585.783811191195</v>
      </c>
      <c r="C723" s="95">
        <f t="shared" si="242"/>
        <v>-29262.74616902924</v>
      </c>
      <c r="D723" s="95">
        <f t="shared" si="243"/>
        <v>2276.6159785644304</v>
      </c>
      <c r="E723" s="95">
        <f t="shared" si="244"/>
        <v>1589.6238781215893</v>
      </c>
      <c r="F723" s="96">
        <f t="shared" si="227"/>
        <v>1005.2901612956298</v>
      </c>
      <c r="G723" s="94">
        <f t="shared" si="228"/>
        <v>1290.8451885196032</v>
      </c>
      <c r="H723" s="97">
        <f t="shared" si="229"/>
        <v>146.16129848683315</v>
      </c>
      <c r="I723" s="94">
        <f t="shared" si="230"/>
        <v>194.78477583904251</v>
      </c>
      <c r="J723" s="95">
        <f t="shared" si="231"/>
        <v>-7.0393353041804492</v>
      </c>
      <c r="K723" s="94">
        <f t="shared" si="232"/>
        <v>114.48172559189625</v>
      </c>
      <c r="L723" s="94">
        <f t="shared" si="233"/>
        <v>866.16819811297705</v>
      </c>
      <c r="M723" s="93">
        <f t="shared" si="234"/>
        <v>981.57868708866454</v>
      </c>
      <c r="N723" s="93">
        <f t="shared" si="235"/>
        <v>45961.668533314281</v>
      </c>
      <c r="O723" s="93">
        <f t="shared" si="236"/>
        <v>39336.899681341522</v>
      </c>
      <c r="P723" s="93">
        <f t="shared" si="237"/>
        <v>19021.773903193167</v>
      </c>
      <c r="Q723" s="93">
        <f t="shared" si="238"/>
        <v>98821526471046.313</v>
      </c>
      <c r="R723" s="93">
        <f t="shared" si="239"/>
        <v>61593835348422.68</v>
      </c>
      <c r="S723" s="93">
        <f t="shared" si="240"/>
        <v>7608107764567.292</v>
      </c>
      <c r="T723">
        <f t="shared" si="245"/>
        <v>0.5</v>
      </c>
    </row>
    <row r="724" spans="1:20" x14ac:dyDescent="0.25">
      <c r="A724">
        <v>340.5</v>
      </c>
      <c r="B724" s="95">
        <f t="shared" si="241"/>
        <v>-16196.153281585071</v>
      </c>
      <c r="C724" s="95">
        <f t="shared" si="242"/>
        <v>-28145.222932838547</v>
      </c>
      <c r="D724" s="95">
        <f t="shared" si="243"/>
        <v>2779.2610592122455</v>
      </c>
      <c r="E724" s="95">
        <f t="shared" si="244"/>
        <v>2235.0464723813911</v>
      </c>
      <c r="F724" s="96">
        <f t="shared" si="227"/>
        <v>1152.6500448292873</v>
      </c>
      <c r="G724" s="94">
        <f t="shared" si="228"/>
        <v>1516.4873373543726</v>
      </c>
      <c r="H724" s="97">
        <f t="shared" si="229"/>
        <v>155.46753584517376</v>
      </c>
      <c r="I724" s="94">
        <f t="shared" si="230"/>
        <v>211.54537135480416</v>
      </c>
      <c r="J724" s="95">
        <f t="shared" si="231"/>
        <v>-11.97681529938953</v>
      </c>
      <c r="K724" s="94">
        <f t="shared" si="232"/>
        <v>120.10428480436218</v>
      </c>
      <c r="L724" s="94">
        <f t="shared" si="233"/>
        <v>1009.159324283503</v>
      </c>
      <c r="M724" s="93">
        <f t="shared" si="234"/>
        <v>1184.8376811952062</v>
      </c>
      <c r="N724" s="93">
        <f t="shared" si="235"/>
        <v>44235.962346082844</v>
      </c>
      <c r="O724" s="93">
        <f t="shared" si="236"/>
        <v>38334.413813871572</v>
      </c>
      <c r="P724" s="93">
        <f t="shared" si="237"/>
        <v>17267.041850264122</v>
      </c>
      <c r="Q724" s="93">
        <f t="shared" si="238"/>
        <v>88225967621195.188</v>
      </c>
      <c r="R724" s="93">
        <f t="shared" si="239"/>
        <v>57039327738361.586</v>
      </c>
      <c r="S724" s="93">
        <f t="shared" si="240"/>
        <v>5809084857647.2412</v>
      </c>
      <c r="T724">
        <f t="shared" si="245"/>
        <v>0.5</v>
      </c>
    </row>
    <row r="725" spans="1:20" x14ac:dyDescent="0.25">
      <c r="A725">
        <v>341</v>
      </c>
      <c r="B725" s="95">
        <f t="shared" si="241"/>
        <v>-14518.360240771626</v>
      </c>
      <c r="C725" s="95">
        <f t="shared" si="242"/>
        <v>-26648.577862309259</v>
      </c>
      <c r="D725" s="95">
        <f t="shared" si="243"/>
        <v>3355.5860816268892</v>
      </c>
      <c r="E725" s="95">
        <f t="shared" si="244"/>
        <v>2993.2901410585773</v>
      </c>
      <c r="F725" s="96">
        <f t="shared" si="227"/>
        <v>1401.2299578223194</v>
      </c>
      <c r="G725" s="94">
        <f t="shared" si="228"/>
        <v>1894.417472977731</v>
      </c>
      <c r="H725" s="97">
        <f t="shared" si="229"/>
        <v>169.19321506887297</v>
      </c>
      <c r="I725" s="94">
        <f t="shared" si="230"/>
        <v>235.64820900812467</v>
      </c>
      <c r="J725" s="95">
        <f t="shared" si="231"/>
        <v>-19.091174059111246</v>
      </c>
      <c r="K725" s="94">
        <f t="shared" si="232"/>
        <v>127.63778900471306</v>
      </c>
      <c r="L725" s="94">
        <f t="shared" si="233"/>
        <v>1251.1279168125577</v>
      </c>
      <c r="M725" s="93">
        <f t="shared" si="234"/>
        <v>1531.1314749648934</v>
      </c>
      <c r="N725" s="93">
        <f t="shared" si="235"/>
        <v>42038.97428475687</v>
      </c>
      <c r="O725" s="93">
        <f t="shared" si="236"/>
        <v>37056.263084392333</v>
      </c>
      <c r="P725" s="93">
        <f t="shared" si="237"/>
        <v>15042.890277050599</v>
      </c>
      <c r="Q725" s="93">
        <f t="shared" si="238"/>
        <v>75876467011518.141</v>
      </c>
      <c r="R725" s="93">
        <f t="shared" si="239"/>
        <v>51566849218357.367</v>
      </c>
      <c r="S725" s="93">
        <f t="shared" si="240"/>
        <v>3983447016727.562</v>
      </c>
      <c r="T725">
        <f t="shared" si="245"/>
        <v>0.5</v>
      </c>
    </row>
    <row r="726" spans="1:20" x14ac:dyDescent="0.25">
      <c r="A726">
        <v>341.5</v>
      </c>
      <c r="B726" s="95">
        <f t="shared" si="241"/>
        <v>-12490.259710502602</v>
      </c>
      <c r="C726" s="95">
        <f t="shared" si="242"/>
        <v>-24678.328423535539</v>
      </c>
      <c r="D726" s="95">
        <f t="shared" si="243"/>
        <v>4056.2010605380488</v>
      </c>
      <c r="E726" s="95">
        <f t="shared" si="244"/>
        <v>3940.498877547443</v>
      </c>
      <c r="F726" s="96">
        <f t="shared" si="227"/>
        <v>1857.603759899954</v>
      </c>
      <c r="G726" s="94">
        <f t="shared" si="228"/>
        <v>2602.4470438254139</v>
      </c>
      <c r="H726" s="97">
        <f t="shared" si="229"/>
        <v>189.97599200046548</v>
      </c>
      <c r="I726" s="94">
        <f t="shared" si="230"/>
        <v>271.81143934603887</v>
      </c>
      <c r="J726" s="95">
        <f t="shared" si="231"/>
        <v>-29.756380022339549</v>
      </c>
      <c r="K726" s="94">
        <f t="shared" si="232"/>
        <v>137.40841618096547</v>
      </c>
      <c r="L726" s="94">
        <f t="shared" si="233"/>
        <v>1697.3841479218281</v>
      </c>
      <c r="M726" s="93">
        <f t="shared" si="234"/>
        <v>2193.2271882984096</v>
      </c>
      <c r="N726" s="93">
        <f t="shared" si="235"/>
        <v>39258.841067698006</v>
      </c>
      <c r="O726" s="93">
        <f t="shared" si="236"/>
        <v>35482.145671679631</v>
      </c>
      <c r="P726" s="93">
        <f t="shared" si="237"/>
        <v>12238.220115874465</v>
      </c>
      <c r="Q726" s="93">
        <f t="shared" si="238"/>
        <v>61986108472475.086</v>
      </c>
      <c r="R726" s="93">
        <f t="shared" si="239"/>
        <v>45324974021291.719</v>
      </c>
      <c r="S726" s="93">
        <f t="shared" si="240"/>
        <v>2310549923618.7344</v>
      </c>
      <c r="T726">
        <f t="shared" si="245"/>
        <v>0.5</v>
      </c>
    </row>
    <row r="727" spans="1:20" x14ac:dyDescent="0.25">
      <c r="A727">
        <v>342</v>
      </c>
      <c r="B727" s="95">
        <f t="shared" si="241"/>
        <v>-9997.7582402585886</v>
      </c>
      <c r="C727" s="95">
        <f t="shared" si="242"/>
        <v>-22057.467223805463</v>
      </c>
      <c r="D727" s="95">
        <f t="shared" si="243"/>
        <v>4985.0029404880261</v>
      </c>
      <c r="E727" s="95">
        <f t="shared" si="244"/>
        <v>5241.72239946015</v>
      </c>
      <c r="F727" s="96">
        <f t="shared" si="227"/>
        <v>2802.3579236526375</v>
      </c>
      <c r="G727" s="94">
        <f t="shared" si="228"/>
        <v>4187.519848445525</v>
      </c>
      <c r="H727" s="97">
        <f t="shared" si="229"/>
        <v>223.76379166474118</v>
      </c>
      <c r="I727" s="94">
        <f t="shared" si="230"/>
        <v>330.7316179415667</v>
      </c>
      <c r="J727" s="95">
        <f t="shared" si="231"/>
        <v>-46.670935024317515</v>
      </c>
      <c r="K727" s="94">
        <f t="shared" si="232"/>
        <v>149.58166436931768</v>
      </c>
      <c r="L727" s="94">
        <f t="shared" si="233"/>
        <v>2625.2650670122139</v>
      </c>
      <c r="M727" s="93">
        <f t="shared" si="234"/>
        <v>3707.206566134641</v>
      </c>
      <c r="N727" s="93">
        <f t="shared" si="235"/>
        <v>35686.891197219244</v>
      </c>
      <c r="O727" s="93">
        <f t="shared" si="236"/>
        <v>33581.632554503311</v>
      </c>
      <c r="P727" s="93">
        <f t="shared" si="237"/>
        <v>8647.8570202773935</v>
      </c>
      <c r="Q727" s="93">
        <f t="shared" si="238"/>
        <v>46793994914951.602</v>
      </c>
      <c r="R727" s="93">
        <f t="shared" si="239"/>
        <v>38489616863624.625</v>
      </c>
      <c r="S727" s="93">
        <f t="shared" si="240"/>
        <v>996783192759.229</v>
      </c>
      <c r="T727">
        <f t="shared" si="245"/>
        <v>0.5</v>
      </c>
    </row>
    <row r="728" spans="1:20" x14ac:dyDescent="0.25">
      <c r="A728">
        <v>342.5</v>
      </c>
      <c r="B728" s="95">
        <f t="shared" si="241"/>
        <v>-6804.6672891014159</v>
      </c>
      <c r="C728" s="95">
        <f t="shared" si="242"/>
        <v>-18389.726061964007</v>
      </c>
      <c r="D728" s="95">
        <f t="shared" si="243"/>
        <v>6386.1819023143453</v>
      </c>
      <c r="E728" s="95">
        <f t="shared" si="244"/>
        <v>7335.4823236829125</v>
      </c>
      <c r="F728" s="96">
        <f t="shared" si="227"/>
        <v>3982.862008610753</v>
      </c>
      <c r="G728" s="94">
        <f t="shared" si="228"/>
        <v>7689.3523392996694</v>
      </c>
      <c r="H728" s="97">
        <f t="shared" si="229"/>
        <v>287.83058259690529</v>
      </c>
      <c r="I728" s="94">
        <f t="shared" si="230"/>
        <v>443.43959969515402</v>
      </c>
      <c r="J728" s="95">
        <f t="shared" si="231"/>
        <v>-75.80889059570265</v>
      </c>
      <c r="K728" s="94">
        <f t="shared" si="232"/>
        <v>163.10264274699264</v>
      </c>
      <c r="L728" s="94">
        <f t="shared" si="233"/>
        <v>3770.8403166095504</v>
      </c>
      <c r="M728" s="93">
        <f t="shared" si="234"/>
        <v>7082.8100968575227</v>
      </c>
      <c r="N728" s="93">
        <f t="shared" si="235"/>
        <v>30865.429824658742</v>
      </c>
      <c r="O728" s="93">
        <f t="shared" si="236"/>
        <v>31306.442647235865</v>
      </c>
      <c r="P728" s="93">
        <f t="shared" si="237"/>
        <v>3840.1909847702459</v>
      </c>
      <c r="Q728" s="93">
        <f t="shared" si="238"/>
        <v>30569730073585.625</v>
      </c>
      <c r="R728" s="93">
        <f t="shared" si="239"/>
        <v>31260285949107.449</v>
      </c>
      <c r="S728" s="93">
        <f t="shared" si="240"/>
        <v>250586475055.35406</v>
      </c>
      <c r="T728">
        <f t="shared" si="245"/>
        <v>0.5</v>
      </c>
    </row>
    <row r="729" spans="1:20" x14ac:dyDescent="0.25">
      <c r="A729">
        <v>343</v>
      </c>
      <c r="B729" s="95">
        <f t="shared" si="241"/>
        <v>-2615.860835791555</v>
      </c>
      <c r="C729" s="95">
        <f t="shared" si="242"/>
        <v>-12799.646815297634</v>
      </c>
      <c r="D729" s="95">
        <f t="shared" si="243"/>
        <v>8377.6129066197209</v>
      </c>
      <c r="E729" s="95">
        <f t="shared" si="244"/>
        <v>11180.158493332747</v>
      </c>
      <c r="F729" s="96">
        <f t="shared" si="227"/>
        <v>-5571.287907084642</v>
      </c>
      <c r="G729" s="94">
        <f t="shared" si="228"/>
        <v>-4540.9995375081098</v>
      </c>
      <c r="H729" s="97">
        <f t="shared" si="229"/>
        <v>453.72076023185991</v>
      </c>
      <c r="I729" s="94">
        <f t="shared" si="230"/>
        <v>730.06283957611618</v>
      </c>
      <c r="J729" s="95">
        <f t="shared" si="231"/>
        <v>-129.56165114100128</v>
      </c>
      <c r="K729" s="94">
        <f t="shared" si="232"/>
        <v>169.92270131519831</v>
      </c>
      <c r="L729" s="94">
        <f t="shared" si="233"/>
        <v>-5895.4470161755007</v>
      </c>
      <c r="M729" s="93">
        <f t="shared" si="234"/>
        <v>-5440.9850783994243</v>
      </c>
      <c r="N729" s="93">
        <f t="shared" si="235"/>
        <v>23900.535672948474</v>
      </c>
      <c r="O729" s="93">
        <f t="shared" si="236"/>
        <v>28671.10373499558</v>
      </c>
      <c r="P729" s="93">
        <f t="shared" si="237"/>
        <v>3244.3294672000234</v>
      </c>
      <c r="Q729" s="93">
        <f t="shared" si="238"/>
        <v>14558842939792.697</v>
      </c>
      <c r="R729" s="93">
        <f t="shared" si="239"/>
        <v>24097359581789.09</v>
      </c>
      <c r="S729" s="93">
        <f t="shared" si="240"/>
        <v>211745155848.30283</v>
      </c>
      <c r="T729">
        <f t="shared" si="245"/>
        <v>0.5</v>
      </c>
    </row>
    <row r="730" spans="1:20" x14ac:dyDescent="0.25">
      <c r="A730">
        <v>343.5</v>
      </c>
      <c r="B730" s="95">
        <f t="shared" si="241"/>
        <v>180.12364074714492</v>
      </c>
      <c r="C730" s="95">
        <f t="shared" si="242"/>
        <v>-8344.8174530082888</v>
      </c>
      <c r="D730" s="95">
        <f t="shared" si="243"/>
        <v>5591.9689530773994</v>
      </c>
      <c r="E730" s="95">
        <f t="shared" si="244"/>
        <v>8909.6587245786923</v>
      </c>
      <c r="F730" s="96">
        <f t="shared" si="227"/>
        <v>-2337.0846000259135</v>
      </c>
      <c r="G730" s="94">
        <f t="shared" si="228"/>
        <v>-2384.935541138409</v>
      </c>
      <c r="H730" s="97">
        <f t="shared" si="229"/>
        <v>715.21372873043208</v>
      </c>
      <c r="I730" s="94">
        <f t="shared" si="230"/>
        <v>1154.0299039448714</v>
      </c>
      <c r="J730" s="95">
        <f t="shared" si="231"/>
        <v>-174.34796457803944</v>
      </c>
      <c r="K730" s="94">
        <f t="shared" si="232"/>
        <v>158.49167430419533</v>
      </c>
      <c r="L730" s="94">
        <f t="shared" si="233"/>
        <v>-2877.9503641783062</v>
      </c>
      <c r="M730" s="93">
        <f t="shared" si="234"/>
        <v>-3697.4571193874758</v>
      </c>
      <c r="N730" s="93">
        <f t="shared" si="235"/>
        <v>18641.035696284936</v>
      </c>
      <c r="O730" s="93">
        <f t="shared" si="236"/>
        <v>27272.141784979765</v>
      </c>
      <c r="P730" s="93">
        <f t="shared" si="237"/>
        <v>8433.5719400032704</v>
      </c>
      <c r="Q730" s="93">
        <f t="shared" si="238"/>
        <v>7189005232545.5303</v>
      </c>
      <c r="R730" s="93">
        <f t="shared" si="239"/>
        <v>20787376571699.891</v>
      </c>
      <c r="S730" s="93">
        <f t="shared" si="240"/>
        <v>942443771617.09924</v>
      </c>
      <c r="T730">
        <f t="shared" si="245"/>
        <v>0.5</v>
      </c>
    </row>
    <row r="731" spans="1:20" x14ac:dyDescent="0.25">
      <c r="A731">
        <v>344</v>
      </c>
      <c r="B731" s="95">
        <f t="shared" si="241"/>
        <v>2391.8369672793665</v>
      </c>
      <c r="C731" s="95">
        <f t="shared" si="242"/>
        <v>-4486.221976003545</v>
      </c>
      <c r="D731" s="95">
        <f t="shared" si="243"/>
        <v>4423.4266530644427</v>
      </c>
      <c r="E731" s="95">
        <f t="shared" si="244"/>
        <v>7717.1909540094875</v>
      </c>
      <c r="F731" s="96">
        <f t="shared" si="227"/>
        <v>-514.16806476816748</v>
      </c>
      <c r="G731" s="94">
        <f t="shared" si="228"/>
        <v>-124.86928182896622</v>
      </c>
      <c r="H731" s="97">
        <f t="shared" si="229"/>
        <v>1168.2123764385906</v>
      </c>
      <c r="I731" s="94">
        <f t="shared" si="230"/>
        <v>1840.4512099552583</v>
      </c>
      <c r="J731" s="95">
        <f t="shared" si="231"/>
        <v>-206.64703279183308</v>
      </c>
      <c r="K731" s="94">
        <f t="shared" si="232"/>
        <v>133.68866485047005</v>
      </c>
      <c r="L731" s="94">
        <f t="shared" si="233"/>
        <v>-1475.733408414925</v>
      </c>
      <c r="M731" s="93">
        <f t="shared" si="234"/>
        <v>-2099.0091566346946</v>
      </c>
      <c r="N731" s="93">
        <f t="shared" si="235"/>
        <v>14196.959603749216</v>
      </c>
      <c r="O731" s="93">
        <f t="shared" si="236"/>
        <v>26669.176775957425</v>
      </c>
      <c r="P731" s="93">
        <f t="shared" si="237"/>
        <v>12852.189777960355</v>
      </c>
      <c r="Q731" s="93">
        <f t="shared" si="238"/>
        <v>3410017672154.1274</v>
      </c>
      <c r="R731" s="93">
        <f t="shared" si="239"/>
        <v>19460468527158.809</v>
      </c>
      <c r="S731" s="93">
        <f t="shared" si="240"/>
        <v>2622666643866.8232</v>
      </c>
      <c r="T731">
        <f t="shared" si="245"/>
        <v>0.5</v>
      </c>
    </row>
    <row r="732" spans="1:20" x14ac:dyDescent="0.25">
      <c r="A732">
        <v>344.5</v>
      </c>
      <c r="B732" s="95">
        <f t="shared" si="241"/>
        <v>4475.0082776195459</v>
      </c>
      <c r="C732" s="95">
        <f t="shared" si="242"/>
        <v>-658.84381945604287</v>
      </c>
      <c r="D732" s="95">
        <f t="shared" si="243"/>
        <v>4166.3426206803588</v>
      </c>
      <c r="E732" s="95">
        <f t="shared" si="244"/>
        <v>7654.7563130950048</v>
      </c>
      <c r="F732" s="96">
        <f t="shared" si="227"/>
        <v>1054.273800778225</v>
      </c>
      <c r="G732" s="94">
        <f t="shared" si="228"/>
        <v>1955.6553113052009</v>
      </c>
      <c r="H732" s="97">
        <f t="shared" si="229"/>
        <v>2144.3616057408635</v>
      </c>
      <c r="I732" s="94">
        <f t="shared" si="230"/>
        <v>3166.6131485423657</v>
      </c>
      <c r="J732" s="95">
        <f t="shared" si="231"/>
        <v>-225.22165175085928</v>
      </c>
      <c r="K732" s="94">
        <f t="shared" si="232"/>
        <v>98.083824264422745</v>
      </c>
      <c r="L732" s="94">
        <f t="shared" si="233"/>
        <v>-864.86615321177908</v>
      </c>
      <c r="M732" s="93">
        <f t="shared" si="234"/>
        <v>-1309.0416615015874</v>
      </c>
      <c r="N732" s="93">
        <f t="shared" si="235"/>
        <v>9853.5407850502452</v>
      </c>
      <c r="O732" s="93">
        <f t="shared" si="236"/>
        <v>26695.261410166066</v>
      </c>
      <c r="P732" s="93">
        <f t="shared" si="237"/>
        <v>17188.500296876195</v>
      </c>
      <c r="Q732" s="93">
        <f t="shared" si="238"/>
        <v>1349063000048.292</v>
      </c>
      <c r="R732" s="93">
        <f t="shared" si="239"/>
        <v>19516657939778.781</v>
      </c>
      <c r="S732" s="93">
        <f t="shared" si="240"/>
        <v>5736266489932.25</v>
      </c>
      <c r="T732">
        <f t="shared" si="245"/>
        <v>0.5</v>
      </c>
    </row>
    <row r="733" spans="1:20" x14ac:dyDescent="0.25">
      <c r="A733">
        <v>345</v>
      </c>
      <c r="B733" s="95">
        <f t="shared" si="241"/>
        <v>6821.7480381542809</v>
      </c>
      <c r="C733" s="95">
        <f t="shared" si="242"/>
        <v>3657.4481649177601</v>
      </c>
      <c r="D733" s="95">
        <f t="shared" si="243"/>
        <v>4693.479521069471</v>
      </c>
      <c r="E733" s="95">
        <f t="shared" si="244"/>
        <v>8632.5839687476055</v>
      </c>
      <c r="F733" s="96">
        <f t="shared" si="227"/>
        <v>3968.2071701544337</v>
      </c>
      <c r="G733" s="94">
        <f t="shared" si="228"/>
        <v>4925.5306695275758</v>
      </c>
      <c r="H733" s="97">
        <f t="shared" si="229"/>
        <v>4725.7826547073673</v>
      </c>
      <c r="I733" s="94">
        <f t="shared" si="230"/>
        <v>5713.5384576306615</v>
      </c>
      <c r="J733" s="95">
        <f t="shared" si="231"/>
        <v>-224.62166991763826</v>
      </c>
      <c r="K733" s="94">
        <f t="shared" si="232"/>
        <v>53.116395796006131</v>
      </c>
      <c r="L733" s="94">
        <f t="shared" si="233"/>
        <v>-532.95381463529509</v>
      </c>
      <c r="M733" s="93">
        <f t="shared" si="234"/>
        <v>-841.12418389909169</v>
      </c>
      <c r="N733" s="93">
        <f t="shared" si="235"/>
        <v>4986.6311411884126</v>
      </c>
      <c r="O733" s="93">
        <f t="shared" si="236"/>
        <v>27561.460984551202</v>
      </c>
      <c r="P733" s="93">
        <f t="shared" si="237"/>
        <v>22087.419466841249</v>
      </c>
      <c r="Q733" s="93">
        <f t="shared" si="238"/>
        <v>352138250392.80328</v>
      </c>
      <c r="R733" s="93">
        <f t="shared" si="239"/>
        <v>21445104615263.746</v>
      </c>
      <c r="S733" s="93">
        <f t="shared" si="240"/>
        <v>11614238660520.598</v>
      </c>
      <c r="T733">
        <f t="shared" si="245"/>
        <v>0.5</v>
      </c>
    </row>
    <row r="734" spans="1:20" x14ac:dyDescent="0.25">
      <c r="A734">
        <v>345.5</v>
      </c>
      <c r="B734" s="95">
        <f t="shared" si="241"/>
        <v>10160.539591227625</v>
      </c>
      <c r="C734" s="95">
        <f t="shared" si="242"/>
        <v>9205.1228166734581</v>
      </c>
      <c r="D734" s="95">
        <f t="shared" si="243"/>
        <v>6677.5831061466879</v>
      </c>
      <c r="E734" s="95">
        <f t="shared" si="244"/>
        <v>11095.349303511393</v>
      </c>
      <c r="F734" s="96">
        <f t="shared" si="227"/>
        <v>-1088.3192121421023</v>
      </c>
      <c r="G734" s="94">
        <f t="shared" si="228"/>
        <v>-6562.2649314364098</v>
      </c>
      <c r="H734" s="97">
        <f t="shared" si="229"/>
        <v>-569.37624958231459</v>
      </c>
      <c r="I734" s="94">
        <f t="shared" si="230"/>
        <v>-6047.4579946962194</v>
      </c>
      <c r="J734" s="95">
        <f t="shared" si="231"/>
        <v>-193.30988230371256</v>
      </c>
      <c r="K734" s="94">
        <f t="shared" si="232"/>
        <v>5.0946573515366618</v>
      </c>
      <c r="L734" s="94">
        <f t="shared" si="233"/>
        <v>-325.63308025607506</v>
      </c>
      <c r="M734" s="93">
        <f t="shared" si="234"/>
        <v>-519.90159409172713</v>
      </c>
      <c r="N734" s="93">
        <f t="shared" si="235"/>
        <v>1712.6636506599773</v>
      </c>
      <c r="O734" s="93">
        <f t="shared" si="236"/>
        <v>30171.012216539606</v>
      </c>
      <c r="P734" s="93">
        <f t="shared" si="237"/>
        <v>28560.986174630358</v>
      </c>
      <c r="Q734" s="93">
        <f t="shared" si="238"/>
        <v>147632314244.75452</v>
      </c>
      <c r="R734" s="93">
        <f t="shared" si="239"/>
        <v>28020623388271.016</v>
      </c>
      <c r="S734" s="93">
        <f t="shared" si="240"/>
        <v>24377252953336.039</v>
      </c>
      <c r="T734">
        <f t="shared" si="245"/>
        <v>0.5</v>
      </c>
    </row>
    <row r="735" spans="1:20" x14ac:dyDescent="0.25">
      <c r="A735">
        <v>346</v>
      </c>
      <c r="B735" s="95">
        <f t="shared" si="241"/>
        <v>13227.251341265444</v>
      </c>
      <c r="C735" s="95">
        <f t="shared" si="242"/>
        <v>13112.231235570052</v>
      </c>
      <c r="D735" s="95">
        <f t="shared" si="243"/>
        <v>6133.4235000756371</v>
      </c>
      <c r="E735" s="95">
        <f t="shared" si="244"/>
        <v>7814.2168377931885</v>
      </c>
      <c r="F735" s="96">
        <f t="shared" si="227"/>
        <v>-3490.7062750459336</v>
      </c>
      <c r="G735" s="94">
        <f t="shared" si="228"/>
        <v>-5762.2284095623954</v>
      </c>
      <c r="H735" s="97">
        <f t="shared" si="229"/>
        <v>-3087.2554485217292</v>
      </c>
      <c r="I735" s="94">
        <f t="shared" si="230"/>
        <v>-5368.776592895797</v>
      </c>
      <c r="J735" s="95">
        <f t="shared" si="231"/>
        <v>-157.93833251887975</v>
      </c>
      <c r="K735" s="94">
        <f t="shared" si="232"/>
        <v>-14.793297426581141</v>
      </c>
      <c r="L735" s="94">
        <f t="shared" si="233"/>
        <v>-245.51249400532453</v>
      </c>
      <c r="M735" s="93">
        <f t="shared" si="234"/>
        <v>-378.65851924001714</v>
      </c>
      <c r="N735" s="93">
        <f t="shared" si="235"/>
        <v>6473.9702394440901</v>
      </c>
      <c r="O735" s="93">
        <f t="shared" si="236"/>
        <v>33372.686660790197</v>
      </c>
      <c r="P735" s="93">
        <f t="shared" si="237"/>
        <v>33504.182373247429</v>
      </c>
      <c r="Q735" s="93">
        <f t="shared" si="238"/>
        <v>547342090413.56586</v>
      </c>
      <c r="R735" s="93">
        <f t="shared" si="239"/>
        <v>37783275975953.523</v>
      </c>
      <c r="S735" s="93">
        <f t="shared" si="240"/>
        <v>38872834246073.266</v>
      </c>
      <c r="T735">
        <f t="shared" si="245"/>
        <v>0.5</v>
      </c>
    </row>
    <row r="736" spans="1:20" x14ac:dyDescent="0.25">
      <c r="A736">
        <v>346.5</v>
      </c>
      <c r="B736" s="95">
        <f t="shared" si="241"/>
        <v>15421.286522541781</v>
      </c>
      <c r="C736" s="95">
        <f t="shared" si="242"/>
        <v>15578.782552076047</v>
      </c>
      <c r="D736" s="95">
        <f t="shared" si="243"/>
        <v>4388.0703625526703</v>
      </c>
      <c r="E736" s="95">
        <f t="shared" si="244"/>
        <v>4933.1026330119912</v>
      </c>
      <c r="F736" s="96">
        <f t="shared" si="227"/>
        <v>-2513.9332596400563</v>
      </c>
      <c r="G736" s="94">
        <f t="shared" si="228"/>
        <v>-3566.4785549162639</v>
      </c>
      <c r="H736" s="97">
        <f t="shared" si="229"/>
        <v>-2168.6696879206602</v>
      </c>
      <c r="I736" s="94">
        <f t="shared" si="230"/>
        <v>-3231.7441188803373</v>
      </c>
      <c r="J736" s="95">
        <f t="shared" si="231"/>
        <v>-136.02689418415665</v>
      </c>
      <c r="K736" s="94">
        <f t="shared" si="232"/>
        <v>-21.423966727033857</v>
      </c>
      <c r="L736" s="94">
        <f t="shared" si="233"/>
        <v>-209.23667753523912</v>
      </c>
      <c r="M736" s="93">
        <f t="shared" si="234"/>
        <v>-313.31046930889278</v>
      </c>
      <c r="N736" s="93">
        <f t="shared" si="235"/>
        <v>9729.186763713682</v>
      </c>
      <c r="O736" s="93">
        <f t="shared" si="236"/>
        <v>35857.918981381896</v>
      </c>
      <c r="P736" s="93">
        <f t="shared" si="237"/>
        <v>36770.788482202785</v>
      </c>
      <c r="Q736" s="93">
        <f t="shared" si="238"/>
        <v>1308903334233.4814</v>
      </c>
      <c r="R736" s="93">
        <f t="shared" si="239"/>
        <v>46766222452129.531</v>
      </c>
      <c r="S736" s="93">
        <f t="shared" si="240"/>
        <v>51102706969451.391</v>
      </c>
      <c r="T736">
        <f t="shared" si="245"/>
        <v>0.5</v>
      </c>
    </row>
    <row r="737" spans="1:20" x14ac:dyDescent="0.25">
      <c r="A737">
        <v>347</v>
      </c>
      <c r="B737" s="95">
        <f t="shared" si="241"/>
        <v>16986.838388908101</v>
      </c>
      <c r="C737" s="95">
        <f t="shared" si="242"/>
        <v>17153.714229852976</v>
      </c>
      <c r="D737" s="95">
        <f t="shared" si="243"/>
        <v>3131.1037327326421</v>
      </c>
      <c r="E737" s="95">
        <f t="shared" si="244"/>
        <v>3149.863355553859</v>
      </c>
      <c r="F737" s="96">
        <f t="shared" si="227"/>
        <v>-2007.705274527159</v>
      </c>
      <c r="G737" s="94">
        <f t="shared" si="228"/>
        <v>-2643.6404886678069</v>
      </c>
      <c r="H737" s="97">
        <f t="shared" si="229"/>
        <v>-1694.9823510790311</v>
      </c>
      <c r="I737" s="94">
        <f t="shared" si="230"/>
        <v>-2341.9570242154227</v>
      </c>
      <c r="J737" s="95">
        <f t="shared" si="231"/>
        <v>-122.65205801623569</v>
      </c>
      <c r="K737" s="94">
        <f t="shared" si="232"/>
        <v>-23.722432383261634</v>
      </c>
      <c r="L737" s="94">
        <f t="shared" si="233"/>
        <v>-190.07086543189217</v>
      </c>
      <c r="M737" s="93">
        <f t="shared" si="234"/>
        <v>-277.96103206912267</v>
      </c>
      <c r="N737" s="93">
        <f t="shared" si="235"/>
        <v>11916.799448861502</v>
      </c>
      <c r="O737" s="93">
        <f t="shared" si="236"/>
        <v>37672.295407760954</v>
      </c>
      <c r="P737" s="93">
        <f t="shared" si="237"/>
        <v>38952.309316842984</v>
      </c>
      <c r="Q737" s="93">
        <f t="shared" si="238"/>
        <v>2158311573808.77</v>
      </c>
      <c r="R737" s="93">
        <f t="shared" si="239"/>
        <v>54158311056260.188</v>
      </c>
      <c r="S737" s="93">
        <f t="shared" si="240"/>
        <v>60568365559608.266</v>
      </c>
      <c r="T737">
        <f t="shared" si="245"/>
        <v>0.5</v>
      </c>
    </row>
    <row r="738" spans="1:20" x14ac:dyDescent="0.25">
      <c r="A738">
        <v>347.5</v>
      </c>
      <c r="B738" s="95">
        <f t="shared" si="241"/>
        <v>18050.463936642631</v>
      </c>
      <c r="C738" s="95">
        <f t="shared" si="242"/>
        <v>18067.735785462955</v>
      </c>
      <c r="D738" s="95">
        <f t="shared" si="243"/>
        <v>2127.2510954690624</v>
      </c>
      <c r="E738" s="95">
        <f t="shared" si="244"/>
        <v>1828.0431112199556</v>
      </c>
      <c r="F738" s="96">
        <f t="shared" si="227"/>
        <v>-1768.6716353257934</v>
      </c>
      <c r="G738" s="94">
        <f t="shared" si="228"/>
        <v>-2217.3880208662517</v>
      </c>
      <c r="H738" s="97">
        <f t="shared" si="229"/>
        <v>-1473.8353044921407</v>
      </c>
      <c r="I738" s="94">
        <f t="shared" si="230"/>
        <v>-1934.6837911127561</v>
      </c>
      <c r="J738" s="95">
        <f t="shared" si="231"/>
        <v>-114.72886141716845</v>
      </c>
      <c r="K738" s="94">
        <f t="shared" si="232"/>
        <v>-24.325646657604992</v>
      </c>
      <c r="L738" s="94">
        <f t="shared" si="233"/>
        <v>-180.10746941648418</v>
      </c>
      <c r="M738" s="93">
        <f t="shared" si="234"/>
        <v>-258.37858309589063</v>
      </c>
      <c r="N738" s="93">
        <f t="shared" si="235"/>
        <v>13284.841332380975</v>
      </c>
      <c r="O738" s="93">
        <f t="shared" si="236"/>
        <v>38896.351583378368</v>
      </c>
      <c r="P738" s="93">
        <f t="shared" si="237"/>
        <v>40308.796033516679</v>
      </c>
      <c r="Q738" s="93">
        <f t="shared" si="238"/>
        <v>2860029914724.3149</v>
      </c>
      <c r="R738" s="93">
        <f t="shared" si="239"/>
        <v>59563473359292.242</v>
      </c>
      <c r="S738" s="93">
        <f t="shared" si="240"/>
        <v>67011072518540.43</v>
      </c>
      <c r="T738">
        <f t="shared" si="245"/>
        <v>0.5</v>
      </c>
    </row>
    <row r="739" spans="1:20" x14ac:dyDescent="0.25">
      <c r="A739">
        <v>348</v>
      </c>
      <c r="B739" s="95">
        <f t="shared" si="241"/>
        <v>18671.921575545712</v>
      </c>
      <c r="C739" s="95">
        <f t="shared" si="242"/>
        <v>18427.410335856373</v>
      </c>
      <c r="D739" s="95">
        <f t="shared" si="243"/>
        <v>1242.9152778061657</v>
      </c>
      <c r="E739" s="95">
        <f t="shared" si="244"/>
        <v>719.34910078682969</v>
      </c>
      <c r="F739" s="96">
        <f t="shared" si="227"/>
        <v>-1682.3095401701275</v>
      </c>
      <c r="G739" s="94">
        <f t="shared" si="228"/>
        <v>-2031.2972419544371</v>
      </c>
      <c r="H739" s="97">
        <f t="shared" si="229"/>
        <v>-1395.1928829293313</v>
      </c>
      <c r="I739" s="94">
        <f t="shared" si="230"/>
        <v>-1758.0699959773131</v>
      </c>
      <c r="J739" s="95">
        <f t="shared" si="231"/>
        <v>-110.71397778446673</v>
      </c>
      <c r="K739" s="94">
        <f t="shared" si="232"/>
        <v>-24.126862144202143</v>
      </c>
      <c r="L739" s="94">
        <f t="shared" si="233"/>
        <v>-176.40267945632939</v>
      </c>
      <c r="M739" s="93">
        <f t="shared" si="234"/>
        <v>-249.10038383292201</v>
      </c>
      <c r="N739" s="93">
        <f t="shared" si="235"/>
        <v>13950.287468744002</v>
      </c>
      <c r="O739" s="93">
        <f t="shared" si="236"/>
        <v>39579.524546336543</v>
      </c>
      <c r="P739" s="93">
        <f t="shared" si="237"/>
        <v>40960.366610181896</v>
      </c>
      <c r="Q739" s="93">
        <f t="shared" si="238"/>
        <v>3254465797952.4644</v>
      </c>
      <c r="R739" s="93">
        <f t="shared" si="239"/>
        <v>62731553132866.586</v>
      </c>
      <c r="S739" s="93">
        <f t="shared" si="240"/>
        <v>70263043572890.375</v>
      </c>
      <c r="T739">
        <f t="shared" si="245"/>
        <v>0.5</v>
      </c>
    </row>
    <row r="740" spans="1:20" x14ac:dyDescent="0.25">
      <c r="A740">
        <v>348.5</v>
      </c>
      <c r="B740" s="95">
        <f t="shared" si="241"/>
        <v>18872.801829406264</v>
      </c>
      <c r="C740" s="95">
        <f t="shared" si="242"/>
        <v>18279.260575761178</v>
      </c>
      <c r="D740" s="95">
        <f t="shared" si="243"/>
        <v>401.76050772110193</v>
      </c>
      <c r="E740" s="95">
        <f t="shared" si="244"/>
        <v>-296.29952019038888</v>
      </c>
      <c r="F740" s="96">
        <f t="shared" si="227"/>
        <v>-1712.3781691596555</v>
      </c>
      <c r="G740" s="94">
        <f t="shared" si="228"/>
        <v>-2002.0658475290077</v>
      </c>
      <c r="H740" s="97">
        <f t="shared" si="229"/>
        <v>-1424.5085693725907</v>
      </c>
      <c r="I740" s="94">
        <f t="shared" si="230"/>
        <v>-1730.5862744259482</v>
      </c>
      <c r="J740" s="95">
        <f t="shared" si="231"/>
        <v>-109.91795646582156</v>
      </c>
      <c r="K740" s="94">
        <f t="shared" si="232"/>
        <v>-23.410697472475185</v>
      </c>
      <c r="L740" s="94">
        <f t="shared" si="233"/>
        <v>-177.95164332124327</v>
      </c>
      <c r="M740" s="93">
        <f t="shared" si="234"/>
        <v>-248.06887563058416</v>
      </c>
      <c r="N740" s="93">
        <f t="shared" si="235"/>
        <v>13961.342015152926</v>
      </c>
      <c r="O740" s="93">
        <f t="shared" si="236"/>
        <v>39744.696221629929</v>
      </c>
      <c r="P740" s="93">
        <f t="shared" si="237"/>
        <v>40956.3163828916</v>
      </c>
      <c r="Q740" s="93">
        <f t="shared" si="238"/>
        <v>3261326940314.3379</v>
      </c>
      <c r="R740" s="93">
        <f t="shared" si="239"/>
        <v>63514069666683.586</v>
      </c>
      <c r="S740" s="93">
        <f t="shared" si="240"/>
        <v>70242508440413.875</v>
      </c>
      <c r="T740">
        <f t="shared" si="245"/>
        <v>0.5</v>
      </c>
    </row>
    <row r="741" spans="1:20" x14ac:dyDescent="0.25">
      <c r="A741">
        <v>349</v>
      </c>
      <c r="B741" s="95">
        <f t="shared" si="241"/>
        <v>18645.587540976903</v>
      </c>
      <c r="C741" s="95">
        <f t="shared" si="242"/>
        <v>17630.59435378373</v>
      </c>
      <c r="D741" s="95">
        <f t="shared" si="243"/>
        <v>-454.42857685872582</v>
      </c>
      <c r="E741" s="95">
        <f t="shared" si="244"/>
        <v>-1297.3324439548928</v>
      </c>
      <c r="F741" s="96">
        <f t="shared" si="227"/>
        <v>-1869.5096510340984</v>
      </c>
      <c r="G741" s="94">
        <f t="shared" si="228"/>
        <v>-2119.7947761324986</v>
      </c>
      <c r="H741" s="97">
        <f t="shared" si="229"/>
        <v>-1572.3797316951652</v>
      </c>
      <c r="I741" s="94">
        <f t="shared" si="230"/>
        <v>-1842.4590759640971</v>
      </c>
      <c r="J741" s="95">
        <f t="shared" si="231"/>
        <v>-112.21612688333131</v>
      </c>
      <c r="K741" s="94">
        <f t="shared" si="232"/>
        <v>-22.157141311190969</v>
      </c>
      <c r="L741" s="94">
        <f t="shared" si="233"/>
        <v>-184.91379245560182</v>
      </c>
      <c r="M741" s="93">
        <f t="shared" si="234"/>
        <v>-255.17855885721048</v>
      </c>
      <c r="N741" s="93">
        <f t="shared" si="235"/>
        <v>13318.225328083687</v>
      </c>
      <c r="O741" s="93">
        <f t="shared" si="236"/>
        <v>39391.717487046764</v>
      </c>
      <c r="P741" s="93">
        <f t="shared" si="237"/>
        <v>40297.264150797942</v>
      </c>
      <c r="Q741" s="93">
        <f t="shared" si="238"/>
        <v>2878960444181.6992</v>
      </c>
      <c r="R741" s="93">
        <f t="shared" si="239"/>
        <v>61849669277403.664</v>
      </c>
      <c r="S741" s="93">
        <f t="shared" si="240"/>
        <v>66954446828137.773</v>
      </c>
      <c r="T741">
        <f t="shared" si="245"/>
        <v>0.5</v>
      </c>
    </row>
    <row r="742" spans="1:20" x14ac:dyDescent="0.25">
      <c r="A742">
        <v>349.5</v>
      </c>
      <c r="B742" s="95">
        <f t="shared" si="241"/>
        <v>17950.995839789015</v>
      </c>
      <c r="C742" s="95">
        <f t="shared" si="242"/>
        <v>16451.979437773156</v>
      </c>
      <c r="D742" s="95">
        <f t="shared" si="243"/>
        <v>-1389.1834023757751</v>
      </c>
      <c r="E742" s="95">
        <f t="shared" si="244"/>
        <v>-2357.2298320211421</v>
      </c>
      <c r="F742" s="96">
        <f t="shared" si="227"/>
        <v>-2222.4642212765552</v>
      </c>
      <c r="G742" s="94">
        <f t="shared" si="228"/>
        <v>-2438.0270291383249</v>
      </c>
      <c r="H742" s="97">
        <f t="shared" si="229"/>
        <v>-1905.7950868703101</v>
      </c>
      <c r="I742" s="94">
        <f t="shared" si="230"/>
        <v>-2145.723475906741</v>
      </c>
      <c r="J742" s="95">
        <f t="shared" si="231"/>
        <v>-118.01085312293584</v>
      </c>
      <c r="K742" s="94">
        <f t="shared" si="232"/>
        <v>-20.062809445041513</v>
      </c>
      <c r="L742" s="94">
        <f t="shared" si="233"/>
        <v>-198.65828128330932</v>
      </c>
      <c r="M742" s="93">
        <f t="shared" si="234"/>
        <v>-272.24074378654234</v>
      </c>
      <c r="N742" s="93">
        <f t="shared" si="235"/>
        <v>11973.147902646806</v>
      </c>
      <c r="O742" s="93">
        <f t="shared" si="236"/>
        <v>38495.533817536947</v>
      </c>
      <c r="P742" s="93">
        <f t="shared" si="237"/>
        <v>38935.526458391672</v>
      </c>
      <c r="Q742" s="93">
        <f t="shared" si="238"/>
        <v>2184459239706.2878</v>
      </c>
      <c r="R742" s="93">
        <f t="shared" si="239"/>
        <v>57755582550326.984</v>
      </c>
      <c r="S742" s="93">
        <f t="shared" si="240"/>
        <v>60491378677224.164</v>
      </c>
      <c r="T742">
        <f t="shared" si="245"/>
        <v>0.5</v>
      </c>
    </row>
    <row r="743" spans="1:20" x14ac:dyDescent="0.25">
      <c r="A743">
        <v>350</v>
      </c>
      <c r="B743" s="95">
        <f t="shared" si="241"/>
        <v>16700.788083281986</v>
      </c>
      <c r="C743" s="95">
        <f t="shared" si="242"/>
        <v>14663.857764478003</v>
      </c>
      <c r="D743" s="95">
        <f t="shared" si="243"/>
        <v>-2500.4155130140525</v>
      </c>
      <c r="E743" s="95">
        <f t="shared" si="244"/>
        <v>-3576.2433465903046</v>
      </c>
      <c r="F743" s="96">
        <f t="shared" si="227"/>
        <v>-2979.8705265947669</v>
      </c>
      <c r="G743" s="94">
        <f t="shared" si="228"/>
        <v>-3131.117475022801</v>
      </c>
      <c r="H743" s="97">
        <f t="shared" si="229"/>
        <v>-2628.787374965822</v>
      </c>
      <c r="I743" s="94">
        <f t="shared" si="230"/>
        <v>-2810.4543246630742</v>
      </c>
      <c r="J743" s="95">
        <f t="shared" si="231"/>
        <v>-128.44034892233933</v>
      </c>
      <c r="K743" s="94">
        <f t="shared" si="232"/>
        <v>-16.321925219545527</v>
      </c>
      <c r="L743" s="94">
        <f t="shared" si="233"/>
        <v>-222.64280270660566</v>
      </c>
      <c r="M743" s="93">
        <f t="shared" si="234"/>
        <v>-304.34122514018139</v>
      </c>
      <c r="N743" s="93">
        <f t="shared" si="235"/>
        <v>9809.2517047288402</v>
      </c>
      <c r="O743" s="93">
        <f t="shared" si="236"/>
        <v>36995.937819999301</v>
      </c>
      <c r="P743" s="93">
        <f t="shared" si="237"/>
        <v>36754.165218471433</v>
      </c>
      <c r="Q743" s="93">
        <f t="shared" si="238"/>
        <v>1334655084455.332</v>
      </c>
      <c r="R743" s="93">
        <f t="shared" si="239"/>
        <v>51317637625095.133</v>
      </c>
      <c r="S743" s="93">
        <f t="shared" si="240"/>
        <v>51034688441727.398</v>
      </c>
      <c r="T743">
        <f t="shared" si="245"/>
        <v>0.5</v>
      </c>
    </row>
    <row r="744" spans="1:20" x14ac:dyDescent="0.25">
      <c r="A744">
        <v>350.5</v>
      </c>
      <c r="B744" s="95">
        <f t="shared" si="241"/>
        <v>14705.612695126269</v>
      </c>
      <c r="C744" s="95">
        <f t="shared" si="242"/>
        <v>12092.95672242715</v>
      </c>
      <c r="D744" s="95">
        <f t="shared" si="243"/>
        <v>-3990.3507763114358</v>
      </c>
      <c r="E744" s="95">
        <f t="shared" si="244"/>
        <v>-5141.8020841017051</v>
      </c>
      <c r="F744" s="96">
        <f t="shared" si="227"/>
        <v>-4782.5024564012911</v>
      </c>
      <c r="G744" s="94">
        <f t="shared" si="228"/>
        <v>-4640.1267777919074</v>
      </c>
      <c r="H744" s="97">
        <f t="shared" si="229"/>
        <v>-4370.9411892005364</v>
      </c>
      <c r="I744" s="94">
        <f t="shared" si="230"/>
        <v>-4266.2975087314599</v>
      </c>
      <c r="J744" s="95">
        <f t="shared" si="231"/>
        <v>-146.06974315982143</v>
      </c>
      <c r="K744" s="94">
        <f t="shared" si="232"/>
        <v>-8.8088821129640404</v>
      </c>
      <c r="L744" s="94">
        <f t="shared" si="233"/>
        <v>-265.49152404093337</v>
      </c>
      <c r="M744" s="93">
        <f t="shared" si="234"/>
        <v>-365.02038694748353</v>
      </c>
      <c r="N744" s="93">
        <f t="shared" si="235"/>
        <v>6575.5640283265629</v>
      </c>
      <c r="O744" s="93">
        <f t="shared" si="236"/>
        <v>34768.66434573038</v>
      </c>
      <c r="P744" s="93">
        <f t="shared" si="237"/>
        <v>33501.335430899351</v>
      </c>
      <c r="Q744" s="93">
        <f t="shared" si="238"/>
        <v>563689360931.11206</v>
      </c>
      <c r="R744" s="93">
        <f t="shared" si="239"/>
        <v>42670938284120.102</v>
      </c>
      <c r="S744" s="93">
        <f t="shared" si="240"/>
        <v>38863141551711.5</v>
      </c>
      <c r="T744">
        <f t="shared" si="245"/>
        <v>0.5</v>
      </c>
    </row>
    <row r="745" spans="1:20" x14ac:dyDescent="0.25">
      <c r="A745">
        <v>351</v>
      </c>
      <c r="B745" s="95">
        <f t="shared" si="241"/>
        <v>11514.811692870227</v>
      </c>
      <c r="C745" s="95">
        <f t="shared" si="242"/>
        <v>8362.0239859283211</v>
      </c>
      <c r="D745" s="95">
        <f t="shared" si="243"/>
        <v>-6381.6020045120813</v>
      </c>
      <c r="E745" s="95">
        <f t="shared" si="244"/>
        <v>-7461.8654729976588</v>
      </c>
      <c r="F745" s="96">
        <f t="shared" si="227"/>
        <v>-5872.2634446306565</v>
      </c>
      <c r="G745" s="94">
        <f t="shared" si="228"/>
        <v>-3530.3211107884672</v>
      </c>
      <c r="H745" s="97">
        <f t="shared" si="229"/>
        <v>-5342.4783287982118</v>
      </c>
      <c r="I745" s="94">
        <f t="shared" si="230"/>
        <v>-3040.2092124072651</v>
      </c>
      <c r="J745" s="95">
        <f t="shared" si="231"/>
        <v>-176.82411362540552</v>
      </c>
      <c r="K745" s="94">
        <f t="shared" si="232"/>
        <v>9.1903978246972944</v>
      </c>
      <c r="L745" s="94">
        <f t="shared" si="233"/>
        <v>-352.96100220703914</v>
      </c>
      <c r="M745" s="93">
        <f t="shared" si="234"/>
        <v>-499.30229620589967</v>
      </c>
      <c r="N745" s="93">
        <f t="shared" si="235"/>
        <v>1742.9113050216051</v>
      </c>
      <c r="O745" s="93">
        <f t="shared" si="236"/>
        <v>31557.349721732724</v>
      </c>
      <c r="P745" s="93">
        <f t="shared" si="237"/>
        <v>28609.843934737804</v>
      </c>
      <c r="Q745" s="93">
        <f t="shared" si="238"/>
        <v>148461724846.57639</v>
      </c>
      <c r="R745" s="93">
        <f t="shared" si="239"/>
        <v>32008547656233.539</v>
      </c>
      <c r="S745" s="93">
        <f t="shared" si="240"/>
        <v>24498840176544.781</v>
      </c>
      <c r="T745">
        <f t="shared" si="245"/>
        <v>0.5</v>
      </c>
    </row>
    <row r="746" spans="1:20" x14ac:dyDescent="0.25">
      <c r="A746">
        <v>351.5</v>
      </c>
      <c r="B746" s="95">
        <f t="shared" si="241"/>
        <v>6855.9448294565227</v>
      </c>
      <c r="C746" s="95">
        <f t="shared" si="242"/>
        <v>3748.5109717323749</v>
      </c>
      <c r="D746" s="95">
        <f t="shared" si="243"/>
        <v>-9317.7337268274096</v>
      </c>
      <c r="E746" s="95">
        <f t="shared" si="244"/>
        <v>-9227.0260283918924</v>
      </c>
      <c r="F746" s="96">
        <f t="shared" si="227"/>
        <v>4052.9726951090365</v>
      </c>
      <c r="G746" s="94">
        <f t="shared" si="228"/>
        <v>4951.3587333260975</v>
      </c>
      <c r="H746" s="97">
        <f t="shared" si="229"/>
        <v>4805.5517805769769</v>
      </c>
      <c r="I746" s="94">
        <f t="shared" si="230"/>
        <v>5733.9880510080839</v>
      </c>
      <c r="J746" s="95">
        <f t="shared" si="231"/>
        <v>-224.60736020225511</v>
      </c>
      <c r="K746" s="94">
        <f t="shared" si="232"/>
        <v>52.283785094481345</v>
      </c>
      <c r="L746" s="94">
        <f t="shared" si="233"/>
        <v>-527.97172526568511</v>
      </c>
      <c r="M746" s="93">
        <f t="shared" si="234"/>
        <v>-834.91310277646801</v>
      </c>
      <c r="N746" s="93">
        <f t="shared" si="235"/>
        <v>4894.7679050832985</v>
      </c>
      <c r="O746" s="93">
        <f t="shared" si="236"/>
        <v>27573.953067222028</v>
      </c>
      <c r="P746" s="93">
        <f t="shared" si="237"/>
        <v>22182.652939995391</v>
      </c>
      <c r="Q746" s="93">
        <f t="shared" si="238"/>
        <v>342566996024.00537</v>
      </c>
      <c r="R746" s="93">
        <f t="shared" si="239"/>
        <v>21473814381811.684</v>
      </c>
      <c r="S746" s="93">
        <f t="shared" si="240"/>
        <v>11757747430774.932</v>
      </c>
      <c r="T746">
        <f t="shared" si="245"/>
        <v>0.5</v>
      </c>
    </row>
    <row r="747" spans="1:20" x14ac:dyDescent="0.25">
      <c r="A747">
        <v>352</v>
      </c>
      <c r="B747" s="95">
        <f t="shared" si="241"/>
        <v>3210.321139820077</v>
      </c>
      <c r="C747" s="95">
        <f t="shared" si="242"/>
        <v>372.83764086795304</v>
      </c>
      <c r="D747" s="95">
        <f t="shared" si="243"/>
        <v>-7291.2473792728915</v>
      </c>
      <c r="E747" s="95">
        <f t="shared" si="244"/>
        <v>-6751.3466617288432</v>
      </c>
      <c r="F747" s="96">
        <f t="shared" si="227"/>
        <v>1665.0429918851223</v>
      </c>
      <c r="G747" s="94">
        <f t="shared" si="228"/>
        <v>1528.2787155215312</v>
      </c>
      <c r="H747" s="97">
        <f t="shared" si="229"/>
        <v>2641.5735025102476</v>
      </c>
      <c r="I747" s="94">
        <f t="shared" si="230"/>
        <v>2772.8738904556576</v>
      </c>
      <c r="J747" s="95">
        <f t="shared" si="231"/>
        <v>-255.26892744291567</v>
      </c>
      <c r="K747" s="94">
        <f t="shared" si="232"/>
        <v>105.88028467724587</v>
      </c>
      <c r="L747" s="94">
        <f t="shared" si="233"/>
        <v>-721.26158318220962</v>
      </c>
      <c r="M747" s="93">
        <f t="shared" si="234"/>
        <v>-1350.4754596113723</v>
      </c>
      <c r="N747" s="93">
        <f t="shared" si="235"/>
        <v>9843.5858465196925</v>
      </c>
      <c r="O747" s="93">
        <f t="shared" si="236"/>
        <v>25127.699108805558</v>
      </c>
      <c r="P747" s="93">
        <f t="shared" si="237"/>
        <v>17427.951983852348</v>
      </c>
      <c r="Q747" s="93">
        <f t="shared" si="238"/>
        <v>1345814354405.6353</v>
      </c>
      <c r="R747" s="93">
        <f t="shared" si="239"/>
        <v>16329614721088.137</v>
      </c>
      <c r="S747" s="93">
        <f t="shared" si="240"/>
        <v>5960270443230.584</v>
      </c>
      <c r="T747">
        <f t="shared" si="245"/>
        <v>0.5</v>
      </c>
    </row>
    <row r="748" spans="1:20" x14ac:dyDescent="0.25">
      <c r="A748">
        <v>352.5</v>
      </c>
      <c r="B748" s="95">
        <f t="shared" si="241"/>
        <v>-19.04180184508823</v>
      </c>
      <c r="C748" s="95">
        <f t="shared" si="242"/>
        <v>-2620.7660111160853</v>
      </c>
      <c r="D748" s="95">
        <f t="shared" si="243"/>
        <v>-6458.7258833303304</v>
      </c>
      <c r="E748" s="95">
        <f t="shared" si="244"/>
        <v>-5987.2073039680772</v>
      </c>
      <c r="F748" s="96">
        <f t="shared" ref="F748:F811" si="246">SUM(H748,J748,L748)</f>
        <v>361.17745210675184</v>
      </c>
      <c r="G748" s="94">
        <f t="shared" ref="G748:G811" si="247">SUM(I748,K748,M748)</f>
        <v>-532.72953985960112</v>
      </c>
      <c r="H748" s="97">
        <f t="shared" ref="H748:H811" si="248">$D$22*(($D$18-$B748)/$Q748)</f>
        <v>1525.676581040957</v>
      </c>
      <c r="I748" s="94">
        <f t="shared" ref="I748:I811" si="249">$D$22*(($E$18-$C748)/$Q748)</f>
        <v>1541.1669090462849</v>
      </c>
      <c r="J748" s="95">
        <f t="shared" ref="J748:J811" si="250">$D$30*(($D$26-$B748)/$R748)</f>
        <v>-263.15678876536145</v>
      </c>
      <c r="K748" s="94">
        <f t="shared" ref="K748:K811" si="251">$D$30*(($E$26-$C748)/$R748)</f>
        <v>166.22026943387633</v>
      </c>
      <c r="L748" s="94">
        <f t="shared" ref="L748:L811" si="252">$D$38*(($D$34-$B748)/$S748)</f>
        <v>-901.34234016884375</v>
      </c>
      <c r="M748" s="93">
        <f t="shared" ref="M748:M811" si="253">$D$38*(($E$34-$C748)/$S748)</f>
        <v>-2240.1167183397624</v>
      </c>
      <c r="N748" s="93">
        <f t="shared" ref="N748:N811" si="254">SQRT(($D$18-$B748)^2+($E$18-$C748)^2)</f>
        <v>14241.176330587366</v>
      </c>
      <c r="O748" s="93">
        <f t="shared" ref="O748:O811" si="255">SQRT(($D$26-$B748)^2+($E$26-$C748)^2)</f>
        <v>23633.079046619318</v>
      </c>
      <c r="P748" s="93">
        <f t="shared" ref="P748:P811" si="256">SQRT(($D$34-$B748)^2+($E$34-$C748)^2)</f>
        <v>13343.739308128939</v>
      </c>
      <c r="Q748" s="93">
        <f t="shared" ref="Q748:Q811" si="257">($N748^2+$D$39^2)^(3/2)</f>
        <v>3438446971857.5518</v>
      </c>
      <c r="R748" s="93">
        <f t="shared" ref="R748:R811" si="258">($O748^2+$D$31^2)^(3/2)</f>
        <v>13636234948918.189</v>
      </c>
      <c r="S748" s="93">
        <f t="shared" ref="S748:S811" si="259">($P748^2+$D$23^2)^(3/2)</f>
        <v>2893488409045.1948</v>
      </c>
      <c r="T748">
        <f t="shared" si="245"/>
        <v>0.5</v>
      </c>
    </row>
    <row r="749" spans="1:20" x14ac:dyDescent="0.25">
      <c r="A749">
        <v>353</v>
      </c>
      <c r="B749" s="95">
        <f t="shared" ref="B749:B812" si="260">B748+(D748*$T748)+(F748*($T748)^2)</f>
        <v>-3158.1103804835657</v>
      </c>
      <c r="C749" s="95">
        <f t="shared" ref="C749:C812" si="261">C748+(E748*$T748)+(G748*($T748)^2)</f>
        <v>-5747.5520480650239</v>
      </c>
      <c r="D749" s="95">
        <f t="shared" ref="D749:D812" si="262">D748+(F748*$T748)</f>
        <v>-6278.1371572769549</v>
      </c>
      <c r="E749" s="95">
        <f t="shared" ref="E749:E812" si="263">E748+(G748*$T748)</f>
        <v>-6253.572073897878</v>
      </c>
      <c r="F749" s="96">
        <f t="shared" si="246"/>
        <v>-76.843335167204486</v>
      </c>
      <c r="G749" s="94">
        <f t="shared" si="247"/>
        <v>-2796.7192400193589</v>
      </c>
      <c r="H749" s="97">
        <f t="shared" si="248"/>
        <v>953.94520258141665</v>
      </c>
      <c r="I749" s="94">
        <f t="shared" si="249"/>
        <v>960.42960248634256</v>
      </c>
      <c r="J749" s="95">
        <f t="shared" si="250"/>
        <v>-238.4642975040322</v>
      </c>
      <c r="K749" s="94">
        <f t="shared" si="251"/>
        <v>222.9695729746642</v>
      </c>
      <c r="L749" s="94">
        <f t="shared" si="252"/>
        <v>-792.32424024458896</v>
      </c>
      <c r="M749" s="93">
        <f t="shared" si="253"/>
        <v>-3980.1184154803655</v>
      </c>
      <c r="N749" s="93">
        <f t="shared" si="254"/>
        <v>18671.730076540342</v>
      </c>
      <c r="O749" s="93">
        <f t="shared" si="255"/>
        <v>23057.203678297425</v>
      </c>
      <c r="P749" s="93">
        <f t="shared" si="256"/>
        <v>9433.9997071098187</v>
      </c>
      <c r="Q749" s="93">
        <f t="shared" si="257"/>
        <v>7222186836062.4775</v>
      </c>
      <c r="R749" s="93">
        <f t="shared" si="258"/>
        <v>12684115636653.107</v>
      </c>
      <c r="S749" s="93">
        <f t="shared" si="259"/>
        <v>1217192533789.3357</v>
      </c>
      <c r="T749">
        <f t="shared" si="245"/>
        <v>0.5</v>
      </c>
    </row>
    <row r="750" spans="1:20" x14ac:dyDescent="0.25">
      <c r="A750">
        <v>353.5</v>
      </c>
      <c r="B750" s="95">
        <f t="shared" si="260"/>
        <v>-6316.3897929138438</v>
      </c>
      <c r="C750" s="95">
        <f t="shared" si="261"/>
        <v>-9573.5178950188019</v>
      </c>
      <c r="D750" s="95">
        <f t="shared" si="262"/>
        <v>-6316.5588248605573</v>
      </c>
      <c r="E750" s="95">
        <f t="shared" si="263"/>
        <v>-7651.9316939075579</v>
      </c>
      <c r="F750" s="96">
        <f t="shared" si="246"/>
        <v>2069.4483503493366</v>
      </c>
      <c r="G750" s="94">
        <f t="shared" si="247"/>
        <v>-5862.1176711055268</v>
      </c>
      <c r="H750" s="97">
        <f t="shared" si="248"/>
        <v>607.32629946012457</v>
      </c>
      <c r="I750" s="94">
        <f t="shared" si="249"/>
        <v>635.50801210028044</v>
      </c>
      <c r="J750" s="95">
        <f t="shared" si="250"/>
        <v>-174.75205669057755</v>
      </c>
      <c r="K750" s="94">
        <f t="shared" si="251"/>
        <v>249.97149561107949</v>
      </c>
      <c r="L750" s="94">
        <f t="shared" si="252"/>
        <v>1636.8741075797898</v>
      </c>
      <c r="M750" s="93">
        <f t="shared" si="253"/>
        <v>-6747.5971788168863</v>
      </c>
      <c r="N750" s="93">
        <f t="shared" si="254"/>
        <v>23616.29922714036</v>
      </c>
      <c r="O750" s="93">
        <f t="shared" si="255"/>
        <v>23882.290323293822</v>
      </c>
      <c r="P750" s="93">
        <f t="shared" si="256"/>
        <v>5583.8687415240092</v>
      </c>
      <c r="Q750" s="93">
        <f t="shared" si="257"/>
        <v>14066971453975.701</v>
      </c>
      <c r="R750" s="93">
        <f t="shared" si="258"/>
        <v>14062778649112.672</v>
      </c>
      <c r="S750" s="93">
        <f t="shared" si="259"/>
        <v>421083136808.17914</v>
      </c>
      <c r="T750">
        <f t="shared" si="245"/>
        <v>0.5</v>
      </c>
    </row>
    <row r="751" spans="1:20" x14ac:dyDescent="0.25">
      <c r="A751">
        <v>354</v>
      </c>
      <c r="B751" s="95">
        <f t="shared" si="260"/>
        <v>-8957.3071177567872</v>
      </c>
      <c r="C751" s="95">
        <f t="shared" si="261"/>
        <v>-14865.013159748964</v>
      </c>
      <c r="D751" s="95">
        <f t="shared" si="262"/>
        <v>-5281.8346496858885</v>
      </c>
      <c r="E751" s="95">
        <f t="shared" si="263"/>
        <v>-10582.990529460321</v>
      </c>
      <c r="F751" s="96">
        <f t="shared" si="246"/>
        <v>8267.6055014493504</v>
      </c>
      <c r="G751" s="94">
        <f t="shared" si="247"/>
        <v>389.03711404204256</v>
      </c>
      <c r="H751" s="97">
        <f t="shared" si="248"/>
        <v>377.28933026331896</v>
      </c>
      <c r="I751" s="94">
        <f t="shared" si="249"/>
        <v>445.10967638796564</v>
      </c>
      <c r="J751" s="95">
        <f t="shared" si="250"/>
        <v>-96.082137476301966</v>
      </c>
      <c r="K751" s="94">
        <f t="shared" si="251"/>
        <v>216.34972902368168</v>
      </c>
      <c r="L751" s="94">
        <f t="shared" si="252"/>
        <v>7986.398308662333</v>
      </c>
      <c r="M751" s="93">
        <f t="shared" si="253"/>
        <v>-272.42229136960481</v>
      </c>
      <c r="N751" s="93">
        <f t="shared" si="254"/>
        <v>29318.480635815638</v>
      </c>
      <c r="O751" s="93">
        <f t="shared" si="255"/>
        <v>27206.799619323734</v>
      </c>
      <c r="P751" s="93">
        <f t="shared" si="256"/>
        <v>3959.608701789798</v>
      </c>
      <c r="Q751" s="93">
        <f t="shared" si="257"/>
        <v>26308782144914.535</v>
      </c>
      <c r="R751" s="93">
        <f t="shared" si="258"/>
        <v>20640731296591.934</v>
      </c>
      <c r="S751" s="93">
        <f t="shared" si="259"/>
        <v>259446258681.64835</v>
      </c>
      <c r="T751">
        <f t="shared" si="245"/>
        <v>0.5</v>
      </c>
    </row>
    <row r="752" spans="1:20" x14ac:dyDescent="0.25">
      <c r="A752">
        <v>354.5</v>
      </c>
      <c r="B752" s="95">
        <f t="shared" si="260"/>
        <v>-9531.3230672373938</v>
      </c>
      <c r="C752" s="95">
        <f t="shared" si="261"/>
        <v>-20059.249145968613</v>
      </c>
      <c r="D752" s="95">
        <f t="shared" si="262"/>
        <v>-1148.0318989612133</v>
      </c>
      <c r="E752" s="95">
        <f t="shared" si="263"/>
        <v>-10388.4719724393</v>
      </c>
      <c r="F752" s="96">
        <f t="shared" si="246"/>
        <v>4154.6716063122349</v>
      </c>
      <c r="G752" s="94">
        <f t="shared" si="247"/>
        <v>4942.7061862226838</v>
      </c>
      <c r="H752" s="97">
        <f t="shared" si="248"/>
        <v>256.856733883392</v>
      </c>
      <c r="I752" s="94">
        <f t="shared" si="249"/>
        <v>362.43211479033789</v>
      </c>
      <c r="J752" s="95">
        <f t="shared" si="250"/>
        <v>-57.258968249176803</v>
      </c>
      <c r="K752" s="94">
        <f t="shared" si="251"/>
        <v>164.41061306005076</v>
      </c>
      <c r="L752" s="94">
        <f t="shared" si="252"/>
        <v>3955.0738406780192</v>
      </c>
      <c r="M752" s="93">
        <f t="shared" si="253"/>
        <v>4415.8634583722951</v>
      </c>
      <c r="N752" s="93">
        <f t="shared" si="254"/>
        <v>33778.466428278996</v>
      </c>
      <c r="O752" s="93">
        <f t="shared" si="255"/>
        <v>31830.04329155037</v>
      </c>
      <c r="P752" s="93">
        <f t="shared" si="256"/>
        <v>6791.8252819593235</v>
      </c>
      <c r="Q752" s="93">
        <f t="shared" si="257"/>
        <v>39814322518260.234</v>
      </c>
      <c r="R752" s="93">
        <f t="shared" si="258"/>
        <v>32835302503082.719</v>
      </c>
      <c r="S752" s="93">
        <f t="shared" si="259"/>
        <v>599886451029.97437</v>
      </c>
      <c r="T752">
        <f t="shared" si="245"/>
        <v>0.5</v>
      </c>
    </row>
    <row r="753" spans="1:20" x14ac:dyDescent="0.25">
      <c r="A753">
        <v>355</v>
      </c>
      <c r="B753" s="95">
        <f t="shared" si="260"/>
        <v>-9066.6711151399413</v>
      </c>
      <c r="C753" s="95">
        <f t="shared" si="261"/>
        <v>-24017.808585632592</v>
      </c>
      <c r="D753" s="95">
        <f t="shared" si="262"/>
        <v>929.30390419490413</v>
      </c>
      <c r="E753" s="95">
        <f t="shared" si="263"/>
        <v>-7917.118879327958</v>
      </c>
      <c r="F753" s="96">
        <f t="shared" si="246"/>
        <v>1715.5184553716242</v>
      </c>
      <c r="G753" s="94">
        <f t="shared" si="247"/>
        <v>3920.5533290127792</v>
      </c>
      <c r="H753" s="97">
        <f t="shared" si="248"/>
        <v>194.33622467080164</v>
      </c>
      <c r="I753" s="94">
        <f t="shared" si="249"/>
        <v>321.24390741523843</v>
      </c>
      <c r="J753" s="95">
        <f t="shared" si="250"/>
        <v>-42.429341671769002</v>
      </c>
      <c r="K753" s="94">
        <f t="shared" si="251"/>
        <v>132.01406804869171</v>
      </c>
      <c r="L753" s="94">
        <f t="shared" si="252"/>
        <v>1563.6115723725916</v>
      </c>
      <c r="M753" s="93">
        <f t="shared" si="253"/>
        <v>3467.2953535488491</v>
      </c>
      <c r="N753" s="93">
        <f t="shared" si="254"/>
        <v>36836.262099370062</v>
      </c>
      <c r="O753" s="93">
        <f t="shared" si="255"/>
        <v>35731.62438895346</v>
      </c>
      <c r="P753" s="93">
        <f t="shared" si="256"/>
        <v>9892.3549090104134</v>
      </c>
      <c r="Q753" s="93">
        <f t="shared" si="257"/>
        <v>51371203014435.633</v>
      </c>
      <c r="R753" s="93">
        <f t="shared" si="258"/>
        <v>46278456025382.727</v>
      </c>
      <c r="S753" s="93">
        <f t="shared" si="259"/>
        <v>1361785787641.1597</v>
      </c>
      <c r="T753">
        <f t="shared" si="245"/>
        <v>0.5</v>
      </c>
    </row>
    <row r="754" spans="1:20" x14ac:dyDescent="0.25">
      <c r="A754">
        <v>355.5</v>
      </c>
      <c r="B754" s="95">
        <f t="shared" si="260"/>
        <v>-8173.1395491995827</v>
      </c>
      <c r="C754" s="95">
        <f t="shared" si="261"/>
        <v>-26996.229693043377</v>
      </c>
      <c r="D754" s="95">
        <f t="shared" si="262"/>
        <v>1787.0631318807164</v>
      </c>
      <c r="E754" s="95">
        <f t="shared" si="263"/>
        <v>-5956.8422148215686</v>
      </c>
      <c r="F754" s="96">
        <f t="shared" si="246"/>
        <v>814.72141835094305</v>
      </c>
      <c r="G754" s="94">
        <f t="shared" si="247"/>
        <v>3032.6470723901352</v>
      </c>
      <c r="H754" s="97">
        <f t="shared" si="248"/>
        <v>156.64958474356365</v>
      </c>
      <c r="I754" s="94">
        <f t="shared" si="249"/>
        <v>297.35203661449026</v>
      </c>
      <c r="J754" s="95">
        <f t="shared" si="250"/>
        <v>-35.812489284662632</v>
      </c>
      <c r="K754" s="94">
        <f t="shared" si="251"/>
        <v>112.02694789261383</v>
      </c>
      <c r="L754" s="94">
        <f t="shared" si="252"/>
        <v>693.88432289204206</v>
      </c>
      <c r="M754" s="93">
        <f t="shared" si="253"/>
        <v>2623.2680878830311</v>
      </c>
      <c r="N754" s="93">
        <f t="shared" si="254"/>
        <v>38990.420158160516</v>
      </c>
      <c r="O754" s="93">
        <f t="shared" si="255"/>
        <v>38840.644171063017</v>
      </c>
      <c r="P754" s="93">
        <f t="shared" si="256"/>
        <v>12408.800967335648</v>
      </c>
      <c r="Q754" s="93">
        <f t="shared" si="257"/>
        <v>60743433391890.227</v>
      </c>
      <c r="R754" s="93">
        <f t="shared" si="258"/>
        <v>59309970147063.938</v>
      </c>
      <c r="S754" s="93">
        <f t="shared" si="259"/>
        <v>2394422136298.8428</v>
      </c>
      <c r="T754">
        <f t="shared" si="245"/>
        <v>0.5</v>
      </c>
    </row>
    <row r="755" spans="1:20" x14ac:dyDescent="0.25">
      <c r="A755">
        <v>356</v>
      </c>
      <c r="B755" s="95">
        <f t="shared" si="260"/>
        <v>-7075.9276286714885</v>
      </c>
      <c r="C755" s="95">
        <f t="shared" si="261"/>
        <v>-29216.489032356629</v>
      </c>
      <c r="D755" s="95">
        <f t="shared" si="262"/>
        <v>2194.4238410561879</v>
      </c>
      <c r="E755" s="95">
        <f t="shared" si="263"/>
        <v>-4440.5186786265012</v>
      </c>
      <c r="F755" s="96">
        <f t="shared" si="246"/>
        <v>407.77662312002315</v>
      </c>
      <c r="G755" s="94">
        <f t="shared" si="247"/>
        <v>2496.4621358231539</v>
      </c>
      <c r="H755" s="97">
        <f t="shared" si="248"/>
        <v>131.63873639696328</v>
      </c>
      <c r="I755" s="94">
        <f t="shared" si="249"/>
        <v>283.04829618960042</v>
      </c>
      <c r="J755" s="95">
        <f t="shared" si="250"/>
        <v>-32.617843374992638</v>
      </c>
      <c r="K755" s="94">
        <f t="shared" si="251"/>
        <v>98.974785982495689</v>
      </c>
      <c r="L755" s="94">
        <f t="shared" si="252"/>
        <v>308.75573009805254</v>
      </c>
      <c r="M755" s="93">
        <f t="shared" si="253"/>
        <v>2114.4390536510577</v>
      </c>
      <c r="N755" s="93">
        <f t="shared" si="254"/>
        <v>40493.059544109419</v>
      </c>
      <c r="O755" s="93">
        <f t="shared" si="255"/>
        <v>41291.217694375213</v>
      </c>
      <c r="P755" s="93">
        <f t="shared" si="256"/>
        <v>14367.255685293485</v>
      </c>
      <c r="Q755" s="93">
        <f t="shared" si="257"/>
        <v>67920241741121.781</v>
      </c>
      <c r="R755" s="93">
        <f t="shared" si="258"/>
        <v>71160154223253.219</v>
      </c>
      <c r="S755" s="93">
        <f t="shared" si="259"/>
        <v>3520430743934.3203</v>
      </c>
      <c r="T755">
        <f t="shared" si="245"/>
        <v>0.5</v>
      </c>
    </row>
    <row r="756" spans="1:20" x14ac:dyDescent="0.25">
      <c r="A756">
        <v>356.5</v>
      </c>
      <c r="B756" s="95">
        <f t="shared" si="260"/>
        <v>-5876.7715523633888</v>
      </c>
      <c r="C756" s="95">
        <f t="shared" si="261"/>
        <v>-30812.632837714093</v>
      </c>
      <c r="D756" s="95">
        <f t="shared" si="262"/>
        <v>2398.3121526161995</v>
      </c>
      <c r="E756" s="95">
        <f t="shared" si="263"/>
        <v>-3192.2876107149241</v>
      </c>
      <c r="F756" s="96">
        <f t="shared" si="246"/>
        <v>183.09285644210868</v>
      </c>
      <c r="G756" s="94">
        <f t="shared" si="247"/>
        <v>2172.8809814832621</v>
      </c>
      <c r="H756" s="97">
        <f t="shared" si="248"/>
        <v>114.04963832787222</v>
      </c>
      <c r="I756" s="94">
        <f t="shared" si="249"/>
        <v>275.21602261005074</v>
      </c>
      <c r="J756" s="95">
        <f t="shared" si="250"/>
        <v>-31.181439625885194</v>
      </c>
      <c r="K756" s="94">
        <f t="shared" si="251"/>
        <v>90.106638968624665</v>
      </c>
      <c r="L756" s="94">
        <f t="shared" si="252"/>
        <v>100.22465774012166</v>
      </c>
      <c r="M756" s="93">
        <f t="shared" si="253"/>
        <v>1807.5583199045868</v>
      </c>
      <c r="N756" s="93">
        <f t="shared" si="254"/>
        <v>41472.03527539278</v>
      </c>
      <c r="O756" s="93">
        <f t="shared" si="255"/>
        <v>43187.227057663593</v>
      </c>
      <c r="P756" s="93">
        <f t="shared" si="256"/>
        <v>15836.921595290789</v>
      </c>
      <c r="Q756" s="93">
        <f t="shared" si="257"/>
        <v>72889824703983.922</v>
      </c>
      <c r="R756" s="93">
        <f t="shared" si="258"/>
        <v>81344943899664.75</v>
      </c>
      <c r="S756" s="93">
        <f t="shared" si="259"/>
        <v>4580474721971.6758</v>
      </c>
      <c r="T756">
        <f t="shared" si="245"/>
        <v>0.5</v>
      </c>
    </row>
    <row r="757" spans="1:20" x14ac:dyDescent="0.25">
      <c r="A757">
        <v>357</v>
      </c>
      <c r="B757" s="95">
        <f t="shared" si="260"/>
        <v>-4631.842261944762</v>
      </c>
      <c r="C757" s="95">
        <f t="shared" si="261"/>
        <v>-31865.55639770074</v>
      </c>
      <c r="D757" s="95">
        <f t="shared" si="262"/>
        <v>2489.8585808372536</v>
      </c>
      <c r="E757" s="95">
        <f t="shared" si="263"/>
        <v>-2105.847119973293</v>
      </c>
      <c r="F757" s="96">
        <f t="shared" si="246"/>
        <v>35.048869700953404</v>
      </c>
      <c r="G757" s="94">
        <f t="shared" si="247"/>
        <v>1977.63793198847</v>
      </c>
      <c r="H757" s="97">
        <f t="shared" si="248"/>
        <v>101.26924959135185</v>
      </c>
      <c r="I757" s="94">
        <f t="shared" si="249"/>
        <v>272.45512115104862</v>
      </c>
      <c r="J757" s="95">
        <f t="shared" si="250"/>
        <v>-30.831413203673062</v>
      </c>
      <c r="K757" s="94">
        <f t="shared" si="251"/>
        <v>83.990175680128772</v>
      </c>
      <c r="L757" s="94">
        <f t="shared" si="252"/>
        <v>-35.388966686725382</v>
      </c>
      <c r="M757" s="93">
        <f t="shared" si="253"/>
        <v>1621.1926351572927</v>
      </c>
      <c r="N757" s="93">
        <f t="shared" si="254"/>
        <v>41996.878913545355</v>
      </c>
      <c r="O757" s="93">
        <f t="shared" si="255"/>
        <v>44597.142114162525</v>
      </c>
      <c r="P757" s="93">
        <f t="shared" si="256"/>
        <v>16869.574171392538</v>
      </c>
      <c r="Q757" s="93">
        <f t="shared" si="257"/>
        <v>75651935054488.344</v>
      </c>
      <c r="R757" s="93">
        <f t="shared" si="258"/>
        <v>89520215727373.531</v>
      </c>
      <c r="S757" s="93">
        <f t="shared" si="259"/>
        <v>5447091535031.1689</v>
      </c>
      <c r="T757">
        <f t="shared" si="245"/>
        <v>0.5</v>
      </c>
    </row>
    <row r="758" spans="1:20" x14ac:dyDescent="0.25">
      <c r="A758">
        <v>357.5</v>
      </c>
      <c r="B758" s="95">
        <f t="shared" si="260"/>
        <v>-3378.1507541008968</v>
      </c>
      <c r="C758" s="95">
        <f t="shared" si="261"/>
        <v>-32424.070474690267</v>
      </c>
      <c r="D758" s="95">
        <f t="shared" si="262"/>
        <v>2507.3830156877302</v>
      </c>
      <c r="E758" s="95">
        <f t="shared" si="263"/>
        <v>-1117.0281539790581</v>
      </c>
      <c r="F758" s="96">
        <f t="shared" si="246"/>
        <v>-80.265022230097742</v>
      </c>
      <c r="G758" s="94">
        <f t="shared" si="247"/>
        <v>1867.4561461683829</v>
      </c>
      <c r="H758" s="97">
        <f t="shared" si="248"/>
        <v>91.884894070152015</v>
      </c>
      <c r="I758" s="94">
        <f t="shared" si="249"/>
        <v>274.20972104770851</v>
      </c>
      <c r="J758" s="95">
        <f t="shared" si="250"/>
        <v>-31.280307292686746</v>
      </c>
      <c r="K758" s="94">
        <f t="shared" si="251"/>
        <v>79.836962868756231</v>
      </c>
      <c r="L758" s="94">
        <f t="shared" si="252"/>
        <v>-140.86960900756301</v>
      </c>
      <c r="M758" s="93">
        <f t="shared" si="253"/>
        <v>1513.4094622519181</v>
      </c>
      <c r="N758" s="93">
        <f t="shared" si="254"/>
        <v>42105.894134520939</v>
      </c>
      <c r="O758" s="93">
        <f t="shared" si="255"/>
        <v>45564.104599946681</v>
      </c>
      <c r="P758" s="93">
        <f t="shared" si="256"/>
        <v>17499.38932887078</v>
      </c>
      <c r="Q758" s="93">
        <f t="shared" si="257"/>
        <v>76234330196524.969</v>
      </c>
      <c r="R758" s="93">
        <f t="shared" si="258"/>
        <v>95433548089564.359</v>
      </c>
      <c r="S758" s="93">
        <f t="shared" si="259"/>
        <v>6028257516581.8975</v>
      </c>
      <c r="T758">
        <f t="shared" si="245"/>
        <v>0.5</v>
      </c>
    </row>
    <row r="759" spans="1:20" x14ac:dyDescent="0.25">
      <c r="A759">
        <v>358</v>
      </c>
      <c r="B759" s="95">
        <f t="shared" si="260"/>
        <v>-2144.5255018145563</v>
      </c>
      <c r="C759" s="95">
        <f t="shared" si="261"/>
        <v>-32515.720515137698</v>
      </c>
      <c r="D759" s="95">
        <f t="shared" si="262"/>
        <v>2467.2505045726812</v>
      </c>
      <c r="E759" s="95">
        <f t="shared" si="263"/>
        <v>-183.3000808948666</v>
      </c>
      <c r="F759" s="96">
        <f t="shared" si="246"/>
        <v>-185.83286289719697</v>
      </c>
      <c r="G759" s="94">
        <f t="shared" si="247"/>
        <v>1820.8499803597208</v>
      </c>
      <c r="H759" s="97">
        <f t="shared" si="248"/>
        <v>85.121941389564469</v>
      </c>
      <c r="I759" s="94">
        <f t="shared" si="249"/>
        <v>280.47335532720558</v>
      </c>
      <c r="J759" s="95">
        <f t="shared" si="250"/>
        <v>-32.423000675485909</v>
      </c>
      <c r="K759" s="94">
        <f t="shared" si="251"/>
        <v>77.202498041772444</v>
      </c>
      <c r="L759" s="94">
        <f t="shared" si="252"/>
        <v>-238.53180361127554</v>
      </c>
      <c r="M759" s="93">
        <f t="shared" si="253"/>
        <v>1463.1741269907427</v>
      </c>
      <c r="N759" s="93">
        <f t="shared" si="254"/>
        <v>41818.027069791759</v>
      </c>
      <c r="O759" s="93">
        <f t="shared" si="255"/>
        <v>46112.953282962168</v>
      </c>
      <c r="P759" s="93">
        <f t="shared" si="256"/>
        <v>17746.949027204733</v>
      </c>
      <c r="Q759" s="93">
        <f t="shared" si="257"/>
        <v>74702932982587.984</v>
      </c>
      <c r="R759" s="93">
        <f t="shared" si="258"/>
        <v>98903334233079.844</v>
      </c>
      <c r="S759" s="93">
        <f t="shared" si="259"/>
        <v>6268023501967.0547</v>
      </c>
      <c r="T759">
        <f t="shared" si="245"/>
        <v>0.5</v>
      </c>
    </row>
    <row r="760" spans="1:20" x14ac:dyDescent="0.25">
      <c r="A760">
        <v>358.5</v>
      </c>
      <c r="B760" s="95">
        <f t="shared" si="260"/>
        <v>-957.35846525251497</v>
      </c>
      <c r="C760" s="95">
        <f t="shared" si="261"/>
        <v>-32152.1580604952</v>
      </c>
      <c r="D760" s="95">
        <f t="shared" si="262"/>
        <v>2374.3340731240828</v>
      </c>
      <c r="E760" s="95">
        <f t="shared" si="263"/>
        <v>727.12490928499381</v>
      </c>
      <c r="F760" s="96">
        <f t="shared" si="246"/>
        <v>-298.03905834516064</v>
      </c>
      <c r="G760" s="94">
        <f t="shared" si="247"/>
        <v>1828.7481191712279</v>
      </c>
      <c r="H760" s="97">
        <f t="shared" si="248"/>
        <v>80.61455941215759</v>
      </c>
      <c r="I760" s="94">
        <f t="shared" si="249"/>
        <v>291.72553420833884</v>
      </c>
      <c r="J760" s="95">
        <f t="shared" si="250"/>
        <v>-34.265291555361991</v>
      </c>
      <c r="K760" s="94">
        <f t="shared" si="251"/>
        <v>75.848509934665586</v>
      </c>
      <c r="L760" s="94">
        <f t="shared" si="252"/>
        <v>-344.38832620195626</v>
      </c>
      <c r="M760" s="93">
        <f t="shared" si="253"/>
        <v>1461.1740750282236</v>
      </c>
      <c r="N760" s="93">
        <f t="shared" si="254"/>
        <v>41138.271030641721</v>
      </c>
      <c r="O760" s="93">
        <f t="shared" si="255"/>
        <v>46253.936327385811</v>
      </c>
      <c r="P760" s="93">
        <f t="shared" si="256"/>
        <v>17622.130311363493</v>
      </c>
      <c r="Q760" s="93">
        <f t="shared" si="257"/>
        <v>71169023536617.234</v>
      </c>
      <c r="R760" s="93">
        <f t="shared" si="258"/>
        <v>99808034466744.688</v>
      </c>
      <c r="S760" s="93">
        <f t="shared" si="259"/>
        <v>6146323776768.5605</v>
      </c>
      <c r="T760">
        <f t="shared" si="245"/>
        <v>0.5</v>
      </c>
    </row>
    <row r="761" spans="1:20" x14ac:dyDescent="0.25">
      <c r="A761">
        <v>359</v>
      </c>
      <c r="B761" s="95">
        <f t="shared" si="260"/>
        <v>155.29880672323628</v>
      </c>
      <c r="C761" s="95">
        <f t="shared" si="261"/>
        <v>-31331.408576059897</v>
      </c>
      <c r="D761" s="95">
        <f t="shared" si="262"/>
        <v>2225.3145439515024</v>
      </c>
      <c r="E761" s="95">
        <f t="shared" si="263"/>
        <v>1641.4989688706078</v>
      </c>
      <c r="F761" s="96">
        <f t="shared" si="246"/>
        <v>-433.9135475618005</v>
      </c>
      <c r="G761" s="94">
        <f t="shared" si="247"/>
        <v>1890.5551267272617</v>
      </c>
      <c r="H761" s="97">
        <f t="shared" si="248"/>
        <v>78.343165698536524</v>
      </c>
      <c r="I761" s="94">
        <f t="shared" si="249"/>
        <v>309.01653759277366</v>
      </c>
      <c r="J761" s="95">
        <f t="shared" si="250"/>
        <v>-36.906321844547747</v>
      </c>
      <c r="K761" s="94">
        <f t="shared" si="251"/>
        <v>75.681848323069303</v>
      </c>
      <c r="L761" s="94">
        <f t="shared" si="252"/>
        <v>-475.35039141578926</v>
      </c>
      <c r="M761" s="93">
        <f t="shared" si="253"/>
        <v>1505.8567408114188</v>
      </c>
      <c r="N761" s="93">
        <f t="shared" si="254"/>
        <v>40059.910553891692</v>
      </c>
      <c r="O761" s="93">
        <f t="shared" si="255"/>
        <v>45983.925505218634</v>
      </c>
      <c r="P761" s="93">
        <f t="shared" si="256"/>
        <v>17125.770402081325</v>
      </c>
      <c r="Q761" s="93">
        <f t="shared" si="257"/>
        <v>65796083742211.039</v>
      </c>
      <c r="R761" s="93">
        <f t="shared" si="258"/>
        <v>98080171976064.313</v>
      </c>
      <c r="S761" s="93">
        <f t="shared" si="259"/>
        <v>5678565100165.3877</v>
      </c>
      <c r="T761">
        <f t="shared" si="245"/>
        <v>0.5</v>
      </c>
    </row>
    <row r="762" spans="1:20" x14ac:dyDescent="0.25">
      <c r="A762">
        <v>359.5</v>
      </c>
      <c r="B762" s="95">
        <f t="shared" si="260"/>
        <v>1159.4776918085374</v>
      </c>
      <c r="C762" s="95">
        <f t="shared" si="261"/>
        <v>-30038.020309942778</v>
      </c>
      <c r="D762" s="95">
        <f t="shared" si="262"/>
        <v>2008.3577701706022</v>
      </c>
      <c r="E762" s="95">
        <f t="shared" si="263"/>
        <v>2586.7765322342384</v>
      </c>
      <c r="F762" s="96">
        <f t="shared" si="246"/>
        <v>-618.00793623184245</v>
      </c>
      <c r="G762" s="94">
        <f t="shared" si="247"/>
        <v>2012.9459979243011</v>
      </c>
      <c r="H762" s="97">
        <f t="shared" si="248"/>
        <v>78.711428698063898</v>
      </c>
      <c r="I762" s="94">
        <f t="shared" si="249"/>
        <v>334.2190773451012</v>
      </c>
      <c r="J762" s="95">
        <f t="shared" si="250"/>
        <v>-40.554925912453434</v>
      </c>
      <c r="K762" s="94">
        <f t="shared" si="251"/>
        <v>76.738139334111864</v>
      </c>
      <c r="L762" s="94">
        <f t="shared" si="252"/>
        <v>-656.16443901745288</v>
      </c>
      <c r="M762" s="93">
        <f t="shared" si="253"/>
        <v>1601.9887812450879</v>
      </c>
      <c r="N762" s="93">
        <f t="shared" si="254"/>
        <v>38564.981569700081</v>
      </c>
      <c r="O762" s="93">
        <f t="shared" si="255"/>
        <v>45285.390210635625</v>
      </c>
      <c r="P762" s="93">
        <f t="shared" si="256"/>
        <v>16250.575998349674</v>
      </c>
      <c r="Q762" s="93">
        <f t="shared" si="257"/>
        <v>58808317073939.172</v>
      </c>
      <c r="R762" s="93">
        <f t="shared" si="258"/>
        <v>93703124646977.234</v>
      </c>
      <c r="S762" s="93">
        <f t="shared" si="259"/>
        <v>4915071262601.9102</v>
      </c>
      <c r="T762">
        <f t="shared" si="245"/>
        <v>0.5</v>
      </c>
    </row>
    <row r="763" spans="1:20" x14ac:dyDescent="0.25">
      <c r="A763">
        <v>360</v>
      </c>
      <c r="B763" s="95">
        <f t="shared" si="260"/>
        <v>2009.1545928358778</v>
      </c>
      <c r="C763" s="95">
        <f t="shared" si="261"/>
        <v>-28241.395544344585</v>
      </c>
      <c r="D763" s="95">
        <f t="shared" si="262"/>
        <v>1699.353802054681</v>
      </c>
      <c r="E763" s="95">
        <f t="shared" si="263"/>
        <v>3593.2495311963889</v>
      </c>
      <c r="F763" s="96">
        <f t="shared" si="246"/>
        <v>-894.180769297795</v>
      </c>
      <c r="G763" s="94">
        <f t="shared" si="247"/>
        <v>2209.3981965091461</v>
      </c>
      <c r="H763" s="97">
        <f t="shared" si="248"/>
        <v>82.846046471463737</v>
      </c>
      <c r="I763" s="94">
        <f t="shared" si="249"/>
        <v>370.5531974835917</v>
      </c>
      <c r="J763" s="95">
        <f t="shared" si="250"/>
        <v>-45.585363480689161</v>
      </c>
      <c r="K763" s="94">
        <f t="shared" si="251"/>
        <v>79.20558277441485</v>
      </c>
      <c r="L763" s="94">
        <f t="shared" si="252"/>
        <v>-931.44145228856962</v>
      </c>
      <c r="M763" s="93">
        <f t="shared" si="253"/>
        <v>1759.6394162511394</v>
      </c>
      <c r="N763" s="93">
        <f t="shared" si="254"/>
        <v>36623.775962869957</v>
      </c>
      <c r="O763" s="93">
        <f t="shared" si="255"/>
        <v>44122.638396523464</v>
      </c>
      <c r="P763" s="93">
        <f t="shared" si="256"/>
        <v>14982.082768028646</v>
      </c>
      <c r="Q763" s="93">
        <f t="shared" si="257"/>
        <v>50503277457272.5</v>
      </c>
      <c r="R763" s="93">
        <f t="shared" si="258"/>
        <v>86710298487890.766</v>
      </c>
      <c r="S763" s="93">
        <f t="shared" si="259"/>
        <v>3940113201716.3662</v>
      </c>
      <c r="T763">
        <f t="shared" si="245"/>
        <v>0.5</v>
      </c>
    </row>
    <row r="764" spans="1:20" x14ac:dyDescent="0.25">
      <c r="A764">
        <v>360.5</v>
      </c>
      <c r="B764" s="95">
        <f t="shared" si="260"/>
        <v>2635.2863015387697</v>
      </c>
      <c r="C764" s="95">
        <f t="shared" si="261"/>
        <v>-25892.421229619104</v>
      </c>
      <c r="D764" s="95">
        <f t="shared" si="262"/>
        <v>1252.2634174057835</v>
      </c>
      <c r="E764" s="95">
        <f t="shared" si="263"/>
        <v>4697.9486294509625</v>
      </c>
      <c r="F764" s="96">
        <f t="shared" si="246"/>
        <v>-1352.3361584959398</v>
      </c>
      <c r="G764" s="94">
        <f t="shared" si="247"/>
        <v>2494.5183757649229</v>
      </c>
      <c r="H764" s="97">
        <f t="shared" si="248"/>
        <v>93.430412806049233</v>
      </c>
      <c r="I764" s="94">
        <f t="shared" si="249"/>
        <v>423.62375888809567</v>
      </c>
      <c r="J764" s="95">
        <f t="shared" si="250"/>
        <v>-52.665715763872967</v>
      </c>
      <c r="K764" s="94">
        <f t="shared" si="251"/>
        <v>83.511205883347486</v>
      </c>
      <c r="L764" s="94">
        <f t="shared" si="252"/>
        <v>-1393.1008555381161</v>
      </c>
      <c r="M764" s="93">
        <f t="shared" si="253"/>
        <v>1987.3834109934796</v>
      </c>
      <c r="N764" s="93">
        <f t="shared" si="254"/>
        <v>34194.92365010659</v>
      </c>
      <c r="O764" s="93">
        <f t="shared" si="255"/>
        <v>42433.737611445926</v>
      </c>
      <c r="P764" s="93">
        <f t="shared" si="256"/>
        <v>13301.971175353017</v>
      </c>
      <c r="Q764" s="93">
        <f t="shared" si="257"/>
        <v>41273017632398.266</v>
      </c>
      <c r="R764" s="93">
        <f t="shared" si="258"/>
        <v>77188169783118.906</v>
      </c>
      <c r="S764" s="93">
        <f t="shared" si="259"/>
        <v>2869732326224.0869</v>
      </c>
      <c r="T764">
        <f t="shared" si="245"/>
        <v>0.5</v>
      </c>
    </row>
    <row r="765" spans="1:20" x14ac:dyDescent="0.25">
      <c r="A765">
        <v>361</v>
      </c>
      <c r="B765" s="95">
        <f t="shared" si="260"/>
        <v>2923.3339706176762</v>
      </c>
      <c r="C765" s="95">
        <f t="shared" si="261"/>
        <v>-22919.817320952392</v>
      </c>
      <c r="D765" s="95">
        <f t="shared" si="262"/>
        <v>576.09533815781356</v>
      </c>
      <c r="E765" s="95">
        <f t="shared" si="263"/>
        <v>5945.2078173334239</v>
      </c>
      <c r="F765" s="96">
        <f t="shared" si="246"/>
        <v>-2192.8923923091647</v>
      </c>
      <c r="G765" s="94">
        <f t="shared" si="247"/>
        <v>2839.832072440543</v>
      </c>
      <c r="H765" s="97">
        <f t="shared" si="248"/>
        <v>117.09485927499665</v>
      </c>
      <c r="I765" s="94">
        <f t="shared" si="249"/>
        <v>503.34496690653202</v>
      </c>
      <c r="J765" s="95">
        <f t="shared" si="250"/>
        <v>-63.054741362075909</v>
      </c>
      <c r="K765" s="94">
        <f t="shared" si="251"/>
        <v>90.551861675970159</v>
      </c>
      <c r="L765" s="94">
        <f t="shared" si="252"/>
        <v>-2246.9325102220855</v>
      </c>
      <c r="M765" s="93">
        <f t="shared" si="253"/>
        <v>2245.9352438580408</v>
      </c>
      <c r="N765" s="93">
        <f t="shared" si="254"/>
        <v>31232.106684172442</v>
      </c>
      <c r="O765" s="93">
        <f t="shared" si="255"/>
        <v>40114.755549215944</v>
      </c>
      <c r="P765" s="93">
        <f t="shared" si="256"/>
        <v>11202.79998960981</v>
      </c>
      <c r="Q765" s="93">
        <f t="shared" si="257"/>
        <v>31643862858237.898</v>
      </c>
      <c r="R765" s="93">
        <f t="shared" si="258"/>
        <v>65290918077649.625</v>
      </c>
      <c r="S765" s="93">
        <f t="shared" si="259"/>
        <v>1846360737048.4717</v>
      </c>
      <c r="T765">
        <f t="shared" si="245"/>
        <v>0.5</v>
      </c>
    </row>
    <row r="766" spans="1:20" x14ac:dyDescent="0.25">
      <c r="A766">
        <v>361.5</v>
      </c>
      <c r="B766" s="95">
        <f t="shared" si="260"/>
        <v>2663.158541619292</v>
      </c>
      <c r="C766" s="95">
        <f t="shared" si="261"/>
        <v>-19237.255394175543</v>
      </c>
      <c r="D766" s="95">
        <f t="shared" si="262"/>
        <v>-520.35085799676881</v>
      </c>
      <c r="E766" s="95">
        <f t="shared" si="263"/>
        <v>7365.1238535536959</v>
      </c>
      <c r="F766" s="96">
        <f t="shared" si="246"/>
        <v>-3821.0256142686317</v>
      </c>
      <c r="G766" s="94">
        <f t="shared" si="247"/>
        <v>2892.3366224803517</v>
      </c>
      <c r="H766" s="97">
        <f t="shared" si="248"/>
        <v>171.79674159133705</v>
      </c>
      <c r="I766" s="94">
        <f t="shared" si="249"/>
        <v>626.06959437127432</v>
      </c>
      <c r="J766" s="95">
        <f t="shared" si="250"/>
        <v>-79.336103078279308</v>
      </c>
      <c r="K766" s="94">
        <f t="shared" si="251"/>
        <v>102.34980721767279</v>
      </c>
      <c r="L766" s="94">
        <f t="shared" si="252"/>
        <v>-3913.4862527816895</v>
      </c>
      <c r="M766" s="93">
        <f t="shared" si="253"/>
        <v>2163.9172208914047</v>
      </c>
      <c r="N766" s="93">
        <f t="shared" si="254"/>
        <v>27725.621158033289</v>
      </c>
      <c r="O766" s="93">
        <f t="shared" si="255"/>
        <v>36992.375674817347</v>
      </c>
      <c r="P766" s="93">
        <f t="shared" si="256"/>
        <v>8756.6164760975153</v>
      </c>
      <c r="Q766" s="93">
        <f t="shared" si="257"/>
        <v>22361083037914.199</v>
      </c>
      <c r="R766" s="93">
        <f t="shared" si="258"/>
        <v>51302947206679.195</v>
      </c>
      <c r="S766" s="93">
        <f t="shared" si="259"/>
        <v>1025280317965.9812</v>
      </c>
      <c r="T766">
        <f t="shared" si="245"/>
        <v>0.5</v>
      </c>
    </row>
    <row r="767" spans="1:20" x14ac:dyDescent="0.25">
      <c r="A767">
        <v>362</v>
      </c>
      <c r="B767" s="95">
        <f t="shared" si="260"/>
        <v>1447.7267090537493</v>
      </c>
      <c r="C767" s="95">
        <f t="shared" si="261"/>
        <v>-14831.609311778606</v>
      </c>
      <c r="D767" s="95">
        <f t="shared" si="262"/>
        <v>-2430.8636651310844</v>
      </c>
      <c r="E767" s="95">
        <f t="shared" si="263"/>
        <v>8811.2921647938711</v>
      </c>
      <c r="F767" s="96">
        <f t="shared" si="246"/>
        <v>-6011.3449861482131</v>
      </c>
      <c r="G767" s="94">
        <f t="shared" si="247"/>
        <v>763.82095017230051</v>
      </c>
      <c r="H767" s="97">
        <f t="shared" si="248"/>
        <v>307.1078802384813</v>
      </c>
      <c r="I767" s="94">
        <f t="shared" si="249"/>
        <v>801.91698332589692</v>
      </c>
      <c r="J767" s="95">
        <f t="shared" si="250"/>
        <v>-107.20466124798321</v>
      </c>
      <c r="K767" s="94">
        <f t="shared" si="251"/>
        <v>124.11871433384833</v>
      </c>
      <c r="L767" s="94">
        <f t="shared" si="252"/>
        <v>-6211.2482051387115</v>
      </c>
      <c r="M767" s="93">
        <f t="shared" si="253"/>
        <v>-162.2147474874447</v>
      </c>
      <c r="N767" s="93">
        <f t="shared" si="254"/>
        <v>23913.221299041867</v>
      </c>
      <c r="O767" s="93">
        <f t="shared" si="255"/>
        <v>32811.793641906683</v>
      </c>
      <c r="P767" s="93">
        <f t="shared" si="256"/>
        <v>6449.9252041031277</v>
      </c>
      <c r="Q767" s="93">
        <f t="shared" si="257"/>
        <v>14581064543977.77</v>
      </c>
      <c r="R767" s="93">
        <f t="shared" si="258"/>
        <v>35930258409752.57</v>
      </c>
      <c r="S767" s="93">
        <f t="shared" si="259"/>
        <v>543533553764.59277</v>
      </c>
      <c r="T767">
        <f t="shared" si="245"/>
        <v>0.5</v>
      </c>
    </row>
    <row r="768" spans="1:20" x14ac:dyDescent="0.25">
      <c r="A768">
        <v>362.5</v>
      </c>
      <c r="B768" s="95">
        <f t="shared" si="260"/>
        <v>-1270.5413700488461</v>
      </c>
      <c r="C768" s="95">
        <f t="shared" si="261"/>
        <v>-10235.007991838595</v>
      </c>
      <c r="D768" s="95">
        <f t="shared" si="262"/>
        <v>-5436.536158205191</v>
      </c>
      <c r="E768" s="95">
        <f t="shared" si="263"/>
        <v>9193.2026398800208</v>
      </c>
      <c r="F768" s="96">
        <f t="shared" si="246"/>
        <v>-3608.699907133127</v>
      </c>
      <c r="G768" s="94">
        <f t="shared" si="247"/>
        <v>-4068.0006619683854</v>
      </c>
      <c r="H768" s="97">
        <f t="shared" si="248"/>
        <v>585.58274915483764</v>
      </c>
      <c r="I768" s="94">
        <f t="shared" si="249"/>
        <v>921.45660045599493</v>
      </c>
      <c r="J768" s="95">
        <f t="shared" si="250"/>
        <v>-156.66492627513321</v>
      </c>
      <c r="K768" s="94">
        <f t="shared" si="251"/>
        <v>169.25828438781699</v>
      </c>
      <c r="L768" s="94">
        <f t="shared" si="252"/>
        <v>-4037.6177300128315</v>
      </c>
      <c r="M768" s="93">
        <f t="shared" si="253"/>
        <v>-5158.7155468121973</v>
      </c>
      <c r="N768" s="93">
        <f t="shared" si="254"/>
        <v>21013.224675060261</v>
      </c>
      <c r="O768" s="93">
        <f t="shared" si="255"/>
        <v>27572.598154704676</v>
      </c>
      <c r="P768" s="93">
        <f t="shared" si="256"/>
        <v>6050.95120707143</v>
      </c>
      <c r="Q768" s="93">
        <f t="shared" si="257"/>
        <v>10077553804658.211</v>
      </c>
      <c r="R768" s="93">
        <f t="shared" si="258"/>
        <v>21470699223643.48</v>
      </c>
      <c r="S768" s="93">
        <f t="shared" si="259"/>
        <v>483636664702.46246</v>
      </c>
      <c r="T768">
        <f t="shared" si="245"/>
        <v>0.5</v>
      </c>
    </row>
    <row r="769" spans="1:20" x14ac:dyDescent="0.25">
      <c r="A769">
        <v>363</v>
      </c>
      <c r="B769" s="95">
        <f t="shared" si="260"/>
        <v>-4890.9844259347237</v>
      </c>
      <c r="C769" s="95">
        <f t="shared" si="261"/>
        <v>-6655.4068373906803</v>
      </c>
      <c r="D769" s="95">
        <f t="shared" si="262"/>
        <v>-7240.8861117717543</v>
      </c>
      <c r="E769" s="95">
        <f t="shared" si="263"/>
        <v>7159.2023088958285</v>
      </c>
      <c r="F769" s="96">
        <f t="shared" si="246"/>
        <v>532.48991683072632</v>
      </c>
      <c r="G769" s="94">
        <f t="shared" si="247"/>
        <v>-3707.5776783484789</v>
      </c>
      <c r="H769" s="97">
        <f t="shared" si="248"/>
        <v>824.68921711537905</v>
      </c>
      <c r="I769" s="94">
        <f t="shared" si="249"/>
        <v>783.95162124713772</v>
      </c>
      <c r="J769" s="95">
        <f t="shared" si="250"/>
        <v>-230.20572039051376</v>
      </c>
      <c r="K769" s="94">
        <f t="shared" si="251"/>
        <v>253.76702476764848</v>
      </c>
      <c r="L769" s="94">
        <f t="shared" si="252"/>
        <v>-61.993579894138996</v>
      </c>
      <c r="M769" s="93">
        <f t="shared" si="253"/>
        <v>-4745.2963243632648</v>
      </c>
      <c r="N769" s="93">
        <f t="shared" si="254"/>
        <v>20545.485146510346</v>
      </c>
      <c r="O769" s="93">
        <f t="shared" si="255"/>
        <v>22487.439350365068</v>
      </c>
      <c r="P769" s="93">
        <f t="shared" si="256"/>
        <v>8345.3052337739555</v>
      </c>
      <c r="Q769" s="93">
        <f t="shared" si="257"/>
        <v>9454350864614.1582</v>
      </c>
      <c r="R769" s="93">
        <f t="shared" si="258"/>
        <v>11787258284842.154</v>
      </c>
      <c r="S769" s="93">
        <f t="shared" si="259"/>
        <v>920747296723.23413</v>
      </c>
      <c r="T769">
        <f t="shared" si="245"/>
        <v>0.5</v>
      </c>
    </row>
    <row r="770" spans="1:20" x14ac:dyDescent="0.25">
      <c r="A770">
        <v>363.5</v>
      </c>
      <c r="B770" s="95">
        <f t="shared" si="260"/>
        <v>-8378.3050026129204</v>
      </c>
      <c r="C770" s="95">
        <f t="shared" si="261"/>
        <v>-4002.700102529886</v>
      </c>
      <c r="D770" s="95">
        <f t="shared" si="262"/>
        <v>-6974.6411533563914</v>
      </c>
      <c r="E770" s="95">
        <f t="shared" si="263"/>
        <v>5305.4134697215886</v>
      </c>
      <c r="F770" s="96">
        <f t="shared" si="246"/>
        <v>1441.7198077236237</v>
      </c>
      <c r="G770" s="94">
        <f t="shared" si="247"/>
        <v>-1975.2627782534623</v>
      </c>
      <c r="H770" s="97">
        <f t="shared" si="248"/>
        <v>873.57184758893675</v>
      </c>
      <c r="I770" s="94">
        <f t="shared" si="249"/>
        <v>546.75526276225446</v>
      </c>
      <c r="J770" s="95">
        <f t="shared" si="250"/>
        <v>-328.00606903800031</v>
      </c>
      <c r="K770" s="94">
        <f t="shared" si="251"/>
        <v>395.20660433624141</v>
      </c>
      <c r="L770" s="94">
        <f t="shared" si="252"/>
        <v>896.15402917268727</v>
      </c>
      <c r="M770" s="93">
        <f t="shared" si="253"/>
        <v>-2917.2246453519583</v>
      </c>
      <c r="N770" s="93">
        <f t="shared" si="254"/>
        <v>21681.194718414576</v>
      </c>
      <c r="O770" s="93">
        <f t="shared" si="255"/>
        <v>18197.236185027723</v>
      </c>
      <c r="P770" s="93">
        <f t="shared" si="256"/>
        <v>11504.501281045419</v>
      </c>
      <c r="Q770" s="93">
        <f t="shared" si="257"/>
        <v>11015531262253.193</v>
      </c>
      <c r="R770" s="93">
        <f t="shared" si="258"/>
        <v>6363269783627.6777</v>
      </c>
      <c r="S770" s="93">
        <f t="shared" si="259"/>
        <v>1973853049122.2883</v>
      </c>
      <c r="T770">
        <f t="shared" si="245"/>
        <v>0.5</v>
      </c>
    </row>
    <row r="771" spans="1:20" x14ac:dyDescent="0.25">
      <c r="A771">
        <v>364</v>
      </c>
      <c r="B771" s="95">
        <f t="shared" si="260"/>
        <v>-11505.19562736021</v>
      </c>
      <c r="C771" s="95">
        <f t="shared" si="261"/>
        <v>-1843.8090622324571</v>
      </c>
      <c r="D771" s="95">
        <f t="shared" si="262"/>
        <v>-6253.7812494945792</v>
      </c>
      <c r="E771" s="95">
        <f t="shared" si="263"/>
        <v>4317.7820805948577</v>
      </c>
      <c r="F771" s="96">
        <f t="shared" si="246"/>
        <v>1277.9441058114778</v>
      </c>
      <c r="G771" s="94">
        <f t="shared" si="247"/>
        <v>-861.47758126188228</v>
      </c>
      <c r="H771" s="97">
        <f t="shared" si="248"/>
        <v>817.12653436547555</v>
      </c>
      <c r="I771" s="94">
        <f t="shared" si="249"/>
        <v>355.03393919750846</v>
      </c>
      <c r="J771" s="95">
        <f t="shared" si="250"/>
        <v>-452.97863040795306</v>
      </c>
      <c r="K771" s="94">
        <f t="shared" si="251"/>
        <v>631.56161960633483</v>
      </c>
      <c r="L771" s="94">
        <f t="shared" si="252"/>
        <v>913.79620185395538</v>
      </c>
      <c r="M771" s="93">
        <f t="shared" si="253"/>
        <v>-1848.0731400657255</v>
      </c>
      <c r="N771" s="93">
        <f t="shared" si="254"/>
        <v>23447.392323294505</v>
      </c>
      <c r="O771" s="93">
        <f t="shared" si="255"/>
        <v>14575.236342236092</v>
      </c>
      <c r="P771" s="93">
        <f t="shared" si="256"/>
        <v>14676.611670996246</v>
      </c>
      <c r="Q771" s="93">
        <f t="shared" si="257"/>
        <v>13780110700029.48</v>
      </c>
      <c r="R771" s="93">
        <f t="shared" si="258"/>
        <v>3367971516466.9937</v>
      </c>
      <c r="S771" s="93">
        <f t="shared" si="259"/>
        <v>3727431191553.1299</v>
      </c>
      <c r="T771">
        <f t="shared" si="245"/>
        <v>0.5</v>
      </c>
    </row>
    <row r="772" spans="1:20" x14ac:dyDescent="0.25">
      <c r="A772">
        <v>364.5</v>
      </c>
      <c r="B772" s="95">
        <f t="shared" si="260"/>
        <v>-14312.600225654631</v>
      </c>
      <c r="C772" s="95">
        <f t="shared" si="261"/>
        <v>99.712582749501166</v>
      </c>
      <c r="D772" s="95">
        <f t="shared" si="262"/>
        <v>-5614.8091965888407</v>
      </c>
      <c r="E772" s="95">
        <f t="shared" si="263"/>
        <v>3887.0432899639163</v>
      </c>
      <c r="F772" s="96">
        <f t="shared" si="246"/>
        <v>911.57471193619119</v>
      </c>
      <c r="G772" s="94">
        <f t="shared" si="247"/>
        <v>4.3806798858854563</v>
      </c>
      <c r="H772" s="97">
        <f t="shared" si="248"/>
        <v>732.61464725628673</v>
      </c>
      <c r="I772" s="94">
        <f t="shared" si="249"/>
        <v>222.99379356648527</v>
      </c>
      <c r="J772" s="95">
        <f t="shared" si="250"/>
        <v>-599.75164363522345</v>
      </c>
      <c r="K772" s="94">
        <f t="shared" si="251"/>
        <v>1044.0120066362927</v>
      </c>
      <c r="L772" s="94">
        <f t="shared" si="252"/>
        <v>778.71170831512791</v>
      </c>
      <c r="M772" s="93">
        <f t="shared" si="253"/>
        <v>-1262.6251203168924</v>
      </c>
      <c r="N772" s="93">
        <f t="shared" si="254"/>
        <v>25413.909254390943</v>
      </c>
      <c r="O772" s="93">
        <f t="shared" si="255"/>
        <v>11417.62703618367</v>
      </c>
      <c r="P772" s="93">
        <f t="shared" si="256"/>
        <v>17740.514170804247</v>
      </c>
      <c r="Q772" s="93">
        <f t="shared" si="257"/>
        <v>17376185089171.992</v>
      </c>
      <c r="R772" s="93">
        <f t="shared" si="258"/>
        <v>1703080012030.4358</v>
      </c>
      <c r="S772" s="93">
        <f t="shared" si="259"/>
        <v>6261708953033.96</v>
      </c>
      <c r="T772">
        <f t="shared" si="245"/>
        <v>0.5</v>
      </c>
    </row>
    <row r="773" spans="1:20" x14ac:dyDescent="0.25">
      <c r="A773">
        <v>365</v>
      </c>
      <c r="B773" s="95">
        <f t="shared" si="260"/>
        <v>-16892.111145965002</v>
      </c>
      <c r="C773" s="95">
        <f t="shared" si="261"/>
        <v>2044.3293977029307</v>
      </c>
      <c r="D773" s="95">
        <f t="shared" si="262"/>
        <v>-5159.021840620745</v>
      </c>
      <c r="E773" s="95">
        <f t="shared" si="263"/>
        <v>3889.2336299068593</v>
      </c>
      <c r="F773" s="96">
        <f t="shared" si="246"/>
        <v>576.70997376128969</v>
      </c>
      <c r="G773" s="94">
        <f t="shared" si="247"/>
        <v>1034.7123661426135</v>
      </c>
      <c r="H773" s="97">
        <f t="shared" si="248"/>
        <v>648.92724144014096</v>
      </c>
      <c r="I773" s="94">
        <f t="shared" si="249"/>
        <v>131.6495107036591</v>
      </c>
      <c r="J773" s="95">
        <f t="shared" si="250"/>
        <v>-709.7184195329711</v>
      </c>
      <c r="K773" s="94">
        <f t="shared" si="251"/>
        <v>1816.759295898428</v>
      </c>
      <c r="L773" s="94">
        <f t="shared" si="252"/>
        <v>637.50115185411983</v>
      </c>
      <c r="M773" s="93">
        <f t="shared" si="253"/>
        <v>-913.69644045947371</v>
      </c>
      <c r="N773" s="93">
        <f t="shared" si="254"/>
        <v>27439.93410355979</v>
      </c>
      <c r="O773" s="93">
        <f t="shared" si="255"/>
        <v>8541.1748525181702</v>
      </c>
      <c r="P773" s="93">
        <f t="shared" si="256"/>
        <v>20782.961100992932</v>
      </c>
      <c r="Q773" s="93">
        <f t="shared" si="257"/>
        <v>21698390158551.363</v>
      </c>
      <c r="R773" s="93">
        <f t="shared" si="258"/>
        <v>786451861162.81348</v>
      </c>
      <c r="S773" s="93">
        <f t="shared" si="259"/>
        <v>9767346799603.9316</v>
      </c>
      <c r="T773">
        <f t="shared" si="245"/>
        <v>0.5</v>
      </c>
    </row>
    <row r="774" spans="1:20" x14ac:dyDescent="0.25">
      <c r="A774">
        <v>365.5</v>
      </c>
      <c r="B774" s="95">
        <f t="shared" si="260"/>
        <v>-19327.444572835051</v>
      </c>
      <c r="C774" s="95">
        <f t="shared" si="261"/>
        <v>4247.6243041920134</v>
      </c>
      <c r="D774" s="95">
        <f t="shared" si="262"/>
        <v>-4870.6668537401001</v>
      </c>
      <c r="E774" s="95">
        <f t="shared" si="263"/>
        <v>4406.5898129781663</v>
      </c>
      <c r="F774" s="96">
        <f t="shared" si="246"/>
        <v>692.54690405377085</v>
      </c>
      <c r="G774" s="94">
        <f t="shared" si="247"/>
        <v>2712.9897478128369</v>
      </c>
      <c r="H774" s="97">
        <f t="shared" si="248"/>
        <v>572.85636916362898</v>
      </c>
      <c r="I774" s="94">
        <f t="shared" si="249"/>
        <v>63.529030892188857</v>
      </c>
      <c r="J774" s="95">
        <f t="shared" si="250"/>
        <v>-389.79312328319139</v>
      </c>
      <c r="K774" s="94">
        <f t="shared" si="251"/>
        <v>3333.9058733331613</v>
      </c>
      <c r="L774" s="94">
        <f t="shared" si="252"/>
        <v>509.48365817333325</v>
      </c>
      <c r="M774" s="93">
        <f t="shared" si="253"/>
        <v>-684.4451564125136</v>
      </c>
      <c r="N774" s="93">
        <f t="shared" si="254"/>
        <v>29507.235601448581</v>
      </c>
      <c r="O774" s="93">
        <f t="shared" si="255"/>
        <v>5791.5591120467243</v>
      </c>
      <c r="P774" s="93">
        <f t="shared" si="256"/>
        <v>23994.722531068859</v>
      </c>
      <c r="Q774" s="93">
        <f t="shared" si="257"/>
        <v>26805696674339.008</v>
      </c>
      <c r="R774" s="93">
        <f t="shared" si="258"/>
        <v>309875079273.50604</v>
      </c>
      <c r="S774" s="93">
        <f t="shared" si="259"/>
        <v>14724382844163.176</v>
      </c>
      <c r="T774">
        <f t="shared" si="245"/>
        <v>0.5</v>
      </c>
    </row>
    <row r="775" spans="1:20" x14ac:dyDescent="0.25">
      <c r="A775">
        <v>366</v>
      </c>
      <c r="B775" s="95">
        <f t="shared" si="260"/>
        <v>-21589.641273691657</v>
      </c>
      <c r="C775" s="95">
        <f t="shared" si="261"/>
        <v>7129.1666476343062</v>
      </c>
      <c r="D775" s="95">
        <f t="shared" si="262"/>
        <v>-4524.3934017132151</v>
      </c>
      <c r="E775" s="95">
        <f t="shared" si="263"/>
        <v>5763.0846868845847</v>
      </c>
      <c r="F775" s="96">
        <f t="shared" si="246"/>
        <v>3481.8069050322424</v>
      </c>
      <c r="G775" s="94">
        <f t="shared" si="247"/>
        <v>4152.5685744135617</v>
      </c>
      <c r="H775" s="97">
        <f t="shared" si="248"/>
        <v>505.47829752162727</v>
      </c>
      <c r="I775" s="94">
        <f t="shared" si="249"/>
        <v>5.9338505934272323</v>
      </c>
      <c r="J775" s="95">
        <f t="shared" si="250"/>
        <v>2585.06984691961</v>
      </c>
      <c r="K775" s="94">
        <f t="shared" si="251"/>
        <v>4668.5405427962014</v>
      </c>
      <c r="L775" s="94">
        <f t="shared" si="252"/>
        <v>391.25876059100517</v>
      </c>
      <c r="M775" s="93">
        <f t="shared" si="253"/>
        <v>-521.90581897606705</v>
      </c>
      <c r="N775" s="93">
        <f t="shared" si="254"/>
        <v>31591.817820058255</v>
      </c>
      <c r="O775" s="93">
        <f t="shared" si="255"/>
        <v>3281.561140079411</v>
      </c>
      <c r="P775" s="93">
        <f t="shared" si="256"/>
        <v>27657.118687754592</v>
      </c>
      <c r="Q775" s="93">
        <f t="shared" si="257"/>
        <v>32722072487764.418</v>
      </c>
      <c r="R775" s="93">
        <f t="shared" si="258"/>
        <v>110438268954.04388</v>
      </c>
      <c r="S775" s="93">
        <f t="shared" si="259"/>
        <v>22200949175934.305</v>
      </c>
      <c r="T775">
        <f t="shared" si="245"/>
        <v>0.5</v>
      </c>
    </row>
    <row r="776" spans="1:20" x14ac:dyDescent="0.25">
      <c r="A776">
        <v>366.5</v>
      </c>
      <c r="B776" s="95">
        <f t="shared" si="260"/>
        <v>-22981.386248290204</v>
      </c>
      <c r="C776" s="95">
        <f t="shared" si="261"/>
        <v>11048.85113467999</v>
      </c>
      <c r="D776" s="95">
        <f t="shared" si="262"/>
        <v>-2783.4899491970937</v>
      </c>
      <c r="E776" s="95">
        <f t="shared" si="263"/>
        <v>7839.3689740913651</v>
      </c>
      <c r="F776" s="96">
        <f t="shared" si="246"/>
        <v>5849.1343411744892</v>
      </c>
      <c r="G776" s="94">
        <f t="shared" si="247"/>
        <v>-2259.8518390888175</v>
      </c>
      <c r="H776" s="97">
        <f t="shared" si="248"/>
        <v>457.43220457093918</v>
      </c>
      <c r="I776" s="94">
        <f t="shared" si="249"/>
        <v>-49.220453804148498</v>
      </c>
      <c r="J776" s="95">
        <f t="shared" si="250"/>
        <v>5105.5830991502689</v>
      </c>
      <c r="K776" s="94">
        <f t="shared" si="251"/>
        <v>-1796.1431967487526</v>
      </c>
      <c r="L776" s="94">
        <f t="shared" si="252"/>
        <v>286.1190374532809</v>
      </c>
      <c r="M776" s="93">
        <f t="shared" si="253"/>
        <v>-414.48818853591632</v>
      </c>
      <c r="N776" s="93">
        <f t="shared" si="254"/>
        <v>33171.76786417971</v>
      </c>
      <c r="O776" s="93">
        <f t="shared" si="255"/>
        <v>3160.4987999069767</v>
      </c>
      <c r="P776" s="93">
        <f t="shared" si="256"/>
        <v>31652.375848376993</v>
      </c>
      <c r="Q776" s="93">
        <f t="shared" si="257"/>
        <v>37752071858030.32</v>
      </c>
      <c r="R776" s="93">
        <f t="shared" si="258"/>
        <v>104873469786.71382</v>
      </c>
      <c r="S776" s="93">
        <f t="shared" si="259"/>
        <v>32905995724601.785</v>
      </c>
      <c r="T776">
        <f t="shared" si="245"/>
        <v>0.5</v>
      </c>
    </row>
    <row r="777" spans="1:20" x14ac:dyDescent="0.25">
      <c r="A777">
        <v>367</v>
      </c>
      <c r="B777" s="95">
        <f t="shared" si="260"/>
        <v>-22910.847637595129</v>
      </c>
      <c r="C777" s="95">
        <f t="shared" si="261"/>
        <v>14403.572661953467</v>
      </c>
      <c r="D777" s="95">
        <f t="shared" si="262"/>
        <v>141.07722139015095</v>
      </c>
      <c r="E777" s="95">
        <f t="shared" si="263"/>
        <v>6709.4430545469568</v>
      </c>
      <c r="F777" s="96">
        <f t="shared" si="246"/>
        <v>2718.8605515801864</v>
      </c>
      <c r="G777" s="94">
        <f t="shared" si="247"/>
        <v>-3570.3702431669308</v>
      </c>
      <c r="H777" s="97">
        <f t="shared" si="248"/>
        <v>438.55404363937959</v>
      </c>
      <c r="I777" s="94">
        <f t="shared" si="249"/>
        <v>-91.993671502992669</v>
      </c>
      <c r="J777" s="95">
        <f t="shared" si="250"/>
        <v>2057.597226411423</v>
      </c>
      <c r="K777" s="94">
        <f t="shared" si="251"/>
        <v>-3112.7630242517316</v>
      </c>
      <c r="L777" s="94">
        <f t="shared" si="252"/>
        <v>222.70928152938387</v>
      </c>
      <c r="M777" s="93">
        <f t="shared" si="253"/>
        <v>-365.61354741220634</v>
      </c>
      <c r="N777" s="93">
        <f t="shared" si="254"/>
        <v>33627.120122363616</v>
      </c>
      <c r="O777" s="93">
        <f t="shared" si="255"/>
        <v>5278.6822369221172</v>
      </c>
      <c r="P777" s="93">
        <f t="shared" si="256"/>
        <v>34429.181639764902</v>
      </c>
      <c r="Q777" s="93">
        <f t="shared" si="257"/>
        <v>39292944112303.781</v>
      </c>
      <c r="R777" s="93">
        <f t="shared" si="258"/>
        <v>254069100660.70801</v>
      </c>
      <c r="S777" s="93">
        <f t="shared" si="259"/>
        <v>42109147084357.875</v>
      </c>
      <c r="T777">
        <f t="shared" si="245"/>
        <v>0.5</v>
      </c>
    </row>
    <row r="778" spans="1:20" x14ac:dyDescent="0.25">
      <c r="A778">
        <v>367.5</v>
      </c>
      <c r="B778" s="95">
        <f t="shared" si="260"/>
        <v>-22160.593889005006</v>
      </c>
      <c r="C778" s="95">
        <f t="shared" si="261"/>
        <v>16865.70162843521</v>
      </c>
      <c r="D778" s="95">
        <f t="shared" si="262"/>
        <v>1500.5074971802442</v>
      </c>
      <c r="E778" s="95">
        <f t="shared" si="263"/>
        <v>4924.2579329634918</v>
      </c>
      <c r="F778" s="96">
        <f t="shared" si="246"/>
        <v>1374.5821780618562</v>
      </c>
      <c r="G778" s="94">
        <f t="shared" si="247"/>
        <v>-2873.4543375863614</v>
      </c>
      <c r="H778" s="97">
        <f t="shared" si="248"/>
        <v>433.47704292082756</v>
      </c>
      <c r="I778" s="94">
        <f t="shared" si="249"/>
        <v>-126.23574865515266</v>
      </c>
      <c r="J778" s="95">
        <f t="shared" si="250"/>
        <v>756.87804944906497</v>
      </c>
      <c r="K778" s="94">
        <f t="shared" si="251"/>
        <v>-2405.1252218538843</v>
      </c>
      <c r="L778" s="94">
        <f t="shared" si="252"/>
        <v>184.22708569196345</v>
      </c>
      <c r="M778" s="93">
        <f t="shared" si="253"/>
        <v>-342.09336707732405</v>
      </c>
      <c r="N778" s="93">
        <f t="shared" si="254"/>
        <v>33496.569470415627</v>
      </c>
      <c r="O778" s="93">
        <f t="shared" si="255"/>
        <v>7197.6402246780626</v>
      </c>
      <c r="P778" s="93">
        <f t="shared" si="256"/>
        <v>36192.663937541467</v>
      </c>
      <c r="Q778" s="93">
        <f t="shared" si="257"/>
        <v>38846919018668.211</v>
      </c>
      <c r="R778" s="93">
        <f t="shared" si="258"/>
        <v>512672444755.63483</v>
      </c>
      <c r="S778" s="93">
        <f t="shared" si="259"/>
        <v>48772773640063.258</v>
      </c>
      <c r="T778">
        <f t="shared" si="245"/>
        <v>0.5</v>
      </c>
    </row>
    <row r="779" spans="1:20" x14ac:dyDescent="0.25">
      <c r="A779">
        <v>368</v>
      </c>
      <c r="B779" s="95">
        <f t="shared" si="260"/>
        <v>-21066.694595899418</v>
      </c>
      <c r="C779" s="95">
        <f t="shared" si="261"/>
        <v>18609.467010520366</v>
      </c>
      <c r="D779" s="95">
        <f t="shared" si="262"/>
        <v>2187.7985862111723</v>
      </c>
      <c r="E779" s="95">
        <f t="shared" si="263"/>
        <v>3487.5307641703112</v>
      </c>
      <c r="F779" s="96">
        <f t="shared" si="246"/>
        <v>830.18935504989042</v>
      </c>
      <c r="G779" s="94">
        <f t="shared" si="247"/>
        <v>-2376.7116133654972</v>
      </c>
      <c r="H779" s="97">
        <f t="shared" si="248"/>
        <v>437.74719432707894</v>
      </c>
      <c r="I779" s="94">
        <f t="shared" si="249"/>
        <v>-156.53863655538143</v>
      </c>
      <c r="J779" s="95">
        <f t="shared" si="250"/>
        <v>234.01336258903137</v>
      </c>
      <c r="K779" s="94">
        <f t="shared" si="251"/>
        <v>-1888.760225256809</v>
      </c>
      <c r="L779" s="94">
        <f t="shared" si="252"/>
        <v>158.42879813378013</v>
      </c>
      <c r="M779" s="93">
        <f t="shared" si="253"/>
        <v>-331.41275155330703</v>
      </c>
      <c r="N779" s="93">
        <f t="shared" si="254"/>
        <v>32993.329179892207</v>
      </c>
      <c r="O779" s="93">
        <f t="shared" si="255"/>
        <v>8675.2959353649439</v>
      </c>
      <c r="P779" s="93">
        <f t="shared" si="256"/>
        <v>37252.314665925936</v>
      </c>
      <c r="Q779" s="93">
        <f t="shared" si="257"/>
        <v>37159537429599.422</v>
      </c>
      <c r="R779" s="93">
        <f t="shared" si="258"/>
        <v>818638527786.01001</v>
      </c>
      <c r="S779" s="93">
        <f t="shared" si="259"/>
        <v>53099573546099.063</v>
      </c>
      <c r="T779">
        <f t="shared" si="245"/>
        <v>0.5</v>
      </c>
    </row>
    <row r="780" spans="1:20" x14ac:dyDescent="0.25">
      <c r="A780">
        <v>368.5</v>
      </c>
      <c r="B780" s="95">
        <f t="shared" si="260"/>
        <v>-19765.247964031358</v>
      </c>
      <c r="C780" s="95">
        <f t="shared" si="261"/>
        <v>19759.054489264148</v>
      </c>
      <c r="D780" s="95">
        <f t="shared" si="262"/>
        <v>2602.8932637361177</v>
      </c>
      <c r="E780" s="95">
        <f t="shared" si="263"/>
        <v>2299.1749574875626</v>
      </c>
      <c r="F780" s="96">
        <f t="shared" si="246"/>
        <v>552.83705375509942</v>
      </c>
      <c r="G780" s="94">
        <f t="shared" si="247"/>
        <v>-2086.3930629656074</v>
      </c>
      <c r="H780" s="97">
        <f t="shared" si="248"/>
        <v>450.79477052532008</v>
      </c>
      <c r="I780" s="94">
        <f t="shared" si="249"/>
        <v>-185.66341735245371</v>
      </c>
      <c r="J780" s="95">
        <f t="shared" si="250"/>
        <v>-37.802567596487904</v>
      </c>
      <c r="K780" s="94">
        <f t="shared" si="251"/>
        <v>-1571.5191371439093</v>
      </c>
      <c r="L780" s="94">
        <f t="shared" si="252"/>
        <v>139.84485082626728</v>
      </c>
      <c r="M780" s="93">
        <f t="shared" si="253"/>
        <v>-329.21050846924453</v>
      </c>
      <c r="N780" s="93">
        <f t="shared" si="254"/>
        <v>32190.905599734539</v>
      </c>
      <c r="O780" s="93">
        <f t="shared" si="255"/>
        <v>9761.8775367660783</v>
      </c>
      <c r="P780" s="93">
        <f t="shared" si="256"/>
        <v>37765.121692203858</v>
      </c>
      <c r="Q780" s="93">
        <f t="shared" si="257"/>
        <v>34572378404445.578</v>
      </c>
      <c r="R780" s="93">
        <f t="shared" si="258"/>
        <v>1115272031536.1951</v>
      </c>
      <c r="S780" s="93">
        <f t="shared" si="259"/>
        <v>55283163517951.672</v>
      </c>
      <c r="T780">
        <f t="shared" si="245"/>
        <v>0.5</v>
      </c>
    </row>
    <row r="781" spans="1:20" x14ac:dyDescent="0.25">
      <c r="A781">
        <v>369</v>
      </c>
      <c r="B781" s="95">
        <f t="shared" si="260"/>
        <v>-18325.592068724523</v>
      </c>
      <c r="C781" s="95">
        <f t="shared" si="261"/>
        <v>20387.043702266528</v>
      </c>
      <c r="D781" s="95">
        <f t="shared" si="262"/>
        <v>2879.3117906136672</v>
      </c>
      <c r="E781" s="95">
        <f t="shared" si="263"/>
        <v>1255.9784260047588</v>
      </c>
      <c r="F781" s="96">
        <f t="shared" si="246"/>
        <v>378.82344988314526</v>
      </c>
      <c r="G781" s="94">
        <f t="shared" si="247"/>
        <v>-1917.8440554873762</v>
      </c>
      <c r="H781" s="97">
        <f t="shared" si="248"/>
        <v>473.67613936772159</v>
      </c>
      <c r="I781" s="94">
        <f t="shared" si="249"/>
        <v>-215.50423708504636</v>
      </c>
      <c r="J781" s="95">
        <f t="shared" si="250"/>
        <v>-220.59279193979742</v>
      </c>
      <c r="K781" s="94">
        <f t="shared" si="251"/>
        <v>-1368.4281634632878</v>
      </c>
      <c r="L781" s="94">
        <f t="shared" si="252"/>
        <v>125.74010245522112</v>
      </c>
      <c r="M781" s="93">
        <f t="shared" si="253"/>
        <v>-333.91165493904219</v>
      </c>
      <c r="N781" s="93">
        <f t="shared" si="254"/>
        <v>31119.367947114817</v>
      </c>
      <c r="O781" s="93">
        <f t="shared" si="255"/>
        <v>10521.136763349907</v>
      </c>
      <c r="P781" s="93">
        <f t="shared" si="256"/>
        <v>37812.88491993404</v>
      </c>
      <c r="Q781" s="93">
        <f t="shared" si="257"/>
        <v>31310940308452.684</v>
      </c>
      <c r="R781" s="93">
        <f t="shared" si="258"/>
        <v>1363209793442.2324</v>
      </c>
      <c r="S781" s="93">
        <f t="shared" si="259"/>
        <v>55489565819236.734</v>
      </c>
      <c r="T781">
        <f t="shared" si="245"/>
        <v>0.5</v>
      </c>
    </row>
    <row r="782" spans="1:20" x14ac:dyDescent="0.25">
      <c r="A782">
        <v>369.5</v>
      </c>
      <c r="B782" s="95">
        <f t="shared" si="260"/>
        <v>-16791.230310946903</v>
      </c>
      <c r="C782" s="95">
        <f t="shared" si="261"/>
        <v>20535.571901397063</v>
      </c>
      <c r="D782" s="95">
        <f t="shared" si="262"/>
        <v>3068.7235155552398</v>
      </c>
      <c r="E782" s="95">
        <f t="shared" si="263"/>
        <v>297.05639826107074</v>
      </c>
      <c r="F782" s="96">
        <f t="shared" si="246"/>
        <v>249.88510853388394</v>
      </c>
      <c r="G782" s="94">
        <f t="shared" si="247"/>
        <v>-1818.8305611333037</v>
      </c>
      <c r="H782" s="97">
        <f t="shared" si="248"/>
        <v>508.74710126824158</v>
      </c>
      <c r="I782" s="94">
        <f t="shared" si="249"/>
        <v>-247.53657600784902</v>
      </c>
      <c r="J782" s="95">
        <f t="shared" si="250"/>
        <v>-373.41553833227545</v>
      </c>
      <c r="K782" s="94">
        <f t="shared" si="251"/>
        <v>-1226.0606507909079</v>
      </c>
      <c r="L782" s="94">
        <f t="shared" si="252"/>
        <v>114.5535455979178</v>
      </c>
      <c r="M782" s="93">
        <f t="shared" si="253"/>
        <v>-345.2333343345469</v>
      </c>
      <c r="N782" s="93">
        <f t="shared" si="254"/>
        <v>29794.230253032092</v>
      </c>
      <c r="O782" s="93">
        <f t="shared" si="255"/>
        <v>11013.377238925998</v>
      </c>
      <c r="P782" s="93">
        <f t="shared" si="256"/>
        <v>37440.752965253698</v>
      </c>
      <c r="Q782" s="93">
        <f t="shared" si="257"/>
        <v>27573337229075.457</v>
      </c>
      <c r="R782" s="93">
        <f t="shared" si="258"/>
        <v>1543259301792.7776</v>
      </c>
      <c r="S782" s="93">
        <f t="shared" si="259"/>
        <v>53895090906043.219</v>
      </c>
      <c r="T782">
        <f t="shared" si="245"/>
        <v>0.5</v>
      </c>
    </row>
    <row r="783" spans="1:20" x14ac:dyDescent="0.25">
      <c r="A783">
        <v>370</v>
      </c>
      <c r="B783" s="95">
        <f t="shared" si="260"/>
        <v>-15194.397276035812</v>
      </c>
      <c r="C783" s="95">
        <f t="shared" si="261"/>
        <v>20229.392460244271</v>
      </c>
      <c r="D783" s="95">
        <f t="shared" si="262"/>
        <v>3193.6660698221817</v>
      </c>
      <c r="E783" s="95">
        <f t="shared" si="263"/>
        <v>-612.35888230558112</v>
      </c>
      <c r="F783" s="96">
        <f t="shared" si="246"/>
        <v>144.11938413552491</v>
      </c>
      <c r="G783" s="94">
        <f t="shared" si="247"/>
        <v>-1755.905892309617</v>
      </c>
      <c r="H783" s="97">
        <f t="shared" si="248"/>
        <v>559.96036129722938</v>
      </c>
      <c r="I783" s="94">
        <f t="shared" si="249"/>
        <v>-282.91826643189899</v>
      </c>
      <c r="J783" s="95">
        <f t="shared" si="250"/>
        <v>-521.1007162106597</v>
      </c>
      <c r="K783" s="94">
        <f t="shared" si="251"/>
        <v>-1109.2352080731291</v>
      </c>
      <c r="L783" s="94">
        <f t="shared" si="252"/>
        <v>105.25973904895521</v>
      </c>
      <c r="M783" s="93">
        <f t="shared" si="253"/>
        <v>-363.75241780458896</v>
      </c>
      <c r="N783" s="93">
        <f t="shared" si="254"/>
        <v>28227.558989569829</v>
      </c>
      <c r="O783" s="93">
        <f t="shared" si="255"/>
        <v>11301.959460477388</v>
      </c>
      <c r="P783" s="93">
        <f t="shared" si="256"/>
        <v>36674.730114065766</v>
      </c>
      <c r="Q783" s="93">
        <f t="shared" si="257"/>
        <v>23558373909018.938</v>
      </c>
      <c r="R783" s="93">
        <f t="shared" si="258"/>
        <v>1656223480477.7517</v>
      </c>
      <c r="S783" s="93">
        <f t="shared" si="259"/>
        <v>50710499379182.773</v>
      </c>
      <c r="T783">
        <f t="shared" si="245"/>
        <v>0.5</v>
      </c>
    </row>
    <row r="784" spans="1:20" x14ac:dyDescent="0.25">
      <c r="A784">
        <v>370.5</v>
      </c>
      <c r="B784" s="95">
        <f t="shared" si="260"/>
        <v>-13561.534395090839</v>
      </c>
      <c r="C784" s="95">
        <f t="shared" si="261"/>
        <v>19484.236546014075</v>
      </c>
      <c r="D784" s="95">
        <f t="shared" si="262"/>
        <v>3265.7257618899444</v>
      </c>
      <c r="E784" s="95">
        <f t="shared" si="263"/>
        <v>-1490.3118284603897</v>
      </c>
      <c r="F784" s="96">
        <f t="shared" si="246"/>
        <v>59.044987543105123</v>
      </c>
      <c r="G784" s="94">
        <f t="shared" si="247"/>
        <v>-1702.3916761690339</v>
      </c>
      <c r="H784" s="97">
        <f t="shared" si="248"/>
        <v>633.58265508602892</v>
      </c>
      <c r="I784" s="94">
        <f t="shared" si="249"/>
        <v>-322.26273054545453</v>
      </c>
      <c r="J784" s="95">
        <f t="shared" si="250"/>
        <v>-671.57712851373833</v>
      </c>
      <c r="K784" s="94">
        <f t="shared" si="251"/>
        <v>-989.27240379457646</v>
      </c>
      <c r="L784" s="94">
        <f t="shared" si="252"/>
        <v>97.039460970814531</v>
      </c>
      <c r="M784" s="93">
        <f t="shared" si="253"/>
        <v>-390.85654182900282</v>
      </c>
      <c r="N784" s="93">
        <f t="shared" si="254"/>
        <v>26434.217004516475</v>
      </c>
      <c r="O784" s="93">
        <f t="shared" si="255"/>
        <v>11463.183772684937</v>
      </c>
      <c r="P784" s="93">
        <f t="shared" si="256"/>
        <v>35531.147481607964</v>
      </c>
      <c r="Q784" s="93">
        <f t="shared" si="257"/>
        <v>19471477732943.395</v>
      </c>
      <c r="R784" s="93">
        <f t="shared" si="258"/>
        <v>1721786209751.6018</v>
      </c>
      <c r="S784" s="93">
        <f t="shared" si="259"/>
        <v>46195731938994.688</v>
      </c>
      <c r="T784">
        <f t="shared" si="245"/>
        <v>0.5</v>
      </c>
    </row>
    <row r="785" spans="1:20" x14ac:dyDescent="0.25">
      <c r="A785">
        <v>371</v>
      </c>
      <c r="B785" s="95">
        <f t="shared" si="260"/>
        <v>-11913.910267260089</v>
      </c>
      <c r="C785" s="95">
        <f t="shared" si="261"/>
        <v>18313.482712741621</v>
      </c>
      <c r="D785" s="95">
        <f t="shared" si="262"/>
        <v>3295.2482556614968</v>
      </c>
      <c r="E785" s="95">
        <f t="shared" si="263"/>
        <v>-2341.5076665449069</v>
      </c>
      <c r="F785" s="96">
        <f t="shared" si="246"/>
        <v>11.508178963446682</v>
      </c>
      <c r="G785" s="94">
        <f t="shared" si="247"/>
        <v>-1633.639486044324</v>
      </c>
      <c r="H785" s="97">
        <f t="shared" si="248"/>
        <v>739.39231182104947</v>
      </c>
      <c r="I785" s="94">
        <f t="shared" si="249"/>
        <v>-364.85528526400464</v>
      </c>
      <c r="J785" s="95">
        <f t="shared" si="250"/>
        <v>-816.90071193729045</v>
      </c>
      <c r="K785" s="94">
        <f t="shared" si="251"/>
        <v>-839.87318607405678</v>
      </c>
      <c r="L785" s="94">
        <f t="shared" si="252"/>
        <v>89.016579079687659</v>
      </c>
      <c r="M785" s="93">
        <f t="shared" si="253"/>
        <v>-428.91101470626268</v>
      </c>
      <c r="N785" s="93">
        <f t="shared" si="254"/>
        <v>24436.670632070342</v>
      </c>
      <c r="O785" s="93">
        <f t="shared" si="255"/>
        <v>11597.363578890487</v>
      </c>
      <c r="P785" s="93">
        <f t="shared" si="256"/>
        <v>34023.37851589491</v>
      </c>
      <c r="Q785" s="93">
        <f t="shared" si="257"/>
        <v>15518279539922.207</v>
      </c>
      <c r="R785" s="93">
        <f t="shared" si="258"/>
        <v>1777714538865.0403</v>
      </c>
      <c r="S785" s="93">
        <f t="shared" si="259"/>
        <v>40667873198015.867</v>
      </c>
      <c r="T785">
        <f t="shared" si="245"/>
        <v>0.5</v>
      </c>
    </row>
    <row r="786" spans="1:20" x14ac:dyDescent="0.25">
      <c r="A786">
        <v>371.5</v>
      </c>
      <c r="B786" s="95">
        <f t="shared" si="260"/>
        <v>-10263.409094688479</v>
      </c>
      <c r="C786" s="95">
        <f t="shared" si="261"/>
        <v>16734.319007958085</v>
      </c>
      <c r="D786" s="95">
        <f t="shared" si="262"/>
        <v>3301.0023451432203</v>
      </c>
      <c r="E786" s="95">
        <f t="shared" si="263"/>
        <v>-3158.327409567069</v>
      </c>
      <c r="F786" s="96">
        <f t="shared" si="246"/>
        <v>42.957327316416695</v>
      </c>
      <c r="G786" s="94">
        <f t="shared" si="247"/>
        <v>-1531.1841428482398</v>
      </c>
      <c r="H786" s="97">
        <f t="shared" si="248"/>
        <v>892.49669731032645</v>
      </c>
      <c r="I786" s="94">
        <f t="shared" si="249"/>
        <v>-406.72323092331396</v>
      </c>
      <c r="J786" s="95">
        <f t="shared" si="250"/>
        <v>-929.42120319909782</v>
      </c>
      <c r="K786" s="94">
        <f t="shared" si="251"/>
        <v>-642.83473917842514</v>
      </c>
      <c r="L786" s="94">
        <f t="shared" si="252"/>
        <v>79.881833205188059</v>
      </c>
      <c r="M786" s="93">
        <f t="shared" si="253"/>
        <v>-481.62617274650074</v>
      </c>
      <c r="N786" s="93">
        <f t="shared" si="254"/>
        <v>22268.327186374816</v>
      </c>
      <c r="O786" s="93">
        <f t="shared" si="255"/>
        <v>11838.591764155928</v>
      </c>
      <c r="P786" s="93">
        <f t="shared" si="256"/>
        <v>32167.848516755039</v>
      </c>
      <c r="Q786" s="93">
        <f t="shared" si="257"/>
        <v>11887882860968.387</v>
      </c>
      <c r="R786" s="93">
        <f t="shared" si="258"/>
        <v>1881425774695.4795</v>
      </c>
      <c r="S786" s="93">
        <f t="shared" si="259"/>
        <v>34499891237759.563</v>
      </c>
      <c r="T786">
        <f t="shared" ref="T786:T849" si="264">A787-A786</f>
        <v>0.5</v>
      </c>
    </row>
    <row r="787" spans="1:20" x14ac:dyDescent="0.25">
      <c r="A787">
        <v>372</v>
      </c>
      <c r="B787" s="95">
        <f t="shared" si="260"/>
        <v>-8602.1685902877653</v>
      </c>
      <c r="C787" s="95">
        <f t="shared" si="261"/>
        <v>14772.359267462492</v>
      </c>
      <c r="D787" s="95">
        <f t="shared" si="262"/>
        <v>3322.4810088014287</v>
      </c>
      <c r="E787" s="95">
        <f t="shared" si="263"/>
        <v>-3923.9194809911887</v>
      </c>
      <c r="F787" s="96">
        <f t="shared" si="246"/>
        <v>216.64187506373167</v>
      </c>
      <c r="G787" s="94">
        <f t="shared" si="247"/>
        <v>-1395.5572794732316</v>
      </c>
      <c r="H787" s="97">
        <f t="shared" si="248"/>
        <v>1115.8972848221679</v>
      </c>
      <c r="I787" s="94">
        <f t="shared" si="249"/>
        <v>-436.25053291096884</v>
      </c>
      <c r="J787" s="95">
        <f t="shared" si="250"/>
        <v>-966.36654762612227</v>
      </c>
      <c r="K787" s="94">
        <f t="shared" si="251"/>
        <v>-404.62507152013541</v>
      </c>
      <c r="L787" s="94">
        <f t="shared" si="252"/>
        <v>67.111137867686082</v>
      </c>
      <c r="M787" s="93">
        <f t="shared" si="253"/>
        <v>-554.68167504212749</v>
      </c>
      <c r="N787" s="93">
        <f t="shared" si="254"/>
        <v>19973.179155470876</v>
      </c>
      <c r="O787" s="93">
        <f t="shared" si="255"/>
        <v>12356.616600912967</v>
      </c>
      <c r="P787" s="93">
        <f t="shared" si="256"/>
        <v>29989.481404381029</v>
      </c>
      <c r="Q787" s="93">
        <f t="shared" si="257"/>
        <v>8728467063973.5527</v>
      </c>
      <c r="R787" s="93">
        <f t="shared" si="258"/>
        <v>2118229848440.6526</v>
      </c>
      <c r="S787" s="93">
        <f t="shared" si="259"/>
        <v>28103994706390.969</v>
      </c>
      <c r="T787">
        <f t="shared" si="264"/>
        <v>0.5</v>
      </c>
    </row>
    <row r="788" spans="1:20" x14ac:dyDescent="0.25">
      <c r="A788">
        <v>372.5</v>
      </c>
      <c r="B788" s="95">
        <f t="shared" si="260"/>
        <v>-6886.7676171211178</v>
      </c>
      <c r="C788" s="95">
        <f t="shared" si="261"/>
        <v>12461.51020709859</v>
      </c>
      <c r="D788" s="95">
        <f t="shared" si="262"/>
        <v>3430.8019463332944</v>
      </c>
      <c r="E788" s="95">
        <f t="shared" si="263"/>
        <v>-4621.6981207278041</v>
      </c>
      <c r="F788" s="96">
        <f t="shared" si="246"/>
        <v>591.23442994012055</v>
      </c>
      <c r="G788" s="94">
        <f t="shared" si="247"/>
        <v>-1249.1998942415053</v>
      </c>
      <c r="H788" s="97">
        <f t="shared" si="248"/>
        <v>1443.466990316799</v>
      </c>
      <c r="I788" s="94">
        <f t="shared" si="249"/>
        <v>-424.10580689258228</v>
      </c>
      <c r="J788" s="95">
        <f t="shared" si="250"/>
        <v>-897.34836084073834</v>
      </c>
      <c r="K788" s="94">
        <f t="shared" si="251"/>
        <v>-168.44299597836752</v>
      </c>
      <c r="L788" s="94">
        <f t="shared" si="252"/>
        <v>45.115800464059902</v>
      </c>
      <c r="M788" s="93">
        <f t="shared" si="253"/>
        <v>-656.65109137055549</v>
      </c>
      <c r="N788" s="93">
        <f t="shared" si="254"/>
        <v>17600.554084738182</v>
      </c>
      <c r="O788" s="93">
        <f t="shared" si="255"/>
        <v>13342.259779626311</v>
      </c>
      <c r="P788" s="93">
        <f t="shared" si="256"/>
        <v>27526.249924310374</v>
      </c>
      <c r="Q788" s="93">
        <f t="shared" si="257"/>
        <v>6125454137470.1484</v>
      </c>
      <c r="R788" s="93">
        <f t="shared" si="258"/>
        <v>2624468871586.0586</v>
      </c>
      <c r="S788" s="93">
        <f t="shared" si="259"/>
        <v>21897189100083.113</v>
      </c>
      <c r="T788">
        <f t="shared" si="264"/>
        <v>0.5</v>
      </c>
    </row>
    <row r="789" spans="1:20" x14ac:dyDescent="0.25">
      <c r="A789">
        <v>373</v>
      </c>
      <c r="B789" s="95">
        <f t="shared" si="260"/>
        <v>-5023.5580364694406</v>
      </c>
      <c r="C789" s="95">
        <f t="shared" si="261"/>
        <v>9838.3611731743113</v>
      </c>
      <c r="D789" s="95">
        <f t="shared" si="262"/>
        <v>3726.4191613033545</v>
      </c>
      <c r="E789" s="95">
        <f t="shared" si="263"/>
        <v>-5246.2980678485565</v>
      </c>
      <c r="F789" s="96">
        <f t="shared" si="246"/>
        <v>1180.0755429429435</v>
      </c>
      <c r="G789" s="94">
        <f t="shared" si="247"/>
        <v>-1090.2362688681253</v>
      </c>
      <c r="H789" s="97">
        <f t="shared" si="248"/>
        <v>1918.5173079309081</v>
      </c>
      <c r="I789" s="94">
        <f t="shared" si="249"/>
        <v>-298.61011433099907</v>
      </c>
      <c r="J789" s="95">
        <f t="shared" si="250"/>
        <v>-739.20015262437767</v>
      </c>
      <c r="K789" s="94">
        <f t="shared" si="251"/>
        <v>7.9780929108883827</v>
      </c>
      <c r="L789" s="94">
        <f t="shared" si="252"/>
        <v>0.75838763641315421</v>
      </c>
      <c r="M789" s="93">
        <f t="shared" si="253"/>
        <v>-799.60424744801458</v>
      </c>
      <c r="N789" s="93">
        <f t="shared" si="254"/>
        <v>15204.44767334133</v>
      </c>
      <c r="O789" s="93">
        <f t="shared" si="255"/>
        <v>14977.314211744932</v>
      </c>
      <c r="P789" s="93">
        <f t="shared" si="256"/>
        <v>24838.372345025658</v>
      </c>
      <c r="Q789" s="93">
        <f t="shared" si="257"/>
        <v>4100206216804.52</v>
      </c>
      <c r="R789" s="93">
        <f t="shared" si="258"/>
        <v>3638642118713.8809</v>
      </c>
      <c r="S789" s="93">
        <f t="shared" si="259"/>
        <v>16264715375949.68</v>
      </c>
      <c r="T789">
        <f t="shared" si="264"/>
        <v>0.5</v>
      </c>
    </row>
    <row r="790" spans="1:20" x14ac:dyDescent="0.25">
      <c r="A790">
        <v>373.5</v>
      </c>
      <c r="B790" s="95">
        <f t="shared" si="260"/>
        <v>-2865.3295700820277</v>
      </c>
      <c r="C790" s="95">
        <f t="shared" si="261"/>
        <v>6942.653072033002</v>
      </c>
      <c r="D790" s="95">
        <f t="shared" si="262"/>
        <v>4316.4569327748259</v>
      </c>
      <c r="E790" s="95">
        <f t="shared" si="263"/>
        <v>-5791.4162022826195</v>
      </c>
      <c r="F790" s="96">
        <f t="shared" si="246"/>
        <v>1908.7266640948085</v>
      </c>
      <c r="G790" s="94">
        <f t="shared" si="247"/>
        <v>-785.68385607286018</v>
      </c>
      <c r="H790" s="97">
        <f t="shared" si="248"/>
        <v>2555.3985354841548</v>
      </c>
      <c r="I790" s="94">
        <f t="shared" si="249"/>
        <v>110.70400612165419</v>
      </c>
      <c r="J790" s="95">
        <f t="shared" si="250"/>
        <v>-549.92183415876127</v>
      </c>
      <c r="K790" s="94">
        <f t="shared" si="251"/>
        <v>98.122799452951881</v>
      </c>
      <c r="L790" s="94">
        <f t="shared" si="252"/>
        <v>-96.750037230585036</v>
      </c>
      <c r="M790" s="93">
        <f t="shared" si="253"/>
        <v>-994.51066164746624</v>
      </c>
      <c r="N790" s="93">
        <f t="shared" si="254"/>
        <v>12877.396497155054</v>
      </c>
      <c r="O790" s="93">
        <f t="shared" si="255"/>
        <v>17405.295199445904</v>
      </c>
      <c r="P790" s="93">
        <f t="shared" si="256"/>
        <v>22046.243255574533</v>
      </c>
      <c r="Q790" s="93">
        <f t="shared" si="257"/>
        <v>2636094024874.7773</v>
      </c>
      <c r="R790" s="93">
        <f t="shared" si="258"/>
        <v>5595868943066.542</v>
      </c>
      <c r="S790" s="93">
        <f t="shared" si="259"/>
        <v>11552562204674.883</v>
      </c>
      <c r="T790">
        <f t="shared" si="264"/>
        <v>0.5</v>
      </c>
    </row>
    <row r="791" spans="1:20" x14ac:dyDescent="0.25">
      <c r="A791">
        <v>374</v>
      </c>
      <c r="B791" s="95">
        <f t="shared" si="260"/>
        <v>-229.9194376709126</v>
      </c>
      <c r="C791" s="95">
        <f t="shared" si="261"/>
        <v>3850.5240068734774</v>
      </c>
      <c r="D791" s="95">
        <f t="shared" si="262"/>
        <v>5270.8202648222305</v>
      </c>
      <c r="E791" s="95">
        <f t="shared" si="263"/>
        <v>-6184.2581303190491</v>
      </c>
      <c r="F791" s="96">
        <f t="shared" si="246"/>
        <v>2441.2080893398743</v>
      </c>
      <c r="G791" s="94">
        <f t="shared" si="247"/>
        <v>17.502807992153976</v>
      </c>
      <c r="H791" s="97">
        <f t="shared" si="248"/>
        <v>3133.3130968739902</v>
      </c>
      <c r="I791" s="94">
        <f t="shared" si="249"/>
        <v>1117.7948170229176</v>
      </c>
      <c r="J791" s="95">
        <f t="shared" si="250"/>
        <v>-383.49377691602353</v>
      </c>
      <c r="K791" s="94">
        <f t="shared" si="251"/>
        <v>119.28559255100367</v>
      </c>
      <c r="L791" s="94">
        <f t="shared" si="252"/>
        <v>-308.61123061809229</v>
      </c>
      <c r="M791" s="93">
        <f t="shared" si="253"/>
        <v>-1219.5776015817673</v>
      </c>
      <c r="N791" s="93">
        <f t="shared" si="254"/>
        <v>10861.396168340605</v>
      </c>
      <c r="O791" s="93">
        <f t="shared" si="255"/>
        <v>20704.399059886327</v>
      </c>
      <c r="P791" s="93">
        <f t="shared" si="256"/>
        <v>19444.688835381839</v>
      </c>
      <c r="Q791" s="93">
        <f t="shared" si="257"/>
        <v>1709491878541.4761</v>
      </c>
      <c r="R791" s="93">
        <f t="shared" si="258"/>
        <v>9258547531832.3789</v>
      </c>
      <c r="S791" s="93">
        <f t="shared" si="259"/>
        <v>8093057199955.0977</v>
      </c>
      <c r="T791">
        <f t="shared" si="264"/>
        <v>0.5</v>
      </c>
    </row>
    <row r="792" spans="1:20" x14ac:dyDescent="0.25">
      <c r="A792">
        <v>374.5</v>
      </c>
      <c r="B792" s="95">
        <f t="shared" si="260"/>
        <v>3015.7927170751714</v>
      </c>
      <c r="C792" s="95">
        <f t="shared" si="261"/>
        <v>762.7706437119914</v>
      </c>
      <c r="D792" s="95">
        <f t="shared" si="262"/>
        <v>6491.4243094921676</v>
      </c>
      <c r="E792" s="95">
        <f t="shared" si="263"/>
        <v>-6175.5067263229721</v>
      </c>
      <c r="F792" s="96">
        <f t="shared" si="246"/>
        <v>1871.7004849088626</v>
      </c>
      <c r="G792" s="94">
        <f t="shared" si="247"/>
        <v>1487.3912856147194</v>
      </c>
      <c r="H792" s="97">
        <f t="shared" si="248"/>
        <v>2811.0498970939643</v>
      </c>
      <c r="I792" s="94">
        <f t="shared" si="249"/>
        <v>2711.64458921396</v>
      </c>
      <c r="J792" s="95">
        <f t="shared" si="250"/>
        <v>-263.08888961045682</v>
      </c>
      <c r="K792" s="94">
        <f t="shared" si="251"/>
        <v>105.5889077685331</v>
      </c>
      <c r="L792" s="94">
        <f t="shared" si="252"/>
        <v>-676.26052257464482</v>
      </c>
      <c r="M792" s="93">
        <f t="shared" si="253"/>
        <v>-1329.8422113677739</v>
      </c>
      <c r="N792" s="93">
        <f t="shared" si="254"/>
        <v>9704.0924753471481</v>
      </c>
      <c r="O792" s="93">
        <f t="shared" si="255"/>
        <v>24800.264526331965</v>
      </c>
      <c r="P792" s="93">
        <f t="shared" si="256"/>
        <v>17683.830785476996</v>
      </c>
      <c r="Q792" s="93">
        <f t="shared" si="257"/>
        <v>1300909807984.7859</v>
      </c>
      <c r="R792" s="93">
        <f t="shared" si="258"/>
        <v>15711446538268.398</v>
      </c>
      <c r="S792" s="93">
        <f t="shared" si="259"/>
        <v>6206275705894.1797</v>
      </c>
      <c r="T792">
        <f t="shared" si="264"/>
        <v>0.5</v>
      </c>
    </row>
    <row r="793" spans="1:20" x14ac:dyDescent="0.25">
      <c r="A793">
        <v>375</v>
      </c>
      <c r="B793" s="95">
        <f t="shared" si="260"/>
        <v>6729.4299930484704</v>
      </c>
      <c r="C793" s="95">
        <f t="shared" si="261"/>
        <v>-1953.1348980458147</v>
      </c>
      <c r="D793" s="95">
        <f t="shared" si="262"/>
        <v>7427.2745519465989</v>
      </c>
      <c r="E793" s="95">
        <f t="shared" si="263"/>
        <v>-5431.8110835156122</v>
      </c>
      <c r="F793" s="96">
        <f t="shared" si="246"/>
        <v>25.70134711753667</v>
      </c>
      <c r="G793" s="94">
        <f t="shared" si="247"/>
        <v>2497.7168761407302</v>
      </c>
      <c r="H793" s="97">
        <f t="shared" si="248"/>
        <v>1224.4832106828972</v>
      </c>
      <c r="I793" s="94">
        <f t="shared" si="249"/>
        <v>3539.2011014516793</v>
      </c>
      <c r="J793" s="95">
        <f t="shared" si="250"/>
        <v>-187.20210945457029</v>
      </c>
      <c r="K793" s="94">
        <f t="shared" si="251"/>
        <v>83.714919027123415</v>
      </c>
      <c r="L793" s="94">
        <f t="shared" si="252"/>
        <v>-1011.5797541107902</v>
      </c>
      <c r="M793" s="93">
        <f t="shared" si="253"/>
        <v>-1125.1991443380728</v>
      </c>
      <c r="N793" s="93">
        <f t="shared" si="254"/>
        <v>10002.918952536935</v>
      </c>
      <c r="O793" s="93">
        <f t="shared" si="255"/>
        <v>29280.366487531537</v>
      </c>
      <c r="P793" s="93">
        <f t="shared" si="256"/>
        <v>17544.236003611415</v>
      </c>
      <c r="Q793" s="93">
        <f t="shared" si="257"/>
        <v>1398521789607.3022</v>
      </c>
      <c r="R793" s="93">
        <f t="shared" si="258"/>
        <v>25643169418064.578</v>
      </c>
      <c r="S793" s="93">
        <f t="shared" si="259"/>
        <v>6071212040245.6279</v>
      </c>
      <c r="T793">
        <f t="shared" si="264"/>
        <v>0.5</v>
      </c>
    </row>
    <row r="794" spans="1:20" x14ac:dyDescent="0.25">
      <c r="A794">
        <v>375.5</v>
      </c>
      <c r="B794" s="95">
        <f t="shared" si="260"/>
        <v>10449.492605801153</v>
      </c>
      <c r="C794" s="95">
        <f t="shared" si="261"/>
        <v>-4044.6112207684382</v>
      </c>
      <c r="D794" s="95">
        <f t="shared" si="262"/>
        <v>7440.1252255053669</v>
      </c>
      <c r="E794" s="95">
        <f t="shared" si="263"/>
        <v>-4182.9526454452471</v>
      </c>
      <c r="F794" s="96">
        <f t="shared" si="246"/>
        <v>-1336.913893035553</v>
      </c>
      <c r="G794" s="94">
        <f t="shared" si="247"/>
        <v>2332.4533186935523</v>
      </c>
      <c r="H794" s="97">
        <f t="shared" si="248"/>
        <v>-117.96661098758426</v>
      </c>
      <c r="I794" s="94">
        <f t="shared" si="249"/>
        <v>3029.8132679089249</v>
      </c>
      <c r="J794" s="95">
        <f t="shared" si="250"/>
        <v>-142.6985814514891</v>
      </c>
      <c r="K794" s="94">
        <f t="shared" si="251"/>
        <v>65.818702603257776</v>
      </c>
      <c r="L794" s="94">
        <f t="shared" si="252"/>
        <v>-1076.2487005964797</v>
      </c>
      <c r="M794" s="93">
        <f t="shared" si="253"/>
        <v>-763.17865181863044</v>
      </c>
      <c r="N794" s="93">
        <f t="shared" si="254"/>
        <v>11553.358465890446</v>
      </c>
      <c r="O794" s="93">
        <f t="shared" si="255"/>
        <v>33532.412741902037</v>
      </c>
      <c r="P794" s="93">
        <f t="shared" si="256"/>
        <v>18939.571406999086</v>
      </c>
      <c r="Q794" s="93">
        <f t="shared" si="257"/>
        <v>1995088068290.2993</v>
      </c>
      <c r="R794" s="93">
        <f t="shared" si="258"/>
        <v>38322439446481.648</v>
      </c>
      <c r="S794" s="93">
        <f t="shared" si="259"/>
        <v>7516232454012.8818</v>
      </c>
      <c r="T794">
        <f t="shared" si="264"/>
        <v>0.5</v>
      </c>
    </row>
    <row r="795" spans="1:20" x14ac:dyDescent="0.25">
      <c r="A795">
        <v>376</v>
      </c>
      <c r="B795" s="95">
        <f t="shared" si="260"/>
        <v>13835.326745294948</v>
      </c>
      <c r="C795" s="95">
        <f t="shared" si="261"/>
        <v>-5552.9742138176734</v>
      </c>
      <c r="D795" s="95">
        <f t="shared" si="262"/>
        <v>6771.6682789875904</v>
      </c>
      <c r="E795" s="95">
        <f t="shared" si="263"/>
        <v>-3016.7259860984709</v>
      </c>
      <c r="F795" s="96">
        <f t="shared" si="246"/>
        <v>-1746.5343213331416</v>
      </c>
      <c r="G795" s="94">
        <f t="shared" si="247"/>
        <v>1810.8010335230811</v>
      </c>
      <c r="H795" s="97">
        <f t="shared" si="248"/>
        <v>-659.46740044736532</v>
      </c>
      <c r="I795" s="94">
        <f t="shared" si="249"/>
        <v>2244.4009453569656</v>
      </c>
      <c r="J795" s="95">
        <f t="shared" si="250"/>
        <v>-116.13108743133752</v>
      </c>
      <c r="K795" s="94">
        <f t="shared" si="251"/>
        <v>53.381597932798485</v>
      </c>
      <c r="L795" s="94">
        <f t="shared" si="252"/>
        <v>-970.93583345443881</v>
      </c>
      <c r="M795" s="93">
        <f t="shared" si="253"/>
        <v>-486.98150976668273</v>
      </c>
      <c r="N795" s="93">
        <f t="shared" si="254"/>
        <v>13604.773686826395</v>
      </c>
      <c r="O795" s="93">
        <f t="shared" si="255"/>
        <v>37238.74786907516</v>
      </c>
      <c r="P795" s="93">
        <f t="shared" si="256"/>
        <v>21071.683127050317</v>
      </c>
      <c r="Q795" s="93">
        <f t="shared" si="257"/>
        <v>3045142772021.1064</v>
      </c>
      <c r="R795" s="93">
        <f t="shared" si="258"/>
        <v>52325649094897.688</v>
      </c>
      <c r="S795" s="93">
        <f t="shared" si="259"/>
        <v>10157369500662.381</v>
      </c>
      <c r="T795">
        <f t="shared" si="264"/>
        <v>0.5</v>
      </c>
    </row>
    <row r="796" spans="1:20" x14ac:dyDescent="0.25">
      <c r="A796">
        <v>376.5</v>
      </c>
      <c r="B796" s="95">
        <f t="shared" si="260"/>
        <v>16784.52730445546</v>
      </c>
      <c r="C796" s="95">
        <f t="shared" si="261"/>
        <v>-6608.6369484861389</v>
      </c>
      <c r="D796" s="95">
        <f t="shared" si="262"/>
        <v>5898.4011183210196</v>
      </c>
      <c r="E796" s="95">
        <f t="shared" si="263"/>
        <v>-2111.3254693369304</v>
      </c>
      <c r="F796" s="96">
        <f t="shared" si="246"/>
        <v>-1737.9124382817783</v>
      </c>
      <c r="G796" s="94">
        <f t="shared" si="247"/>
        <v>1386.3023697115325</v>
      </c>
      <c r="H796" s="97">
        <f t="shared" si="248"/>
        <v>-800.33399540177936</v>
      </c>
      <c r="I796" s="94">
        <f t="shared" si="249"/>
        <v>1664.3196013434526</v>
      </c>
      <c r="J796" s="95">
        <f t="shared" si="250"/>
        <v>-99.361089756270673</v>
      </c>
      <c r="K796" s="94">
        <f t="shared" si="251"/>
        <v>44.862674268155153</v>
      </c>
      <c r="L796" s="94">
        <f t="shared" si="252"/>
        <v>-838.21735312372834</v>
      </c>
      <c r="M796" s="93">
        <f t="shared" si="253"/>
        <v>-322.87990590007536</v>
      </c>
      <c r="N796" s="93">
        <f t="shared" si="254"/>
        <v>15655.141241428961</v>
      </c>
      <c r="O796" s="93">
        <f t="shared" si="255"/>
        <v>40360.231296399288</v>
      </c>
      <c r="P796" s="93">
        <f t="shared" si="256"/>
        <v>23344.819633933294</v>
      </c>
      <c r="Q796" s="93">
        <f t="shared" si="257"/>
        <v>4438609643018.8047</v>
      </c>
      <c r="R796" s="93">
        <f t="shared" si="258"/>
        <v>66487740745932.469</v>
      </c>
      <c r="S796" s="93">
        <f t="shared" si="259"/>
        <v>13607868867297.131</v>
      </c>
      <c r="T796">
        <f t="shared" si="264"/>
        <v>0.5</v>
      </c>
    </row>
    <row r="797" spans="1:20" x14ac:dyDescent="0.25">
      <c r="A797">
        <v>377</v>
      </c>
      <c r="B797" s="95">
        <f t="shared" si="260"/>
        <v>19299.249754045522</v>
      </c>
      <c r="C797" s="95">
        <f t="shared" si="261"/>
        <v>-7317.7240907267214</v>
      </c>
      <c r="D797" s="95">
        <f t="shared" si="262"/>
        <v>5029.4448991801301</v>
      </c>
      <c r="E797" s="95">
        <f t="shared" si="263"/>
        <v>-1418.1742844811642</v>
      </c>
      <c r="F797" s="96">
        <f t="shared" si="246"/>
        <v>-1622.9743559534718</v>
      </c>
      <c r="G797" s="94">
        <f t="shared" si="247"/>
        <v>1097.3640816577272</v>
      </c>
      <c r="H797" s="97">
        <f t="shared" si="248"/>
        <v>-808.39546725288938</v>
      </c>
      <c r="I797" s="94">
        <f t="shared" si="249"/>
        <v>1288.1233762687459</v>
      </c>
      <c r="J797" s="95">
        <f t="shared" si="250"/>
        <v>-88.227685543920813</v>
      </c>
      <c r="K797" s="94">
        <f t="shared" si="251"/>
        <v>38.8786738926418</v>
      </c>
      <c r="L797" s="94">
        <f t="shared" si="252"/>
        <v>-726.35120315666154</v>
      </c>
      <c r="M797" s="93">
        <f t="shared" si="253"/>
        <v>-229.63796850366035</v>
      </c>
      <c r="N797" s="93">
        <f t="shared" si="254"/>
        <v>17494.027358416322</v>
      </c>
      <c r="O797" s="93">
        <f t="shared" si="255"/>
        <v>42945.716886709248</v>
      </c>
      <c r="P797" s="93">
        <f t="shared" si="256"/>
        <v>25484.718985220963</v>
      </c>
      <c r="Q797" s="93">
        <f t="shared" si="257"/>
        <v>6023135930916.6318</v>
      </c>
      <c r="R797" s="93">
        <f t="shared" si="258"/>
        <v>79996707968916.672</v>
      </c>
      <c r="S797" s="93">
        <f t="shared" si="259"/>
        <v>17516398904389.717</v>
      </c>
      <c r="T797">
        <f t="shared" si="264"/>
        <v>0.5</v>
      </c>
    </row>
    <row r="798" spans="1:20" x14ac:dyDescent="0.25">
      <c r="A798">
        <v>377.5</v>
      </c>
      <c r="B798" s="95">
        <f t="shared" si="260"/>
        <v>21408.228614647222</v>
      </c>
      <c r="C798" s="95">
        <f t="shared" si="261"/>
        <v>-7752.470212552872</v>
      </c>
      <c r="D798" s="95">
        <f t="shared" si="262"/>
        <v>4217.9577212033946</v>
      </c>
      <c r="E798" s="95">
        <f t="shared" si="263"/>
        <v>-869.49224365230066</v>
      </c>
      <c r="F798" s="96">
        <f t="shared" si="246"/>
        <v>-1503.801648744447</v>
      </c>
      <c r="G798" s="94">
        <f t="shared" si="247"/>
        <v>904.44244123135104</v>
      </c>
      <c r="H798" s="97">
        <f t="shared" si="248"/>
        <v>-782.22094826483919</v>
      </c>
      <c r="I798" s="94">
        <f t="shared" si="249"/>
        <v>1045.80668183018</v>
      </c>
      <c r="J798" s="95">
        <f t="shared" si="250"/>
        <v>-80.590252848733101</v>
      </c>
      <c r="K798" s="94">
        <f t="shared" si="251"/>
        <v>34.550525607684882</v>
      </c>
      <c r="L798" s="94">
        <f t="shared" si="252"/>
        <v>-640.99044763087477</v>
      </c>
      <c r="M798" s="93">
        <f t="shared" si="253"/>
        <v>-175.91476620651378</v>
      </c>
      <c r="N798" s="93">
        <f t="shared" si="254"/>
        <v>19046.929613690187</v>
      </c>
      <c r="O798" s="93">
        <f t="shared" si="255"/>
        <v>45053.208494517523</v>
      </c>
      <c r="P798" s="93">
        <f t="shared" si="256"/>
        <v>27384.689638252352</v>
      </c>
      <c r="Q798" s="93">
        <f t="shared" si="257"/>
        <v>7636377608686.0176</v>
      </c>
      <c r="R798" s="93">
        <f t="shared" si="258"/>
        <v>92277724455780.078</v>
      </c>
      <c r="S798" s="93">
        <f t="shared" si="259"/>
        <v>21571797550892.582</v>
      </c>
      <c r="T798">
        <f t="shared" si="264"/>
        <v>0.5</v>
      </c>
    </row>
    <row r="799" spans="1:20" x14ac:dyDescent="0.25">
      <c r="A799">
        <v>378</v>
      </c>
      <c r="B799" s="95">
        <f t="shared" si="260"/>
        <v>23141.257063062811</v>
      </c>
      <c r="C799" s="95">
        <f t="shared" si="261"/>
        <v>-7961.1057240711853</v>
      </c>
      <c r="D799" s="95">
        <f t="shared" si="262"/>
        <v>3466.0568968311709</v>
      </c>
      <c r="E799" s="95">
        <f t="shared" si="263"/>
        <v>-417.27102303662514</v>
      </c>
      <c r="F799" s="96">
        <f t="shared" si="246"/>
        <v>-1406.877235916596</v>
      </c>
      <c r="G799" s="94">
        <f t="shared" si="247"/>
        <v>773.8113816191069</v>
      </c>
      <c r="H799" s="97">
        <f t="shared" si="248"/>
        <v>-753.88208705570923</v>
      </c>
      <c r="I799" s="94">
        <f t="shared" si="249"/>
        <v>886.96618561810169</v>
      </c>
      <c r="J799" s="95">
        <f t="shared" si="250"/>
        <v>-75.288957777857718</v>
      </c>
      <c r="K799" s="94">
        <f t="shared" si="251"/>
        <v>31.345237078430866</v>
      </c>
      <c r="L799" s="94">
        <f t="shared" si="252"/>
        <v>-577.70619108302913</v>
      </c>
      <c r="M799" s="93">
        <f t="shared" si="253"/>
        <v>-144.50004107742566</v>
      </c>
      <c r="N799" s="93">
        <f t="shared" si="254"/>
        <v>20291.338728837112</v>
      </c>
      <c r="O799" s="93">
        <f t="shared" si="255"/>
        <v>46730.818308826238</v>
      </c>
      <c r="P799" s="93">
        <f t="shared" si="256"/>
        <v>29008.212315085635</v>
      </c>
      <c r="Q799" s="93">
        <f t="shared" si="257"/>
        <v>9127085291169.3086</v>
      </c>
      <c r="R799" s="93">
        <f t="shared" si="258"/>
        <v>102909211983322.34</v>
      </c>
      <c r="S799" s="93">
        <f t="shared" si="259"/>
        <v>25505573541445.676</v>
      </c>
      <c r="T799">
        <f t="shared" si="264"/>
        <v>0.5</v>
      </c>
    </row>
    <row r="800" spans="1:20" x14ac:dyDescent="0.25">
      <c r="A800">
        <v>378.5</v>
      </c>
      <c r="B800" s="95">
        <f t="shared" si="260"/>
        <v>24522.566202499249</v>
      </c>
      <c r="C800" s="95">
        <f t="shared" si="261"/>
        <v>-7976.2883901847208</v>
      </c>
      <c r="D800" s="95">
        <f t="shared" si="262"/>
        <v>2762.6182788728729</v>
      </c>
      <c r="E800" s="95">
        <f t="shared" si="263"/>
        <v>-30.36533222707169</v>
      </c>
      <c r="F800" s="96">
        <f t="shared" si="246"/>
        <v>-1336.5491279937478</v>
      </c>
      <c r="G800" s="94">
        <f t="shared" si="247"/>
        <v>684.23836506594091</v>
      </c>
      <c r="H800" s="97">
        <f t="shared" si="248"/>
        <v>-733.54240444430536</v>
      </c>
      <c r="I800" s="94">
        <f t="shared" si="249"/>
        <v>781.71541030096228</v>
      </c>
      <c r="J800" s="95">
        <f t="shared" si="250"/>
        <v>-71.663746736004057</v>
      </c>
      <c r="K800" s="94">
        <f t="shared" si="251"/>
        <v>28.93472430560961</v>
      </c>
      <c r="L800" s="94">
        <f t="shared" si="252"/>
        <v>-531.34297681343821</v>
      </c>
      <c r="M800" s="93">
        <f t="shared" si="253"/>
        <v>-126.411769540631</v>
      </c>
      <c r="N800" s="93">
        <f t="shared" si="254"/>
        <v>21223.110786172223</v>
      </c>
      <c r="O800" s="93">
        <f t="shared" si="255"/>
        <v>48014.641991199082</v>
      </c>
      <c r="P800" s="93">
        <f t="shared" si="256"/>
        <v>30346.572128640903</v>
      </c>
      <c r="Q800" s="93">
        <f t="shared" si="257"/>
        <v>10366132668136.953</v>
      </c>
      <c r="R800" s="93">
        <f t="shared" si="258"/>
        <v>111576676334659.33</v>
      </c>
      <c r="S800" s="93">
        <f t="shared" si="259"/>
        <v>29092281616015.098</v>
      </c>
      <c r="T800">
        <f t="shared" si="264"/>
        <v>0.5</v>
      </c>
    </row>
    <row r="801" spans="1:20" x14ac:dyDescent="0.25">
      <c r="A801">
        <v>379</v>
      </c>
      <c r="B801" s="95">
        <f t="shared" si="260"/>
        <v>25569.738059937252</v>
      </c>
      <c r="C801" s="95">
        <f t="shared" si="261"/>
        <v>-7820.4114650317715</v>
      </c>
      <c r="D801" s="95">
        <f t="shared" si="262"/>
        <v>2094.343714875999</v>
      </c>
      <c r="E801" s="95">
        <f t="shared" si="263"/>
        <v>311.75385030589877</v>
      </c>
      <c r="F801" s="96">
        <f t="shared" si="246"/>
        <v>-1291.7374005033366</v>
      </c>
      <c r="G801" s="94">
        <f t="shared" si="247"/>
        <v>623.10171312523107</v>
      </c>
      <c r="H801" s="97">
        <f t="shared" si="248"/>
        <v>-724.52504627611199</v>
      </c>
      <c r="I801" s="94">
        <f t="shared" si="249"/>
        <v>712.92283678380375</v>
      </c>
      <c r="J801" s="95">
        <f t="shared" si="250"/>
        <v>-69.328634850500094</v>
      </c>
      <c r="K801" s="94">
        <f t="shared" si="251"/>
        <v>27.11151856347875</v>
      </c>
      <c r="L801" s="94">
        <f t="shared" si="252"/>
        <v>-497.88371937672463</v>
      </c>
      <c r="M801" s="93">
        <f t="shared" si="253"/>
        <v>-116.93264222205143</v>
      </c>
      <c r="N801" s="93">
        <f t="shared" si="254"/>
        <v>21843.345684966294</v>
      </c>
      <c r="O801" s="93">
        <f t="shared" si="255"/>
        <v>48930.236987310105</v>
      </c>
      <c r="P801" s="93">
        <f t="shared" si="256"/>
        <v>31401.518698697095</v>
      </c>
      <c r="Q801" s="93">
        <f t="shared" si="257"/>
        <v>11251917137261.516</v>
      </c>
      <c r="R801" s="93">
        <f t="shared" si="258"/>
        <v>118047454311798.83</v>
      </c>
      <c r="S801" s="93">
        <f t="shared" si="259"/>
        <v>32148625865054.004</v>
      </c>
      <c r="T801">
        <f t="shared" si="264"/>
        <v>0.5</v>
      </c>
    </row>
    <row r="802" spans="1:20" x14ac:dyDescent="0.25">
      <c r="A802">
        <v>379.5</v>
      </c>
      <c r="B802" s="95">
        <f t="shared" si="260"/>
        <v>26293.975567249418</v>
      </c>
      <c r="C802" s="95">
        <f t="shared" si="261"/>
        <v>-7508.7591115975147</v>
      </c>
      <c r="D802" s="95">
        <f t="shared" si="262"/>
        <v>1448.4750146243307</v>
      </c>
      <c r="E802" s="95">
        <f t="shared" si="263"/>
        <v>623.30470686851436</v>
      </c>
      <c r="F802" s="96">
        <f t="shared" si="246"/>
        <v>-1270.9415861924672</v>
      </c>
      <c r="G802" s="94">
        <f t="shared" si="247"/>
        <v>583.08314556562004</v>
      </c>
      <c r="H802" s="97">
        <f t="shared" si="248"/>
        <v>-728.38103730843545</v>
      </c>
      <c r="I802" s="94">
        <f t="shared" si="249"/>
        <v>670.92868068313146</v>
      </c>
      <c r="J802" s="95">
        <f t="shared" si="250"/>
        <v>-68.061471761726594</v>
      </c>
      <c r="K802" s="94">
        <f t="shared" si="251"/>
        <v>25.741403697890949</v>
      </c>
      <c r="L802" s="94">
        <f t="shared" si="252"/>
        <v>-474.49907712230527</v>
      </c>
      <c r="M802" s="93">
        <f t="shared" si="253"/>
        <v>-113.58693881540241</v>
      </c>
      <c r="N802" s="93">
        <f t="shared" si="254"/>
        <v>22153.024395239638</v>
      </c>
      <c r="O802" s="93">
        <f t="shared" si="255"/>
        <v>49494.331184985575</v>
      </c>
      <c r="P802" s="93">
        <f t="shared" si="256"/>
        <v>32178.122954138838</v>
      </c>
      <c r="Q802" s="93">
        <f t="shared" si="257"/>
        <v>11712970573982.277</v>
      </c>
      <c r="R802" s="93">
        <f t="shared" si="258"/>
        <v>122156304086998.73</v>
      </c>
      <c r="S802" s="93">
        <f t="shared" si="259"/>
        <v>34532179472271.992</v>
      </c>
      <c r="T802">
        <f t="shared" si="264"/>
        <v>0.5</v>
      </c>
    </row>
    <row r="803" spans="1:20" x14ac:dyDescent="0.25">
      <c r="A803">
        <v>380</v>
      </c>
      <c r="B803" s="95">
        <f t="shared" si="260"/>
        <v>26700.477678013467</v>
      </c>
      <c r="C803" s="95">
        <f t="shared" si="261"/>
        <v>-7051.3359717718531</v>
      </c>
      <c r="D803" s="95">
        <f t="shared" si="262"/>
        <v>813.0042215280971</v>
      </c>
      <c r="E803" s="95">
        <f t="shared" si="263"/>
        <v>914.84627965132438</v>
      </c>
      <c r="F803" s="96">
        <f t="shared" si="246"/>
        <v>-1273.8148910779257</v>
      </c>
      <c r="G803" s="94">
        <f t="shared" si="247"/>
        <v>560.26388335142553</v>
      </c>
      <c r="H803" s="97">
        <f t="shared" si="248"/>
        <v>-746.78975528995886</v>
      </c>
      <c r="I803" s="94">
        <f t="shared" si="249"/>
        <v>650.68729404116596</v>
      </c>
      <c r="J803" s="95">
        <f t="shared" si="250"/>
        <v>-67.749225499039881</v>
      </c>
      <c r="K803" s="94">
        <f t="shared" si="251"/>
        <v>24.736680720405893</v>
      </c>
      <c r="L803" s="94">
        <f t="shared" si="252"/>
        <v>-459.27591028892704</v>
      </c>
      <c r="M803" s="93">
        <f t="shared" si="253"/>
        <v>-115.16009141014625</v>
      </c>
      <c r="N803" s="93">
        <f t="shared" si="254"/>
        <v>22150.560562595419</v>
      </c>
      <c r="O803" s="93">
        <f t="shared" si="255"/>
        <v>49716.02029302904</v>
      </c>
      <c r="P803" s="93">
        <f t="shared" si="256"/>
        <v>32681.822850751123</v>
      </c>
      <c r="Q803" s="93">
        <f t="shared" si="257"/>
        <v>11709252305850.621</v>
      </c>
      <c r="R803" s="93">
        <f t="shared" si="258"/>
        <v>123796888804531.86</v>
      </c>
      <c r="S803" s="93">
        <f t="shared" si="259"/>
        <v>36140217516845.523</v>
      </c>
      <c r="T803">
        <f t="shared" si="264"/>
        <v>0.5</v>
      </c>
    </row>
    <row r="804" spans="1:20" x14ac:dyDescent="0.25">
      <c r="A804">
        <v>380.5</v>
      </c>
      <c r="B804" s="95">
        <f t="shared" si="260"/>
        <v>26788.526066008035</v>
      </c>
      <c r="C804" s="95">
        <f t="shared" si="261"/>
        <v>-6453.8468611083345</v>
      </c>
      <c r="D804" s="95">
        <f t="shared" si="262"/>
        <v>176.09677598913424</v>
      </c>
      <c r="E804" s="95">
        <f t="shared" si="263"/>
        <v>1194.9782213270371</v>
      </c>
      <c r="F804" s="96">
        <f t="shared" si="246"/>
        <v>-1301.8889204582106</v>
      </c>
      <c r="G804" s="94">
        <f t="shared" si="247"/>
        <v>553.23584627618311</v>
      </c>
      <c r="H804" s="97">
        <f t="shared" si="248"/>
        <v>-782.56617374096993</v>
      </c>
      <c r="I804" s="94">
        <f t="shared" si="249"/>
        <v>650.43283157384974</v>
      </c>
      <c r="J804" s="95">
        <f t="shared" si="250"/>
        <v>-68.36300289398477</v>
      </c>
      <c r="K804" s="94">
        <f t="shared" si="251"/>
        <v>24.040816737766949</v>
      </c>
      <c r="L804" s="94">
        <f t="shared" si="252"/>
        <v>-450.95974382325585</v>
      </c>
      <c r="M804" s="93">
        <f t="shared" si="253"/>
        <v>-121.2378020354335</v>
      </c>
      <c r="N804" s="93">
        <f t="shared" si="254"/>
        <v>21830.356151292955</v>
      </c>
      <c r="O804" s="93">
        <f t="shared" si="255"/>
        <v>49597.331056805036</v>
      </c>
      <c r="P804" s="93">
        <f t="shared" si="256"/>
        <v>32917.276967007158</v>
      </c>
      <c r="Q804" s="93">
        <f t="shared" si="257"/>
        <v>11232854149879.955</v>
      </c>
      <c r="R804" s="93">
        <f t="shared" si="258"/>
        <v>122916723602434.25</v>
      </c>
      <c r="S804" s="93">
        <f t="shared" si="259"/>
        <v>36908911613981.773</v>
      </c>
      <c r="T804">
        <f t="shared" si="264"/>
        <v>0.5</v>
      </c>
    </row>
    <row r="805" spans="1:20" x14ac:dyDescent="0.25">
      <c r="A805">
        <v>381</v>
      </c>
      <c r="B805" s="95">
        <f t="shared" si="260"/>
        <v>26551.102223888051</v>
      </c>
      <c r="C805" s="95">
        <f t="shared" si="261"/>
        <v>-5718.0487888757698</v>
      </c>
      <c r="D805" s="95">
        <f t="shared" si="262"/>
        <v>-474.84768423997104</v>
      </c>
      <c r="E805" s="95">
        <f t="shared" si="263"/>
        <v>1471.5961444651286</v>
      </c>
      <c r="F805" s="96">
        <f t="shared" si="246"/>
        <v>-1359.3906882575591</v>
      </c>
      <c r="G805" s="94">
        <f t="shared" si="247"/>
        <v>562.98568606511662</v>
      </c>
      <c r="H805" s="97">
        <f t="shared" si="248"/>
        <v>-840.68104555366006</v>
      </c>
      <c r="I805" s="94">
        <f t="shared" si="249"/>
        <v>671.38507911414456</v>
      </c>
      <c r="J805" s="95">
        <f t="shared" si="250"/>
        <v>-69.952412098572992</v>
      </c>
      <c r="K805" s="94">
        <f t="shared" si="251"/>
        <v>23.619535816290281</v>
      </c>
      <c r="L805" s="94">
        <f t="shared" si="252"/>
        <v>-448.75723060532607</v>
      </c>
      <c r="M805" s="93">
        <f t="shared" si="253"/>
        <v>-132.01892886531829</v>
      </c>
      <c r="N805" s="93">
        <f t="shared" si="254"/>
        <v>21181.496609321359</v>
      </c>
      <c r="O805" s="93">
        <f t="shared" si="255"/>
        <v>49133.106720299649</v>
      </c>
      <c r="P805" s="93">
        <f t="shared" si="256"/>
        <v>32888.093131525944</v>
      </c>
      <c r="Q805" s="93">
        <f t="shared" si="257"/>
        <v>10308471809927.242</v>
      </c>
      <c r="R805" s="93">
        <f t="shared" si="258"/>
        <v>119514339717714.41</v>
      </c>
      <c r="S805" s="93">
        <f t="shared" si="259"/>
        <v>36813041365195.727</v>
      </c>
      <c r="T805">
        <f t="shared" si="264"/>
        <v>0.5</v>
      </c>
    </row>
    <row r="806" spans="1:20" x14ac:dyDescent="0.25">
      <c r="A806">
        <v>381.5</v>
      </c>
      <c r="B806" s="95">
        <f t="shared" si="260"/>
        <v>25973.830709703678</v>
      </c>
      <c r="C806" s="95">
        <f t="shared" si="261"/>
        <v>-4841.5042951269261</v>
      </c>
      <c r="D806" s="95">
        <f t="shared" si="262"/>
        <v>-1154.5430283687506</v>
      </c>
      <c r="E806" s="95">
        <f t="shared" si="263"/>
        <v>1753.088987497687</v>
      </c>
      <c r="F806" s="96">
        <f t="shared" si="246"/>
        <v>-1454.7925187089927</v>
      </c>
      <c r="G806" s="94">
        <f t="shared" si="247"/>
        <v>593.65087041187246</v>
      </c>
      <c r="H806" s="97">
        <f t="shared" si="248"/>
        <v>-929.96089924593514</v>
      </c>
      <c r="I806" s="94">
        <f t="shared" si="249"/>
        <v>718.49493342706864</v>
      </c>
      <c r="J806" s="95">
        <f t="shared" si="250"/>
        <v>-72.657415541710833</v>
      </c>
      <c r="K806" s="94">
        <f t="shared" si="251"/>
        <v>23.455633959332378</v>
      </c>
      <c r="L806" s="94">
        <f t="shared" si="252"/>
        <v>-452.17420392134682</v>
      </c>
      <c r="M806" s="93">
        <f t="shared" si="253"/>
        <v>-148.29969697452859</v>
      </c>
      <c r="N806" s="93">
        <f t="shared" si="254"/>
        <v>20186.034672736216</v>
      </c>
      <c r="O806" s="93">
        <f t="shared" si="255"/>
        <v>48310.075138285218</v>
      </c>
      <c r="P806" s="93">
        <f t="shared" si="256"/>
        <v>32597.135208777279</v>
      </c>
      <c r="Q806" s="93">
        <f t="shared" si="257"/>
        <v>8993795554197.2305</v>
      </c>
      <c r="R806" s="93">
        <f t="shared" si="258"/>
        <v>113637975729860.98</v>
      </c>
      <c r="S806" s="93">
        <f t="shared" si="259"/>
        <v>35866397716953.438</v>
      </c>
      <c r="T806">
        <f t="shared" si="264"/>
        <v>0.5</v>
      </c>
    </row>
    <row r="807" spans="1:20" x14ac:dyDescent="0.25">
      <c r="A807">
        <v>382</v>
      </c>
      <c r="B807" s="95">
        <f t="shared" si="260"/>
        <v>25032.861065842055</v>
      </c>
      <c r="C807" s="95">
        <f t="shared" si="261"/>
        <v>-3816.5470837751141</v>
      </c>
      <c r="D807" s="95">
        <f t="shared" si="262"/>
        <v>-1881.9392877232469</v>
      </c>
      <c r="E807" s="95">
        <f t="shared" si="263"/>
        <v>2049.9144227036231</v>
      </c>
      <c r="F807" s="96">
        <f t="shared" si="246"/>
        <v>-1604.1588752852035</v>
      </c>
      <c r="G807" s="94">
        <f t="shared" si="247"/>
        <v>654.85088032851911</v>
      </c>
      <c r="H807" s="97">
        <f t="shared" si="248"/>
        <v>-1066.5802526930308</v>
      </c>
      <c r="I807" s="94">
        <f t="shared" si="249"/>
        <v>802.90808219142878</v>
      </c>
      <c r="J807" s="95">
        <f t="shared" si="250"/>
        <v>-76.743589354435855</v>
      </c>
      <c r="K807" s="94">
        <f t="shared" si="251"/>
        <v>23.54572617856029</v>
      </c>
      <c r="L807" s="94">
        <f t="shared" si="252"/>
        <v>-460.83503323773664</v>
      </c>
      <c r="M807" s="93">
        <f t="shared" si="253"/>
        <v>-171.60292804146994</v>
      </c>
      <c r="N807" s="93">
        <f t="shared" si="254"/>
        <v>18816.246961713936</v>
      </c>
      <c r="O807" s="93">
        <f t="shared" si="255"/>
        <v>47104.72958306424</v>
      </c>
      <c r="P807" s="93">
        <f t="shared" si="256"/>
        <v>32047.501664397965</v>
      </c>
      <c r="Q807" s="93">
        <f t="shared" si="257"/>
        <v>7379836283242.7383</v>
      </c>
      <c r="R807" s="93">
        <f t="shared" si="258"/>
        <v>105385333578215.08</v>
      </c>
      <c r="S807" s="93">
        <f t="shared" si="259"/>
        <v>34123207107989.949</v>
      </c>
      <c r="T807">
        <f t="shared" si="264"/>
        <v>0.5</v>
      </c>
    </row>
    <row r="808" spans="1:20" x14ac:dyDescent="0.25">
      <c r="A808">
        <v>382.5</v>
      </c>
      <c r="B808" s="95">
        <f t="shared" si="260"/>
        <v>23690.851703159133</v>
      </c>
      <c r="C808" s="95">
        <f t="shared" si="261"/>
        <v>-2627.8771523411729</v>
      </c>
      <c r="D808" s="95">
        <f t="shared" si="262"/>
        <v>-2684.0187253658487</v>
      </c>
      <c r="E808" s="95">
        <f t="shared" si="263"/>
        <v>2377.3398628678829</v>
      </c>
      <c r="F808" s="96">
        <f t="shared" si="246"/>
        <v>-1838.9953005822649</v>
      </c>
      <c r="G808" s="94">
        <f t="shared" si="247"/>
        <v>767.89241016785149</v>
      </c>
      <c r="H808" s="97">
        <f t="shared" si="248"/>
        <v>-1282.1407991663948</v>
      </c>
      <c r="I808" s="94">
        <f t="shared" si="249"/>
        <v>948.47017464701901</v>
      </c>
      <c r="J808" s="95">
        <f t="shared" si="250"/>
        <v>-82.679753084013811</v>
      </c>
      <c r="K808" s="94">
        <f t="shared" si="251"/>
        <v>23.896759258079065</v>
      </c>
      <c r="L808" s="94">
        <f t="shared" si="252"/>
        <v>-474.17474833185639</v>
      </c>
      <c r="M808" s="93">
        <f t="shared" si="253"/>
        <v>-204.47452373724664</v>
      </c>
      <c r="N808" s="93">
        <f t="shared" si="254"/>
        <v>17029.77733180354</v>
      </c>
      <c r="O808" s="93">
        <f t="shared" si="255"/>
        <v>45479.157906914501</v>
      </c>
      <c r="P808" s="93">
        <f t="shared" si="256"/>
        <v>31244.749882343927</v>
      </c>
      <c r="Q808" s="93">
        <f t="shared" si="257"/>
        <v>5591049901331.2227</v>
      </c>
      <c r="R808" s="93">
        <f t="shared" si="258"/>
        <v>94903904909437.203</v>
      </c>
      <c r="S808" s="93">
        <f t="shared" si="259"/>
        <v>31681347173158.262</v>
      </c>
      <c r="T808">
        <f t="shared" si="264"/>
        <v>0.5</v>
      </c>
    </row>
    <row r="809" spans="1:20" x14ac:dyDescent="0.25">
      <c r="A809">
        <v>383</v>
      </c>
      <c r="B809" s="95">
        <f t="shared" si="260"/>
        <v>21889.093515330642</v>
      </c>
      <c r="C809" s="95">
        <f t="shared" si="261"/>
        <v>-1247.2341183652686</v>
      </c>
      <c r="D809" s="95">
        <f t="shared" si="262"/>
        <v>-3603.5163756569809</v>
      </c>
      <c r="E809" s="95">
        <f t="shared" si="263"/>
        <v>2761.2860679518085</v>
      </c>
      <c r="F809" s="96">
        <f t="shared" si="246"/>
        <v>-2226.8045140077288</v>
      </c>
      <c r="G809" s="94">
        <f t="shared" si="247"/>
        <v>983.6251824391619</v>
      </c>
      <c r="H809" s="97">
        <f t="shared" si="248"/>
        <v>-1644.7538369482502</v>
      </c>
      <c r="I809" s="94">
        <f t="shared" si="249"/>
        <v>1210.1046106092308</v>
      </c>
      <c r="J809" s="95">
        <f t="shared" si="250"/>
        <v>-91.309122827619319</v>
      </c>
      <c r="K809" s="94">
        <f t="shared" si="251"/>
        <v>24.516526747205713</v>
      </c>
      <c r="L809" s="94">
        <f t="shared" si="252"/>
        <v>-490.74155423185914</v>
      </c>
      <c r="M809" s="93">
        <f t="shared" si="253"/>
        <v>-250.99595491727464</v>
      </c>
      <c r="N809" s="93">
        <f t="shared" si="254"/>
        <v>14760.238796773259</v>
      </c>
      <c r="O809" s="93">
        <f t="shared" si="255"/>
        <v>43372.761392946093</v>
      </c>
      <c r="P809" s="93">
        <f t="shared" si="256"/>
        <v>30202.018466838483</v>
      </c>
      <c r="Q809" s="93">
        <f t="shared" si="257"/>
        <v>3784830694878.4233</v>
      </c>
      <c r="R809" s="93">
        <f t="shared" si="258"/>
        <v>82390954451683.625</v>
      </c>
      <c r="S809" s="93">
        <f t="shared" si="259"/>
        <v>28689431983425.18</v>
      </c>
      <c r="T809">
        <f t="shared" si="264"/>
        <v>0.5</v>
      </c>
    </row>
    <row r="810" spans="1:20" x14ac:dyDescent="0.25">
      <c r="A810">
        <v>383.5</v>
      </c>
      <c r="B810" s="95">
        <f t="shared" si="260"/>
        <v>19530.634199000218</v>
      </c>
      <c r="C810" s="95">
        <f t="shared" si="261"/>
        <v>379.31521122042614</v>
      </c>
      <c r="D810" s="95">
        <f t="shared" si="262"/>
        <v>-4716.9186326608451</v>
      </c>
      <c r="E810" s="95">
        <f t="shared" si="263"/>
        <v>3253.0986591713895</v>
      </c>
      <c r="F810" s="96">
        <f t="shared" si="246"/>
        <v>-2932.6072400719531</v>
      </c>
      <c r="G810" s="94">
        <f t="shared" si="247"/>
        <v>1442.7158563531032</v>
      </c>
      <c r="H810" s="97">
        <f t="shared" si="248"/>
        <v>-2321.9548448260784</v>
      </c>
      <c r="I810" s="94">
        <f t="shared" si="249"/>
        <v>1734.8172428567796</v>
      </c>
      <c r="J810" s="95">
        <f t="shared" si="250"/>
        <v>-104.26441587294772</v>
      </c>
      <c r="K810" s="94">
        <f t="shared" si="251"/>
        <v>25.375132479539765</v>
      </c>
      <c r="L810" s="94">
        <f t="shared" si="252"/>
        <v>-506.38797937292679</v>
      </c>
      <c r="M810" s="93">
        <f t="shared" si="253"/>
        <v>-317.47651898321629</v>
      </c>
      <c r="N810" s="93">
        <f t="shared" si="254"/>
        <v>11896.938265634119</v>
      </c>
      <c r="O810" s="93">
        <f t="shared" si="255"/>
        <v>40684.500930701121</v>
      </c>
      <c r="P810" s="93">
        <f t="shared" si="256"/>
        <v>28952.985175474307</v>
      </c>
      <c r="Q810" s="93">
        <f t="shared" si="257"/>
        <v>2149149630705.0586</v>
      </c>
      <c r="R810" s="93">
        <f t="shared" si="258"/>
        <v>68091109337070.945</v>
      </c>
      <c r="S810" s="93">
        <f t="shared" si="259"/>
        <v>25364365969254.609</v>
      </c>
      <c r="T810">
        <f t="shared" si="264"/>
        <v>0.5</v>
      </c>
    </row>
    <row r="811" spans="1:20" x14ac:dyDescent="0.25">
      <c r="A811">
        <v>384</v>
      </c>
      <c r="B811" s="95">
        <f t="shared" si="260"/>
        <v>16439.023072651806</v>
      </c>
      <c r="C811" s="95">
        <f t="shared" si="261"/>
        <v>2366.5435048943968</v>
      </c>
      <c r="D811" s="95">
        <f t="shared" si="262"/>
        <v>-6183.2222526968217</v>
      </c>
      <c r="E811" s="95">
        <f t="shared" si="263"/>
        <v>3974.456587347941</v>
      </c>
      <c r="F811" s="96">
        <f t="shared" si="246"/>
        <v>-4404.8777018934306</v>
      </c>
      <c r="G811" s="94">
        <f t="shared" si="247"/>
        <v>2619.7761930604834</v>
      </c>
      <c r="H811" s="97">
        <f t="shared" si="248"/>
        <v>-3770.5319416137245</v>
      </c>
      <c r="I811" s="94">
        <f t="shared" si="249"/>
        <v>3006.0245890233659</v>
      </c>
      <c r="J811" s="95">
        <f t="shared" si="250"/>
        <v>-125.15512935232974</v>
      </c>
      <c r="K811" s="94">
        <f t="shared" si="251"/>
        <v>26.218217572560125</v>
      </c>
      <c r="L811" s="94">
        <f t="shared" si="252"/>
        <v>-509.19063092737645</v>
      </c>
      <c r="M811" s="93">
        <f t="shared" si="253"/>
        <v>-412.46661353544266</v>
      </c>
      <c r="N811" s="93">
        <f t="shared" si="254"/>
        <v>8234.8888102562869</v>
      </c>
      <c r="O811" s="93">
        <f t="shared" si="255"/>
        <v>37229.988726185788</v>
      </c>
      <c r="P811" s="93">
        <f t="shared" si="256"/>
        <v>27590.370487129858</v>
      </c>
      <c r="Q811" s="93">
        <f t="shared" si="257"/>
        <v>894161526568.78198</v>
      </c>
      <c r="R811" s="93">
        <f t="shared" si="258"/>
        <v>52289057520101.047</v>
      </c>
      <c r="S811" s="93">
        <f t="shared" si="259"/>
        <v>22045665314814.48</v>
      </c>
      <c r="T811">
        <f t="shared" si="264"/>
        <v>0.5</v>
      </c>
    </row>
    <row r="812" spans="1:20" x14ac:dyDescent="0.25">
      <c r="A812">
        <v>384.5</v>
      </c>
      <c r="B812" s="95">
        <f t="shared" si="260"/>
        <v>12246.192520830038</v>
      </c>
      <c r="C812" s="95">
        <f t="shared" si="261"/>
        <v>5008.7158468334883</v>
      </c>
      <c r="D812" s="95">
        <f t="shared" si="262"/>
        <v>-8385.661103643537</v>
      </c>
      <c r="E812" s="95">
        <f t="shared" si="263"/>
        <v>5284.3446838781829</v>
      </c>
      <c r="F812" s="96">
        <f t="shared" ref="F812:F875" si="265">SUM(H812,J812,L812)</f>
        <v>-6016.8419747490234</v>
      </c>
      <c r="G812" s="94">
        <f t="shared" ref="G812:G875" si="266">SUM(I812,K812,M812)</f>
        <v>5462.4275033072481</v>
      </c>
      <c r="H812" s="97">
        <f t="shared" ref="H812:H875" si="267">$D$22*(($D$18-$B812)/$Q812)</f>
        <v>-5388.2761113918996</v>
      </c>
      <c r="I812" s="94">
        <f t="shared" ref="I812:I875" si="268">$D$22*(($E$18-$C812)/$Q812)</f>
        <v>5976.2138662254229</v>
      </c>
      <c r="J812" s="95">
        <f t="shared" ref="J812:J875" si="269">$D$30*(($D$26-$B812)/$R812)</f>
        <v>-163.85504529698218</v>
      </c>
      <c r="K812" s="94">
        <f t="shared" ref="K812:K875" si="270">$D$30*(($E$26-$C812)/$R812)</f>
        <v>25.362594063745796</v>
      </c>
      <c r="L812" s="94">
        <f t="shared" ref="L812:L875" si="271">$D$38*(($D$34-$B812)/$S812)</f>
        <v>-464.71081806014189</v>
      </c>
      <c r="M812" s="93">
        <f t="shared" ref="M812:M875" si="272">$D$38*(($E$34-$C812)/$S812)</f>
        <v>-539.14895698192072</v>
      </c>
      <c r="N812" s="93">
        <f t="shared" ref="N812:N875" si="273">SQRT(($D$18-$B812)^2+($E$18-$C812)^2)</f>
        <v>3354.3818465480917</v>
      </c>
      <c r="O812" s="93">
        <f t="shared" ref="O812:O875" si="274">SQRT(($D$26-$B812)^2+($E$26-$C812)^2)</f>
        <v>32630.198430105909</v>
      </c>
      <c r="P812" s="93">
        <f t="shared" ref="P812:P875" si="275">SQRT(($D$34-$B812)^2+($E$34-$C812)^2)</f>
        <v>26415.523207100396</v>
      </c>
      <c r="Q812" s="93">
        <f t="shared" ref="Q812:Q875" si="276">($N812^2+$D$39^2)^(3/2)</f>
        <v>218270858684.8667</v>
      </c>
      <c r="R812" s="93">
        <f t="shared" ref="R812:R875" si="277">($O812^2+$D$31^2)^(3/2)</f>
        <v>35343647451422.945</v>
      </c>
      <c r="S812" s="93">
        <f t="shared" ref="S812:S875" si="278">($P812^2+$D$23^2)^(3/2)</f>
        <v>19431622713957.332</v>
      </c>
      <c r="T812">
        <f t="shared" si="264"/>
        <v>0.5</v>
      </c>
    </row>
    <row r="813" spans="1:20" x14ac:dyDescent="0.25">
      <c r="A813">
        <v>385</v>
      </c>
      <c r="B813" s="95">
        <f t="shared" ref="B813:B876" si="279">B812+(D812*$T812)+(F812*($T812)^2)</f>
        <v>6549.151475321014</v>
      </c>
      <c r="C813" s="95">
        <f t="shared" ref="C813:C876" si="280">C812+(E812*$T812)+(G812*($T812)^2)</f>
        <v>9016.4950645993922</v>
      </c>
      <c r="D813" s="95">
        <f t="shared" ref="D813:D876" si="281">D812+(F812*$T812)</f>
        <v>-11394.082091018048</v>
      </c>
      <c r="E813" s="95">
        <f t="shared" ref="E813:E876" si="282">E812+(G812*$T812)</f>
        <v>8015.5584355318069</v>
      </c>
      <c r="F813" s="96">
        <f t="shared" si="265"/>
        <v>6808.5524661831223</v>
      </c>
      <c r="G813" s="94">
        <f t="shared" si="266"/>
        <v>-3855.93077752828</v>
      </c>
      <c r="H813" s="97">
        <f t="shared" si="267"/>
        <v>7359.7084407360489</v>
      </c>
      <c r="I813" s="94">
        <f t="shared" si="268"/>
        <v>-3234.2658472107091</v>
      </c>
      <c r="J813" s="95">
        <f t="shared" si="269"/>
        <v>-247.79293853268118</v>
      </c>
      <c r="K813" s="94">
        <f t="shared" si="270"/>
        <v>9.1794111849808058</v>
      </c>
      <c r="L813" s="94">
        <f t="shared" si="271"/>
        <v>-303.36303602024526</v>
      </c>
      <c r="M813" s="93">
        <f t="shared" si="272"/>
        <v>-630.84434150255163</v>
      </c>
      <c r="N813" s="93">
        <f t="shared" si="273"/>
        <v>3769.3650421832917</v>
      </c>
      <c r="O813" s="93">
        <f t="shared" si="274"/>
        <v>26567.362044762696</v>
      </c>
      <c r="P813" s="93">
        <f t="shared" si="275"/>
        <v>26649.107583328874</v>
      </c>
      <c r="Q813" s="93">
        <f t="shared" si="276"/>
        <v>245507016595.40305</v>
      </c>
      <c r="R813" s="93">
        <f t="shared" si="277"/>
        <v>19242188368131.113</v>
      </c>
      <c r="S813" s="93">
        <f t="shared" si="278"/>
        <v>19933613702606.168</v>
      </c>
      <c r="T813">
        <f t="shared" si="264"/>
        <v>0.5</v>
      </c>
    </row>
    <row r="814" spans="1:20" x14ac:dyDescent="0.25">
      <c r="A814">
        <v>385.5</v>
      </c>
      <c r="B814" s="95">
        <f t="shared" si="279"/>
        <v>2554.2485463577705</v>
      </c>
      <c r="C814" s="95">
        <f t="shared" si="280"/>
        <v>12060.291587983225</v>
      </c>
      <c r="D814" s="95">
        <f t="shared" si="281"/>
        <v>-7989.8058579264871</v>
      </c>
      <c r="E814" s="95">
        <f t="shared" si="282"/>
        <v>6087.5930467676671</v>
      </c>
      <c r="F814" s="96">
        <f t="shared" si="265"/>
        <v>3320.6757694969683</v>
      </c>
      <c r="G814" s="94">
        <f t="shared" si="266"/>
        <v>-2984.654028678412</v>
      </c>
      <c r="H814" s="97">
        <f t="shared" si="267"/>
        <v>3827.4372196315048</v>
      </c>
      <c r="I814" s="94">
        <f t="shared" si="268"/>
        <v>-2344.1864618891341</v>
      </c>
      <c r="J814" s="95">
        <f t="shared" si="269"/>
        <v>-336.54857855890282</v>
      </c>
      <c r="K814" s="94">
        <f t="shared" si="270"/>
        <v>-30.743130454000109</v>
      </c>
      <c r="L814" s="94">
        <f t="shared" si="271"/>
        <v>-170.21287157563356</v>
      </c>
      <c r="M814" s="93">
        <f t="shared" si="272"/>
        <v>-609.72443633527814</v>
      </c>
      <c r="N814" s="93">
        <f t="shared" si="273"/>
        <v>8731.2928067294797</v>
      </c>
      <c r="O814" s="93">
        <f t="shared" si="274"/>
        <v>22648.155088624681</v>
      </c>
      <c r="P814" s="93">
        <f t="shared" si="275"/>
        <v>28094.947088877459</v>
      </c>
      <c r="Q814" s="93">
        <f t="shared" si="276"/>
        <v>1018589233688.7684</v>
      </c>
      <c r="R814" s="93">
        <f t="shared" si="277"/>
        <v>12035755141427.809</v>
      </c>
      <c r="S814" s="93">
        <f t="shared" si="278"/>
        <v>23237932906152.691</v>
      </c>
      <c r="T814">
        <f t="shared" si="264"/>
        <v>0.5</v>
      </c>
    </row>
    <row r="815" spans="1:20" x14ac:dyDescent="0.25">
      <c r="A815">
        <v>386</v>
      </c>
      <c r="B815" s="95">
        <f t="shared" si="279"/>
        <v>-610.485440231231</v>
      </c>
      <c r="C815" s="95">
        <f t="shared" si="280"/>
        <v>14357.924604197455</v>
      </c>
      <c r="D815" s="95">
        <f t="shared" si="281"/>
        <v>-6329.4679731780034</v>
      </c>
      <c r="E815" s="95">
        <f t="shared" si="282"/>
        <v>4595.2660324284607</v>
      </c>
      <c r="F815" s="96">
        <f t="shared" si="265"/>
        <v>1706.7672465391925</v>
      </c>
      <c r="G815" s="94">
        <f t="shared" si="266"/>
        <v>-2090.2999566553972</v>
      </c>
      <c r="H815" s="97">
        <f t="shared" si="267"/>
        <v>2214.820742666644</v>
      </c>
      <c r="I815" s="94">
        <f t="shared" si="268"/>
        <v>-1431.5154335379259</v>
      </c>
      <c r="J815" s="95">
        <f t="shared" si="269"/>
        <v>-423.7955310925654</v>
      </c>
      <c r="K815" s="94">
        <f t="shared" si="270"/>
        <v>-95.250913394669482</v>
      </c>
      <c r="L815" s="94">
        <f t="shared" si="271"/>
        <v>-84.25796503488607</v>
      </c>
      <c r="M815" s="93">
        <f t="shared" si="272"/>
        <v>-563.53360972280211</v>
      </c>
      <c r="N815" s="93">
        <f t="shared" si="273"/>
        <v>12633.824882204746</v>
      </c>
      <c r="O815" s="93">
        <f t="shared" si="274"/>
        <v>19873.217699188892</v>
      </c>
      <c r="P815" s="93">
        <f t="shared" si="275"/>
        <v>29684.264773380597</v>
      </c>
      <c r="Q815" s="93">
        <f t="shared" si="276"/>
        <v>2508391346524.8032</v>
      </c>
      <c r="R815" s="93">
        <f t="shared" si="277"/>
        <v>8216811152942.376</v>
      </c>
      <c r="S815" s="93">
        <f t="shared" si="278"/>
        <v>27277473981412.074</v>
      </c>
      <c r="T815">
        <f t="shared" si="264"/>
        <v>0.5</v>
      </c>
    </row>
    <row r="816" spans="1:20" x14ac:dyDescent="0.25">
      <c r="A816">
        <v>386.5</v>
      </c>
      <c r="B816" s="95">
        <f t="shared" si="279"/>
        <v>-3348.527615185435</v>
      </c>
      <c r="C816" s="95">
        <f t="shared" si="280"/>
        <v>16132.982631247834</v>
      </c>
      <c r="D816" s="95">
        <f t="shared" si="281"/>
        <v>-5476.0843499084076</v>
      </c>
      <c r="E816" s="95">
        <f t="shared" si="282"/>
        <v>3550.1160541007621</v>
      </c>
      <c r="F816" s="96">
        <f t="shared" si="265"/>
        <v>977.33149379296583</v>
      </c>
      <c r="G816" s="94">
        <f t="shared" si="266"/>
        <v>-1680.6963225051902</v>
      </c>
      <c r="H816" s="97">
        <f t="shared" si="267"/>
        <v>1510.2227420309896</v>
      </c>
      <c r="I816" s="94">
        <f t="shared" si="268"/>
        <v>-976.71646470110659</v>
      </c>
      <c r="J816" s="95">
        <f t="shared" si="269"/>
        <v>-505.42282341908225</v>
      </c>
      <c r="K816" s="94">
        <f t="shared" si="270"/>
        <v>-186.15467304214565</v>
      </c>
      <c r="L816" s="94">
        <f t="shared" si="271"/>
        <v>-27.468424818941426</v>
      </c>
      <c r="M816" s="93">
        <f t="shared" si="272"/>
        <v>-517.82518476193786</v>
      </c>
      <c r="N816" s="93">
        <f t="shared" si="273"/>
        <v>15896.904686283897</v>
      </c>
      <c r="O816" s="93">
        <f t="shared" si="274"/>
        <v>17744.999536134954</v>
      </c>
      <c r="P816" s="93">
        <f t="shared" si="275"/>
        <v>31176.753656456669</v>
      </c>
      <c r="Q816" s="93">
        <f t="shared" si="276"/>
        <v>4627974748911.4121</v>
      </c>
      <c r="R816" s="93">
        <f t="shared" si="277"/>
        <v>5916849657304.4473</v>
      </c>
      <c r="S816" s="93">
        <f t="shared" si="278"/>
        <v>31480105769553.656</v>
      </c>
      <c r="T816">
        <f t="shared" si="264"/>
        <v>0.5</v>
      </c>
    </row>
    <row r="817" spans="1:20" x14ac:dyDescent="0.25">
      <c r="A817">
        <v>387</v>
      </c>
      <c r="B817" s="95">
        <f t="shared" si="279"/>
        <v>-5842.2369166913977</v>
      </c>
      <c r="C817" s="95">
        <f t="shared" si="280"/>
        <v>17487.866577671917</v>
      </c>
      <c r="D817" s="95">
        <f t="shared" si="281"/>
        <v>-4987.4186030119245</v>
      </c>
      <c r="E817" s="95">
        <f t="shared" si="282"/>
        <v>2709.7678928481669</v>
      </c>
      <c r="F817" s="96">
        <f t="shared" si="265"/>
        <v>574.24355805069581</v>
      </c>
      <c r="G817" s="94">
        <f t="shared" si="266"/>
        <v>-1501.7523502876902</v>
      </c>
      <c r="H817" s="97">
        <f t="shared" si="267"/>
        <v>1138.9232796807237</v>
      </c>
      <c r="I817" s="94">
        <f t="shared" si="268"/>
        <v>-718.04340633679317</v>
      </c>
      <c r="J817" s="95">
        <f t="shared" si="269"/>
        <v>-577.08456860191677</v>
      </c>
      <c r="K817" s="94">
        <f t="shared" si="270"/>
        <v>-305.21292299480132</v>
      </c>
      <c r="L817" s="94">
        <f t="shared" si="271"/>
        <v>12.404846971888908</v>
      </c>
      <c r="M817" s="93">
        <f t="shared" si="272"/>
        <v>-478.49602095609555</v>
      </c>
      <c r="N817" s="93">
        <f t="shared" si="273"/>
        <v>18727.892281246055</v>
      </c>
      <c r="O817" s="93">
        <f t="shared" si="274"/>
        <v>16015.942101796949</v>
      </c>
      <c r="P817" s="93">
        <f t="shared" si="275"/>
        <v>32498.782097064035</v>
      </c>
      <c r="Q817" s="93">
        <f t="shared" si="276"/>
        <v>7283173502822.0068</v>
      </c>
      <c r="R817" s="93">
        <f t="shared" si="277"/>
        <v>4406034785718.666</v>
      </c>
      <c r="S817" s="93">
        <f t="shared" si="278"/>
        <v>35550153850559.859</v>
      </c>
      <c r="T817">
        <f t="shared" si="264"/>
        <v>0.5</v>
      </c>
    </row>
    <row r="818" spans="1:20" x14ac:dyDescent="0.25">
      <c r="A818">
        <v>387.5</v>
      </c>
      <c r="B818" s="95">
        <f t="shared" si="279"/>
        <v>-8192.3853286846861</v>
      </c>
      <c r="C818" s="95">
        <f t="shared" si="280"/>
        <v>18467.31243652408</v>
      </c>
      <c r="D818" s="95">
        <f t="shared" si="281"/>
        <v>-4700.2968239865768</v>
      </c>
      <c r="E818" s="95">
        <f t="shared" si="282"/>
        <v>1958.8917177043218</v>
      </c>
      <c r="F818" s="96">
        <f t="shared" si="265"/>
        <v>323.86025942628896</v>
      </c>
      <c r="G818" s="94">
        <f t="shared" si="266"/>
        <v>-1454.3317298806537</v>
      </c>
      <c r="H818" s="97">
        <f t="shared" si="267"/>
        <v>916.52193367363429</v>
      </c>
      <c r="I818" s="94">
        <f t="shared" si="268"/>
        <v>-552.52690727020195</v>
      </c>
      <c r="J818" s="95">
        <f t="shared" si="269"/>
        <v>-635.23118425037762</v>
      </c>
      <c r="K818" s="94">
        <f t="shared" si="270"/>
        <v>-455.5281533312417</v>
      </c>
      <c r="L818" s="94">
        <f t="shared" si="271"/>
        <v>42.569510003032278</v>
      </c>
      <c r="M818" s="93">
        <f t="shared" si="272"/>
        <v>-446.27666927921013</v>
      </c>
      <c r="N818" s="93">
        <f t="shared" si="273"/>
        <v>21242.524003227052</v>
      </c>
      <c r="O818" s="93">
        <f t="shared" si="274"/>
        <v>14529.801929963671</v>
      </c>
      <c r="P818" s="93">
        <f t="shared" si="275"/>
        <v>33619.22553853257</v>
      </c>
      <c r="Q818" s="93">
        <f t="shared" si="276"/>
        <v>10393107173258.018</v>
      </c>
      <c r="R818" s="93">
        <f t="shared" si="277"/>
        <v>3338282642772.0391</v>
      </c>
      <c r="S818" s="93">
        <f t="shared" si="278"/>
        <v>39265874782636.906</v>
      </c>
      <c r="T818">
        <f t="shared" si="264"/>
        <v>0.5</v>
      </c>
    </row>
    <row r="819" spans="1:20" x14ac:dyDescent="0.25">
      <c r="A819">
        <v>388</v>
      </c>
      <c r="B819" s="95">
        <f t="shared" si="279"/>
        <v>-10461.568675821401</v>
      </c>
      <c r="C819" s="95">
        <f t="shared" si="280"/>
        <v>19083.175362906077</v>
      </c>
      <c r="D819" s="95">
        <f t="shared" si="281"/>
        <v>-4538.3666942734326</v>
      </c>
      <c r="E819" s="95">
        <f t="shared" si="282"/>
        <v>1231.7258527639949</v>
      </c>
      <c r="F819" s="96">
        <f t="shared" si="265"/>
        <v>161.94514677086397</v>
      </c>
      <c r="G819" s="94">
        <f t="shared" si="266"/>
        <v>-1501.6773246494881</v>
      </c>
      <c r="H819" s="97">
        <f t="shared" si="267"/>
        <v>771.29349637746407</v>
      </c>
      <c r="I819" s="94">
        <f t="shared" si="268"/>
        <v>-436.62477527278276</v>
      </c>
      <c r="J819" s="95">
        <f t="shared" si="269"/>
        <v>-676.74718044673614</v>
      </c>
      <c r="K819" s="94">
        <f t="shared" si="270"/>
        <v>-644.44698582335252</v>
      </c>
      <c r="L819" s="94">
        <f t="shared" si="271"/>
        <v>67.398830840136029</v>
      </c>
      <c r="M819" s="93">
        <f t="shared" si="272"/>
        <v>-420.60556355335268</v>
      </c>
      <c r="N819" s="93">
        <f t="shared" si="273"/>
        <v>23512.671991145322</v>
      </c>
      <c r="O819" s="93">
        <f t="shared" si="274"/>
        <v>13171.398817110332</v>
      </c>
      <c r="P819" s="93">
        <f t="shared" si="275"/>
        <v>34517.989153763308</v>
      </c>
      <c r="Q819" s="93">
        <f t="shared" si="276"/>
        <v>13890499992284.939</v>
      </c>
      <c r="R819" s="93">
        <f t="shared" si="277"/>
        <v>2531297816410.3032</v>
      </c>
      <c r="S819" s="93">
        <f t="shared" si="278"/>
        <v>42429084241668.672</v>
      </c>
      <c r="T819">
        <f t="shared" si="264"/>
        <v>0.5</v>
      </c>
    </row>
    <row r="820" spans="1:20" x14ac:dyDescent="0.25">
      <c r="A820">
        <v>388.5</v>
      </c>
      <c r="B820" s="95">
        <f t="shared" si="279"/>
        <v>-12690.265736265401</v>
      </c>
      <c r="C820" s="95">
        <f t="shared" si="280"/>
        <v>19323.618958125702</v>
      </c>
      <c r="D820" s="95">
        <f t="shared" si="281"/>
        <v>-4457.3941208880005</v>
      </c>
      <c r="E820" s="95">
        <f t="shared" si="282"/>
        <v>480.88719043925084</v>
      </c>
      <c r="F820" s="96">
        <f t="shared" si="265"/>
        <v>63.988714622750038</v>
      </c>
      <c r="G820" s="94">
        <f t="shared" si="266"/>
        <v>-1638.3165560694904</v>
      </c>
      <c r="H820" s="97">
        <f t="shared" si="267"/>
        <v>670.52339814518757</v>
      </c>
      <c r="I820" s="94">
        <f t="shared" si="268"/>
        <v>-349.4015122751569</v>
      </c>
      <c r="J820" s="95">
        <f t="shared" si="269"/>
        <v>-696.32332102195755</v>
      </c>
      <c r="K820" s="94">
        <f t="shared" si="270"/>
        <v>-888.16543565407687</v>
      </c>
      <c r="L820" s="94">
        <f t="shared" si="271"/>
        <v>89.788637499520021</v>
      </c>
      <c r="M820" s="93">
        <f t="shared" si="272"/>
        <v>-400.74960814025667</v>
      </c>
      <c r="N820" s="93">
        <f t="shared" si="273"/>
        <v>25586.05331912855</v>
      </c>
      <c r="O820" s="93">
        <f t="shared" si="274"/>
        <v>11847.45059001035</v>
      </c>
      <c r="P820" s="93">
        <f t="shared" si="275"/>
        <v>35174.578966591536</v>
      </c>
      <c r="Q820" s="93">
        <f t="shared" si="276"/>
        <v>17718390425111.02</v>
      </c>
      <c r="R820" s="93">
        <f t="shared" si="277"/>
        <v>1885312689734.9021</v>
      </c>
      <c r="S820" s="93">
        <f t="shared" si="278"/>
        <v>44845470826480.008</v>
      </c>
      <c r="T820">
        <f t="shared" si="264"/>
        <v>0.5</v>
      </c>
    </row>
    <row r="821" spans="1:20" x14ac:dyDescent="0.25">
      <c r="A821">
        <v>389</v>
      </c>
      <c r="B821" s="95">
        <f t="shared" si="279"/>
        <v>-14902.965618053715</v>
      </c>
      <c r="C821" s="95">
        <f t="shared" si="280"/>
        <v>19154.483414327955</v>
      </c>
      <c r="D821" s="95">
        <f t="shared" si="281"/>
        <v>-4425.3997635766254</v>
      </c>
      <c r="E821" s="95">
        <f t="shared" si="282"/>
        <v>-338.27108759549435</v>
      </c>
      <c r="F821" s="96">
        <f t="shared" si="265"/>
        <v>30.366173764172416</v>
      </c>
      <c r="G821" s="94">
        <f t="shared" si="266"/>
        <v>-1885.3131942382761</v>
      </c>
      <c r="H821" s="97">
        <f t="shared" si="267"/>
        <v>597.42847587759422</v>
      </c>
      <c r="I821" s="94">
        <f t="shared" si="268"/>
        <v>-279.59401985099078</v>
      </c>
      <c r="J821" s="95">
        <f t="shared" si="269"/>
        <v>-679.02739307014349</v>
      </c>
      <c r="K821" s="94">
        <f t="shared" si="270"/>
        <v>-1219.5611294584526</v>
      </c>
      <c r="L821" s="94">
        <f t="shared" si="271"/>
        <v>111.96509095672168</v>
      </c>
      <c r="M821" s="93">
        <f t="shared" si="272"/>
        <v>-386.15804492883268</v>
      </c>
      <c r="N821" s="93">
        <f t="shared" si="273"/>
        <v>27495.175580978033</v>
      </c>
      <c r="O821" s="93">
        <f t="shared" si="274"/>
        <v>10477.801585921932</v>
      </c>
      <c r="P821" s="93">
        <f t="shared" si="275"/>
        <v>35561.179189278271</v>
      </c>
      <c r="Q821" s="93">
        <f t="shared" si="276"/>
        <v>21825478417689.32</v>
      </c>
      <c r="R821" s="93">
        <f t="shared" si="277"/>
        <v>1348102799917.2051</v>
      </c>
      <c r="S821" s="93">
        <f t="shared" si="278"/>
        <v>46310690484851.43</v>
      </c>
      <c r="T821">
        <f t="shared" si="264"/>
        <v>0.5</v>
      </c>
    </row>
    <row r="822" spans="1:20" x14ac:dyDescent="0.25">
      <c r="A822">
        <v>389.5</v>
      </c>
      <c r="B822" s="95">
        <f t="shared" si="279"/>
        <v>-17108.073956400985</v>
      </c>
      <c r="C822" s="95">
        <f t="shared" si="280"/>
        <v>18514.019571970639</v>
      </c>
      <c r="D822" s="95">
        <f t="shared" si="281"/>
        <v>-4410.2166766945393</v>
      </c>
      <c r="E822" s="95">
        <f t="shared" si="282"/>
        <v>-1280.9276847146325</v>
      </c>
      <c r="F822" s="96">
        <f t="shared" si="265"/>
        <v>100.5672801961849</v>
      </c>
      <c r="G822" s="94">
        <f t="shared" si="266"/>
        <v>-2299.236777970541</v>
      </c>
      <c r="H822" s="97">
        <f t="shared" si="267"/>
        <v>542.64756379943447</v>
      </c>
      <c r="I822" s="94">
        <f t="shared" si="268"/>
        <v>-220.47788780500505</v>
      </c>
      <c r="J822" s="95">
        <f t="shared" si="269"/>
        <v>-578.15335433078849</v>
      </c>
      <c r="K822" s="94">
        <f t="shared" si="270"/>
        <v>-1702.1213198961511</v>
      </c>
      <c r="L822" s="94">
        <f t="shared" si="271"/>
        <v>136.07307072753892</v>
      </c>
      <c r="M822" s="93">
        <f t="shared" si="272"/>
        <v>-376.63757026938481</v>
      </c>
      <c r="N822" s="93">
        <f t="shared" si="273"/>
        <v>29260.148679688173</v>
      </c>
      <c r="O822" s="93">
        <f t="shared" si="274"/>
        <v>8991.7609795604185</v>
      </c>
      <c r="P822" s="93">
        <f t="shared" si="275"/>
        <v>35634.182505062563</v>
      </c>
      <c r="Q822" s="93">
        <f t="shared" si="276"/>
        <v>26156487708190.984</v>
      </c>
      <c r="R822" s="93">
        <f t="shared" si="277"/>
        <v>898332010015.88245</v>
      </c>
      <c r="S822" s="93">
        <f t="shared" si="278"/>
        <v>46590943119961.07</v>
      </c>
      <c r="T822">
        <f t="shared" si="264"/>
        <v>0.5</v>
      </c>
    </row>
    <row r="823" spans="1:20" x14ac:dyDescent="0.25">
      <c r="A823">
        <v>390</v>
      </c>
      <c r="B823" s="95">
        <f t="shared" si="279"/>
        <v>-19288.040474699206</v>
      </c>
      <c r="C823" s="95">
        <f t="shared" si="280"/>
        <v>17298.746535120688</v>
      </c>
      <c r="D823" s="95">
        <f t="shared" si="281"/>
        <v>-4359.933036596447</v>
      </c>
      <c r="E823" s="95">
        <f t="shared" si="282"/>
        <v>-2430.546073699903</v>
      </c>
      <c r="F823" s="96">
        <f t="shared" si="265"/>
        <v>427.30142724466106</v>
      </c>
      <c r="G823" s="94">
        <f t="shared" si="266"/>
        <v>-2983.2764253694331</v>
      </c>
      <c r="H823" s="97">
        <f t="shared" si="267"/>
        <v>500.77753371589046</v>
      </c>
      <c r="I823" s="94">
        <f t="shared" si="268"/>
        <v>-167.54252055899147</v>
      </c>
      <c r="J823" s="95">
        <f t="shared" si="269"/>
        <v>-238.31426461897661</v>
      </c>
      <c r="K823" s="94">
        <f t="shared" si="270"/>
        <v>-2443.1099681161199</v>
      </c>
      <c r="L823" s="94">
        <f t="shared" si="271"/>
        <v>164.83815814774721</v>
      </c>
      <c r="M823" s="93">
        <f t="shared" si="272"/>
        <v>-372.62393669432197</v>
      </c>
      <c r="N823" s="93">
        <f t="shared" si="273"/>
        <v>30883.729510976467</v>
      </c>
      <c r="O823" s="93">
        <f t="shared" si="274"/>
        <v>7333.3885312045741</v>
      </c>
      <c r="P823" s="93">
        <f t="shared" si="275"/>
        <v>35317.943433141932</v>
      </c>
      <c r="Q823" s="93">
        <f t="shared" si="276"/>
        <v>30622743832845.617</v>
      </c>
      <c r="R823" s="93">
        <f t="shared" si="277"/>
        <v>536534939515.41541</v>
      </c>
      <c r="S823" s="93">
        <f t="shared" si="278"/>
        <v>45385125521397.266</v>
      </c>
      <c r="T823">
        <f t="shared" si="264"/>
        <v>0.5</v>
      </c>
    </row>
    <row r="824" spans="1:20" x14ac:dyDescent="0.25">
      <c r="A824">
        <v>390.5</v>
      </c>
      <c r="B824" s="95">
        <f t="shared" si="279"/>
        <v>-21361.181636186266</v>
      </c>
      <c r="C824" s="95">
        <f t="shared" si="280"/>
        <v>15337.654391928379</v>
      </c>
      <c r="D824" s="95">
        <f t="shared" si="281"/>
        <v>-4146.2823229741161</v>
      </c>
      <c r="E824" s="95">
        <f t="shared" si="282"/>
        <v>-3922.1842863846196</v>
      </c>
      <c r="F824" s="96">
        <f t="shared" si="265"/>
        <v>1551.3672698924686</v>
      </c>
      <c r="G824" s="94">
        <f t="shared" si="266"/>
        <v>-3941.7292144928228</v>
      </c>
      <c r="H824" s="97">
        <f t="shared" si="267"/>
        <v>469.18516193790185</v>
      </c>
      <c r="I824" s="94">
        <f t="shared" si="268"/>
        <v>-117.25677902541591</v>
      </c>
      <c r="J824" s="95">
        <f t="shared" si="269"/>
        <v>879.41895370511929</v>
      </c>
      <c r="K824" s="94">
        <f t="shared" si="270"/>
        <v>-3448.499682776247</v>
      </c>
      <c r="L824" s="94">
        <f t="shared" si="271"/>
        <v>202.76315424944747</v>
      </c>
      <c r="M824" s="93">
        <f t="shared" si="272"/>
        <v>-375.9727526911596</v>
      </c>
      <c r="N824" s="93">
        <f t="shared" si="273"/>
        <v>32325.725668346269</v>
      </c>
      <c r="O824" s="93">
        <f t="shared" si="274"/>
        <v>5508.4816287578778</v>
      </c>
      <c r="P824" s="93">
        <f t="shared" si="275"/>
        <v>34468.26857468141</v>
      </c>
      <c r="Q824" s="93">
        <f t="shared" si="276"/>
        <v>34998285619689.551</v>
      </c>
      <c r="R824" s="93">
        <f t="shared" si="277"/>
        <v>277979648982.36542</v>
      </c>
      <c r="S824" s="93">
        <f t="shared" si="278"/>
        <v>42249760336187.141</v>
      </c>
      <c r="T824">
        <f t="shared" si="264"/>
        <v>0.5</v>
      </c>
    </row>
    <row r="825" spans="1:20" x14ac:dyDescent="0.25">
      <c r="A825">
        <v>391</v>
      </c>
      <c r="B825" s="95">
        <f t="shared" si="279"/>
        <v>-23046.480980200209</v>
      </c>
      <c r="C825" s="95">
        <f t="shared" si="280"/>
        <v>12391.129945112865</v>
      </c>
      <c r="D825" s="95">
        <f t="shared" si="281"/>
        <v>-3370.598688027882</v>
      </c>
      <c r="E825" s="95">
        <f t="shared" si="282"/>
        <v>-5893.0488936310312</v>
      </c>
      <c r="F825" s="96">
        <f t="shared" si="265"/>
        <v>4554.2100462037461</v>
      </c>
      <c r="G825" s="94">
        <f t="shared" si="266"/>
        <v>-3478.1780513875487</v>
      </c>
      <c r="H825" s="97">
        <f t="shared" si="267"/>
        <v>448.95140923439612</v>
      </c>
      <c r="I825" s="94">
        <f t="shared" si="268"/>
        <v>-66.448215255434775</v>
      </c>
      <c r="J825" s="95">
        <f t="shared" si="269"/>
        <v>3846.5922081868985</v>
      </c>
      <c r="K825" s="94">
        <f t="shared" si="270"/>
        <v>-3019.1233345658561</v>
      </c>
      <c r="L825" s="94">
        <f t="shared" si="271"/>
        <v>258.66642878245187</v>
      </c>
      <c r="M825" s="93">
        <f t="shared" si="272"/>
        <v>-392.60650156625809</v>
      </c>
      <c r="N825" s="93">
        <f t="shared" si="273"/>
        <v>33406.482264894548</v>
      </c>
      <c r="O825" s="93">
        <f t="shared" si="274"/>
        <v>3872.7959896097136</v>
      </c>
      <c r="P825" s="93">
        <f t="shared" si="275"/>
        <v>32801.66879045617</v>
      </c>
      <c r="Q825" s="93">
        <f t="shared" si="276"/>
        <v>38541135239050.805</v>
      </c>
      <c r="R825" s="93">
        <f t="shared" si="277"/>
        <v>142237812926.57339</v>
      </c>
      <c r="S825" s="93">
        <f t="shared" si="278"/>
        <v>36530118692124.047</v>
      </c>
      <c r="T825">
        <f t="shared" si="264"/>
        <v>0.5</v>
      </c>
    </row>
    <row r="826" spans="1:20" x14ac:dyDescent="0.25">
      <c r="A826">
        <v>391.5</v>
      </c>
      <c r="B826" s="95">
        <f t="shared" si="279"/>
        <v>-23593.227812663212</v>
      </c>
      <c r="C826" s="95">
        <f t="shared" si="280"/>
        <v>8575.0609854504619</v>
      </c>
      <c r="D826" s="95">
        <f t="shared" si="281"/>
        <v>-1093.4936649260089</v>
      </c>
      <c r="E826" s="95">
        <f t="shared" si="282"/>
        <v>-7632.1379193248058</v>
      </c>
      <c r="F826" s="96">
        <f t="shared" si="265"/>
        <v>5344.6757887960403</v>
      </c>
      <c r="G826" s="94">
        <f t="shared" si="266"/>
        <v>1352.7593215505431</v>
      </c>
      <c r="H826" s="97">
        <f t="shared" si="267"/>
        <v>448.30003687405497</v>
      </c>
      <c r="I826" s="94">
        <f t="shared" si="268"/>
        <v>-14.346638022013039</v>
      </c>
      <c r="J826" s="95">
        <f t="shared" si="269"/>
        <v>4551.1595510268116</v>
      </c>
      <c r="K826" s="94">
        <f t="shared" si="270"/>
        <v>1804.8187155968963</v>
      </c>
      <c r="L826" s="94">
        <f t="shared" si="271"/>
        <v>345.21620089517342</v>
      </c>
      <c r="M826" s="93">
        <f t="shared" si="272"/>
        <v>-437.71275602434031</v>
      </c>
      <c r="N826" s="93">
        <f t="shared" si="273"/>
        <v>33610.425629496676</v>
      </c>
      <c r="O826" s="93">
        <f t="shared" si="274"/>
        <v>3865.4543470181948</v>
      </c>
      <c r="P826" s="93">
        <f t="shared" si="275"/>
        <v>30024.850057265921</v>
      </c>
      <c r="Q826" s="93">
        <f t="shared" si="276"/>
        <v>39235716048015.227</v>
      </c>
      <c r="R826" s="93">
        <f t="shared" si="277"/>
        <v>141793209859.44904</v>
      </c>
      <c r="S826" s="93">
        <f t="shared" si="278"/>
        <v>28200852949212.813</v>
      </c>
      <c r="T826">
        <f t="shared" si="264"/>
        <v>0.5</v>
      </c>
    </row>
    <row r="827" spans="1:20" x14ac:dyDescent="0.25">
      <c r="A827">
        <v>392</v>
      </c>
      <c r="B827" s="95">
        <f t="shared" si="279"/>
        <v>-22803.805697927208</v>
      </c>
      <c r="C827" s="95">
        <f t="shared" si="280"/>
        <v>5097.1818561756945</v>
      </c>
      <c r="D827" s="95">
        <f t="shared" si="281"/>
        <v>1578.8442294720112</v>
      </c>
      <c r="E827" s="95">
        <f t="shared" si="282"/>
        <v>-6955.7582585495347</v>
      </c>
      <c r="F827" s="96">
        <f t="shared" si="265"/>
        <v>2640.6196912307278</v>
      </c>
      <c r="G827" s="94">
        <f t="shared" si="266"/>
        <v>2519.2206276015845</v>
      </c>
      <c r="H827" s="97">
        <f t="shared" si="267"/>
        <v>466.42511601686607</v>
      </c>
      <c r="I827" s="94">
        <f t="shared" si="268"/>
        <v>34.164777764535373</v>
      </c>
      <c r="J827" s="95">
        <f t="shared" si="269"/>
        <v>1716.5642204633893</v>
      </c>
      <c r="K827" s="94">
        <f t="shared" si="270"/>
        <v>3001.6353170796733</v>
      </c>
      <c r="L827" s="94">
        <f t="shared" si="271"/>
        <v>457.63035475047207</v>
      </c>
      <c r="M827" s="93">
        <f t="shared" si="272"/>
        <v>-516.57946724262422</v>
      </c>
      <c r="N827" s="93">
        <f t="shared" si="273"/>
        <v>32891.688970006588</v>
      </c>
      <c r="O827" s="93">
        <f t="shared" si="274"/>
        <v>5647.9157344229106</v>
      </c>
      <c r="P827" s="93">
        <f t="shared" si="275"/>
        <v>26849.063594280953</v>
      </c>
      <c r="Q827" s="93">
        <f t="shared" si="276"/>
        <v>36824844779109.398</v>
      </c>
      <c r="R827" s="93">
        <f t="shared" si="277"/>
        <v>293346290247.44086</v>
      </c>
      <c r="S827" s="93">
        <f t="shared" si="278"/>
        <v>20370263396333.602</v>
      </c>
      <c r="T827">
        <f t="shared" si="264"/>
        <v>0.5</v>
      </c>
    </row>
    <row r="828" spans="1:20" x14ac:dyDescent="0.25">
      <c r="A828">
        <v>392.5</v>
      </c>
      <c r="B828" s="95">
        <f t="shared" si="279"/>
        <v>-21354.228660383524</v>
      </c>
      <c r="C828" s="95">
        <f t="shared" si="280"/>
        <v>2249.1078838013232</v>
      </c>
      <c r="D828" s="95">
        <f t="shared" si="281"/>
        <v>2899.1540750873751</v>
      </c>
      <c r="E828" s="95">
        <f t="shared" si="282"/>
        <v>-5696.1479447487427</v>
      </c>
      <c r="F828" s="96">
        <f t="shared" si="265"/>
        <v>1470.9274748975854</v>
      </c>
      <c r="G828" s="94">
        <f t="shared" si="266"/>
        <v>1631.9199896750797</v>
      </c>
      <c r="H828" s="97">
        <f t="shared" si="267"/>
        <v>492.57145364447899</v>
      </c>
      <c r="I828" s="94">
        <f t="shared" si="268"/>
        <v>82.490932582701888</v>
      </c>
      <c r="J828" s="95">
        <f t="shared" si="269"/>
        <v>380.82709826759316</v>
      </c>
      <c r="K828" s="94">
        <f t="shared" si="270"/>
        <v>2179.6538796935206</v>
      </c>
      <c r="L828" s="94">
        <f t="shared" si="271"/>
        <v>597.5289229855133</v>
      </c>
      <c r="M828" s="93">
        <f t="shared" si="272"/>
        <v>-630.22482260114293</v>
      </c>
      <c r="N828" s="93">
        <f t="shared" si="273"/>
        <v>31790.871691471013</v>
      </c>
      <c r="O828" s="93">
        <f t="shared" si="274"/>
        <v>7868.3075601780429</v>
      </c>
      <c r="P828" s="93">
        <f t="shared" si="275"/>
        <v>23769.571259556342</v>
      </c>
      <c r="Q828" s="93">
        <f t="shared" si="276"/>
        <v>33329247188277.277</v>
      </c>
      <c r="R828" s="93">
        <f t="shared" si="277"/>
        <v>638641151816.96863</v>
      </c>
      <c r="S828" s="93">
        <f t="shared" si="278"/>
        <v>14330777595914.006</v>
      </c>
      <c r="T828">
        <f t="shared" si="264"/>
        <v>0.5</v>
      </c>
    </row>
    <row r="829" spans="1:20" x14ac:dyDescent="0.25">
      <c r="A829">
        <v>393</v>
      </c>
      <c r="B829" s="95">
        <f t="shared" si="279"/>
        <v>-19536.919754115439</v>
      </c>
      <c r="C829" s="95">
        <f t="shared" si="280"/>
        <v>-190.98609115427826</v>
      </c>
      <c r="D829" s="95">
        <f t="shared" si="281"/>
        <v>3634.6178125361675</v>
      </c>
      <c r="E829" s="95">
        <f t="shared" si="282"/>
        <v>-4880.1879499112028</v>
      </c>
      <c r="F829" s="96">
        <f t="shared" si="265"/>
        <v>1239.0678703744882</v>
      </c>
      <c r="G829" s="94">
        <f t="shared" si="266"/>
        <v>797.7322250317967</v>
      </c>
      <c r="H829" s="97">
        <f t="shared" si="267"/>
        <v>522.73462841935702</v>
      </c>
      <c r="I829" s="94">
        <f t="shared" si="268"/>
        <v>136.11252595077426</v>
      </c>
      <c r="J829" s="95">
        <f t="shared" si="269"/>
        <v>-66.2924116388686</v>
      </c>
      <c r="K829" s="94">
        <f t="shared" si="270"/>
        <v>1458.8941138491086</v>
      </c>
      <c r="L829" s="94">
        <f t="shared" si="271"/>
        <v>782.6256535939998</v>
      </c>
      <c r="M829" s="93">
        <f t="shared" si="272"/>
        <v>-797.2744147680861</v>
      </c>
      <c r="N829" s="93">
        <f t="shared" si="273"/>
        <v>30521.81016282264</v>
      </c>
      <c r="O829" s="93">
        <f t="shared" si="274"/>
        <v>10201.501890615345</v>
      </c>
      <c r="P829" s="93">
        <f t="shared" si="275"/>
        <v>20751.600634408365</v>
      </c>
      <c r="Q829" s="93">
        <f t="shared" si="276"/>
        <v>29585748059133.859</v>
      </c>
      <c r="R829" s="93">
        <f t="shared" si="277"/>
        <v>1254541924299.4573</v>
      </c>
      <c r="S829" s="93">
        <f t="shared" si="278"/>
        <v>9725611918382.332</v>
      </c>
      <c r="T829">
        <f t="shared" si="264"/>
        <v>0.5</v>
      </c>
    </row>
    <row r="830" spans="1:20" x14ac:dyDescent="0.25">
      <c r="A830">
        <v>393.5</v>
      </c>
      <c r="B830" s="95">
        <f t="shared" si="279"/>
        <v>-17409.843880253731</v>
      </c>
      <c r="C830" s="95">
        <f t="shared" si="280"/>
        <v>-2431.6470098519303</v>
      </c>
      <c r="D830" s="95">
        <f t="shared" si="281"/>
        <v>4254.151747723412</v>
      </c>
      <c r="E830" s="95">
        <f t="shared" si="282"/>
        <v>-4481.3218373953041</v>
      </c>
      <c r="F830" s="96">
        <f t="shared" si="265"/>
        <v>1401.4752771922854</v>
      </c>
      <c r="G830" s="94">
        <f t="shared" si="266"/>
        <v>113.95941245698828</v>
      </c>
      <c r="H830" s="97">
        <f t="shared" si="267"/>
        <v>554.54896059120642</v>
      </c>
      <c r="I830" s="94">
        <f t="shared" si="268"/>
        <v>200.93454564474408</v>
      </c>
      <c r="J830" s="95">
        <f t="shared" si="269"/>
        <v>-203.54086122812731</v>
      </c>
      <c r="K830" s="94">
        <f t="shared" si="270"/>
        <v>976.9095073378079</v>
      </c>
      <c r="L830" s="94">
        <f t="shared" si="271"/>
        <v>1050.4671778292063</v>
      </c>
      <c r="M830" s="93">
        <f t="shared" si="272"/>
        <v>-1063.8846405255638</v>
      </c>
      <c r="N830" s="93">
        <f t="shared" si="273"/>
        <v>29153.681652034684</v>
      </c>
      <c r="O830" s="93">
        <f t="shared" si="274"/>
        <v>12698.612369161425</v>
      </c>
      <c r="P830" s="93">
        <f t="shared" si="275"/>
        <v>17662.608018558156</v>
      </c>
      <c r="Q830" s="93">
        <f t="shared" si="276"/>
        <v>25880060580658.051</v>
      </c>
      <c r="R830" s="93">
        <f t="shared" si="277"/>
        <v>2285425539130.123</v>
      </c>
      <c r="S830" s="93">
        <f t="shared" si="278"/>
        <v>6185608839768.3926</v>
      </c>
      <c r="T830">
        <f t="shared" si="264"/>
        <v>0.5</v>
      </c>
    </row>
    <row r="831" spans="1:20" x14ac:dyDescent="0.25">
      <c r="A831">
        <v>394</v>
      </c>
      <c r="B831" s="95">
        <f t="shared" si="279"/>
        <v>-14932.399187093954</v>
      </c>
      <c r="C831" s="95">
        <f t="shared" si="280"/>
        <v>-4643.8180754353352</v>
      </c>
      <c r="D831" s="95">
        <f t="shared" si="281"/>
        <v>4954.8893863195544</v>
      </c>
      <c r="E831" s="95">
        <f t="shared" si="282"/>
        <v>-4424.3421311668098</v>
      </c>
      <c r="F831" s="96">
        <f t="shared" si="265"/>
        <v>1838.5822823294068</v>
      </c>
      <c r="G831" s="94">
        <f t="shared" si="266"/>
        <v>-605.32630022200533</v>
      </c>
      <c r="H831" s="97">
        <f t="shared" si="267"/>
        <v>583.38127699882205</v>
      </c>
      <c r="I831" s="94">
        <f t="shared" si="268"/>
        <v>284.14738763512429</v>
      </c>
      <c r="J831" s="95">
        <f t="shared" si="269"/>
        <v>-227.00395402487146</v>
      </c>
      <c r="K831" s="94">
        <f t="shared" si="270"/>
        <v>655.97207196721138</v>
      </c>
      <c r="L831" s="94">
        <f t="shared" si="271"/>
        <v>1482.2049593554561</v>
      </c>
      <c r="M831" s="93">
        <f t="shared" si="272"/>
        <v>-1545.4457598243409</v>
      </c>
      <c r="N831" s="93">
        <f t="shared" si="273"/>
        <v>27732.595382940148</v>
      </c>
      <c r="O831" s="93">
        <f t="shared" si="274"/>
        <v>15495.869960264014</v>
      </c>
      <c r="P831" s="93">
        <f t="shared" si="275"/>
        <v>14349.322550784915</v>
      </c>
      <c r="Q831" s="93">
        <f t="shared" si="276"/>
        <v>22377429996123.742</v>
      </c>
      <c r="R831" s="93">
        <f t="shared" si="277"/>
        <v>4009236888159.0811</v>
      </c>
      <c r="S831" s="93">
        <f t="shared" si="278"/>
        <v>3508686177502.3574</v>
      </c>
      <c r="T831">
        <f t="shared" si="264"/>
        <v>0.5</v>
      </c>
    </row>
    <row r="832" spans="1:20" x14ac:dyDescent="0.25">
      <c r="A832">
        <v>394.5</v>
      </c>
      <c r="B832" s="95">
        <f t="shared" si="279"/>
        <v>-11995.308923351824</v>
      </c>
      <c r="C832" s="95">
        <f t="shared" si="280"/>
        <v>-7007.3207160742413</v>
      </c>
      <c r="D832" s="95">
        <f t="shared" si="281"/>
        <v>5874.1805274842582</v>
      </c>
      <c r="E832" s="95">
        <f t="shared" si="282"/>
        <v>-4727.0052812778122</v>
      </c>
      <c r="F832" s="96">
        <f t="shared" si="265"/>
        <v>2655.2310571076614</v>
      </c>
      <c r="G832" s="94">
        <f t="shared" si="266"/>
        <v>-1755.8669700700525</v>
      </c>
      <c r="H832" s="97">
        <f t="shared" si="267"/>
        <v>597.04006547306972</v>
      </c>
      <c r="I832" s="94">
        <f t="shared" si="268"/>
        <v>393.7863178165303</v>
      </c>
      <c r="J832" s="95">
        <f t="shared" si="269"/>
        <v>-205.67158787619633</v>
      </c>
      <c r="K832" s="94">
        <f t="shared" si="270"/>
        <v>436.98409141598142</v>
      </c>
      <c r="L832" s="94">
        <f t="shared" si="271"/>
        <v>2263.8625795107878</v>
      </c>
      <c r="M832" s="93">
        <f t="shared" si="272"/>
        <v>-2586.6373793025641</v>
      </c>
      <c r="N832" s="93">
        <f t="shared" si="273"/>
        <v>26348.737521800114</v>
      </c>
      <c r="O832" s="93">
        <f t="shared" si="274"/>
        <v>18796.915629219038</v>
      </c>
      <c r="P832" s="93">
        <f t="shared" si="275"/>
        <v>10621.547395216086</v>
      </c>
      <c r="Q832" s="93">
        <f t="shared" si="276"/>
        <v>19289688393103.039</v>
      </c>
      <c r="R832" s="93">
        <f t="shared" si="277"/>
        <v>6989772122094.9346</v>
      </c>
      <c r="S832" s="93">
        <f t="shared" si="278"/>
        <v>1617914099711.1108</v>
      </c>
      <c r="T832">
        <f t="shared" si="264"/>
        <v>0.5</v>
      </c>
    </row>
    <row r="833" spans="1:20" x14ac:dyDescent="0.25">
      <c r="A833">
        <v>395</v>
      </c>
      <c r="B833" s="95">
        <f t="shared" si="279"/>
        <v>-8394.4108953327795</v>
      </c>
      <c r="C833" s="95">
        <f t="shared" si="280"/>
        <v>-9809.7900992306604</v>
      </c>
      <c r="D833" s="95">
        <f t="shared" si="281"/>
        <v>7201.7960560380889</v>
      </c>
      <c r="E833" s="95">
        <f t="shared" si="282"/>
        <v>-5604.9387663128382</v>
      </c>
      <c r="F833" s="96">
        <f t="shared" si="265"/>
        <v>3913.4886450423705</v>
      </c>
      <c r="G833" s="94">
        <f t="shared" si="266"/>
        <v>-4560.6947793593454</v>
      </c>
      <c r="H833" s="97">
        <f t="shared" si="267"/>
        <v>564.19695103611832</v>
      </c>
      <c r="I833" s="94">
        <f t="shared" si="268"/>
        <v>530.92925088126037</v>
      </c>
      <c r="J833" s="95">
        <f t="shared" si="269"/>
        <v>-166.39213447004838</v>
      </c>
      <c r="K833" s="94">
        <f t="shared" si="270"/>
        <v>284.0177459573377</v>
      </c>
      <c r="L833" s="94">
        <f t="shared" si="271"/>
        <v>3515.6838284763007</v>
      </c>
      <c r="M833" s="93">
        <f t="shared" si="272"/>
        <v>-5375.6417761979437</v>
      </c>
      <c r="N833" s="93">
        <f t="shared" si="273"/>
        <v>25258.32903154445</v>
      </c>
      <c r="O833" s="93">
        <f t="shared" si="274"/>
        <v>22959.039227327168</v>
      </c>
      <c r="P833" s="93">
        <f t="shared" si="275"/>
        <v>6201.6372145102105</v>
      </c>
      <c r="Q833" s="93">
        <f t="shared" si="276"/>
        <v>17070795942730.438</v>
      </c>
      <c r="R833" s="93">
        <f t="shared" si="277"/>
        <v>12526424922527.404</v>
      </c>
      <c r="S833" s="93">
        <f t="shared" si="278"/>
        <v>505537322292.16284</v>
      </c>
      <c r="T833">
        <f t="shared" si="264"/>
        <v>0.5</v>
      </c>
    </row>
    <row r="834" spans="1:20" x14ac:dyDescent="0.25">
      <c r="A834">
        <v>395.5</v>
      </c>
      <c r="B834" s="95">
        <f t="shared" si="279"/>
        <v>-3815.1407060531424</v>
      </c>
      <c r="C834" s="95">
        <f t="shared" si="280"/>
        <v>-13752.433177226914</v>
      </c>
      <c r="D834" s="95">
        <f t="shared" si="281"/>
        <v>9158.5403785592734</v>
      </c>
      <c r="E834" s="95">
        <f t="shared" si="282"/>
        <v>-7885.2861559925113</v>
      </c>
      <c r="F834" s="96">
        <f t="shared" si="265"/>
        <v>-3896.4792201268915</v>
      </c>
      <c r="G834" s="94">
        <f t="shared" si="266"/>
        <v>-3597.2938048670885</v>
      </c>
      <c r="H834" s="97">
        <f t="shared" si="267"/>
        <v>419.42429150710797</v>
      </c>
      <c r="I834" s="94">
        <f t="shared" si="268"/>
        <v>645.21867115366797</v>
      </c>
      <c r="J834" s="95">
        <f t="shared" si="269"/>
        <v>-119.7407717516175</v>
      </c>
      <c r="K834" s="94">
        <f t="shared" si="270"/>
        <v>175.72810661897952</v>
      </c>
      <c r="L834" s="94">
        <f t="shared" si="271"/>
        <v>-4196.1627398823821</v>
      </c>
      <c r="M834" s="93">
        <f t="shared" si="272"/>
        <v>-4418.2405826397362</v>
      </c>
      <c r="N834" s="93">
        <f t="shared" si="273"/>
        <v>25348.057690492613</v>
      </c>
      <c r="O834" s="93">
        <f t="shared" si="274"/>
        <v>28742.438174300521</v>
      </c>
      <c r="P834" s="93">
        <f t="shared" si="275"/>
        <v>1720.5564575846902</v>
      </c>
      <c r="Q834" s="93">
        <f t="shared" si="276"/>
        <v>17246475478125.842</v>
      </c>
      <c r="R834" s="93">
        <f t="shared" si="277"/>
        <v>24275021183278.859</v>
      </c>
      <c r="S834" s="93">
        <f t="shared" si="278"/>
        <v>147847191356.60333</v>
      </c>
      <c r="T834">
        <f t="shared" si="264"/>
        <v>0.5</v>
      </c>
    </row>
    <row r="835" spans="1:20" x14ac:dyDescent="0.25">
      <c r="A835">
        <v>396</v>
      </c>
      <c r="B835" s="95">
        <f t="shared" si="279"/>
        <v>-209.99032180522852</v>
      </c>
      <c r="C835" s="95">
        <f t="shared" si="280"/>
        <v>-18594.399706439941</v>
      </c>
      <c r="D835" s="95">
        <f t="shared" si="281"/>
        <v>7210.3007684958275</v>
      </c>
      <c r="E835" s="95">
        <f t="shared" si="282"/>
        <v>-9683.9330584260551</v>
      </c>
      <c r="F835" s="96">
        <f t="shared" si="265"/>
        <v>-5133.3835884377277</v>
      </c>
      <c r="G835" s="94">
        <f t="shared" si="266"/>
        <v>4676.3449899554562</v>
      </c>
      <c r="H835" s="97">
        <f t="shared" si="267"/>
        <v>231.82831145682974</v>
      </c>
      <c r="I835" s="94">
        <f t="shared" si="268"/>
        <v>592.50013288494165</v>
      </c>
      <c r="J835" s="95">
        <f t="shared" si="269"/>
        <v>-83.249247176063932</v>
      </c>
      <c r="K835" s="94">
        <f t="shared" si="270"/>
        <v>120.2860578504645</v>
      </c>
      <c r="L835" s="94">
        <f t="shared" si="271"/>
        <v>-5281.9626527184937</v>
      </c>
      <c r="M835" s="93">
        <f t="shared" si="272"/>
        <v>3963.5587992200503</v>
      </c>
      <c r="N835" s="93">
        <f t="shared" si="273"/>
        <v>28020.735151148503</v>
      </c>
      <c r="O835" s="93">
        <f t="shared" si="274"/>
        <v>34774.763516589082</v>
      </c>
      <c r="P835" s="93">
        <f t="shared" si="275"/>
        <v>5988.6477577876549</v>
      </c>
      <c r="Q835" s="93">
        <f t="shared" si="276"/>
        <v>23059903243798.59</v>
      </c>
      <c r="R835" s="93">
        <f t="shared" si="277"/>
        <v>42693173085765.531</v>
      </c>
      <c r="S835" s="93">
        <f t="shared" si="278"/>
        <v>474831680476.94482</v>
      </c>
      <c r="T835">
        <f t="shared" si="264"/>
        <v>0.5</v>
      </c>
    </row>
    <row r="836" spans="1:20" x14ac:dyDescent="0.25">
      <c r="A836">
        <v>396.5</v>
      </c>
      <c r="B836" s="95">
        <f t="shared" si="279"/>
        <v>2111.8141653332532</v>
      </c>
      <c r="C836" s="95">
        <f t="shared" si="280"/>
        <v>-22267.279988164104</v>
      </c>
      <c r="D836" s="95">
        <f t="shared" si="281"/>
        <v>4643.6089742769636</v>
      </c>
      <c r="E836" s="95">
        <f t="shared" si="282"/>
        <v>-7345.760563448327</v>
      </c>
      <c r="F836" s="96">
        <f t="shared" si="265"/>
        <v>-2489.1640729478609</v>
      </c>
      <c r="G836" s="94">
        <f t="shared" si="266"/>
        <v>3224.5304448559941</v>
      </c>
      <c r="H836" s="97">
        <f t="shared" si="267"/>
        <v>136.01788267870859</v>
      </c>
      <c r="I836" s="94">
        <f t="shared" si="268"/>
        <v>513.28435738677399</v>
      </c>
      <c r="J836" s="95">
        <f t="shared" si="269"/>
        <v>-65.559951166001142</v>
      </c>
      <c r="K836" s="94">
        <f t="shared" si="270"/>
        <v>95.670182666436219</v>
      </c>
      <c r="L836" s="94">
        <f t="shared" si="271"/>
        <v>-2559.6220044605684</v>
      </c>
      <c r="M836" s="93">
        <f t="shared" si="272"/>
        <v>2615.575904802784</v>
      </c>
      <c r="N836" s="93">
        <f t="shared" si="273"/>
        <v>30794.714378542176</v>
      </c>
      <c r="O836" s="93">
        <f t="shared" si="274"/>
        <v>39116.616463043014</v>
      </c>
      <c r="P836" s="93">
        <f t="shared" si="275"/>
        <v>10168.149248934398</v>
      </c>
      <c r="Q836" s="93">
        <f t="shared" si="276"/>
        <v>30365451684610.563</v>
      </c>
      <c r="R836" s="93">
        <f t="shared" si="277"/>
        <v>60572918157172.086</v>
      </c>
      <c r="S836" s="93">
        <f t="shared" si="278"/>
        <v>1454799647276.7837</v>
      </c>
      <c r="T836">
        <f t="shared" si="264"/>
        <v>0.5</v>
      </c>
    </row>
    <row r="837" spans="1:20" x14ac:dyDescent="0.25">
      <c r="A837">
        <v>397</v>
      </c>
      <c r="B837" s="95">
        <f t="shared" si="279"/>
        <v>3811.3276342347699</v>
      </c>
      <c r="C837" s="95">
        <f t="shared" si="280"/>
        <v>-25134.027658674269</v>
      </c>
      <c r="D837" s="95">
        <f t="shared" si="281"/>
        <v>3399.0269378030334</v>
      </c>
      <c r="E837" s="95">
        <f t="shared" si="282"/>
        <v>-5733.4953410203298</v>
      </c>
      <c r="F837" s="96">
        <f t="shared" si="265"/>
        <v>-1537.8298356012615</v>
      </c>
      <c r="G837" s="94">
        <f t="shared" si="266"/>
        <v>2335.8942632397961</v>
      </c>
      <c r="H837" s="97">
        <f t="shared" si="267"/>
        <v>85.500983382083746</v>
      </c>
      <c r="I837" s="94">
        <f t="shared" si="268"/>
        <v>450.86268776643442</v>
      </c>
      <c r="J837" s="95">
        <f t="shared" si="269"/>
        <v>-55.367331880149436</v>
      </c>
      <c r="K837" s="94">
        <f t="shared" si="270"/>
        <v>81.695460225718051</v>
      </c>
      <c r="L837" s="94">
        <f t="shared" si="271"/>
        <v>-1567.9634871031958</v>
      </c>
      <c r="M837" s="93">
        <f t="shared" si="272"/>
        <v>1803.3361152476436</v>
      </c>
      <c r="N837" s="93">
        <f t="shared" si="273"/>
        <v>33215.650330497876</v>
      </c>
      <c r="O837" s="93">
        <f t="shared" si="274"/>
        <v>42442.658060321352</v>
      </c>
      <c r="P837" s="93">
        <f t="shared" si="275"/>
        <v>13428.998892866304</v>
      </c>
      <c r="Q837" s="93">
        <f t="shared" si="276"/>
        <v>37898760284582.945</v>
      </c>
      <c r="R837" s="93">
        <f t="shared" si="277"/>
        <v>77236530621045.594</v>
      </c>
      <c r="S837" s="93">
        <f t="shared" si="278"/>
        <v>2942415686735.3994</v>
      </c>
      <c r="T837">
        <f t="shared" si="264"/>
        <v>0.5</v>
      </c>
    </row>
    <row r="838" spans="1:20" x14ac:dyDescent="0.25">
      <c r="A838">
        <v>397.5</v>
      </c>
      <c r="B838" s="95">
        <f t="shared" si="279"/>
        <v>5126.3836442359716</v>
      </c>
      <c r="C838" s="95">
        <f t="shared" si="280"/>
        <v>-27416.801763374486</v>
      </c>
      <c r="D838" s="95">
        <f t="shared" si="281"/>
        <v>2630.1120200024025</v>
      </c>
      <c r="E838" s="95">
        <f t="shared" si="282"/>
        <v>-4565.5482094004319</v>
      </c>
      <c r="F838" s="96">
        <f t="shared" si="265"/>
        <v>-1113.6339902370405</v>
      </c>
      <c r="G838" s="94">
        <f t="shared" si="266"/>
        <v>1852.6051417920339</v>
      </c>
      <c r="H838" s="97">
        <f t="shared" si="267"/>
        <v>56.520290155233212</v>
      </c>
      <c r="I838" s="94">
        <f t="shared" si="268"/>
        <v>404.93703707814757</v>
      </c>
      <c r="J838" s="95">
        <f t="shared" si="269"/>
        <v>-48.845907606332553</v>
      </c>
      <c r="K838" s="94">
        <f t="shared" si="270"/>
        <v>72.738586966434326</v>
      </c>
      <c r="L838" s="94">
        <f t="shared" si="271"/>
        <v>-1121.3083727859412</v>
      </c>
      <c r="M838" s="93">
        <f t="shared" si="272"/>
        <v>1374.9295177474521</v>
      </c>
      <c r="N838" s="93">
        <f t="shared" si="273"/>
        <v>35255.285869865846</v>
      </c>
      <c r="O838" s="93">
        <f t="shared" si="274"/>
        <v>45070.524838712423</v>
      </c>
      <c r="P838" s="93">
        <f t="shared" si="275"/>
        <v>16022.503291970002</v>
      </c>
      <c r="Q838" s="93">
        <f t="shared" si="276"/>
        <v>45148734190948.164</v>
      </c>
      <c r="R838" s="93">
        <f t="shared" si="277"/>
        <v>92383528408486.531</v>
      </c>
      <c r="S838" s="93">
        <f t="shared" si="278"/>
        <v>4728549439247.5938</v>
      </c>
      <c r="T838">
        <f t="shared" si="264"/>
        <v>0.5</v>
      </c>
    </row>
    <row r="839" spans="1:20" x14ac:dyDescent="0.25">
      <c r="A839">
        <v>398</v>
      </c>
      <c r="B839" s="95">
        <f t="shared" si="279"/>
        <v>6163.0311566779119</v>
      </c>
      <c r="C839" s="95">
        <f t="shared" si="280"/>
        <v>-29236.424582626692</v>
      </c>
      <c r="D839" s="95">
        <f t="shared" si="281"/>
        <v>2073.2950248838824</v>
      </c>
      <c r="E839" s="95">
        <f t="shared" si="282"/>
        <v>-3639.2456385044152</v>
      </c>
      <c r="F839" s="96">
        <f t="shared" si="265"/>
        <v>-889.59419349993868</v>
      </c>
      <c r="G839" s="94">
        <f t="shared" si="266"/>
        <v>1565.420300490272</v>
      </c>
      <c r="H839" s="97">
        <f t="shared" si="267"/>
        <v>38.797061522361091</v>
      </c>
      <c r="I839" s="94">
        <f t="shared" si="268"/>
        <v>371.45605889510858</v>
      </c>
      <c r="J839" s="95">
        <f t="shared" si="269"/>
        <v>-44.432414814130809</v>
      </c>
      <c r="K839" s="94">
        <f t="shared" si="270"/>
        <v>66.634828450817594</v>
      </c>
      <c r="L839" s="94">
        <f t="shared" si="271"/>
        <v>-883.95884020816902</v>
      </c>
      <c r="M839" s="93">
        <f t="shared" si="272"/>
        <v>1127.3294131443458</v>
      </c>
      <c r="N839" s="93">
        <f t="shared" si="273"/>
        <v>36936.258893120772</v>
      </c>
      <c r="O839" s="93">
        <f t="shared" si="274"/>
        <v>47159.317354404644</v>
      </c>
      <c r="P839" s="93">
        <f t="shared" si="275"/>
        <v>18091.131791620432</v>
      </c>
      <c r="Q839" s="93">
        <f t="shared" si="276"/>
        <v>51783101852039.477</v>
      </c>
      <c r="R839" s="93">
        <f t="shared" si="277"/>
        <v>105750123641726.39</v>
      </c>
      <c r="S839" s="93">
        <f t="shared" si="278"/>
        <v>6612241633587.5459</v>
      </c>
      <c r="T839">
        <f t="shared" si="264"/>
        <v>0.5</v>
      </c>
    </row>
    <row r="840" spans="1:20" x14ac:dyDescent="0.25">
      <c r="A840">
        <v>398.5</v>
      </c>
      <c r="B840" s="95">
        <f t="shared" si="279"/>
        <v>6977.2801207448683</v>
      </c>
      <c r="C840" s="95">
        <f t="shared" si="280"/>
        <v>-30664.692326756332</v>
      </c>
      <c r="D840" s="95">
        <f t="shared" si="281"/>
        <v>1628.4979281339131</v>
      </c>
      <c r="E840" s="95">
        <f t="shared" si="282"/>
        <v>-2856.5354882592792</v>
      </c>
      <c r="F840" s="96">
        <f t="shared" si="265"/>
        <v>-758.79573114256539</v>
      </c>
      <c r="G840" s="94">
        <f t="shared" si="266"/>
        <v>1383.8260455307363</v>
      </c>
      <c r="H840" s="97">
        <f t="shared" si="267"/>
        <v>27.499173163940693</v>
      </c>
      <c r="I840" s="94">
        <f t="shared" si="268"/>
        <v>347.20302408591419</v>
      </c>
      <c r="J840" s="95">
        <f t="shared" si="269"/>
        <v>-41.371610125988575</v>
      </c>
      <c r="K840" s="94">
        <f t="shared" si="270"/>
        <v>62.362246649992919</v>
      </c>
      <c r="L840" s="94">
        <f t="shared" si="271"/>
        <v>-744.92329418051747</v>
      </c>
      <c r="M840" s="93">
        <f t="shared" si="272"/>
        <v>974.26077479482922</v>
      </c>
      <c r="N840" s="93">
        <f t="shared" si="273"/>
        <v>38284.207917422267</v>
      </c>
      <c r="O840" s="93">
        <f t="shared" si="274"/>
        <v>48799.496357471682</v>
      </c>
      <c r="P840" s="93">
        <f t="shared" si="275"/>
        <v>19718.971189763652</v>
      </c>
      <c r="Q840" s="93">
        <f t="shared" si="276"/>
        <v>57554182386472.203</v>
      </c>
      <c r="R840" s="93">
        <f t="shared" si="277"/>
        <v>117108516768680.84</v>
      </c>
      <c r="S840" s="93">
        <f t="shared" si="278"/>
        <v>8418704657529.6582</v>
      </c>
      <c r="T840">
        <f t="shared" si="264"/>
        <v>0.5</v>
      </c>
    </row>
    <row r="841" spans="1:20" x14ac:dyDescent="0.25">
      <c r="A841">
        <v>399</v>
      </c>
      <c r="B841" s="95">
        <f t="shared" si="279"/>
        <v>7601.830152026183</v>
      </c>
      <c r="C841" s="95">
        <f t="shared" si="280"/>
        <v>-31747.00355950329</v>
      </c>
      <c r="D841" s="95">
        <f t="shared" si="281"/>
        <v>1249.1000625626305</v>
      </c>
      <c r="E841" s="95">
        <f t="shared" si="282"/>
        <v>-2164.622465493911</v>
      </c>
      <c r="F841" s="96">
        <f t="shared" si="265"/>
        <v>-678.69067968141849</v>
      </c>
      <c r="G841" s="94">
        <f t="shared" si="266"/>
        <v>1265.9332295442241</v>
      </c>
      <c r="H841" s="97">
        <f t="shared" si="267"/>
        <v>20.164234044969973</v>
      </c>
      <c r="I841" s="94">
        <f t="shared" si="268"/>
        <v>329.99571152402973</v>
      </c>
      <c r="J841" s="95">
        <f t="shared" si="269"/>
        <v>-39.257771322007009</v>
      </c>
      <c r="K841" s="94">
        <f t="shared" si="270"/>
        <v>59.376291720195432</v>
      </c>
      <c r="L841" s="94">
        <f t="shared" si="271"/>
        <v>-659.59714240438143</v>
      </c>
      <c r="M841" s="93">
        <f t="shared" si="272"/>
        <v>876.56122629999902</v>
      </c>
      <c r="N841" s="93">
        <f t="shared" si="273"/>
        <v>39320.204819143488</v>
      </c>
      <c r="O841" s="93">
        <f t="shared" si="274"/>
        <v>50046.711519724071</v>
      </c>
      <c r="P841" s="93">
        <f t="shared" si="275"/>
        <v>20958.727332606151</v>
      </c>
      <c r="Q841" s="93">
        <f t="shared" si="276"/>
        <v>62272575951829.016</v>
      </c>
      <c r="R841" s="93">
        <f t="shared" si="277"/>
        <v>126271395622339.45</v>
      </c>
      <c r="S841" s="93">
        <f t="shared" si="278"/>
        <v>10003534602721.777</v>
      </c>
      <c r="T841">
        <f t="shared" si="264"/>
        <v>0.5</v>
      </c>
    </row>
    <row r="842" spans="1:20" x14ac:dyDescent="0.25">
      <c r="A842">
        <v>399.5</v>
      </c>
      <c r="B842" s="95">
        <f t="shared" si="279"/>
        <v>8056.7075133871431</v>
      </c>
      <c r="C842" s="95">
        <f t="shared" si="280"/>
        <v>-32512.831484864189</v>
      </c>
      <c r="D842" s="95">
        <f t="shared" si="281"/>
        <v>909.75472272192121</v>
      </c>
      <c r="E842" s="95">
        <f t="shared" si="282"/>
        <v>-1531.655850721799</v>
      </c>
      <c r="F842" s="96">
        <f t="shared" si="265"/>
        <v>-629.89643949391962</v>
      </c>
      <c r="G842" s="94">
        <f t="shared" si="266"/>
        <v>1190.6182618881523</v>
      </c>
      <c r="H842" s="97">
        <f t="shared" si="267"/>
        <v>15.464436403893489</v>
      </c>
      <c r="I842" s="94">
        <f t="shared" si="268"/>
        <v>318.41624052996298</v>
      </c>
      <c r="J842" s="95">
        <f t="shared" si="269"/>
        <v>-37.859550756785858</v>
      </c>
      <c r="K842" s="94">
        <f t="shared" si="270"/>
        <v>57.366556665564744</v>
      </c>
      <c r="L842" s="94">
        <f t="shared" si="271"/>
        <v>-607.50132514102722</v>
      </c>
      <c r="M842" s="93">
        <f t="shared" si="272"/>
        <v>814.83546469262467</v>
      </c>
      <c r="N842" s="93">
        <f t="shared" si="273"/>
        <v>40059.993373996767</v>
      </c>
      <c r="O842" s="93">
        <f t="shared" si="274"/>
        <v>50936.427803215789</v>
      </c>
      <c r="P842" s="93">
        <f t="shared" si="275"/>
        <v>21844.378629464165</v>
      </c>
      <c r="Q842" s="93">
        <f t="shared" si="276"/>
        <v>65796485565014.672</v>
      </c>
      <c r="R842" s="93">
        <f t="shared" si="277"/>
        <v>133092625000383.41</v>
      </c>
      <c r="S842" s="93">
        <f t="shared" si="278"/>
        <v>11253433999946.547</v>
      </c>
      <c r="T842">
        <f t="shared" si="264"/>
        <v>0.5</v>
      </c>
    </row>
    <row r="843" spans="1:20" x14ac:dyDescent="0.25">
      <c r="A843">
        <v>400</v>
      </c>
      <c r="B843" s="95">
        <f t="shared" si="279"/>
        <v>8354.1107648746238</v>
      </c>
      <c r="C843" s="95">
        <f t="shared" si="280"/>
        <v>-32981.00484475305</v>
      </c>
      <c r="D843" s="95">
        <f t="shared" si="281"/>
        <v>594.8065029749614</v>
      </c>
      <c r="E843" s="95">
        <f t="shared" si="282"/>
        <v>-936.3467197777228</v>
      </c>
      <c r="F843" s="96">
        <f t="shared" si="265"/>
        <v>-602.91314830665578</v>
      </c>
      <c r="G843" s="94">
        <f t="shared" si="266"/>
        <v>1146.72362710827</v>
      </c>
      <c r="H843" s="97">
        <f t="shared" si="267"/>
        <v>12.668414004571854</v>
      </c>
      <c r="I843" s="94">
        <f t="shared" si="268"/>
        <v>311.58240648882156</v>
      </c>
      <c r="J843" s="95">
        <f t="shared" si="269"/>
        <v>-37.043500630926388</v>
      </c>
      <c r="K843" s="94">
        <f t="shared" si="270"/>
        <v>56.152947037819047</v>
      </c>
      <c r="L843" s="94">
        <f t="shared" si="271"/>
        <v>-578.53806168030121</v>
      </c>
      <c r="M843" s="93">
        <f t="shared" si="272"/>
        <v>778.98827358162941</v>
      </c>
      <c r="N843" s="93">
        <f t="shared" si="273"/>
        <v>40514.450565387422</v>
      </c>
      <c r="O843" s="93">
        <f t="shared" si="274"/>
        <v>51490.993141824954</v>
      </c>
      <c r="P843" s="93">
        <f t="shared" si="275"/>
        <v>22397.517932743642</v>
      </c>
      <c r="Q843" s="93">
        <f t="shared" si="276"/>
        <v>68026320261641.367</v>
      </c>
      <c r="R843" s="93">
        <f t="shared" si="277"/>
        <v>137466461252163.78</v>
      </c>
      <c r="S843" s="93">
        <f t="shared" si="278"/>
        <v>12085974128278.332</v>
      </c>
      <c r="T843">
        <f t="shared" si="264"/>
        <v>0.5</v>
      </c>
    </row>
    <row r="844" spans="1:20" x14ac:dyDescent="0.25">
      <c r="A844">
        <v>400.5</v>
      </c>
      <c r="B844" s="95">
        <f t="shared" si="279"/>
        <v>8500.7857292854387</v>
      </c>
      <c r="C844" s="95">
        <f t="shared" si="280"/>
        <v>-33162.497297864844</v>
      </c>
      <c r="D844" s="95">
        <f t="shared" si="281"/>
        <v>293.34992882163351</v>
      </c>
      <c r="E844" s="95">
        <f t="shared" si="282"/>
        <v>-362.98490622358781</v>
      </c>
      <c r="F844" s="96">
        <f t="shared" si="265"/>
        <v>-593.17381852187066</v>
      </c>
      <c r="G844" s="94">
        <f t="shared" si="266"/>
        <v>1128.5354704987717</v>
      </c>
      <c r="H844" s="97">
        <f t="shared" si="267"/>
        <v>11.392848658401272</v>
      </c>
      <c r="I844" s="94">
        <f t="shared" si="268"/>
        <v>309.00298031876611</v>
      </c>
      <c r="J844" s="95">
        <f t="shared" si="269"/>
        <v>-36.738018250105583</v>
      </c>
      <c r="K844" s="94">
        <f t="shared" si="270"/>
        <v>55.637224479033605</v>
      </c>
      <c r="L844" s="94">
        <f t="shared" si="271"/>
        <v>-567.82864893016631</v>
      </c>
      <c r="M844" s="93">
        <f t="shared" si="272"/>
        <v>763.89526570097189</v>
      </c>
      <c r="N844" s="93">
        <f t="shared" si="273"/>
        <v>40690.125705487568</v>
      </c>
      <c r="O844" s="93">
        <f t="shared" si="274"/>
        <v>51723.263239811451</v>
      </c>
      <c r="P844" s="93">
        <f t="shared" si="275"/>
        <v>22630.676600645973</v>
      </c>
      <c r="Q844" s="93">
        <f t="shared" si="276"/>
        <v>68901710190521.906</v>
      </c>
      <c r="R844" s="93">
        <f t="shared" si="277"/>
        <v>139326539297212.92</v>
      </c>
      <c r="S844" s="93">
        <f t="shared" si="278"/>
        <v>12449169112526.082</v>
      </c>
      <c r="T844">
        <f t="shared" si="264"/>
        <v>0.5</v>
      </c>
    </row>
    <row r="845" spans="1:20" x14ac:dyDescent="0.25">
      <c r="A845">
        <v>401</v>
      </c>
      <c r="B845" s="95">
        <f t="shared" si="279"/>
        <v>8499.1672390657877</v>
      </c>
      <c r="C845" s="95">
        <f t="shared" si="280"/>
        <v>-33061.855883351942</v>
      </c>
      <c r="D845" s="95">
        <f t="shared" si="281"/>
        <v>-3.2369804393018171</v>
      </c>
      <c r="E845" s="95">
        <f t="shared" si="282"/>
        <v>201.28282902579804</v>
      </c>
      <c r="F845" s="96">
        <f t="shared" si="265"/>
        <v>-599.08832135440184</v>
      </c>
      <c r="G845" s="94">
        <f t="shared" si="266"/>
        <v>1133.8363902178751</v>
      </c>
      <c r="H845" s="97">
        <f t="shared" si="267"/>
        <v>11.488815310719426</v>
      </c>
      <c r="I845" s="94">
        <f t="shared" si="268"/>
        <v>310.49939942260869</v>
      </c>
      <c r="J845" s="95">
        <f t="shared" si="269"/>
        <v>-36.916483187244943</v>
      </c>
      <c r="K845" s="94">
        <f t="shared" si="270"/>
        <v>55.780306329450397</v>
      </c>
      <c r="L845" s="94">
        <f t="shared" si="271"/>
        <v>-573.66065347787628</v>
      </c>
      <c r="M845" s="93">
        <f t="shared" si="272"/>
        <v>767.55668446581603</v>
      </c>
      <c r="N845" s="93">
        <f t="shared" si="273"/>
        <v>40589.61260813049</v>
      </c>
      <c r="O845" s="93">
        <f t="shared" si="274"/>
        <v>51638.415597680891</v>
      </c>
      <c r="P845" s="93">
        <f t="shared" si="275"/>
        <v>22549.016699165448</v>
      </c>
      <c r="Q845" s="93">
        <f t="shared" si="276"/>
        <v>68399932869471.75</v>
      </c>
      <c r="R845" s="93">
        <f t="shared" si="277"/>
        <v>138645120818168.94</v>
      </c>
      <c r="S845" s="93">
        <f t="shared" si="278"/>
        <v>12321129913861.355</v>
      </c>
      <c r="T845">
        <f t="shared" si="264"/>
        <v>0.5</v>
      </c>
    </row>
    <row r="846" spans="1:20" x14ac:dyDescent="0.25">
      <c r="A846">
        <v>401.5</v>
      </c>
      <c r="B846" s="95">
        <f t="shared" si="279"/>
        <v>8347.7766685075367</v>
      </c>
      <c r="C846" s="95">
        <f t="shared" si="280"/>
        <v>-32677.755371284573</v>
      </c>
      <c r="D846" s="95">
        <f t="shared" si="281"/>
        <v>-302.78114111650274</v>
      </c>
      <c r="E846" s="95">
        <f t="shared" si="282"/>
        <v>768.20102413473558</v>
      </c>
      <c r="F846" s="96">
        <f t="shared" si="265"/>
        <v>-621.42462502078843</v>
      </c>
      <c r="G846" s="94">
        <f t="shared" si="266"/>
        <v>1163.2191253276994</v>
      </c>
      <c r="H846" s="97">
        <f t="shared" si="267"/>
        <v>13.002139977425536</v>
      </c>
      <c r="I846" s="94">
        <f t="shared" si="268"/>
        <v>316.17807917306095</v>
      </c>
      <c r="J846" s="95">
        <f t="shared" si="269"/>
        <v>-37.591351853255318</v>
      </c>
      <c r="K846" s="94">
        <f t="shared" si="270"/>
        <v>56.594015722277099</v>
      </c>
      <c r="L846" s="94">
        <f t="shared" si="271"/>
        <v>-596.83541314495869</v>
      </c>
      <c r="M846" s="93">
        <f t="shared" si="272"/>
        <v>790.44703043236143</v>
      </c>
      <c r="N846" s="93">
        <f t="shared" si="273"/>
        <v>40211.713077310123</v>
      </c>
      <c r="O846" s="93">
        <f t="shared" si="274"/>
        <v>51234.629359240898</v>
      </c>
      <c r="P846" s="93">
        <f t="shared" si="275"/>
        <v>22150.985913934728</v>
      </c>
      <c r="Q846" s="93">
        <f t="shared" si="276"/>
        <v>66535363785222.758</v>
      </c>
      <c r="R846" s="93">
        <f t="shared" si="277"/>
        <v>135432782409360.75</v>
      </c>
      <c r="S846" s="93">
        <f t="shared" si="278"/>
        <v>11709894162886.471</v>
      </c>
      <c r="T846">
        <f t="shared" si="264"/>
        <v>0.5</v>
      </c>
    </row>
    <row r="847" spans="1:20" x14ac:dyDescent="0.25">
      <c r="A847">
        <v>402</v>
      </c>
      <c r="B847" s="95">
        <f t="shared" si="279"/>
        <v>8041.0299416940888</v>
      </c>
      <c r="C847" s="95">
        <f t="shared" si="280"/>
        <v>-32002.850077885279</v>
      </c>
      <c r="D847" s="95">
        <f t="shared" si="281"/>
        <v>-613.49345362689701</v>
      </c>
      <c r="E847" s="95">
        <f t="shared" si="282"/>
        <v>1349.8105867985853</v>
      </c>
      <c r="F847" s="96">
        <f t="shared" si="265"/>
        <v>-663.5716472898938</v>
      </c>
      <c r="G847" s="94">
        <f t="shared" si="266"/>
        <v>1220.2511744417634</v>
      </c>
      <c r="H847" s="97">
        <f t="shared" si="267"/>
        <v>16.188715030620223</v>
      </c>
      <c r="I847" s="94">
        <f t="shared" si="268"/>
        <v>326.44724716274084</v>
      </c>
      <c r="J847" s="95">
        <f t="shared" si="269"/>
        <v>-38.816599248835701</v>
      </c>
      <c r="K847" s="94">
        <f t="shared" si="270"/>
        <v>58.143648866404639</v>
      </c>
      <c r="L847" s="94">
        <f t="shared" si="271"/>
        <v>-640.94376307167829</v>
      </c>
      <c r="M847" s="93">
        <f t="shared" si="272"/>
        <v>835.66027841261791</v>
      </c>
      <c r="N847" s="93">
        <f t="shared" si="273"/>
        <v>39551.393502191801</v>
      </c>
      <c r="O847" s="93">
        <f t="shared" si="274"/>
        <v>50502.859076059169</v>
      </c>
      <c r="P847" s="93">
        <f t="shared" si="275"/>
        <v>21428.144406625721</v>
      </c>
      <c r="Q847" s="93">
        <f t="shared" si="276"/>
        <v>63359835664696.727</v>
      </c>
      <c r="R847" s="93">
        <f t="shared" si="277"/>
        <v>129738603722178.05</v>
      </c>
      <c r="S847" s="93">
        <f t="shared" si="278"/>
        <v>10653457765604.559</v>
      </c>
      <c r="T847">
        <f t="shared" si="264"/>
        <v>0.5</v>
      </c>
    </row>
    <row r="848" spans="1:20" x14ac:dyDescent="0.25">
      <c r="A848">
        <v>402.5</v>
      </c>
      <c r="B848" s="95">
        <f t="shared" si="279"/>
        <v>7568.3903030581669</v>
      </c>
      <c r="C848" s="95">
        <f t="shared" si="280"/>
        <v>-31022.881990875547</v>
      </c>
      <c r="D848" s="95">
        <f t="shared" si="281"/>
        <v>-945.27927727184397</v>
      </c>
      <c r="E848" s="95">
        <f t="shared" si="282"/>
        <v>1959.936174019467</v>
      </c>
      <c r="F848" s="96">
        <f t="shared" si="265"/>
        <v>-732.85954046789664</v>
      </c>
      <c r="G848" s="94">
        <f t="shared" si="266"/>
        <v>1312.5763756236265</v>
      </c>
      <c r="H848" s="97">
        <f t="shared" si="267"/>
        <v>21.59263880853392</v>
      </c>
      <c r="I848" s="94">
        <f t="shared" si="268"/>
        <v>342.08231598142441</v>
      </c>
      <c r="J848" s="95">
        <f t="shared" si="269"/>
        <v>-40.699489746778198</v>
      </c>
      <c r="K848" s="94">
        <f t="shared" si="270"/>
        <v>60.562490106131492</v>
      </c>
      <c r="L848" s="94">
        <f t="shared" si="271"/>
        <v>-713.75268952965234</v>
      </c>
      <c r="M848" s="93">
        <f t="shared" si="272"/>
        <v>909.9315695360707</v>
      </c>
      <c r="N848" s="93">
        <f t="shared" si="273"/>
        <v>38599.548735719502</v>
      </c>
      <c r="O848" s="93">
        <f t="shared" si="274"/>
        <v>49425.630908861982</v>
      </c>
      <c r="P848" s="93">
        <f t="shared" si="275"/>
        <v>20364.115058198098</v>
      </c>
      <c r="Q848" s="93">
        <f t="shared" si="276"/>
        <v>58963977091512.336</v>
      </c>
      <c r="R848" s="93">
        <f t="shared" si="277"/>
        <v>121650860875981.84</v>
      </c>
      <c r="S848" s="93">
        <f t="shared" si="278"/>
        <v>9219991560745.4883</v>
      </c>
      <c r="T848">
        <f t="shared" si="264"/>
        <v>0.5</v>
      </c>
    </row>
    <row r="849" spans="1:20" x14ac:dyDescent="0.25">
      <c r="A849">
        <v>403</v>
      </c>
      <c r="B849" s="95">
        <f t="shared" si="279"/>
        <v>6912.5357793052708</v>
      </c>
      <c r="C849" s="95">
        <f t="shared" si="280"/>
        <v>-29714.769809959907</v>
      </c>
      <c r="D849" s="95">
        <f t="shared" si="281"/>
        <v>-1311.7090475057923</v>
      </c>
      <c r="E849" s="95">
        <f t="shared" si="282"/>
        <v>2616.2243618312805</v>
      </c>
      <c r="F849" s="96">
        <f t="shared" si="265"/>
        <v>-843.94567545091661</v>
      </c>
      <c r="G849" s="94">
        <f t="shared" si="266"/>
        <v>1454.6061187387213</v>
      </c>
      <c r="H849" s="97">
        <f t="shared" si="267"/>
        <v>30.22807752505431</v>
      </c>
      <c r="I849" s="94">
        <f t="shared" si="268"/>
        <v>364.35432655455719</v>
      </c>
      <c r="J849" s="95">
        <f t="shared" si="269"/>
        <v>-43.426950613336089</v>
      </c>
      <c r="K849" s="94">
        <f t="shared" si="270"/>
        <v>64.085055429201248</v>
      </c>
      <c r="L849" s="94">
        <f t="shared" si="271"/>
        <v>-830.74680236263487</v>
      </c>
      <c r="M849" s="93">
        <f t="shared" si="272"/>
        <v>1026.1667367549628</v>
      </c>
      <c r="N849" s="93">
        <f t="shared" si="273"/>
        <v>37342.623465985533</v>
      </c>
      <c r="O849" s="93">
        <f t="shared" si="274"/>
        <v>47974.446564087528</v>
      </c>
      <c r="P849" s="93">
        <f t="shared" si="275"/>
        <v>18932.325775068835</v>
      </c>
      <c r="Q849" s="93">
        <f t="shared" si="276"/>
        <v>53479831270097.008</v>
      </c>
      <c r="R849" s="93">
        <f t="shared" si="277"/>
        <v>111298171068015.72</v>
      </c>
      <c r="S849" s="93">
        <f t="shared" si="278"/>
        <v>7508171118535.877</v>
      </c>
      <c r="T849">
        <f t="shared" si="264"/>
        <v>0.5</v>
      </c>
    </row>
    <row r="850" spans="1:20" x14ac:dyDescent="0.25">
      <c r="A850">
        <v>403.5</v>
      </c>
      <c r="B850" s="95">
        <f t="shared" si="279"/>
        <v>6045.6948366896459</v>
      </c>
      <c r="C850" s="95">
        <f t="shared" si="280"/>
        <v>-28043.006099359587</v>
      </c>
      <c r="D850" s="95">
        <f t="shared" si="281"/>
        <v>-1733.6818852312506</v>
      </c>
      <c r="E850" s="95">
        <f t="shared" si="282"/>
        <v>3343.5274212006411</v>
      </c>
      <c r="F850" s="96">
        <f t="shared" si="265"/>
        <v>-1027.4447211401416</v>
      </c>
      <c r="G850" s="94">
        <f t="shared" si="266"/>
        <v>1673.6382424815702</v>
      </c>
      <c r="H850" s="97">
        <f t="shared" si="267"/>
        <v>43.972533337057911</v>
      </c>
      <c r="I850" s="94">
        <f t="shared" si="268"/>
        <v>395.24415948083879</v>
      </c>
      <c r="J850" s="95">
        <f t="shared" si="269"/>
        <v>-47.320361794288921</v>
      </c>
      <c r="K850" s="94">
        <f t="shared" si="270"/>
        <v>69.117327207110833</v>
      </c>
      <c r="L850" s="94">
        <f t="shared" si="271"/>
        <v>-1024.0968926829105</v>
      </c>
      <c r="M850" s="93">
        <f t="shared" si="272"/>
        <v>1209.2767557936206</v>
      </c>
      <c r="N850" s="93">
        <f t="shared" si="273"/>
        <v>35762.295954030909</v>
      </c>
      <c r="O850" s="93">
        <f t="shared" si="274"/>
        <v>46104.756073553544</v>
      </c>
      <c r="P850" s="93">
        <f t="shared" si="275"/>
        <v>17091.734333683158</v>
      </c>
      <c r="Q850" s="93">
        <f t="shared" si="276"/>
        <v>47085514177243.039</v>
      </c>
      <c r="R850" s="93">
        <f t="shared" si="277"/>
        <v>98850901372779.328</v>
      </c>
      <c r="S850" s="93">
        <f t="shared" si="278"/>
        <v>5647426853304.4854</v>
      </c>
      <c r="T850">
        <f t="shared" ref="T850:T913" si="283">A851-A850</f>
        <v>0.5</v>
      </c>
    </row>
    <row r="851" spans="1:20" x14ac:dyDescent="0.25">
      <c r="A851">
        <v>404</v>
      </c>
      <c r="B851" s="95">
        <f t="shared" si="279"/>
        <v>4921.9927137889854</v>
      </c>
      <c r="C851" s="95">
        <f t="shared" si="280"/>
        <v>-25952.832828138875</v>
      </c>
      <c r="D851" s="95">
        <f t="shared" si="281"/>
        <v>-2247.4042458013214</v>
      </c>
      <c r="E851" s="95">
        <f t="shared" si="282"/>
        <v>4180.3465424414262</v>
      </c>
      <c r="F851" s="96">
        <f t="shared" si="265"/>
        <v>-1354.5146591137939</v>
      </c>
      <c r="G851" s="94">
        <f t="shared" si="266"/>
        <v>2024.2738215065174</v>
      </c>
      <c r="H851" s="97">
        <f t="shared" si="267"/>
        <v>66.447857064750508</v>
      </c>
      <c r="I851" s="94">
        <f t="shared" si="268"/>
        <v>437.74436090535283</v>
      </c>
      <c r="J851" s="95">
        <f t="shared" si="269"/>
        <v>-52.954633506418745</v>
      </c>
      <c r="K851" s="94">
        <f t="shared" si="270"/>
        <v>76.393132274621479</v>
      </c>
      <c r="L851" s="94">
        <f t="shared" si="271"/>
        <v>-1368.0078826721256</v>
      </c>
      <c r="M851" s="93">
        <f t="shared" si="272"/>
        <v>1510.136328326543</v>
      </c>
      <c r="N851" s="93">
        <f t="shared" si="273"/>
        <v>33836.048561057156</v>
      </c>
      <c r="O851" s="93">
        <f t="shared" si="274"/>
        <v>43745.993064442504</v>
      </c>
      <c r="P851" s="93">
        <f t="shared" si="275"/>
        <v>14778.717345346258</v>
      </c>
      <c r="Q851" s="93">
        <f t="shared" si="276"/>
        <v>40013907370231.766</v>
      </c>
      <c r="R851" s="93">
        <f t="shared" si="277"/>
        <v>84522345528233.688</v>
      </c>
      <c r="S851" s="93">
        <f t="shared" si="278"/>
        <v>3797597442412.0264</v>
      </c>
      <c r="T851">
        <f t="shared" si="283"/>
        <v>0.5</v>
      </c>
    </row>
    <row r="852" spans="1:20" x14ac:dyDescent="0.25">
      <c r="A852">
        <v>404.5</v>
      </c>
      <c r="B852" s="95">
        <f t="shared" si="279"/>
        <v>3459.6619261098763</v>
      </c>
      <c r="C852" s="95">
        <f t="shared" si="280"/>
        <v>-23356.591101541533</v>
      </c>
      <c r="D852" s="95">
        <f t="shared" si="281"/>
        <v>-2924.6615753582182</v>
      </c>
      <c r="E852" s="95">
        <f t="shared" si="282"/>
        <v>5192.4834531946854</v>
      </c>
      <c r="F852" s="96">
        <f t="shared" si="265"/>
        <v>-2019.916970932185</v>
      </c>
      <c r="G852" s="94">
        <f t="shared" si="266"/>
        <v>2621.8628469450873</v>
      </c>
      <c r="H852" s="97">
        <f t="shared" si="267"/>
        <v>105.13784903481989</v>
      </c>
      <c r="I852" s="94">
        <f t="shared" si="268"/>
        <v>496.02873434238671</v>
      </c>
      <c r="J852" s="95">
        <f t="shared" si="269"/>
        <v>-61.445217825511598</v>
      </c>
      <c r="K852" s="94">
        <f t="shared" si="270"/>
        <v>87.367116056757695</v>
      </c>
      <c r="L852" s="94">
        <f t="shared" si="271"/>
        <v>-2063.6096021414933</v>
      </c>
      <c r="M852" s="93">
        <f t="shared" si="272"/>
        <v>2038.4669965459429</v>
      </c>
      <c r="N852" s="93">
        <f t="shared" si="273"/>
        <v>31542.118453403044</v>
      </c>
      <c r="O852" s="93">
        <f t="shared" si="274"/>
        <v>40780.116571716775</v>
      </c>
      <c r="P852" s="93">
        <f t="shared" si="275"/>
        <v>11891.109903723716</v>
      </c>
      <c r="Q852" s="93">
        <f t="shared" si="276"/>
        <v>32571647973829.703</v>
      </c>
      <c r="R852" s="93">
        <f t="shared" si="277"/>
        <v>68568777008857.461</v>
      </c>
      <c r="S852" s="93">
        <f t="shared" si="278"/>
        <v>2146466377114.176</v>
      </c>
      <c r="T852">
        <f t="shared" si="283"/>
        <v>0.5</v>
      </c>
    </row>
    <row r="853" spans="1:20" x14ac:dyDescent="0.25">
      <c r="A853">
        <v>405</v>
      </c>
      <c r="B853" s="95">
        <f t="shared" si="279"/>
        <v>1492.3518956977209</v>
      </c>
      <c r="C853" s="95">
        <f t="shared" si="280"/>
        <v>-20104.883663207918</v>
      </c>
      <c r="D853" s="95">
        <f t="shared" si="281"/>
        <v>-3934.6200608243107</v>
      </c>
      <c r="E853" s="95">
        <f t="shared" si="282"/>
        <v>6503.4148766672288</v>
      </c>
      <c r="F853" s="96">
        <f t="shared" si="265"/>
        <v>-3675.9369527086556</v>
      </c>
      <c r="G853" s="94">
        <f t="shared" si="266"/>
        <v>3649.3221461885933</v>
      </c>
      <c r="H853" s="97">
        <f t="shared" si="267"/>
        <v>176.81038921392144</v>
      </c>
      <c r="I853" s="94">
        <f t="shared" si="268"/>
        <v>573.69911929345074</v>
      </c>
      <c r="J853" s="95">
        <f t="shared" si="269"/>
        <v>-75.254723881942198</v>
      </c>
      <c r="K853" s="94">
        <f t="shared" si="270"/>
        <v>105.41120481217382</v>
      </c>
      <c r="L853" s="94">
        <f t="shared" si="271"/>
        <v>-3777.4926180406346</v>
      </c>
      <c r="M853" s="93">
        <f t="shared" si="272"/>
        <v>2970.2118220829689</v>
      </c>
      <c r="N853" s="93">
        <f t="shared" si="273"/>
        <v>28886.150285662534</v>
      </c>
      <c r="O853" s="93">
        <f t="shared" si="274"/>
        <v>36989.528388231505</v>
      </c>
      <c r="P853" s="93">
        <f t="shared" si="275"/>
        <v>8258.9630313046491</v>
      </c>
      <c r="Q853" s="93">
        <f t="shared" si="276"/>
        <v>25194187685681.098</v>
      </c>
      <c r="R853" s="93">
        <f t="shared" si="277"/>
        <v>51291206916849.602</v>
      </c>
      <c r="S853" s="93">
        <f t="shared" si="278"/>
        <v>899905796534.38611</v>
      </c>
      <c r="T853">
        <f t="shared" si="283"/>
        <v>0.5</v>
      </c>
    </row>
    <row r="854" spans="1:20" x14ac:dyDescent="0.25">
      <c r="A854">
        <v>405.5</v>
      </c>
      <c r="B854" s="95">
        <f t="shared" si="279"/>
        <v>-1393.9423728915983</v>
      </c>
      <c r="C854" s="95">
        <f t="shared" si="280"/>
        <v>-15940.845688327156</v>
      </c>
      <c r="D854" s="95">
        <f t="shared" si="281"/>
        <v>-5772.5885371786389</v>
      </c>
      <c r="E854" s="95">
        <f t="shared" si="282"/>
        <v>8328.0759497615254</v>
      </c>
      <c r="F854" s="96">
        <f t="shared" si="265"/>
        <v>-7567.3322230266358</v>
      </c>
      <c r="G854" s="94">
        <f t="shared" si="266"/>
        <v>2828.640753265453</v>
      </c>
      <c r="H854" s="97">
        <f t="shared" si="267"/>
        <v>319.1836056453007</v>
      </c>
      <c r="I854" s="94">
        <f t="shared" si="268"/>
        <v>656.6588983262136</v>
      </c>
      <c r="J854" s="95">
        <f t="shared" si="269"/>
        <v>-100.88576109997315</v>
      </c>
      <c r="K854" s="94">
        <f t="shared" si="270"/>
        <v>140.65644712563238</v>
      </c>
      <c r="L854" s="94">
        <f t="shared" si="271"/>
        <v>-7785.6300675719631</v>
      </c>
      <c r="M854" s="93">
        <f t="shared" si="272"/>
        <v>2031.3254078136072</v>
      </c>
      <c r="N854" s="93">
        <f t="shared" si="273"/>
        <v>26063.291606793271</v>
      </c>
      <c r="O854" s="93">
        <f t="shared" si="274"/>
        <v>31923.547037396711</v>
      </c>
      <c r="P854" s="93">
        <f t="shared" si="275"/>
        <v>3726.7737011080344</v>
      </c>
      <c r="Q854" s="93">
        <f t="shared" si="276"/>
        <v>18690979643588.883</v>
      </c>
      <c r="R854" s="93">
        <f t="shared" si="277"/>
        <v>33122051594929.234</v>
      </c>
      <c r="S854" s="93">
        <f t="shared" si="278"/>
        <v>242514394070.06143</v>
      </c>
      <c r="T854">
        <f t="shared" si="283"/>
        <v>0.5</v>
      </c>
    </row>
    <row r="855" spans="1:20" x14ac:dyDescent="0.25">
      <c r="A855">
        <v>406</v>
      </c>
      <c r="B855" s="95">
        <f t="shared" si="279"/>
        <v>-6172.0696972375763</v>
      </c>
      <c r="C855" s="95">
        <f t="shared" si="280"/>
        <v>-11069.647525130029</v>
      </c>
      <c r="D855" s="95">
        <f t="shared" si="281"/>
        <v>-9556.2546486919564</v>
      </c>
      <c r="E855" s="95">
        <f t="shared" si="282"/>
        <v>9742.3963263942514</v>
      </c>
      <c r="F855" s="96">
        <f t="shared" si="265"/>
        <v>2652.0904945770699</v>
      </c>
      <c r="G855" s="94">
        <f t="shared" si="266"/>
        <v>-6766.4722322362268</v>
      </c>
      <c r="H855" s="97">
        <f t="shared" si="267"/>
        <v>533.75350584559339</v>
      </c>
      <c r="I855" s="94">
        <f t="shared" si="268"/>
        <v>612.8847237498702</v>
      </c>
      <c r="J855" s="95">
        <f t="shared" si="269"/>
        <v>-150.76454806780842</v>
      </c>
      <c r="K855" s="94">
        <f t="shared" si="270"/>
        <v>229.72027031692969</v>
      </c>
      <c r="L855" s="94">
        <f t="shared" si="271"/>
        <v>2269.101536799285</v>
      </c>
      <c r="M855" s="93">
        <f t="shared" si="272"/>
        <v>-7609.0772263030267</v>
      </c>
      <c r="N855" s="93">
        <f t="shared" si="273"/>
        <v>24624.533447354443</v>
      </c>
      <c r="O855" s="93">
        <f t="shared" si="274"/>
        <v>25202.017841658497</v>
      </c>
      <c r="P855" s="93">
        <f t="shared" si="275"/>
        <v>4101.3921967911201</v>
      </c>
      <c r="Q855" s="93">
        <f t="shared" si="276"/>
        <v>15864393956437.102</v>
      </c>
      <c r="R855" s="93">
        <f t="shared" si="277"/>
        <v>16472165384057.729</v>
      </c>
      <c r="S855" s="93">
        <f t="shared" si="278"/>
        <v>270456940087.00876</v>
      </c>
      <c r="T855">
        <f t="shared" si="283"/>
        <v>0.5</v>
      </c>
    </row>
    <row r="856" spans="1:20" x14ac:dyDescent="0.25">
      <c r="A856">
        <v>406.5</v>
      </c>
      <c r="B856" s="95">
        <f t="shared" si="279"/>
        <v>-10287.174397939287</v>
      </c>
      <c r="C856" s="95">
        <f t="shared" si="280"/>
        <v>-7890.0674199919595</v>
      </c>
      <c r="D856" s="95">
        <f t="shared" si="281"/>
        <v>-8230.209401403421</v>
      </c>
      <c r="E856" s="95">
        <f t="shared" si="282"/>
        <v>6359.1602102761381</v>
      </c>
      <c r="F856" s="96">
        <f t="shared" si="265"/>
        <v>3038.8185339097322</v>
      </c>
      <c r="G856" s="94">
        <f t="shared" si="266"/>
        <v>-2709.5438288762043</v>
      </c>
      <c r="H856" s="97">
        <f t="shared" si="267"/>
        <v>607.83774804856409</v>
      </c>
      <c r="I856" s="94">
        <f t="shared" si="268"/>
        <v>461.11221500780846</v>
      </c>
      <c r="J856" s="95">
        <f t="shared" si="269"/>
        <v>-197.94322557248211</v>
      </c>
      <c r="K856" s="94">
        <f t="shared" si="270"/>
        <v>364.59191134566049</v>
      </c>
      <c r="L856" s="94">
        <f t="shared" si="271"/>
        <v>2628.9240114336503</v>
      </c>
      <c r="M856" s="93">
        <f t="shared" si="272"/>
        <v>-3535.2479552296732</v>
      </c>
      <c r="N856" s="93">
        <f t="shared" si="273"/>
        <v>25464.163450706586</v>
      </c>
      <c r="O856" s="93">
        <f t="shared" si="274"/>
        <v>20356.657227253789</v>
      </c>
      <c r="P856" s="93">
        <f t="shared" si="275"/>
        <v>8860.3247348212044</v>
      </c>
      <c r="Q856" s="93">
        <f t="shared" si="276"/>
        <v>17475616986955.338</v>
      </c>
      <c r="R856" s="93">
        <f t="shared" si="277"/>
        <v>8812470784482.4023</v>
      </c>
      <c r="S856" s="93">
        <f t="shared" si="278"/>
        <v>1053038440478.1614</v>
      </c>
      <c r="T856">
        <f t="shared" si="283"/>
        <v>0.5</v>
      </c>
    </row>
    <row r="857" spans="1:20" x14ac:dyDescent="0.25">
      <c r="A857">
        <v>407</v>
      </c>
      <c r="B857" s="95">
        <f t="shared" si="279"/>
        <v>-13642.574465163563</v>
      </c>
      <c r="C857" s="95">
        <f t="shared" si="280"/>
        <v>-5387.8732720729413</v>
      </c>
      <c r="D857" s="95">
        <f t="shared" si="281"/>
        <v>-6710.8001344485547</v>
      </c>
      <c r="E857" s="95">
        <f t="shared" si="282"/>
        <v>5004.3882958380364</v>
      </c>
      <c r="F857" s="96">
        <f t="shared" si="265"/>
        <v>2070.5555718778978</v>
      </c>
      <c r="G857" s="94">
        <f t="shared" si="266"/>
        <v>-1000.7988897510073</v>
      </c>
      <c r="H857" s="97">
        <f t="shared" si="267"/>
        <v>602.6177313244408</v>
      </c>
      <c r="I857" s="94">
        <f t="shared" si="268"/>
        <v>328.49472312150613</v>
      </c>
      <c r="J857" s="95">
        <f t="shared" si="269"/>
        <v>-231.84931065336445</v>
      </c>
      <c r="K857" s="94">
        <f t="shared" si="270"/>
        <v>561.18121887576808</v>
      </c>
      <c r="L857" s="94">
        <f t="shared" si="271"/>
        <v>1699.7871512068216</v>
      </c>
      <c r="M857" s="93">
        <f t="shared" si="272"/>
        <v>-1890.4748317482815</v>
      </c>
      <c r="N857" s="93">
        <f t="shared" si="273"/>
        <v>26927.097965020595</v>
      </c>
      <c r="O857" s="93">
        <f t="shared" si="274"/>
        <v>16649.429517805322</v>
      </c>
      <c r="P857" s="93">
        <f t="shared" si="275"/>
        <v>12926.216523779376</v>
      </c>
      <c r="Q857" s="93">
        <f t="shared" si="276"/>
        <v>20542414201361.172</v>
      </c>
      <c r="R857" s="93">
        <f t="shared" si="277"/>
        <v>4924568868890.2256</v>
      </c>
      <c r="S857" s="93">
        <f t="shared" si="278"/>
        <v>2662240036797.4985</v>
      </c>
      <c r="T857">
        <f t="shared" si="283"/>
        <v>0.5</v>
      </c>
    </row>
    <row r="858" spans="1:20" x14ac:dyDescent="0.25">
      <c r="A858">
        <v>407.5</v>
      </c>
      <c r="B858" s="95">
        <f t="shared" si="279"/>
        <v>-16480.335639418368</v>
      </c>
      <c r="C858" s="95">
        <f t="shared" si="280"/>
        <v>-3135.878846591675</v>
      </c>
      <c r="D858" s="95">
        <f t="shared" si="281"/>
        <v>-5675.5223485096058</v>
      </c>
      <c r="E858" s="95">
        <f t="shared" si="282"/>
        <v>4503.9888509625325</v>
      </c>
      <c r="F858" s="96">
        <f t="shared" si="265"/>
        <v>1513.0335548293992</v>
      </c>
      <c r="G858" s="94">
        <f t="shared" si="266"/>
        <v>-129.27563804510146</v>
      </c>
      <c r="H858" s="97">
        <f t="shared" si="267"/>
        <v>570.19435720476463</v>
      </c>
      <c r="I858" s="94">
        <f t="shared" si="268"/>
        <v>229.01968407124383</v>
      </c>
      <c r="J858" s="95">
        <f t="shared" si="269"/>
        <v>-228.28049672943249</v>
      </c>
      <c r="K858" s="94">
        <f t="shared" si="270"/>
        <v>851.9746887405073</v>
      </c>
      <c r="L858" s="94">
        <f t="shared" si="271"/>
        <v>1171.1196943540672</v>
      </c>
      <c r="M858" s="93">
        <f t="shared" si="272"/>
        <v>-1210.2700108568527</v>
      </c>
      <c r="N858" s="93">
        <f t="shared" si="273"/>
        <v>28536.469550657923</v>
      </c>
      <c r="O858" s="93">
        <f t="shared" si="274"/>
        <v>13599.240798054983</v>
      </c>
      <c r="P858" s="93">
        <f t="shared" si="275"/>
        <v>16509.254287715434</v>
      </c>
      <c r="Q858" s="93">
        <f t="shared" si="276"/>
        <v>24316395178306.398</v>
      </c>
      <c r="R858" s="93">
        <f t="shared" si="277"/>
        <v>2769014207561.9883</v>
      </c>
      <c r="S858" s="93">
        <f t="shared" si="278"/>
        <v>5132771409477.8301</v>
      </c>
      <c r="T858">
        <f t="shared" si="283"/>
        <v>0.5</v>
      </c>
    </row>
    <row r="859" spans="1:20" x14ac:dyDescent="0.25">
      <c r="A859">
        <v>408</v>
      </c>
      <c r="B859" s="95">
        <f t="shared" si="279"/>
        <v>-18939.838424965823</v>
      </c>
      <c r="C859" s="95">
        <f t="shared" si="280"/>
        <v>-916.20333062168413</v>
      </c>
      <c r="D859" s="95">
        <f t="shared" si="281"/>
        <v>-4919.0055710949064</v>
      </c>
      <c r="E859" s="95">
        <f t="shared" si="282"/>
        <v>4439.351031939982</v>
      </c>
      <c r="F859" s="96">
        <f t="shared" si="265"/>
        <v>1261.6991067569752</v>
      </c>
      <c r="G859" s="94">
        <f t="shared" si="266"/>
        <v>575.50303798284529</v>
      </c>
      <c r="H859" s="97">
        <f t="shared" si="267"/>
        <v>531.41059803787755</v>
      </c>
      <c r="I859" s="94">
        <f t="shared" si="268"/>
        <v>154.5433522972175</v>
      </c>
      <c r="J859" s="95">
        <f t="shared" si="269"/>
        <v>-124.78343777929457</v>
      </c>
      <c r="K859" s="94">
        <f t="shared" si="270"/>
        <v>1284.8620542098465</v>
      </c>
      <c r="L859" s="94">
        <f t="shared" si="271"/>
        <v>855.07194649839221</v>
      </c>
      <c r="M859" s="93">
        <f t="shared" si="272"/>
        <v>-863.90236852421879</v>
      </c>
      <c r="N859" s="93">
        <f t="shared" si="273"/>
        <v>30138.791060118783</v>
      </c>
      <c r="O859" s="93">
        <f t="shared" si="274"/>
        <v>10967.562980017707</v>
      </c>
      <c r="P859" s="93">
        <f t="shared" si="275"/>
        <v>19815.963865998176</v>
      </c>
      <c r="Q859" s="93">
        <f t="shared" si="276"/>
        <v>28514418081373.402</v>
      </c>
      <c r="R859" s="93">
        <f t="shared" si="277"/>
        <v>1525835993851.0525</v>
      </c>
      <c r="S859" s="93">
        <f t="shared" si="278"/>
        <v>8535986195360.4014</v>
      </c>
      <c r="T859">
        <f t="shared" si="283"/>
        <v>0.5</v>
      </c>
    </row>
    <row r="860" spans="1:20" x14ac:dyDescent="0.25">
      <c r="A860">
        <v>408.5</v>
      </c>
      <c r="B860" s="95">
        <f t="shared" si="279"/>
        <v>-21083.916433824033</v>
      </c>
      <c r="C860" s="95">
        <f t="shared" si="280"/>
        <v>1447.3479448440182</v>
      </c>
      <c r="D860" s="95">
        <f t="shared" si="281"/>
        <v>-4288.1560177164192</v>
      </c>
      <c r="E860" s="95">
        <f t="shared" si="282"/>
        <v>4727.1025509314049</v>
      </c>
      <c r="F860" s="96">
        <f t="shared" si="265"/>
        <v>1381.0499005084196</v>
      </c>
      <c r="G860" s="94">
        <f t="shared" si="266"/>
        <v>1342.9828571061441</v>
      </c>
      <c r="H860" s="97">
        <f t="shared" si="267"/>
        <v>493.9048119163823</v>
      </c>
      <c r="I860" s="94">
        <f t="shared" si="268"/>
        <v>96.173015432642217</v>
      </c>
      <c r="J860" s="95">
        <f t="shared" si="269"/>
        <v>241.66672619927095</v>
      </c>
      <c r="K860" s="94">
        <f t="shared" si="270"/>
        <v>1906.8734064664609</v>
      </c>
      <c r="L860" s="94">
        <f t="shared" si="271"/>
        <v>645.47836239276626</v>
      </c>
      <c r="M860" s="93">
        <f t="shared" si="272"/>
        <v>-660.06356479295891</v>
      </c>
      <c r="N860" s="93">
        <f t="shared" si="273"/>
        <v>31667.719491080181</v>
      </c>
      <c r="O860" s="93">
        <f t="shared" si="274"/>
        <v>8621.0632761903362</v>
      </c>
      <c r="P860" s="93">
        <f t="shared" si="275"/>
        <v>23004.513084805763</v>
      </c>
      <c r="Q860" s="93">
        <f t="shared" si="276"/>
        <v>32952707065963.012</v>
      </c>
      <c r="R860" s="93">
        <f t="shared" si="277"/>
        <v>805511387515.86133</v>
      </c>
      <c r="S860" s="93">
        <f t="shared" si="278"/>
        <v>13046942302383.828</v>
      </c>
      <c r="T860">
        <f t="shared" si="283"/>
        <v>0.5</v>
      </c>
    </row>
    <row r="861" spans="1:20" x14ac:dyDescent="0.25">
      <c r="A861">
        <v>409</v>
      </c>
      <c r="B861" s="95">
        <f t="shared" si="279"/>
        <v>-22882.731967555141</v>
      </c>
      <c r="C861" s="95">
        <f t="shared" si="280"/>
        <v>4146.6449345862566</v>
      </c>
      <c r="D861" s="95">
        <f t="shared" si="281"/>
        <v>-3597.6310674622096</v>
      </c>
      <c r="E861" s="95">
        <f t="shared" si="282"/>
        <v>5398.5939794844771</v>
      </c>
      <c r="F861" s="96">
        <f t="shared" si="265"/>
        <v>2229.8183969400861</v>
      </c>
      <c r="G861" s="94">
        <f t="shared" si="266"/>
        <v>2108.4366673669333</v>
      </c>
      <c r="H861" s="97">
        <f t="shared" si="267"/>
        <v>460.87601915498493</v>
      </c>
      <c r="I861" s="94">
        <f t="shared" si="268"/>
        <v>46.999772856038582</v>
      </c>
      <c r="J861" s="95">
        <f t="shared" si="269"/>
        <v>1275.4568586153296</v>
      </c>
      <c r="K861" s="94">
        <f t="shared" si="270"/>
        <v>2589.800906958561</v>
      </c>
      <c r="L861" s="94">
        <f t="shared" si="271"/>
        <v>493.48551916977169</v>
      </c>
      <c r="M861" s="93">
        <f t="shared" si="272"/>
        <v>-528.36401244766603</v>
      </c>
      <c r="N861" s="93">
        <f t="shared" si="273"/>
        <v>33053.275962373365</v>
      </c>
      <c r="O861" s="93">
        <f t="shared" si="274"/>
        <v>6524.7152519147576</v>
      </c>
      <c r="P861" s="93">
        <f t="shared" si="275"/>
        <v>26198.971637729144</v>
      </c>
      <c r="Q861" s="93">
        <f t="shared" si="276"/>
        <v>37357895574837.883</v>
      </c>
      <c r="R861" s="93">
        <f t="shared" si="277"/>
        <v>405911385406.17145</v>
      </c>
      <c r="S861" s="93">
        <f t="shared" si="278"/>
        <v>18973964176937.047</v>
      </c>
      <c r="T861">
        <f t="shared" si="283"/>
        <v>0.5</v>
      </c>
    </row>
    <row r="862" spans="1:20" x14ac:dyDescent="0.25">
      <c r="A862">
        <v>409.5</v>
      </c>
      <c r="B862" s="95">
        <f t="shared" si="279"/>
        <v>-24124.092902051223</v>
      </c>
      <c r="C862" s="95">
        <f t="shared" si="280"/>
        <v>7373.0510911702286</v>
      </c>
      <c r="D862" s="95">
        <f t="shared" si="281"/>
        <v>-2482.7218689921665</v>
      </c>
      <c r="E862" s="95">
        <f t="shared" si="282"/>
        <v>6452.812313167944</v>
      </c>
      <c r="F862" s="96">
        <f t="shared" si="265"/>
        <v>4218.266423471392</v>
      </c>
      <c r="G862" s="94">
        <f t="shared" si="266"/>
        <v>1731.1702311279075</v>
      </c>
      <c r="H862" s="97">
        <f t="shared" si="267"/>
        <v>435.54154782901196</v>
      </c>
      <c r="I862" s="94">
        <f t="shared" si="268"/>
        <v>1.620307517202872</v>
      </c>
      <c r="J862" s="95">
        <f t="shared" si="269"/>
        <v>3406.406825449958</v>
      </c>
      <c r="K862" s="94">
        <f t="shared" si="270"/>
        <v>2169.7999792136857</v>
      </c>
      <c r="L862" s="94">
        <f t="shared" si="271"/>
        <v>376.31805019242233</v>
      </c>
      <c r="M862" s="93">
        <f t="shared" si="272"/>
        <v>-440.25005560298109</v>
      </c>
      <c r="N862" s="93">
        <f t="shared" si="273"/>
        <v>34124.329039752207</v>
      </c>
      <c r="O862" s="93">
        <f t="shared" si="274"/>
        <v>4889.683306140716</v>
      </c>
      <c r="P862" s="93">
        <f t="shared" si="275"/>
        <v>29432.708751564125</v>
      </c>
      <c r="Q862" s="93">
        <f t="shared" si="276"/>
        <v>41023257943995.523</v>
      </c>
      <c r="R862" s="93">
        <f t="shared" si="277"/>
        <v>217432604466.75226</v>
      </c>
      <c r="S862" s="93">
        <f t="shared" si="278"/>
        <v>26608746571741.699</v>
      </c>
      <c r="T862">
        <f t="shared" si="283"/>
        <v>0.5</v>
      </c>
    </row>
    <row r="863" spans="1:20" x14ac:dyDescent="0.25">
      <c r="A863">
        <v>410</v>
      </c>
      <c r="B863" s="95">
        <f t="shared" si="279"/>
        <v>-24310.887230679458</v>
      </c>
      <c r="C863" s="95">
        <f t="shared" si="280"/>
        <v>11032.249805536178</v>
      </c>
      <c r="D863" s="95">
        <f t="shared" si="281"/>
        <v>-373.58865725647047</v>
      </c>
      <c r="E863" s="95">
        <f t="shared" si="282"/>
        <v>7318.3974287318979</v>
      </c>
      <c r="F863" s="96">
        <f t="shared" si="265"/>
        <v>5008.2053724763373</v>
      </c>
      <c r="G863" s="94">
        <f t="shared" si="266"/>
        <v>-1459.0672096122105</v>
      </c>
      <c r="H863" s="97">
        <f t="shared" si="267"/>
        <v>424.34553618033465</v>
      </c>
      <c r="I863" s="94">
        <f t="shared" si="268"/>
        <v>-43.685679929398006</v>
      </c>
      <c r="J863" s="95">
        <f t="shared" si="269"/>
        <v>4297.2232070610971</v>
      </c>
      <c r="K863" s="94">
        <f t="shared" si="270"/>
        <v>-1028.9779301731396</v>
      </c>
      <c r="L863" s="94">
        <f t="shared" si="271"/>
        <v>286.63662923490568</v>
      </c>
      <c r="M863" s="93">
        <f t="shared" si="272"/>
        <v>-386.4035995096728</v>
      </c>
      <c r="N863" s="93">
        <f t="shared" si="273"/>
        <v>34492.227693280598</v>
      </c>
      <c r="O863" s="93">
        <f t="shared" si="274"/>
        <v>4432.7517837867581</v>
      </c>
      <c r="P863" s="93">
        <f t="shared" si="275"/>
        <v>32412.781361275636</v>
      </c>
      <c r="Q863" s="93">
        <f t="shared" si="276"/>
        <v>42336108222994.016</v>
      </c>
      <c r="R863" s="93">
        <f t="shared" si="277"/>
        <v>180165442256.26648</v>
      </c>
      <c r="S863" s="93">
        <f t="shared" si="278"/>
        <v>35275173786021.078</v>
      </c>
      <c r="T863">
        <f t="shared" si="283"/>
        <v>0.5</v>
      </c>
    </row>
    <row r="864" spans="1:20" x14ac:dyDescent="0.25">
      <c r="A864">
        <v>410.5</v>
      </c>
      <c r="B864" s="95">
        <f t="shared" si="279"/>
        <v>-23245.630216188609</v>
      </c>
      <c r="C864" s="95">
        <f t="shared" si="280"/>
        <v>14326.681717499074</v>
      </c>
      <c r="D864" s="95">
        <f t="shared" si="281"/>
        <v>2130.5140289816982</v>
      </c>
      <c r="E864" s="95">
        <f t="shared" si="282"/>
        <v>6588.8638239257925</v>
      </c>
      <c r="F864" s="96">
        <f t="shared" si="265"/>
        <v>2835.8928897876312</v>
      </c>
      <c r="G864" s="94">
        <f t="shared" si="266"/>
        <v>-3355.8734295822005</v>
      </c>
      <c r="H864" s="97">
        <f t="shared" si="267"/>
        <v>431.158947411263</v>
      </c>
      <c r="I864" s="94">
        <f t="shared" si="268"/>
        <v>-88.534489630320294</v>
      </c>
      <c r="J864" s="95">
        <f t="shared" si="269"/>
        <v>2179.9789194715663</v>
      </c>
      <c r="K864" s="94">
        <f t="shared" si="270"/>
        <v>-2906.0842755177559</v>
      </c>
      <c r="L864" s="94">
        <f t="shared" si="271"/>
        <v>224.75502290480176</v>
      </c>
      <c r="M864" s="93">
        <f t="shared" si="272"/>
        <v>-361.25466443412432</v>
      </c>
      <c r="N864" s="93">
        <f t="shared" si="273"/>
        <v>33939.291562193655</v>
      </c>
      <c r="O864" s="93">
        <f t="shared" si="274"/>
        <v>5408.7235263763714</v>
      </c>
      <c r="P864" s="93">
        <f t="shared" si="275"/>
        <v>34539.213693212376</v>
      </c>
      <c r="Q864" s="93">
        <f t="shared" si="276"/>
        <v>40373443203965.477</v>
      </c>
      <c r="R864" s="93">
        <f t="shared" si="277"/>
        <v>267386506024.11646</v>
      </c>
      <c r="S864" s="93">
        <f t="shared" si="278"/>
        <v>42505789271113</v>
      </c>
      <c r="T864">
        <f t="shared" si="283"/>
        <v>0.5</v>
      </c>
    </row>
    <row r="865" spans="1:20" x14ac:dyDescent="0.25">
      <c r="A865">
        <v>411</v>
      </c>
      <c r="B865" s="95">
        <f t="shared" si="279"/>
        <v>-21471.399979250851</v>
      </c>
      <c r="C865" s="95">
        <f t="shared" si="280"/>
        <v>16782.14527206642</v>
      </c>
      <c r="D865" s="95">
        <f t="shared" si="281"/>
        <v>3548.4604738755138</v>
      </c>
      <c r="E865" s="95">
        <f t="shared" si="282"/>
        <v>4910.9271091346927</v>
      </c>
      <c r="F865" s="96">
        <f t="shared" si="265"/>
        <v>1196.1048319447107</v>
      </c>
      <c r="G865" s="94">
        <f t="shared" si="266"/>
        <v>-3079.3430708697279</v>
      </c>
      <c r="H865" s="97">
        <f t="shared" si="267"/>
        <v>450.68646345068885</v>
      </c>
      <c r="I865" s="94">
        <f t="shared" si="268"/>
        <v>-132.92504396567134</v>
      </c>
      <c r="J865" s="95">
        <f t="shared" si="269"/>
        <v>562.77285599063271</v>
      </c>
      <c r="K865" s="94">
        <f t="shared" si="270"/>
        <v>-2593.9970900689259</v>
      </c>
      <c r="L865" s="94">
        <f t="shared" si="271"/>
        <v>182.64551250338911</v>
      </c>
      <c r="M865" s="93">
        <f t="shared" si="272"/>
        <v>-352.42093683513065</v>
      </c>
      <c r="N865" s="93">
        <f t="shared" si="273"/>
        <v>32811.693609226197</v>
      </c>
      <c r="O865" s="93">
        <f t="shared" si="274"/>
        <v>6939.9216415138508</v>
      </c>
      <c r="P865" s="93">
        <f t="shared" si="275"/>
        <v>35796.812363270546</v>
      </c>
      <c r="Q865" s="93">
        <f t="shared" si="276"/>
        <v>36562860950677.367</v>
      </c>
      <c r="R865" s="93">
        <f t="shared" si="277"/>
        <v>469559191132.04095</v>
      </c>
      <c r="S865" s="93">
        <f t="shared" si="278"/>
        <v>47219363582040.148</v>
      </c>
      <c r="T865">
        <f t="shared" si="283"/>
        <v>0.5</v>
      </c>
    </row>
    <row r="866" spans="1:20" x14ac:dyDescent="0.25">
      <c r="A866">
        <v>411.5</v>
      </c>
      <c r="B866" s="95">
        <f t="shared" si="279"/>
        <v>-19398.143534326915</v>
      </c>
      <c r="C866" s="95">
        <f t="shared" si="280"/>
        <v>18467.773058916337</v>
      </c>
      <c r="D866" s="95">
        <f t="shared" si="281"/>
        <v>4146.5128898478688</v>
      </c>
      <c r="E866" s="95">
        <f t="shared" si="282"/>
        <v>3371.2555736998288</v>
      </c>
      <c r="F866" s="96">
        <f t="shared" si="265"/>
        <v>491.84797114883315</v>
      </c>
      <c r="G866" s="94">
        <f t="shared" si="266"/>
        <v>-2495.6484399100427</v>
      </c>
      <c r="H866" s="97">
        <f t="shared" si="267"/>
        <v>479.8785822622869</v>
      </c>
      <c r="I866" s="94">
        <f t="shared" si="268"/>
        <v>-179.03169225436537</v>
      </c>
      <c r="J866" s="95">
        <f t="shared" si="269"/>
        <v>-139.61279601119404</v>
      </c>
      <c r="K866" s="94">
        <f t="shared" si="270"/>
        <v>-1964.2714503722232</v>
      </c>
      <c r="L866" s="94">
        <f t="shared" si="271"/>
        <v>151.58218489774023</v>
      </c>
      <c r="M866" s="93">
        <f t="shared" si="272"/>
        <v>-352.34529728345456</v>
      </c>
      <c r="N866" s="93">
        <f t="shared" si="273"/>
        <v>31377.426426282615</v>
      </c>
      <c r="O866" s="93">
        <f t="shared" si="274"/>
        <v>8489.1349254551151</v>
      </c>
      <c r="P866" s="93">
        <f t="shared" si="275"/>
        <v>36433.478707889073</v>
      </c>
      <c r="Q866" s="93">
        <f t="shared" si="276"/>
        <v>32076513785779.605</v>
      </c>
      <c r="R866" s="93">
        <f t="shared" si="277"/>
        <v>774212979812.16882</v>
      </c>
      <c r="S866" s="93">
        <f t="shared" si="278"/>
        <v>49734408634813.945</v>
      </c>
      <c r="T866">
        <f t="shared" si="283"/>
        <v>0.5</v>
      </c>
    </row>
    <row r="867" spans="1:20" x14ac:dyDescent="0.25">
      <c r="A867">
        <v>412</v>
      </c>
      <c r="B867" s="95">
        <f t="shared" si="279"/>
        <v>-17201.925096615774</v>
      </c>
      <c r="C867" s="95">
        <f t="shared" si="280"/>
        <v>19529.488735788738</v>
      </c>
      <c r="D867" s="95">
        <f t="shared" si="281"/>
        <v>4392.4368754222851</v>
      </c>
      <c r="E867" s="95">
        <f t="shared" si="282"/>
        <v>2123.4313537448074</v>
      </c>
      <c r="F867" s="96">
        <f t="shared" si="265"/>
        <v>215.32306815569802</v>
      </c>
      <c r="G867" s="94">
        <f t="shared" si="266"/>
        <v>-2053.2384934417128</v>
      </c>
      <c r="H867" s="97">
        <f t="shared" si="267"/>
        <v>519.13988128109372</v>
      </c>
      <c r="I867" s="94">
        <f t="shared" si="268"/>
        <v>-229.57887472995679</v>
      </c>
      <c r="J867" s="95">
        <f t="shared" si="269"/>
        <v>-430.33956689063507</v>
      </c>
      <c r="K867" s="94">
        <f t="shared" si="270"/>
        <v>-1465.6205415689624</v>
      </c>
      <c r="L867" s="94">
        <f t="shared" si="271"/>
        <v>126.52275376523936</v>
      </c>
      <c r="M867" s="93">
        <f t="shared" si="272"/>
        <v>-358.03907714279353</v>
      </c>
      <c r="N867" s="93">
        <f t="shared" si="273"/>
        <v>29743.122368143584</v>
      </c>
      <c r="O867" s="93">
        <f t="shared" si="274"/>
        <v>9931.7862809503258</v>
      </c>
      <c r="P867" s="93">
        <f t="shared" si="275"/>
        <v>36622.022997349326</v>
      </c>
      <c r="Q867" s="93">
        <f t="shared" si="276"/>
        <v>27435562529615.578</v>
      </c>
      <c r="R867" s="93">
        <f t="shared" si="277"/>
        <v>1167725596747.4314</v>
      </c>
      <c r="S867" s="93">
        <f t="shared" si="278"/>
        <v>50496158599145.609</v>
      </c>
      <c r="T867">
        <f t="shared" si="283"/>
        <v>0.5</v>
      </c>
    </row>
    <row r="868" spans="1:20" x14ac:dyDescent="0.25">
      <c r="A868">
        <v>412.5</v>
      </c>
      <c r="B868" s="95">
        <f t="shared" si="279"/>
        <v>-14951.875891865708</v>
      </c>
      <c r="C868" s="95">
        <f t="shared" si="280"/>
        <v>20077.894789300717</v>
      </c>
      <c r="D868" s="95">
        <f t="shared" si="281"/>
        <v>4500.098409500134</v>
      </c>
      <c r="E868" s="95">
        <f t="shared" si="282"/>
        <v>1096.8121070239511</v>
      </c>
      <c r="F868" s="96">
        <f t="shared" si="265"/>
        <v>124.24140434413006</v>
      </c>
      <c r="G868" s="94">
        <f t="shared" si="266"/>
        <v>-1757.2531128668952</v>
      </c>
      <c r="H868" s="97">
        <f t="shared" si="267"/>
        <v>571.16461612111482</v>
      </c>
      <c r="I868" s="94">
        <f t="shared" si="268"/>
        <v>-287.91616630654647</v>
      </c>
      <c r="J868" s="95">
        <f t="shared" si="269"/>
        <v>-551.45196333879574</v>
      </c>
      <c r="K868" s="94">
        <f t="shared" si="270"/>
        <v>-1100.8990169094031</v>
      </c>
      <c r="L868" s="94">
        <f t="shared" si="271"/>
        <v>104.52875156181098</v>
      </c>
      <c r="M868" s="93">
        <f t="shared" si="272"/>
        <v>-368.43792965094548</v>
      </c>
      <c r="N868" s="93">
        <f t="shared" si="273"/>
        <v>27942.79062394784</v>
      </c>
      <c r="O868" s="93">
        <f t="shared" si="274"/>
        <v>11271.535849002175</v>
      </c>
      <c r="P868" s="93">
        <f t="shared" si="275"/>
        <v>36462.289239930455</v>
      </c>
      <c r="Q868" s="93">
        <f t="shared" si="276"/>
        <v>22873916375609.699</v>
      </c>
      <c r="R868" s="93">
        <f t="shared" si="277"/>
        <v>1644050216136.3613</v>
      </c>
      <c r="S868" s="93">
        <f t="shared" si="278"/>
        <v>49850303902326.977</v>
      </c>
      <c r="T868">
        <f t="shared" si="283"/>
        <v>0.5</v>
      </c>
    </row>
    <row r="869" spans="1:20" x14ac:dyDescent="0.25">
      <c r="A869">
        <v>413</v>
      </c>
      <c r="B869" s="95">
        <f t="shared" si="279"/>
        <v>-12670.766336029608</v>
      </c>
      <c r="C869" s="95">
        <f t="shared" si="280"/>
        <v>20186.987564595969</v>
      </c>
      <c r="D869" s="95">
        <f t="shared" si="281"/>
        <v>4562.2191116721988</v>
      </c>
      <c r="E869" s="95">
        <f t="shared" si="282"/>
        <v>218.18555059050345</v>
      </c>
      <c r="F869" s="96">
        <f t="shared" si="265"/>
        <v>129.4036432883409</v>
      </c>
      <c r="G869" s="94">
        <f t="shared" si="266"/>
        <v>-1569.3330867867396</v>
      </c>
      <c r="H869" s="97">
        <f t="shared" si="267"/>
        <v>641.04592913648696</v>
      </c>
      <c r="I869" s="94">
        <f t="shared" si="268"/>
        <v>-358.74136810118188</v>
      </c>
      <c r="J869" s="95">
        <f t="shared" si="269"/>
        <v>-595.20404294889636</v>
      </c>
      <c r="K869" s="94">
        <f t="shared" si="270"/>
        <v>-827.28105855381102</v>
      </c>
      <c r="L869" s="94">
        <f t="shared" si="271"/>
        <v>83.561757100750299</v>
      </c>
      <c r="M869" s="93">
        <f t="shared" si="272"/>
        <v>-383.31066013174672</v>
      </c>
      <c r="N869" s="93">
        <f t="shared" si="273"/>
        <v>25979.285974157683</v>
      </c>
      <c r="O869" s="93">
        <f t="shared" si="274"/>
        <v>12549.596875689265</v>
      </c>
      <c r="P869" s="93">
        <f t="shared" si="275"/>
        <v>36013.396813588639</v>
      </c>
      <c r="Q869" s="93">
        <f t="shared" si="276"/>
        <v>18517215313121.309</v>
      </c>
      <c r="R869" s="93">
        <f t="shared" si="277"/>
        <v>2211492330354.2983</v>
      </c>
      <c r="S869" s="93">
        <f t="shared" si="278"/>
        <v>48065095814143.539</v>
      </c>
      <c r="T869">
        <f t="shared" si="283"/>
        <v>0.5</v>
      </c>
    </row>
    <row r="870" spans="1:20" x14ac:dyDescent="0.25">
      <c r="A870">
        <v>413.5</v>
      </c>
      <c r="B870" s="95">
        <f t="shared" si="279"/>
        <v>-10357.305869371423</v>
      </c>
      <c r="C870" s="95">
        <f t="shared" si="280"/>
        <v>19903.747068194538</v>
      </c>
      <c r="D870" s="95">
        <f t="shared" si="281"/>
        <v>4626.920933316369</v>
      </c>
      <c r="E870" s="95">
        <f t="shared" si="282"/>
        <v>-566.48099280286635</v>
      </c>
      <c r="F870" s="96">
        <f t="shared" si="265"/>
        <v>202.10402677436389</v>
      </c>
      <c r="G870" s="94">
        <f t="shared" si="266"/>
        <v>-1465.8279761148808</v>
      </c>
      <c r="H870" s="97">
        <f t="shared" si="267"/>
        <v>737.62770474508409</v>
      </c>
      <c r="I870" s="94">
        <f t="shared" si="268"/>
        <v>-449.43803167572145</v>
      </c>
      <c r="J870" s="95">
        <f t="shared" si="269"/>
        <v>-597.3578559667867</v>
      </c>
      <c r="K870" s="94">
        <f t="shared" si="270"/>
        <v>-613.52989471090768</v>
      </c>
      <c r="L870" s="94">
        <f t="shared" si="271"/>
        <v>61.834177996066494</v>
      </c>
      <c r="M870" s="93">
        <f t="shared" si="272"/>
        <v>-402.86004972825157</v>
      </c>
      <c r="N870" s="93">
        <f t="shared" si="273"/>
        <v>23838.474019762438</v>
      </c>
      <c r="O870" s="93">
        <f t="shared" si="274"/>
        <v>13822.653728124376</v>
      </c>
      <c r="P870" s="93">
        <f t="shared" si="275"/>
        <v>35312.494751553597</v>
      </c>
      <c r="Q870" s="93">
        <f t="shared" si="276"/>
        <v>14450461064727.213</v>
      </c>
      <c r="R870" s="93">
        <f t="shared" si="277"/>
        <v>2899055661381.5327</v>
      </c>
      <c r="S870" s="93">
        <f t="shared" si="278"/>
        <v>45364535999603.625</v>
      </c>
      <c r="T870">
        <f t="shared" si="283"/>
        <v>0.5</v>
      </c>
    </row>
    <row r="871" spans="1:20" x14ac:dyDescent="0.25">
      <c r="A871">
        <v>414</v>
      </c>
      <c r="B871" s="95">
        <f t="shared" si="279"/>
        <v>-7993.3193960196477</v>
      </c>
      <c r="C871" s="95">
        <f t="shared" si="280"/>
        <v>19254.049577764381</v>
      </c>
      <c r="D871" s="95">
        <f t="shared" si="281"/>
        <v>4727.9729467035513</v>
      </c>
      <c r="E871" s="95">
        <f t="shared" si="282"/>
        <v>-1299.3949808603068</v>
      </c>
      <c r="F871" s="96">
        <f t="shared" si="265"/>
        <v>341.59910307276215</v>
      </c>
      <c r="G871" s="94">
        <f t="shared" si="266"/>
        <v>-1441.6909692011586</v>
      </c>
      <c r="H871" s="97">
        <f t="shared" si="267"/>
        <v>876.85383325837154</v>
      </c>
      <c r="I871" s="94">
        <f t="shared" si="268"/>
        <v>-572.80056012630939</v>
      </c>
      <c r="J871" s="95">
        <f t="shared" si="269"/>
        <v>-572.61662981898348</v>
      </c>
      <c r="K871" s="94">
        <f t="shared" si="270"/>
        <v>-441.33952223569099</v>
      </c>
      <c r="L871" s="94">
        <f t="shared" si="271"/>
        <v>37.361899633374108</v>
      </c>
      <c r="M871" s="93">
        <f t="shared" si="272"/>
        <v>-427.55088683915812</v>
      </c>
      <c r="N871" s="93">
        <f t="shared" si="273"/>
        <v>21492.259638384232</v>
      </c>
      <c r="O871" s="93">
        <f t="shared" si="274"/>
        <v>15159.083505071114</v>
      </c>
      <c r="P871" s="93">
        <f t="shared" si="275"/>
        <v>34384.587731751672</v>
      </c>
      <c r="Q871" s="93">
        <f t="shared" si="276"/>
        <v>10744413318803.34</v>
      </c>
      <c r="R871" s="93">
        <f t="shared" si="277"/>
        <v>3765752245048.0356</v>
      </c>
      <c r="S871" s="93">
        <f t="shared" si="278"/>
        <v>41949108212113.305</v>
      </c>
      <c r="T871">
        <f t="shared" si="283"/>
        <v>0.5</v>
      </c>
    </row>
    <row r="872" spans="1:20" x14ac:dyDescent="0.25">
      <c r="A872">
        <v>414.5</v>
      </c>
      <c r="B872" s="95">
        <f t="shared" si="279"/>
        <v>-5543.9331468996816</v>
      </c>
      <c r="C872" s="95">
        <f t="shared" si="280"/>
        <v>18243.929345033939</v>
      </c>
      <c r="D872" s="95">
        <f t="shared" si="281"/>
        <v>4898.7724982399322</v>
      </c>
      <c r="E872" s="95">
        <f t="shared" si="282"/>
        <v>-2020.2404654608861</v>
      </c>
      <c r="F872" s="96">
        <f t="shared" si="265"/>
        <v>569.47300400223924</v>
      </c>
      <c r="G872" s="94">
        <f t="shared" si="266"/>
        <v>-1512.3584422932099</v>
      </c>
      <c r="H872" s="97">
        <f t="shared" si="267"/>
        <v>1089.8990371616867</v>
      </c>
      <c r="I872" s="94">
        <f t="shared" si="268"/>
        <v>-753.33560288898059</v>
      </c>
      <c r="J872" s="95">
        <f t="shared" si="269"/>
        <v>-527.91918271742918</v>
      </c>
      <c r="K872" s="94">
        <f t="shared" si="270"/>
        <v>-301.05895928927379</v>
      </c>
      <c r="L872" s="94">
        <f t="shared" si="271"/>
        <v>7.4931495579817105</v>
      </c>
      <c r="M872" s="93">
        <f t="shared" si="272"/>
        <v>-457.9638801149556</v>
      </c>
      <c r="N872" s="93">
        <f t="shared" si="273"/>
        <v>18895.657581739993</v>
      </c>
      <c r="O872" s="93">
        <f t="shared" si="274"/>
        <v>16641.521562261591</v>
      </c>
      <c r="P872" s="93">
        <f t="shared" si="275"/>
        <v>33248.378931399122</v>
      </c>
      <c r="Q872" s="93">
        <f t="shared" si="276"/>
        <v>7467466330545.1621</v>
      </c>
      <c r="R872" s="93">
        <f t="shared" si="277"/>
        <v>4917851915882.2764</v>
      </c>
      <c r="S872" s="93">
        <f t="shared" si="278"/>
        <v>38008413887939.914</v>
      </c>
      <c r="T872">
        <f t="shared" si="283"/>
        <v>0.5</v>
      </c>
    </row>
    <row r="873" spans="1:20" x14ac:dyDescent="0.25">
      <c r="A873">
        <v>415</v>
      </c>
      <c r="B873" s="95">
        <f t="shared" si="279"/>
        <v>-2952.1786467791558</v>
      </c>
      <c r="C873" s="95">
        <f t="shared" si="280"/>
        <v>16855.719501730196</v>
      </c>
      <c r="D873" s="95">
        <f t="shared" si="281"/>
        <v>5183.5090002410516</v>
      </c>
      <c r="E873" s="95">
        <f t="shared" si="282"/>
        <v>-2776.4196866074908</v>
      </c>
      <c r="F873" s="96">
        <f t="shared" si="265"/>
        <v>945.60570331362749</v>
      </c>
      <c r="G873" s="94">
        <f t="shared" si="266"/>
        <v>-1726.5353238851883</v>
      </c>
      <c r="H873" s="97">
        <f t="shared" si="267"/>
        <v>1445.2191819431812</v>
      </c>
      <c r="I873" s="94">
        <f t="shared" si="268"/>
        <v>-1043.9220808726795</v>
      </c>
      <c r="J873" s="95">
        <f t="shared" si="269"/>
        <v>-467.82628784696908</v>
      </c>
      <c r="K873" s="94">
        <f t="shared" si="270"/>
        <v>-188.13464422001104</v>
      </c>
      <c r="L873" s="94">
        <f t="shared" si="271"/>
        <v>-31.787190782584638</v>
      </c>
      <c r="M873" s="93">
        <f t="shared" si="272"/>
        <v>-494.47859879249773</v>
      </c>
      <c r="N873" s="93">
        <f t="shared" si="273"/>
        <v>15977.747622651217</v>
      </c>
      <c r="O873" s="93">
        <f t="shared" si="274"/>
        <v>18374.686467467582</v>
      </c>
      <c r="P873" s="93">
        <f t="shared" si="275"/>
        <v>31921.472980857583</v>
      </c>
      <c r="Q873" s="93">
        <f t="shared" si="276"/>
        <v>4692537274287.7285</v>
      </c>
      <c r="R873" s="93">
        <f t="shared" si="277"/>
        <v>6544508049960.4082</v>
      </c>
      <c r="S873" s="93">
        <f t="shared" si="278"/>
        <v>33731724219490.82</v>
      </c>
      <c r="T873">
        <f t="shared" si="283"/>
        <v>0.5</v>
      </c>
    </row>
    <row r="874" spans="1:20" x14ac:dyDescent="0.25">
      <c r="A874">
        <v>415.5</v>
      </c>
      <c r="B874" s="95">
        <f t="shared" si="279"/>
        <v>-124.02272083022311</v>
      </c>
      <c r="C874" s="95">
        <f t="shared" si="280"/>
        <v>15035.875827455153</v>
      </c>
      <c r="D874" s="95">
        <f t="shared" si="281"/>
        <v>5656.3118518978654</v>
      </c>
      <c r="E874" s="95">
        <f t="shared" si="282"/>
        <v>-3639.6873485500851</v>
      </c>
      <c r="F874" s="96">
        <f t="shared" si="265"/>
        <v>1635.2243025915741</v>
      </c>
      <c r="G874" s="94">
        <f t="shared" si="266"/>
        <v>-2214.040445331897</v>
      </c>
      <c r="H874" s="97">
        <f t="shared" si="267"/>
        <v>2118.926205193276</v>
      </c>
      <c r="I874" s="94">
        <f t="shared" si="268"/>
        <v>-1577.2351771814108</v>
      </c>
      <c r="J874" s="95">
        <f t="shared" si="269"/>
        <v>-396.63799334166004</v>
      </c>
      <c r="K874" s="94">
        <f t="shared" si="270"/>
        <v>-100.49416211664216</v>
      </c>
      <c r="L874" s="94">
        <f t="shared" si="271"/>
        <v>-87.063909260041726</v>
      </c>
      <c r="M874" s="93">
        <f t="shared" si="272"/>
        <v>-536.31110603384388</v>
      </c>
      <c r="N874" s="93">
        <f t="shared" si="273"/>
        <v>12620.826460208915</v>
      </c>
      <c r="O874" s="93">
        <f t="shared" si="274"/>
        <v>20504.01224520753</v>
      </c>
      <c r="P874" s="93">
        <f t="shared" si="275"/>
        <v>30429.081339226865</v>
      </c>
      <c r="Q874" s="93">
        <f t="shared" si="276"/>
        <v>2501703876125.5698</v>
      </c>
      <c r="R874" s="93">
        <f t="shared" si="277"/>
        <v>8999676977168.2852</v>
      </c>
      <c r="S874" s="93">
        <f t="shared" si="278"/>
        <v>29323927157841.895</v>
      </c>
      <c r="T874">
        <f t="shared" si="283"/>
        <v>0.5</v>
      </c>
    </row>
    <row r="875" spans="1:20" x14ac:dyDescent="0.25">
      <c r="A875">
        <v>416</v>
      </c>
      <c r="B875" s="95">
        <f t="shared" si="279"/>
        <v>3112.9392807666031</v>
      </c>
      <c r="C875" s="95">
        <f t="shared" si="280"/>
        <v>12662.522041847136</v>
      </c>
      <c r="D875" s="95">
        <f t="shared" si="281"/>
        <v>6473.9240031936524</v>
      </c>
      <c r="E875" s="95">
        <f t="shared" si="282"/>
        <v>-4746.7075712160331</v>
      </c>
      <c r="F875" s="96">
        <f t="shared" si="265"/>
        <v>3167.8889053738831</v>
      </c>
      <c r="G875" s="94">
        <f t="shared" si="266"/>
        <v>-3355.7079856996852</v>
      </c>
      <c r="H875" s="97">
        <f t="shared" si="267"/>
        <v>3656.2193300276572</v>
      </c>
      <c r="I875" s="94">
        <f t="shared" si="268"/>
        <v>-2740.6920964675874</v>
      </c>
      <c r="J875" s="95">
        <f t="shared" si="269"/>
        <v>-318.72504073718409</v>
      </c>
      <c r="K875" s="94">
        <f t="shared" si="270"/>
        <v>-36.715903414220904</v>
      </c>
      <c r="L875" s="94">
        <f t="shared" si="271"/>
        <v>-169.6053839165902</v>
      </c>
      <c r="M875" s="93">
        <f t="shared" si="272"/>
        <v>-578.29998581787686</v>
      </c>
      <c r="N875" s="93">
        <f t="shared" si="273"/>
        <v>8607.1620864815341</v>
      </c>
      <c r="O875" s="93">
        <f t="shared" si="274"/>
        <v>23265.790032142166</v>
      </c>
      <c r="P875" s="93">
        <f t="shared" si="275"/>
        <v>28827.67610281974</v>
      </c>
      <c r="Q875" s="93">
        <f t="shared" si="276"/>
        <v>986280152956.37866</v>
      </c>
      <c r="R875" s="93">
        <f t="shared" si="277"/>
        <v>13023620582821.203</v>
      </c>
      <c r="S875" s="93">
        <f t="shared" si="278"/>
        <v>25045932952233.477</v>
      </c>
      <c r="T875">
        <f t="shared" si="283"/>
        <v>0.5</v>
      </c>
    </row>
    <row r="876" spans="1:20" x14ac:dyDescent="0.25">
      <c r="A876">
        <v>416.5</v>
      </c>
      <c r="B876" s="95">
        <f t="shared" si="279"/>
        <v>7141.8735087068999</v>
      </c>
      <c r="C876" s="95">
        <f t="shared" si="280"/>
        <v>9450.2412598141982</v>
      </c>
      <c r="D876" s="95">
        <f t="shared" si="281"/>
        <v>8057.8684558805944</v>
      </c>
      <c r="E876" s="95">
        <f t="shared" si="282"/>
        <v>-6424.5615640658762</v>
      </c>
      <c r="F876" s="96">
        <f t="shared" ref="F876:F939" si="284">SUM(H876,J876,L876)</f>
        <v>6121.6992340025336</v>
      </c>
      <c r="G876" s="94">
        <f t="shared" ref="G876:G939" si="285">SUM(I876,K876,M876)</f>
        <v>-5136.3279531570442</v>
      </c>
      <c r="H876" s="97">
        <f t="shared" ref="H876:H939" si="286">$D$22*(($D$18-$B876)/$Q876)</f>
        <v>6656.7902299213511</v>
      </c>
      <c r="I876" s="94">
        <f t="shared" ref="I876:I939" si="287">$D$22*(($E$18-$C876)/$Q876)</f>
        <v>-4542.2576655965522</v>
      </c>
      <c r="J876" s="95">
        <f t="shared" ref="J876:J939" si="288">$D$30*(($D$26-$B876)/$R876)</f>
        <v>-237.68772578946977</v>
      </c>
      <c r="K876" s="94">
        <f t="shared" ref="K876:K939" si="289">$D$30*(($E$26-$C876)/$R876)</f>
        <v>4.8143656938688855</v>
      </c>
      <c r="L876" s="94">
        <f t="shared" ref="L876:L939" si="290">$D$38*(($D$34-$B876)/$S876)</f>
        <v>-297.40327012934802</v>
      </c>
      <c r="M876" s="93">
        <f t="shared" ref="M876:M939" si="291">$D$38*(($E$34-$C876)/$S876)</f>
        <v>-598.88465325436164</v>
      </c>
      <c r="N876" s="93">
        <f t="shared" ref="N876:N939" si="292">SQRT(($D$18-$B876)^2+($E$18-$C876)^2)</f>
        <v>3460.1052024054238</v>
      </c>
      <c r="O876" s="93">
        <f t="shared" ref="O876:O939" si="293">SQRT(($D$26-$B876)^2+($E$26-$C876)^2)</f>
        <v>27147.440620343128</v>
      </c>
      <c r="P876" s="93">
        <f t="shared" ref="P876:P939" si="294">SQRT(($D$34-$B876)^2+($E$34-$C876)^2)</f>
        <v>27299.073060537401</v>
      </c>
      <c r="Q876" s="93">
        <f t="shared" ref="Q876:Q939" si="295">($N876^2+$D$39^2)^(3/2)</f>
        <v>224809777634.19925</v>
      </c>
      <c r="R876" s="93">
        <f t="shared" ref="R876:R939" si="296">($O876^2+$D$31^2)^(3/2)</f>
        <v>20508118075782.98</v>
      </c>
      <c r="S876" s="93">
        <f t="shared" ref="S876:S939" si="297">($P876^2+$D$23^2)^(3/2)</f>
        <v>21376597842597.137</v>
      </c>
      <c r="T876">
        <f t="shared" si="283"/>
        <v>0.5</v>
      </c>
    </row>
    <row r="877" spans="1:20" x14ac:dyDescent="0.25">
      <c r="A877">
        <v>417</v>
      </c>
      <c r="B877" s="95">
        <f t="shared" ref="B877:B940" si="298">B876+(D876*$T876)+(F876*($T876)^2)</f>
        <v>12701.23254514783</v>
      </c>
      <c r="C877" s="95">
        <f t="shared" ref="C877:C940" si="299">C876+(E876*$T876)+(G876*($T876)^2)</f>
        <v>4953.8784894919991</v>
      </c>
      <c r="D877" s="95">
        <f t="shared" ref="D877:D940" si="300">D876+(F876*$T876)</f>
        <v>11118.71807288186</v>
      </c>
      <c r="E877" s="95">
        <f t="shared" ref="E877:E940" si="301">E876+(G876*$T876)</f>
        <v>-8992.7255406443983</v>
      </c>
      <c r="F877" s="96">
        <f t="shared" si="284"/>
        <v>-6479.9333493952063</v>
      </c>
      <c r="G877" s="94">
        <f t="shared" si="285"/>
        <v>5022.3481472018566</v>
      </c>
      <c r="H877" s="97">
        <f t="shared" si="286"/>
        <v>-5856.7825800578457</v>
      </c>
      <c r="I877" s="94">
        <f t="shared" si="287"/>
        <v>5520.4725473340304</v>
      </c>
      <c r="J877" s="95">
        <f t="shared" si="288"/>
        <v>-159.43586822269029</v>
      </c>
      <c r="K877" s="94">
        <f t="shared" si="289"/>
        <v>24.602521115199128</v>
      </c>
      <c r="L877" s="94">
        <f t="shared" si="290"/>
        <v>-463.71490111467023</v>
      </c>
      <c r="M877" s="93">
        <f t="shared" si="291"/>
        <v>-522.72692124737307</v>
      </c>
      <c r="N877" s="93">
        <f t="shared" si="292"/>
        <v>3712.060345581328</v>
      </c>
      <c r="O877" s="93">
        <f t="shared" si="293"/>
        <v>33088.27514801349</v>
      </c>
      <c r="P877" s="93">
        <f t="shared" si="294"/>
        <v>26673.786765114779</v>
      </c>
      <c r="Q877" s="93">
        <f t="shared" si="295"/>
        <v>241491302419.44394</v>
      </c>
      <c r="R877" s="93">
        <f t="shared" si="296"/>
        <v>36835861657972.57</v>
      </c>
      <c r="S877" s="93">
        <f t="shared" si="297"/>
        <v>19987159491620.977</v>
      </c>
      <c r="T877">
        <f t="shared" si="283"/>
        <v>0.5</v>
      </c>
    </row>
    <row r="878" spans="1:20" x14ac:dyDescent="0.25">
      <c r="A878">
        <v>417.5</v>
      </c>
      <c r="B878" s="95">
        <f t="shared" si="298"/>
        <v>16640.60824423996</v>
      </c>
      <c r="C878" s="95">
        <f t="shared" si="299"/>
        <v>1713.1027559702641</v>
      </c>
      <c r="D878" s="95">
        <f t="shared" si="300"/>
        <v>7878.7513981842567</v>
      </c>
      <c r="E878" s="95">
        <f t="shared" si="301"/>
        <v>-6481.5514670434695</v>
      </c>
      <c r="F878" s="96">
        <f t="shared" si="284"/>
        <v>-3996.5020812639636</v>
      </c>
      <c r="G878" s="94">
        <f t="shared" si="285"/>
        <v>2536.4224534463165</v>
      </c>
      <c r="H878" s="97">
        <f t="shared" si="286"/>
        <v>-3346.3798971310011</v>
      </c>
      <c r="I878" s="94">
        <f t="shared" si="287"/>
        <v>2916.1721173630699</v>
      </c>
      <c r="J878" s="95">
        <f t="shared" si="288"/>
        <v>-122.52902058925925</v>
      </c>
      <c r="K878" s="94">
        <f t="shared" si="289"/>
        <v>27.712023672380425</v>
      </c>
      <c r="L878" s="94">
        <f t="shared" si="290"/>
        <v>-527.59316354370321</v>
      </c>
      <c r="M878" s="93">
        <f t="shared" si="291"/>
        <v>-407.46168758913382</v>
      </c>
      <c r="N878" s="93">
        <f t="shared" si="292"/>
        <v>8808.2834631060032</v>
      </c>
      <c r="O878" s="93">
        <f t="shared" si="293"/>
        <v>37566.033041046183</v>
      </c>
      <c r="P878" s="93">
        <f t="shared" si="294"/>
        <v>27343.074606054954</v>
      </c>
      <c r="Q878" s="93">
        <f t="shared" si="295"/>
        <v>1039037542896.1337</v>
      </c>
      <c r="R878" s="93">
        <f t="shared" si="296"/>
        <v>53705214404783.641</v>
      </c>
      <c r="S878" s="93">
        <f t="shared" si="297"/>
        <v>21476768015300.277</v>
      </c>
      <c r="T878">
        <f t="shared" si="283"/>
        <v>0.5</v>
      </c>
    </row>
    <row r="879" spans="1:20" x14ac:dyDescent="0.25">
      <c r="A879">
        <v>418</v>
      </c>
      <c r="B879" s="95">
        <f t="shared" si="298"/>
        <v>19580.858423016096</v>
      </c>
      <c r="C879" s="95">
        <f t="shared" si="299"/>
        <v>-893.56736418989158</v>
      </c>
      <c r="D879" s="95">
        <f t="shared" si="300"/>
        <v>5880.5003575522751</v>
      </c>
      <c r="E879" s="95">
        <f t="shared" si="301"/>
        <v>-5213.3402403203108</v>
      </c>
      <c r="F879" s="96">
        <f t="shared" si="284"/>
        <v>-2599.5130898106518</v>
      </c>
      <c r="G879" s="94">
        <f t="shared" si="285"/>
        <v>1433.3458267955225</v>
      </c>
      <c r="H879" s="97">
        <f t="shared" si="286"/>
        <v>-1957.8901548671849</v>
      </c>
      <c r="I879" s="94">
        <f t="shared" si="287"/>
        <v>1715.2620549201795</v>
      </c>
      <c r="J879" s="95">
        <f t="shared" si="288"/>
        <v>-101.63391462120656</v>
      </c>
      <c r="K879" s="94">
        <f t="shared" si="289"/>
        <v>27.972003122818364</v>
      </c>
      <c r="L879" s="94">
        <f t="shared" si="290"/>
        <v>-539.98902032226033</v>
      </c>
      <c r="M879" s="93">
        <f t="shared" si="291"/>
        <v>-309.88823124747523</v>
      </c>
      <c r="N879" s="93">
        <f t="shared" si="292"/>
        <v>12737.535916301556</v>
      </c>
      <c r="O879" s="93">
        <f t="shared" si="293"/>
        <v>41052.578036232837</v>
      </c>
      <c r="P879" s="93">
        <f t="shared" si="294"/>
        <v>28340.960508088112</v>
      </c>
      <c r="Q879" s="93">
        <f t="shared" si="295"/>
        <v>2562210002946.8589</v>
      </c>
      <c r="R879" s="93">
        <f t="shared" si="296"/>
        <v>69942201439735.891</v>
      </c>
      <c r="S879" s="93">
        <f t="shared" si="297"/>
        <v>23834757539635.457</v>
      </c>
      <c r="T879">
        <f t="shared" si="283"/>
        <v>0.5</v>
      </c>
    </row>
    <row r="880" spans="1:20" x14ac:dyDescent="0.25">
      <c r="A880">
        <v>418.5</v>
      </c>
      <c r="B880" s="95">
        <f t="shared" si="298"/>
        <v>21871.230329339571</v>
      </c>
      <c r="C880" s="95">
        <f t="shared" si="299"/>
        <v>-3141.9010276511663</v>
      </c>
      <c r="D880" s="95">
        <f t="shared" si="300"/>
        <v>4580.7438126469497</v>
      </c>
      <c r="E880" s="95">
        <f t="shared" si="301"/>
        <v>-4496.6673269225494</v>
      </c>
      <c r="F880" s="96">
        <f t="shared" si="284"/>
        <v>-1952.6494542136925</v>
      </c>
      <c r="G880" s="94">
        <f t="shared" si="285"/>
        <v>987.43625678574938</v>
      </c>
      <c r="H880" s="97">
        <f t="shared" si="286"/>
        <v>-1332.5295335852866</v>
      </c>
      <c r="I880" s="94">
        <f t="shared" si="287"/>
        <v>1194.5389836965362</v>
      </c>
      <c r="J880" s="95">
        <f t="shared" si="288"/>
        <v>-88.130086404013568</v>
      </c>
      <c r="K880" s="94">
        <f t="shared" si="289"/>
        <v>27.660922881177729</v>
      </c>
      <c r="L880" s="94">
        <f t="shared" si="290"/>
        <v>-531.98983422439233</v>
      </c>
      <c r="M880" s="93">
        <f t="shared" si="291"/>
        <v>-234.76364979196467</v>
      </c>
      <c r="N880" s="93">
        <f t="shared" si="292"/>
        <v>15942.903343323469</v>
      </c>
      <c r="O880" s="93">
        <f t="shared" si="293"/>
        <v>43885.185335294918</v>
      </c>
      <c r="P880" s="93">
        <f t="shared" si="294"/>
        <v>29371.372638173369</v>
      </c>
      <c r="Q880" s="93">
        <f t="shared" si="295"/>
        <v>4664633322282.5781</v>
      </c>
      <c r="R880" s="93">
        <f t="shared" si="296"/>
        <v>85326566203816.578</v>
      </c>
      <c r="S880" s="93">
        <f t="shared" si="297"/>
        <v>26447391273509.707</v>
      </c>
      <c r="T880">
        <f t="shared" si="283"/>
        <v>0.5</v>
      </c>
    </row>
    <row r="881" spans="1:20" x14ac:dyDescent="0.25">
      <c r="A881">
        <v>419</v>
      </c>
      <c r="B881" s="95">
        <f t="shared" si="298"/>
        <v>23673.439872109622</v>
      </c>
      <c r="C881" s="95">
        <f t="shared" si="299"/>
        <v>-5143.3756269160031</v>
      </c>
      <c r="D881" s="95">
        <f t="shared" si="300"/>
        <v>3604.4190855401034</v>
      </c>
      <c r="E881" s="95">
        <f t="shared" si="301"/>
        <v>-4002.9491985296745</v>
      </c>
      <c r="F881" s="96">
        <f t="shared" si="284"/>
        <v>-1594.6803664415891</v>
      </c>
      <c r="G881" s="94">
        <f t="shared" si="285"/>
        <v>772.80286588257138</v>
      </c>
      <c r="H881" s="97">
        <f t="shared" si="286"/>
        <v>-998.57561833127613</v>
      </c>
      <c r="I881" s="94">
        <f t="shared" si="287"/>
        <v>923.34970223511982</v>
      </c>
      <c r="J881" s="95">
        <f t="shared" si="288"/>
        <v>-78.736000604031005</v>
      </c>
      <c r="K881" s="94">
        <f t="shared" si="289"/>
        <v>27.301005737113055</v>
      </c>
      <c r="L881" s="94">
        <f t="shared" si="290"/>
        <v>-517.36874750628181</v>
      </c>
      <c r="M881" s="93">
        <f t="shared" si="291"/>
        <v>-177.84784208966153</v>
      </c>
      <c r="N881" s="93">
        <f t="shared" si="292"/>
        <v>18623.047687730676</v>
      </c>
      <c r="O881" s="93">
        <f t="shared" si="293"/>
        <v>46224.356952159411</v>
      </c>
      <c r="P881" s="93">
        <f t="shared" si="294"/>
        <v>30320.277012777427</v>
      </c>
      <c r="Q881" s="93">
        <f t="shared" si="295"/>
        <v>7169608634364.2705</v>
      </c>
      <c r="R881" s="93">
        <f t="shared" si="296"/>
        <v>99617764395527.438</v>
      </c>
      <c r="S881" s="93">
        <f t="shared" si="297"/>
        <v>29018718431665.125</v>
      </c>
      <c r="T881">
        <f t="shared" si="283"/>
        <v>0.5</v>
      </c>
    </row>
    <row r="882" spans="1:20" x14ac:dyDescent="0.25">
      <c r="A882">
        <v>419.5</v>
      </c>
      <c r="B882" s="95">
        <f t="shared" si="298"/>
        <v>25076.979323269275</v>
      </c>
      <c r="C882" s="95">
        <f t="shared" si="299"/>
        <v>-6951.6495097101979</v>
      </c>
      <c r="D882" s="95">
        <f t="shared" si="300"/>
        <v>2807.0789023193088</v>
      </c>
      <c r="E882" s="95">
        <f t="shared" si="301"/>
        <v>-3616.5477655883888</v>
      </c>
      <c r="F882" s="96">
        <f t="shared" si="284"/>
        <v>-1371.2525950445415</v>
      </c>
      <c r="G882" s="94">
        <f t="shared" si="285"/>
        <v>656.71911973865679</v>
      </c>
      <c r="H882" s="97">
        <f t="shared" si="286"/>
        <v>-797.12747054802037</v>
      </c>
      <c r="I882" s="94">
        <f t="shared" si="287"/>
        <v>764.06596917875765</v>
      </c>
      <c r="J882" s="95">
        <f t="shared" si="288"/>
        <v>-71.908883787130947</v>
      </c>
      <c r="K882" s="94">
        <f t="shared" si="289"/>
        <v>27.042055898467815</v>
      </c>
      <c r="L882" s="94">
        <f t="shared" si="290"/>
        <v>-502.21624070939021</v>
      </c>
      <c r="M882" s="93">
        <f t="shared" si="291"/>
        <v>-134.38890533856866</v>
      </c>
      <c r="N882" s="93">
        <f t="shared" si="292"/>
        <v>20884.575146882835</v>
      </c>
      <c r="O882" s="93">
        <f t="shared" si="293"/>
        <v>48159.033275290145</v>
      </c>
      <c r="P882" s="93">
        <f t="shared" si="294"/>
        <v>31135.199225746343</v>
      </c>
      <c r="Q882" s="93">
        <f t="shared" si="295"/>
        <v>9903419722767.0313</v>
      </c>
      <c r="R882" s="93">
        <f t="shared" si="296"/>
        <v>112580973710598</v>
      </c>
      <c r="S882" s="93">
        <f t="shared" si="297"/>
        <v>31357547348756.395</v>
      </c>
      <c r="T882">
        <f t="shared" si="283"/>
        <v>0.5</v>
      </c>
    </row>
    <row r="883" spans="1:20" x14ac:dyDescent="0.25">
      <c r="A883">
        <v>420</v>
      </c>
      <c r="B883" s="95">
        <f t="shared" si="298"/>
        <v>26137.705625667793</v>
      </c>
      <c r="C883" s="95">
        <f t="shared" si="299"/>
        <v>-8595.7436125697277</v>
      </c>
      <c r="D883" s="95">
        <f t="shared" si="300"/>
        <v>2121.452604797038</v>
      </c>
      <c r="E883" s="95">
        <f t="shared" si="301"/>
        <v>-3288.1882057190605</v>
      </c>
      <c r="F883" s="96">
        <f t="shared" si="284"/>
        <v>-1221.0883184287777</v>
      </c>
      <c r="G883" s="94">
        <f t="shared" si="285"/>
        <v>589.61556652717672</v>
      </c>
      <c r="H883" s="97">
        <f t="shared" si="286"/>
        <v>-665.03633406146002</v>
      </c>
      <c r="I883" s="94">
        <f t="shared" si="287"/>
        <v>663.30707563973067</v>
      </c>
      <c r="J883" s="95">
        <f t="shared" si="288"/>
        <v>-66.819509127567102</v>
      </c>
      <c r="K883" s="94">
        <f t="shared" si="289"/>
        <v>26.931518227961647</v>
      </c>
      <c r="L883" s="94">
        <f t="shared" si="290"/>
        <v>-489.23247523975067</v>
      </c>
      <c r="M883" s="93">
        <f t="shared" si="291"/>
        <v>-100.62302734051556</v>
      </c>
      <c r="N883" s="93">
        <f t="shared" si="292"/>
        <v>22792.509850876213</v>
      </c>
      <c r="O883" s="93">
        <f t="shared" si="293"/>
        <v>49744.24148487144</v>
      </c>
      <c r="P883" s="93">
        <f t="shared" si="294"/>
        <v>31789.482718450847</v>
      </c>
      <c r="Q883" s="93">
        <f t="shared" si="295"/>
        <v>12705595880697.473</v>
      </c>
      <c r="R883" s="93">
        <f t="shared" si="296"/>
        <v>124006787030405.34</v>
      </c>
      <c r="S883" s="93">
        <f t="shared" si="297"/>
        <v>33324984267551.395</v>
      </c>
      <c r="T883">
        <f t="shared" si="283"/>
        <v>0.5</v>
      </c>
    </row>
    <row r="884" spans="1:20" x14ac:dyDescent="0.25">
      <c r="A884">
        <v>420.5</v>
      </c>
      <c r="B884" s="95">
        <f t="shared" si="298"/>
        <v>26893.159848459116</v>
      </c>
      <c r="C884" s="95">
        <f t="shared" si="299"/>
        <v>-10092.433823797463</v>
      </c>
      <c r="D884" s="95">
        <f t="shared" si="300"/>
        <v>1510.9084455826492</v>
      </c>
      <c r="E884" s="95">
        <f t="shared" si="301"/>
        <v>-2993.3804224554724</v>
      </c>
      <c r="F884" s="96">
        <f t="shared" si="284"/>
        <v>-1115.7412911429965</v>
      </c>
      <c r="G884" s="94">
        <f t="shared" si="285"/>
        <v>550.04117414264022</v>
      </c>
      <c r="H884" s="97">
        <f t="shared" si="286"/>
        <v>-573.13361053440542</v>
      </c>
      <c r="I884" s="94">
        <f t="shared" si="287"/>
        <v>596.85785288063357</v>
      </c>
      <c r="J884" s="95">
        <f t="shared" si="288"/>
        <v>-62.981579770678117</v>
      </c>
      <c r="K884" s="94">
        <f t="shared" si="289"/>
        <v>26.98588083528675</v>
      </c>
      <c r="L884" s="94">
        <f t="shared" si="290"/>
        <v>-479.62610083791287</v>
      </c>
      <c r="M884" s="93">
        <f t="shared" si="291"/>
        <v>-73.802559573280107</v>
      </c>
      <c r="N884" s="93">
        <f t="shared" si="292"/>
        <v>24390.009789056752</v>
      </c>
      <c r="O884" s="93">
        <f t="shared" si="293"/>
        <v>51016.412433028047</v>
      </c>
      <c r="P884" s="93">
        <f t="shared" si="294"/>
        <v>32268.527250142233</v>
      </c>
      <c r="Q884" s="93">
        <f t="shared" si="295"/>
        <v>15433116554431.338</v>
      </c>
      <c r="R884" s="93">
        <f t="shared" si="296"/>
        <v>133717636193093.88</v>
      </c>
      <c r="S884" s="93">
        <f t="shared" si="297"/>
        <v>34817161571149.426</v>
      </c>
      <c r="T884">
        <f t="shared" si="283"/>
        <v>0.5</v>
      </c>
    </row>
    <row r="885" spans="1:20" x14ac:dyDescent="0.25">
      <c r="A885">
        <v>421</v>
      </c>
      <c r="B885" s="95">
        <f t="shared" si="298"/>
        <v>27369.678748464692</v>
      </c>
      <c r="C885" s="95">
        <f t="shared" si="299"/>
        <v>-11451.613741489538</v>
      </c>
      <c r="D885" s="95">
        <f t="shared" si="300"/>
        <v>953.03780001115092</v>
      </c>
      <c r="E885" s="95">
        <f t="shared" si="301"/>
        <v>-2718.3598353841521</v>
      </c>
      <c r="F885" s="96">
        <f t="shared" si="284"/>
        <v>-1040.3967922291222</v>
      </c>
      <c r="G885" s="94">
        <f t="shared" si="285"/>
        <v>527.69236885243231</v>
      </c>
      <c r="H885" s="97">
        <f t="shared" si="286"/>
        <v>-506.32370963034356</v>
      </c>
      <c r="I885" s="94">
        <f t="shared" si="287"/>
        <v>552.43689374050973</v>
      </c>
      <c r="J885" s="95">
        <f t="shared" si="288"/>
        <v>-60.093100989387814</v>
      </c>
      <c r="K885" s="94">
        <f t="shared" si="289"/>
        <v>27.213483920754925</v>
      </c>
      <c r="L885" s="94">
        <f t="shared" si="290"/>
        <v>-473.97998160939073</v>
      </c>
      <c r="M885" s="93">
        <f t="shared" si="291"/>
        <v>-51.958008808832396</v>
      </c>
      <c r="N885" s="93">
        <f t="shared" si="292"/>
        <v>25707.380326114155</v>
      </c>
      <c r="O885" s="93">
        <f t="shared" si="293"/>
        <v>52000.5595820546</v>
      </c>
      <c r="P885" s="93">
        <f t="shared" si="294"/>
        <v>32563.586217098273</v>
      </c>
      <c r="Q885" s="93">
        <f t="shared" si="295"/>
        <v>17962308207671.703</v>
      </c>
      <c r="R885" s="93">
        <f t="shared" si="296"/>
        <v>141569131014946.25</v>
      </c>
      <c r="S885" s="93">
        <f t="shared" si="297"/>
        <v>35758312200564.445</v>
      </c>
      <c r="T885">
        <f t="shared" si="283"/>
        <v>0.5</v>
      </c>
    </row>
    <row r="886" spans="1:20" x14ac:dyDescent="0.25">
      <c r="A886">
        <v>421.5</v>
      </c>
      <c r="B886" s="95">
        <f t="shared" si="298"/>
        <v>27586.098450412988</v>
      </c>
      <c r="C886" s="95">
        <f t="shared" si="299"/>
        <v>-12678.870566968506</v>
      </c>
      <c r="D886" s="95">
        <f t="shared" si="300"/>
        <v>432.83940389658983</v>
      </c>
      <c r="E886" s="95">
        <f t="shared" si="301"/>
        <v>-2454.5136509579361</v>
      </c>
      <c r="F886" s="96">
        <f t="shared" si="284"/>
        <v>-986.70201353875063</v>
      </c>
      <c r="G886" s="94">
        <f t="shared" si="285"/>
        <v>517.27306078657341</v>
      </c>
      <c r="H886" s="97">
        <f t="shared" si="286"/>
        <v>-456.0774228424799</v>
      </c>
      <c r="I886" s="94">
        <f t="shared" si="287"/>
        <v>523.31830792399808</v>
      </c>
      <c r="J886" s="95">
        <f t="shared" si="288"/>
        <v>-57.960069827307279</v>
      </c>
      <c r="K886" s="94">
        <f t="shared" si="289"/>
        <v>27.622960580298432</v>
      </c>
      <c r="L886" s="94">
        <f t="shared" si="290"/>
        <v>-472.66452086896351</v>
      </c>
      <c r="M886" s="93">
        <f t="shared" si="291"/>
        <v>-33.668207717723128</v>
      </c>
      <c r="N886" s="93">
        <f t="shared" si="292"/>
        <v>26766.727033129882</v>
      </c>
      <c r="O886" s="93">
        <f t="shared" si="293"/>
        <v>52714.020297504416</v>
      </c>
      <c r="P886" s="93">
        <f t="shared" si="294"/>
        <v>32668.661650959821</v>
      </c>
      <c r="Q886" s="93">
        <f t="shared" si="295"/>
        <v>20189685248611.094</v>
      </c>
      <c r="R886" s="93">
        <f t="shared" si="296"/>
        <v>147449716239512.16</v>
      </c>
      <c r="S886" s="93">
        <f t="shared" si="297"/>
        <v>36097571315051.086</v>
      </c>
      <c r="T886">
        <f t="shared" si="283"/>
        <v>0.5</v>
      </c>
    </row>
    <row r="887" spans="1:20" x14ac:dyDescent="0.25">
      <c r="A887">
        <v>422</v>
      </c>
      <c r="B887" s="95">
        <f t="shared" si="298"/>
        <v>27555.842648976595</v>
      </c>
      <c r="C887" s="95">
        <f t="shared" si="299"/>
        <v>-13776.80912725083</v>
      </c>
      <c r="D887" s="95">
        <f t="shared" si="300"/>
        <v>-60.511602872785488</v>
      </c>
      <c r="E887" s="95">
        <f t="shared" si="301"/>
        <v>-2195.8771205646494</v>
      </c>
      <c r="F887" s="96">
        <f t="shared" si="284"/>
        <v>-949.72579985569018</v>
      </c>
      <c r="G887" s="94">
        <f t="shared" si="285"/>
        <v>515.98570743529217</v>
      </c>
      <c r="H887" s="97">
        <f t="shared" si="286"/>
        <v>-417.21594641774789</v>
      </c>
      <c r="I887" s="94">
        <f t="shared" si="287"/>
        <v>505.64500003041508</v>
      </c>
      <c r="J887" s="95">
        <f t="shared" si="288"/>
        <v>-56.456676004949422</v>
      </c>
      <c r="K887" s="94">
        <f t="shared" si="289"/>
        <v>28.227017639810697</v>
      </c>
      <c r="L887" s="94">
        <f t="shared" si="290"/>
        <v>-476.05317743299292</v>
      </c>
      <c r="M887" s="93">
        <f t="shared" si="291"/>
        <v>-17.886310234933607</v>
      </c>
      <c r="N887" s="93">
        <f t="shared" si="292"/>
        <v>27584.601098313709</v>
      </c>
      <c r="O887" s="93">
        <f t="shared" si="293"/>
        <v>53168.551064778323</v>
      </c>
      <c r="P887" s="93">
        <f t="shared" si="294"/>
        <v>32578.813460531375</v>
      </c>
      <c r="Q887" s="93">
        <f t="shared" si="295"/>
        <v>22032277995425.906</v>
      </c>
      <c r="R887" s="93">
        <f t="shared" si="296"/>
        <v>151279931475397.78</v>
      </c>
      <c r="S887" s="93">
        <f t="shared" si="297"/>
        <v>35807342871846.219</v>
      </c>
      <c r="T887">
        <f t="shared" si="283"/>
        <v>0.5</v>
      </c>
    </row>
    <row r="888" spans="1:20" x14ac:dyDescent="0.25">
      <c r="A888">
        <v>422.5</v>
      </c>
      <c r="B888" s="95">
        <f t="shared" si="298"/>
        <v>27288.15539757628</v>
      </c>
      <c r="C888" s="95">
        <f t="shared" si="299"/>
        <v>-14745.751260674331</v>
      </c>
      <c r="D888" s="95">
        <f t="shared" si="300"/>
        <v>-535.37450280063058</v>
      </c>
      <c r="E888" s="95">
        <f t="shared" si="301"/>
        <v>-1937.8842668470033</v>
      </c>
      <c r="F888" s="96">
        <f t="shared" si="284"/>
        <v>-926.54382064262859</v>
      </c>
      <c r="G888" s="94">
        <f t="shared" si="285"/>
        <v>522.41082157647566</v>
      </c>
      <c r="H888" s="97">
        <f t="shared" si="286"/>
        <v>-386.38238050141399</v>
      </c>
      <c r="I888" s="94">
        <f t="shared" si="287"/>
        <v>497.18238472953055</v>
      </c>
      <c r="J888" s="95">
        <f t="shared" si="288"/>
        <v>-55.503488623076095</v>
      </c>
      <c r="K888" s="94">
        <f t="shared" si="289"/>
        <v>29.044810735770529</v>
      </c>
      <c r="L888" s="94">
        <f t="shared" si="290"/>
        <v>-484.65795151813847</v>
      </c>
      <c r="M888" s="93">
        <f t="shared" si="291"/>
        <v>-3.8163738888254239</v>
      </c>
      <c r="N888" s="93">
        <f t="shared" si="292"/>
        <v>28173.636013169111</v>
      </c>
      <c r="O888" s="93">
        <f t="shared" si="293"/>
        <v>53371.545287357832</v>
      </c>
      <c r="P888" s="93">
        <f t="shared" si="294"/>
        <v>32289.156405819631</v>
      </c>
      <c r="Q888" s="93">
        <f t="shared" si="295"/>
        <v>23427716830092.191</v>
      </c>
      <c r="R888" s="93">
        <f t="shared" si="296"/>
        <v>153011768486735</v>
      </c>
      <c r="S888" s="93">
        <f t="shared" si="297"/>
        <v>34882412595403.031</v>
      </c>
      <c r="T888">
        <f t="shared" si="283"/>
        <v>0.5</v>
      </c>
    </row>
    <row r="889" spans="1:20" x14ac:dyDescent="0.25">
      <c r="A889">
        <v>423</v>
      </c>
      <c r="B889" s="95">
        <f t="shared" si="298"/>
        <v>26788.832191015306</v>
      </c>
      <c r="C889" s="95">
        <f t="shared" si="299"/>
        <v>-15584.090688703713</v>
      </c>
      <c r="D889" s="95">
        <f t="shared" si="300"/>
        <v>-998.64641312194487</v>
      </c>
      <c r="E889" s="95">
        <f t="shared" si="301"/>
        <v>-1676.6788560587656</v>
      </c>
      <c r="F889" s="96">
        <f t="shared" si="284"/>
        <v>-915.54639905791089</v>
      </c>
      <c r="G889" s="94">
        <f t="shared" si="285"/>
        <v>535.97727873515532</v>
      </c>
      <c r="H889" s="97">
        <f t="shared" si="286"/>
        <v>-361.2449204700182</v>
      </c>
      <c r="I889" s="94">
        <f t="shared" si="287"/>
        <v>496.69985440834631</v>
      </c>
      <c r="J889" s="95">
        <f t="shared" si="288"/>
        <v>-55.055385393417033</v>
      </c>
      <c r="K889" s="94">
        <f t="shared" si="289"/>
        <v>30.104234426205505</v>
      </c>
      <c r="L889" s="94">
        <f t="shared" si="290"/>
        <v>-499.24609319447563</v>
      </c>
      <c r="M889" s="93">
        <f t="shared" si="291"/>
        <v>9.1731899006034432</v>
      </c>
      <c r="N889" s="93">
        <f t="shared" si="292"/>
        <v>28543.653046909909</v>
      </c>
      <c r="O889" s="93">
        <f t="shared" si="293"/>
        <v>53326.733578635824</v>
      </c>
      <c r="P889" s="93">
        <f t="shared" si="294"/>
        <v>31794.197804020176</v>
      </c>
      <c r="Q889" s="93">
        <f t="shared" si="295"/>
        <v>24334216153138.969</v>
      </c>
      <c r="R889" s="93">
        <f t="shared" si="296"/>
        <v>152628325996387.94</v>
      </c>
      <c r="S889" s="93">
        <f t="shared" si="297"/>
        <v>33339456912748.816</v>
      </c>
      <c r="T889">
        <f t="shared" si="283"/>
        <v>0.5</v>
      </c>
    </row>
    <row r="890" spans="1:20" x14ac:dyDescent="0.25">
      <c r="A890">
        <v>423.5</v>
      </c>
      <c r="B890" s="95">
        <f t="shared" si="298"/>
        <v>26060.622384689854</v>
      </c>
      <c r="C890" s="95">
        <f t="shared" si="299"/>
        <v>-16288.435797049307</v>
      </c>
      <c r="D890" s="95">
        <f t="shared" si="300"/>
        <v>-1456.4196126509003</v>
      </c>
      <c r="E890" s="95">
        <f t="shared" si="301"/>
        <v>-1408.690216691188</v>
      </c>
      <c r="F890" s="96">
        <f t="shared" si="284"/>
        <v>-916.11293191967695</v>
      </c>
      <c r="G890" s="94">
        <f t="shared" si="285"/>
        <v>556.7082166674104</v>
      </c>
      <c r="H890" s="97">
        <f t="shared" si="286"/>
        <v>-340.03796161122409</v>
      </c>
      <c r="I890" s="94">
        <f t="shared" si="287"/>
        <v>503.65241300107482</v>
      </c>
      <c r="J890" s="95">
        <f t="shared" si="288"/>
        <v>-55.095353851613723</v>
      </c>
      <c r="K890" s="94">
        <f t="shared" si="289"/>
        <v>31.444878454905254</v>
      </c>
      <c r="L890" s="94">
        <f t="shared" si="290"/>
        <v>-520.97961645683915</v>
      </c>
      <c r="M890" s="93">
        <f t="shared" si="291"/>
        <v>21.610925211430295</v>
      </c>
      <c r="N890" s="93">
        <f t="shared" si="292"/>
        <v>28702.495868024052</v>
      </c>
      <c r="O890" s="93">
        <f t="shared" si="293"/>
        <v>53034.5433761862</v>
      </c>
      <c r="P890" s="93">
        <f t="shared" si="294"/>
        <v>31087.333911537258</v>
      </c>
      <c r="Q890" s="93">
        <f t="shared" si="295"/>
        <v>24730539426021.133</v>
      </c>
      <c r="R890" s="93">
        <f t="shared" si="296"/>
        <v>150143856835252.84</v>
      </c>
      <c r="S890" s="93">
        <f t="shared" si="297"/>
        <v>31216775735969.816</v>
      </c>
      <c r="T890">
        <f t="shared" si="283"/>
        <v>0.5</v>
      </c>
    </row>
    <row r="891" spans="1:20" x14ac:dyDescent="0.25">
      <c r="A891">
        <v>424</v>
      </c>
      <c r="B891" s="95">
        <f t="shared" si="298"/>
        <v>25103.384345384486</v>
      </c>
      <c r="C891" s="95">
        <f t="shared" si="299"/>
        <v>-16853.60385122805</v>
      </c>
      <c r="D891" s="95">
        <f t="shared" si="300"/>
        <v>-1914.4760786107388</v>
      </c>
      <c r="E891" s="95">
        <f t="shared" si="301"/>
        <v>-1130.3361083574828</v>
      </c>
      <c r="F891" s="96">
        <f t="shared" si="284"/>
        <v>-928.51242571736225</v>
      </c>
      <c r="G891" s="94">
        <f t="shared" si="285"/>
        <v>585.10570702877328</v>
      </c>
      <c r="H891" s="97">
        <f t="shared" si="286"/>
        <v>-321.25913269913985</v>
      </c>
      <c r="I891" s="94">
        <f t="shared" si="287"/>
        <v>518.01751663261302</v>
      </c>
      <c r="J891" s="95">
        <f t="shared" si="288"/>
        <v>-55.632394013216292</v>
      </c>
      <c r="K891" s="94">
        <f t="shared" si="289"/>
        <v>33.122354160530257</v>
      </c>
      <c r="L891" s="94">
        <f t="shared" si="290"/>
        <v>-551.62089900500609</v>
      </c>
      <c r="M891" s="93">
        <f t="shared" si="291"/>
        <v>33.96583623563005</v>
      </c>
      <c r="N891" s="93">
        <f t="shared" si="292"/>
        <v>28656.766028757589</v>
      </c>
      <c r="O891" s="93">
        <f t="shared" si="293"/>
        <v>52492.202460995715</v>
      </c>
      <c r="P891" s="93">
        <f t="shared" si="294"/>
        <v>30160.397813742893</v>
      </c>
      <c r="Q891" s="93">
        <f t="shared" si="295"/>
        <v>24615996078280.531</v>
      </c>
      <c r="R891" s="93">
        <f t="shared" si="296"/>
        <v>145604274136567.84</v>
      </c>
      <c r="S891" s="93">
        <f t="shared" si="297"/>
        <v>28574144331803.617</v>
      </c>
      <c r="T891">
        <f t="shared" si="283"/>
        <v>0.5</v>
      </c>
    </row>
    <row r="892" spans="1:20" x14ac:dyDescent="0.25">
      <c r="A892">
        <v>424.5</v>
      </c>
      <c r="B892" s="95">
        <f t="shared" si="298"/>
        <v>23914.018199649778</v>
      </c>
      <c r="C892" s="95">
        <f t="shared" si="299"/>
        <v>-17272.495478649598</v>
      </c>
      <c r="D892" s="95">
        <f t="shared" si="300"/>
        <v>-2378.73229146942</v>
      </c>
      <c r="E892" s="95">
        <f t="shared" si="301"/>
        <v>-837.78325484309607</v>
      </c>
      <c r="F892" s="96">
        <f t="shared" si="284"/>
        <v>-953.99676612247947</v>
      </c>
      <c r="G892" s="94">
        <f t="shared" si="285"/>
        <v>622.10557011969729</v>
      </c>
      <c r="H892" s="97">
        <f t="shared" si="286"/>
        <v>-303.42390426757999</v>
      </c>
      <c r="I892" s="94">
        <f t="shared" si="287"/>
        <v>540.21542797550956</v>
      </c>
      <c r="J892" s="95">
        <f t="shared" si="288"/>
        <v>-56.702950776471624</v>
      </c>
      <c r="K892" s="94">
        <f t="shared" si="289"/>
        <v>35.214973078681879</v>
      </c>
      <c r="L892" s="94">
        <f t="shared" si="290"/>
        <v>-593.86991107842789</v>
      </c>
      <c r="M892" s="93">
        <f t="shared" si="291"/>
        <v>46.675169065505848</v>
      </c>
      <c r="N892" s="93">
        <f t="shared" si="292"/>
        <v>28412.610487244918</v>
      </c>
      <c r="O892" s="93">
        <f t="shared" si="293"/>
        <v>51693.616666587899</v>
      </c>
      <c r="P892" s="93">
        <f t="shared" si="294"/>
        <v>29003.184034691112</v>
      </c>
      <c r="Q892" s="93">
        <f t="shared" si="295"/>
        <v>24010510676720.902</v>
      </c>
      <c r="R892" s="93">
        <f t="shared" si="296"/>
        <v>139088191446894.98</v>
      </c>
      <c r="S892" s="93">
        <f t="shared" si="297"/>
        <v>25492695023850.457</v>
      </c>
      <c r="T892">
        <f t="shared" si="283"/>
        <v>0.5</v>
      </c>
    </row>
    <row r="893" spans="1:20" x14ac:dyDescent="0.25">
      <c r="A893">
        <v>425</v>
      </c>
      <c r="B893" s="95">
        <f t="shared" si="298"/>
        <v>22486.152862384446</v>
      </c>
      <c r="C893" s="95">
        <f t="shared" si="299"/>
        <v>-17535.86071354122</v>
      </c>
      <c r="D893" s="95">
        <f t="shared" si="300"/>
        <v>-2855.7306745306596</v>
      </c>
      <c r="E893" s="95">
        <f t="shared" si="301"/>
        <v>-526.73046978324737</v>
      </c>
      <c r="F893" s="96">
        <f t="shared" si="284"/>
        <v>-995.13971031593314</v>
      </c>
      <c r="G893" s="94">
        <f t="shared" si="285"/>
        <v>669.05088714483202</v>
      </c>
      <c r="H893" s="97">
        <f t="shared" si="286"/>
        <v>-284.80885537100653</v>
      </c>
      <c r="I893" s="94">
        <f t="shared" si="287"/>
        <v>571.06739855257115</v>
      </c>
      <c r="J893" s="95">
        <f t="shared" si="288"/>
        <v>-58.37622113176878</v>
      </c>
      <c r="K893" s="94">
        <f t="shared" si="289"/>
        <v>37.834432768574572</v>
      </c>
      <c r="L893" s="94">
        <f t="shared" si="290"/>
        <v>-651.9546338131579</v>
      </c>
      <c r="M893" s="93">
        <f t="shared" si="291"/>
        <v>60.149055823686396</v>
      </c>
      <c r="N893" s="93">
        <f t="shared" si="292"/>
        <v>27976.746325666034</v>
      </c>
      <c r="O893" s="93">
        <f t="shared" si="293"/>
        <v>50629.011547544964</v>
      </c>
      <c r="P893" s="93">
        <f t="shared" si="294"/>
        <v>27602.883703208376</v>
      </c>
      <c r="Q893" s="93">
        <f t="shared" si="295"/>
        <v>22954814175848.938</v>
      </c>
      <c r="R893" s="93">
        <f t="shared" si="296"/>
        <v>130708602496993.28</v>
      </c>
      <c r="S893" s="93">
        <f t="shared" si="297"/>
        <v>22074719985465.52</v>
      </c>
      <c r="T893">
        <f t="shared" si="283"/>
        <v>0.5</v>
      </c>
    </row>
    <row r="894" spans="1:20" x14ac:dyDescent="0.25">
      <c r="A894">
        <v>425.5</v>
      </c>
      <c r="B894" s="95">
        <f t="shared" si="298"/>
        <v>20809.502597540129</v>
      </c>
      <c r="C894" s="95">
        <f t="shared" si="299"/>
        <v>-17631.963226646636</v>
      </c>
      <c r="D894" s="95">
        <f t="shared" si="300"/>
        <v>-3353.3005296886263</v>
      </c>
      <c r="E894" s="95">
        <f t="shared" si="301"/>
        <v>-192.20502621083136</v>
      </c>
      <c r="F894" s="96">
        <f t="shared" si="284"/>
        <v>-1056.6059308960866</v>
      </c>
      <c r="G894" s="94">
        <f t="shared" si="285"/>
        <v>727.60519531107616</v>
      </c>
      <c r="H894" s="97">
        <f t="shared" si="286"/>
        <v>-263.11570288146095</v>
      </c>
      <c r="I894" s="94">
        <f t="shared" si="287"/>
        <v>611.7408372402781</v>
      </c>
      <c r="J894" s="95">
        <f t="shared" si="288"/>
        <v>-60.764710317770643</v>
      </c>
      <c r="K894" s="94">
        <f t="shared" si="289"/>
        <v>41.143560546108731</v>
      </c>
      <c r="L894" s="94">
        <f t="shared" si="290"/>
        <v>-732.72551769685504</v>
      </c>
      <c r="M894" s="93">
        <f t="shared" si="291"/>
        <v>74.720797524689416</v>
      </c>
      <c r="N894" s="93">
        <f t="shared" si="292"/>
        <v>27358.013853928536</v>
      </c>
      <c r="O894" s="93">
        <f t="shared" si="293"/>
        <v>49284.28648177212</v>
      </c>
      <c r="P894" s="93">
        <f t="shared" si="294"/>
        <v>25943.354732163127</v>
      </c>
      <c r="Q894" s="93">
        <f t="shared" si="295"/>
        <v>21510849648713.355</v>
      </c>
      <c r="R894" s="93">
        <f t="shared" si="296"/>
        <v>120615358487166.48</v>
      </c>
      <c r="S894" s="93">
        <f t="shared" si="297"/>
        <v>18443228238250.188</v>
      </c>
      <c r="T894">
        <f t="shared" si="283"/>
        <v>0.5</v>
      </c>
    </row>
    <row r="895" spans="1:20" x14ac:dyDescent="0.25">
      <c r="A895">
        <v>426</v>
      </c>
      <c r="B895" s="95">
        <f t="shared" si="298"/>
        <v>18868.700849971796</v>
      </c>
      <c r="C895" s="95">
        <f t="shared" si="299"/>
        <v>-17546.164440924284</v>
      </c>
      <c r="D895" s="95">
        <f t="shared" si="300"/>
        <v>-3881.6034951366696</v>
      </c>
      <c r="E895" s="95">
        <f t="shared" si="301"/>
        <v>171.59757144470672</v>
      </c>
      <c r="F895" s="96">
        <f t="shared" si="284"/>
        <v>-1146.8294698005034</v>
      </c>
      <c r="G895" s="94">
        <f t="shared" si="285"/>
        <v>799.41044705365584</v>
      </c>
      <c r="H895" s="97">
        <f t="shared" si="286"/>
        <v>-234.97110553108379</v>
      </c>
      <c r="I895" s="94">
        <f t="shared" si="287"/>
        <v>663.58365757889032</v>
      </c>
      <c r="J895" s="95">
        <f t="shared" si="288"/>
        <v>-64.042979277236483</v>
      </c>
      <c r="K895" s="94">
        <f t="shared" si="289"/>
        <v>45.387121253854367</v>
      </c>
      <c r="L895" s="94">
        <f t="shared" si="290"/>
        <v>-847.81538499218311</v>
      </c>
      <c r="M895" s="93">
        <f t="shared" si="291"/>
        <v>90.439668220911102</v>
      </c>
      <c r="N895" s="93">
        <f t="shared" si="292"/>
        <v>26569.986977191209</v>
      </c>
      <c r="O895" s="93">
        <f t="shared" si="293"/>
        <v>47639.973563920452</v>
      </c>
      <c r="P895" s="93">
        <f t="shared" si="294"/>
        <v>24004.121180032223</v>
      </c>
      <c r="Q895" s="93">
        <f t="shared" si="295"/>
        <v>19762603983571.621</v>
      </c>
      <c r="R895" s="93">
        <f t="shared" si="296"/>
        <v>108998680425409.69</v>
      </c>
      <c r="S895" s="93">
        <f t="shared" si="297"/>
        <v>14740971632972.354</v>
      </c>
      <c r="T895">
        <f t="shared" si="283"/>
        <v>0.5</v>
      </c>
    </row>
    <row r="896" spans="1:20" x14ac:dyDescent="0.25">
      <c r="A896">
        <v>426.5</v>
      </c>
      <c r="B896" s="95">
        <f t="shared" si="298"/>
        <v>16641.191734953336</v>
      </c>
      <c r="C896" s="95">
        <f t="shared" si="299"/>
        <v>-17260.513043438517</v>
      </c>
      <c r="D896" s="95">
        <f t="shared" si="300"/>
        <v>-4455.0182300369215</v>
      </c>
      <c r="E896" s="95">
        <f t="shared" si="301"/>
        <v>571.30279497153469</v>
      </c>
      <c r="F896" s="96">
        <f t="shared" si="284"/>
        <v>-1281.8692673953858</v>
      </c>
      <c r="G896" s="94">
        <f t="shared" si="285"/>
        <v>884.92190979298778</v>
      </c>
      <c r="H896" s="97">
        <f t="shared" si="286"/>
        <v>-195.15878839945739</v>
      </c>
      <c r="I896" s="94">
        <f t="shared" si="287"/>
        <v>727.61515079798789</v>
      </c>
      <c r="J896" s="95">
        <f t="shared" si="288"/>
        <v>-68.480315113686174</v>
      </c>
      <c r="K896" s="94">
        <f t="shared" si="289"/>
        <v>50.948357162592146</v>
      </c>
      <c r="L896" s="94">
        <f t="shared" si="290"/>
        <v>-1018.2301638822422</v>
      </c>
      <c r="M896" s="93">
        <f t="shared" si="291"/>
        <v>106.35840183240772</v>
      </c>
      <c r="N896" s="93">
        <f t="shared" si="292"/>
        <v>25635.686724460913</v>
      </c>
      <c r="O896" s="93">
        <f t="shared" si="293"/>
        <v>45669.601521680634</v>
      </c>
      <c r="P896" s="93">
        <f t="shared" si="294"/>
        <v>21758.931474881028</v>
      </c>
      <c r="Q896" s="93">
        <f t="shared" si="295"/>
        <v>17817900436118.801</v>
      </c>
      <c r="R896" s="93">
        <f t="shared" si="296"/>
        <v>96094068817917.531</v>
      </c>
      <c r="S896" s="93">
        <f t="shared" si="297"/>
        <v>11128428421042.189</v>
      </c>
      <c r="T896">
        <f t="shared" si="283"/>
        <v>0.5</v>
      </c>
    </row>
    <row r="897" spans="1:20" x14ac:dyDescent="0.25">
      <c r="A897">
        <v>427</v>
      </c>
      <c r="B897" s="95">
        <f t="shared" si="298"/>
        <v>14093.21530308603</v>
      </c>
      <c r="C897" s="95">
        <f t="shared" si="299"/>
        <v>-16753.631168504504</v>
      </c>
      <c r="D897" s="95">
        <f t="shared" si="300"/>
        <v>-5095.9528637346148</v>
      </c>
      <c r="E897" s="95">
        <f t="shared" si="301"/>
        <v>1013.7637498680285</v>
      </c>
      <c r="F897" s="96">
        <f t="shared" si="284"/>
        <v>-1495.0530080222102</v>
      </c>
      <c r="G897" s="94">
        <f t="shared" si="285"/>
        <v>979.58762391821972</v>
      </c>
      <c r="H897" s="97">
        <f t="shared" si="286"/>
        <v>-135.53753656038555</v>
      </c>
      <c r="I897" s="94">
        <f t="shared" si="287"/>
        <v>803.10396053314935</v>
      </c>
      <c r="J897" s="95">
        <f t="shared" si="288"/>
        <v>-74.498230005330498</v>
      </c>
      <c r="K897" s="94">
        <f t="shared" si="289"/>
        <v>58.460258164286941</v>
      </c>
      <c r="L897" s="94">
        <f t="shared" si="290"/>
        <v>-1285.017241456494</v>
      </c>
      <c r="M897" s="93">
        <f t="shared" si="291"/>
        <v>118.02340522078343</v>
      </c>
      <c r="N897" s="93">
        <f t="shared" si="292"/>
        <v>24596.60619628795</v>
      </c>
      <c r="O897" s="93">
        <f t="shared" si="293"/>
        <v>43337.098546198904</v>
      </c>
      <c r="P897" s="93">
        <f t="shared" si="294"/>
        <v>19173.577988605804</v>
      </c>
      <c r="Q897" s="93">
        <f t="shared" si="295"/>
        <v>15812612323828.178</v>
      </c>
      <c r="R897" s="93">
        <f t="shared" si="296"/>
        <v>82189199195152.906</v>
      </c>
      <c r="S897" s="93">
        <f t="shared" si="297"/>
        <v>7779805462842.9004</v>
      </c>
      <c r="T897">
        <f t="shared" si="283"/>
        <v>0.5</v>
      </c>
    </row>
    <row r="898" spans="1:20" x14ac:dyDescent="0.25">
      <c r="A898">
        <v>427.5</v>
      </c>
      <c r="B898" s="95">
        <f t="shared" si="298"/>
        <v>11171.47561921317</v>
      </c>
      <c r="C898" s="95">
        <f t="shared" si="299"/>
        <v>-16001.852387590936</v>
      </c>
      <c r="D898" s="95">
        <f t="shared" si="300"/>
        <v>-5843.4793677457201</v>
      </c>
      <c r="E898" s="95">
        <f t="shared" si="301"/>
        <v>1503.5575618271384</v>
      </c>
      <c r="F898" s="96">
        <f t="shared" si="284"/>
        <v>-1863.6144586296359</v>
      </c>
      <c r="G898" s="94">
        <f t="shared" si="285"/>
        <v>1060.555560158271</v>
      </c>
      <c r="H898" s="97">
        <f t="shared" si="286"/>
        <v>-44.059650556590334</v>
      </c>
      <c r="I898" s="94">
        <f t="shared" si="287"/>
        <v>883.91374660047541</v>
      </c>
      <c r="J898" s="95">
        <f t="shared" si="288"/>
        <v>-82.772322025092038</v>
      </c>
      <c r="K898" s="94">
        <f t="shared" si="289"/>
        <v>69.044973210957423</v>
      </c>
      <c r="L898" s="94">
        <f t="shared" si="290"/>
        <v>-1736.7824860479536</v>
      </c>
      <c r="M898" s="93">
        <f t="shared" si="291"/>
        <v>107.59684034683806</v>
      </c>
      <c r="N898" s="93">
        <f t="shared" si="292"/>
        <v>23531.031018094483</v>
      </c>
      <c r="O898" s="93">
        <f t="shared" si="293"/>
        <v>40592.575920545736</v>
      </c>
      <c r="P898" s="93">
        <f t="shared" si="294"/>
        <v>16202.479190214306</v>
      </c>
      <c r="Q898" s="93">
        <f t="shared" si="295"/>
        <v>13921653760631.707</v>
      </c>
      <c r="R898" s="93">
        <f t="shared" si="296"/>
        <v>67633983214371.148</v>
      </c>
      <c r="S898" s="93">
        <f t="shared" si="297"/>
        <v>4875316800957.1738</v>
      </c>
      <c r="T898">
        <f t="shared" si="283"/>
        <v>0.5</v>
      </c>
    </row>
    <row r="899" spans="1:20" x14ac:dyDescent="0.25">
      <c r="A899">
        <v>428</v>
      </c>
      <c r="B899" s="95">
        <f t="shared" si="298"/>
        <v>7783.8323206829009</v>
      </c>
      <c r="C899" s="95">
        <f t="shared" si="299"/>
        <v>-14984.934716637799</v>
      </c>
      <c r="D899" s="95">
        <f t="shared" si="300"/>
        <v>-6775.286597060538</v>
      </c>
      <c r="E899" s="95">
        <f t="shared" si="301"/>
        <v>2033.8353419062739</v>
      </c>
      <c r="F899" s="96">
        <f t="shared" si="284"/>
        <v>-2588.6503374146491</v>
      </c>
      <c r="G899" s="94">
        <f t="shared" si="285"/>
        <v>1031.9451899076994</v>
      </c>
      <c r="H899" s="97">
        <f t="shared" si="286"/>
        <v>93.644412625236896</v>
      </c>
      <c r="I899" s="94">
        <f t="shared" si="287"/>
        <v>950.10342588570313</v>
      </c>
      <c r="J899" s="95">
        <f t="shared" si="288"/>
        <v>-94.401338347087602</v>
      </c>
      <c r="K899" s="94">
        <f t="shared" si="289"/>
        <v>84.89150267471986</v>
      </c>
      <c r="L899" s="94">
        <f t="shared" si="290"/>
        <v>-2587.8934116927985</v>
      </c>
      <c r="M899" s="93">
        <f t="shared" si="291"/>
        <v>-3.0497386527236379</v>
      </c>
      <c r="N899" s="93">
        <f t="shared" si="292"/>
        <v>22593.886084388261</v>
      </c>
      <c r="O899" s="93">
        <f t="shared" si="293"/>
        <v>37365.603182853563</v>
      </c>
      <c r="P899" s="93">
        <f t="shared" si="294"/>
        <v>12783.84119762521</v>
      </c>
      <c r="Q899" s="93">
        <f t="shared" si="295"/>
        <v>12391371261569.926</v>
      </c>
      <c r="R899" s="93">
        <f t="shared" si="296"/>
        <v>52857514817749.188</v>
      </c>
      <c r="S899" s="93">
        <f t="shared" si="297"/>
        <v>2586504884752.9985</v>
      </c>
      <c r="T899">
        <f t="shared" si="283"/>
        <v>0.5</v>
      </c>
    </row>
    <row r="900" spans="1:20" x14ac:dyDescent="0.25">
      <c r="A900">
        <v>428.5</v>
      </c>
      <c r="B900" s="95">
        <f t="shared" si="298"/>
        <v>3749.0264377989697</v>
      </c>
      <c r="C900" s="95">
        <f t="shared" si="299"/>
        <v>-13710.030748207737</v>
      </c>
      <c r="D900" s="95">
        <f t="shared" si="300"/>
        <v>-8069.6117657678624</v>
      </c>
      <c r="E900" s="95">
        <f t="shared" si="301"/>
        <v>2549.8079368601238</v>
      </c>
      <c r="F900" s="96">
        <f t="shared" si="284"/>
        <v>-4199.0916912320072</v>
      </c>
      <c r="G900" s="94">
        <f t="shared" si="285"/>
        <v>419.86198659596164</v>
      </c>
      <c r="H900" s="97">
        <f t="shared" si="286"/>
        <v>280.91670084445809</v>
      </c>
      <c r="I900" s="94">
        <f t="shared" si="287"/>
        <v>953.17182248617132</v>
      </c>
      <c r="J900" s="95">
        <f t="shared" si="288"/>
        <v>-111.03963285067337</v>
      </c>
      <c r="K900" s="94">
        <f t="shared" si="289"/>
        <v>110.8573067639047</v>
      </c>
      <c r="L900" s="94">
        <f t="shared" si="290"/>
        <v>-4368.9687592257915</v>
      </c>
      <c r="M900" s="93">
        <f t="shared" si="291"/>
        <v>-644.1671426541144</v>
      </c>
      <c r="N900" s="93">
        <f t="shared" si="292"/>
        <v>22111.989390718645</v>
      </c>
      <c r="O900" s="93">
        <f t="shared" si="293"/>
        <v>33558.632493357516</v>
      </c>
      <c r="P900" s="93">
        <f t="shared" si="294"/>
        <v>8843.6126260637866</v>
      </c>
      <c r="Q900" s="93">
        <f t="shared" si="295"/>
        <v>11651148164658.383</v>
      </c>
      <c r="R900" s="93">
        <f t="shared" si="296"/>
        <v>38411435357982.297</v>
      </c>
      <c r="S900" s="93">
        <f t="shared" si="297"/>
        <v>1048526502011.5328</v>
      </c>
      <c r="T900">
        <f t="shared" si="283"/>
        <v>0.5</v>
      </c>
    </row>
    <row r="901" spans="1:20" x14ac:dyDescent="0.25">
      <c r="A901">
        <v>429</v>
      </c>
      <c r="B901" s="95">
        <f t="shared" si="298"/>
        <v>-1335.5523678929633</v>
      </c>
      <c r="C901" s="95">
        <f t="shared" si="299"/>
        <v>-12330.161283128684</v>
      </c>
      <c r="D901" s="95">
        <f t="shared" si="300"/>
        <v>-10169.157611383866</v>
      </c>
      <c r="E901" s="95">
        <f t="shared" si="301"/>
        <v>2759.7389301581047</v>
      </c>
      <c r="F901" s="96">
        <f t="shared" si="284"/>
        <v>-5908.8190906411483</v>
      </c>
      <c r="G901" s="94">
        <f t="shared" si="285"/>
        <v>-3574.9148919826775</v>
      </c>
      <c r="H901" s="97">
        <f t="shared" si="286"/>
        <v>464.28205707564484</v>
      </c>
      <c r="I901" s="94">
        <f t="shared" si="287"/>
        <v>812.20462610629158</v>
      </c>
      <c r="J901" s="95">
        <f t="shared" si="288"/>
        <v>-133.08536812231642</v>
      </c>
      <c r="K901" s="94">
        <f t="shared" si="289"/>
        <v>159.22344947855225</v>
      </c>
      <c r="L901" s="94">
        <f t="shared" si="290"/>
        <v>-6240.015779594477</v>
      </c>
      <c r="M901" s="93">
        <f t="shared" si="291"/>
        <v>-4546.3429675675216</v>
      </c>
      <c r="N901" s="93">
        <f t="shared" si="292"/>
        <v>22841.410727013768</v>
      </c>
      <c r="O901" s="93">
        <f t="shared" si="293"/>
        <v>29103.225050537014</v>
      </c>
      <c r="P901" s="93">
        <f t="shared" si="294"/>
        <v>4533.8962518522567</v>
      </c>
      <c r="Q901" s="93">
        <f t="shared" si="295"/>
        <v>12783783586088.76</v>
      </c>
      <c r="R901" s="93">
        <f t="shared" si="296"/>
        <v>25187065628536.367</v>
      </c>
      <c r="S901" s="93">
        <f t="shared" si="297"/>
        <v>307483243822.82593</v>
      </c>
      <c r="T901">
        <f t="shared" si="283"/>
        <v>0.5</v>
      </c>
    </row>
    <row r="902" spans="1:20" x14ac:dyDescent="0.25">
      <c r="A902">
        <v>429.5</v>
      </c>
      <c r="B902" s="95">
        <f t="shared" si="298"/>
        <v>-7897.3359462451826</v>
      </c>
      <c r="C902" s="95">
        <f t="shared" si="299"/>
        <v>-11844.0205410453</v>
      </c>
      <c r="D902" s="95">
        <f t="shared" si="300"/>
        <v>-13123.567156704439</v>
      </c>
      <c r="E902" s="95">
        <f t="shared" si="301"/>
        <v>972.28148416676595</v>
      </c>
      <c r="F902" s="96">
        <f t="shared" si="284"/>
        <v>5664.2535948904751</v>
      </c>
      <c r="G902" s="94">
        <f t="shared" si="285"/>
        <v>-5019.1972373697463</v>
      </c>
      <c r="H902" s="97">
        <f t="shared" si="286"/>
        <v>485.55183052165233</v>
      </c>
      <c r="I902" s="94">
        <f t="shared" si="287"/>
        <v>524.80014967386899</v>
      </c>
      <c r="J902" s="95">
        <f t="shared" si="288"/>
        <v>-135.55174787690964</v>
      </c>
      <c r="K902" s="94">
        <f t="shared" si="289"/>
        <v>244.65647826349169</v>
      </c>
      <c r="L902" s="94">
        <f t="shared" si="290"/>
        <v>5314.2535122457321</v>
      </c>
      <c r="M902" s="93">
        <f t="shared" si="291"/>
        <v>-5788.6538653071066</v>
      </c>
      <c r="N902" s="93">
        <f t="shared" si="292"/>
        <v>26353.477278437898</v>
      </c>
      <c r="O902" s="93">
        <f t="shared" si="293"/>
        <v>24972.699305354596</v>
      </c>
      <c r="P902" s="93">
        <f t="shared" si="294"/>
        <v>4284.2457831861693</v>
      </c>
      <c r="Q902" s="93">
        <f t="shared" si="295"/>
        <v>19299738151244.629</v>
      </c>
      <c r="R902" s="93">
        <f t="shared" si="296"/>
        <v>16034986501404.879</v>
      </c>
      <c r="S902" s="93">
        <f t="shared" si="297"/>
        <v>285466538330.39191</v>
      </c>
      <c r="T902">
        <f t="shared" si="283"/>
        <v>0.5</v>
      </c>
    </row>
    <row r="903" spans="1:20" x14ac:dyDescent="0.25">
      <c r="A903">
        <v>430</v>
      </c>
      <c r="B903" s="95">
        <f t="shared" si="298"/>
        <v>-13043.056125874782</v>
      </c>
      <c r="C903" s="95">
        <f t="shared" si="299"/>
        <v>-12612.679108304354</v>
      </c>
      <c r="D903" s="95">
        <f t="shared" si="300"/>
        <v>-10291.440359259203</v>
      </c>
      <c r="E903" s="95">
        <f t="shared" si="301"/>
        <v>-1537.3171345181072</v>
      </c>
      <c r="F903" s="96">
        <f t="shared" si="284"/>
        <v>4834.25589664771</v>
      </c>
      <c r="G903" s="94">
        <f t="shared" si="285"/>
        <v>-691.05499618841816</v>
      </c>
      <c r="H903" s="97">
        <f t="shared" si="286"/>
        <v>405.3135180179853</v>
      </c>
      <c r="I903" s="94">
        <f t="shared" si="287"/>
        <v>353.76994620952001</v>
      </c>
      <c r="J903" s="95">
        <f t="shared" si="288"/>
        <v>-91.335020261031659</v>
      </c>
      <c r="K903" s="94">
        <f t="shared" si="289"/>
        <v>296.87310144828285</v>
      </c>
      <c r="L903" s="94">
        <f t="shared" si="290"/>
        <v>4520.2773988907566</v>
      </c>
      <c r="M903" s="93">
        <f t="shared" si="291"/>
        <v>-1341.698043846221</v>
      </c>
      <c r="N903" s="93">
        <f t="shared" si="292"/>
        <v>30585.982026638245</v>
      </c>
      <c r="O903" s="93">
        <f t="shared" si="293"/>
        <v>23658.662779685426</v>
      </c>
      <c r="P903" s="93">
        <f t="shared" si="294"/>
        <v>8389.8780017291283</v>
      </c>
      <c r="Q903" s="93">
        <f t="shared" si="295"/>
        <v>29767859785558.727</v>
      </c>
      <c r="R903" s="93">
        <f t="shared" si="296"/>
        <v>13679616191113.969</v>
      </c>
      <c r="S903" s="93">
        <f t="shared" si="297"/>
        <v>931653960133.03601</v>
      </c>
      <c r="T903">
        <f t="shared" si="283"/>
        <v>0.5</v>
      </c>
    </row>
    <row r="904" spans="1:20" x14ac:dyDescent="0.25">
      <c r="A904">
        <v>430.5</v>
      </c>
      <c r="B904" s="95">
        <f t="shared" si="298"/>
        <v>-16980.212331342456</v>
      </c>
      <c r="C904" s="95">
        <f t="shared" si="299"/>
        <v>-13554.101424610511</v>
      </c>
      <c r="D904" s="95">
        <f t="shared" si="300"/>
        <v>-7874.3124109353475</v>
      </c>
      <c r="E904" s="95">
        <f t="shared" si="301"/>
        <v>-1882.8446326123162</v>
      </c>
      <c r="F904" s="96">
        <f t="shared" si="284"/>
        <v>3116.9473388109873</v>
      </c>
      <c r="G904" s="94">
        <f t="shared" si="285"/>
        <v>232.61931669804227</v>
      </c>
      <c r="H904" s="97">
        <f t="shared" si="286"/>
        <v>341.45576704230052</v>
      </c>
      <c r="I904" s="94">
        <f t="shared" si="287"/>
        <v>266.45618140578466</v>
      </c>
      <c r="J904" s="95">
        <f t="shared" si="288"/>
        <v>-39.214714139434435</v>
      </c>
      <c r="K904" s="94">
        <f t="shared" si="289"/>
        <v>305.87162261907173</v>
      </c>
      <c r="L904" s="94">
        <f t="shared" si="290"/>
        <v>2814.7062859081211</v>
      </c>
      <c r="M904" s="93">
        <f t="shared" si="291"/>
        <v>-339.70848732681412</v>
      </c>
      <c r="N904" s="93">
        <f t="shared" si="292"/>
        <v>34222.902335163068</v>
      </c>
      <c r="O904" s="93">
        <f t="shared" si="293"/>
        <v>23746.890564547921</v>
      </c>
      <c r="P904" s="93">
        <f t="shared" si="294"/>
        <v>12067.150044412441</v>
      </c>
      <c r="Q904" s="93">
        <f t="shared" si="295"/>
        <v>41372287439863.227</v>
      </c>
      <c r="R904" s="93">
        <f t="shared" si="296"/>
        <v>13829933637845.107</v>
      </c>
      <c r="S904" s="93">
        <f t="shared" si="297"/>
        <v>2228589369876.1973</v>
      </c>
      <c r="T904">
        <f t="shared" si="283"/>
        <v>0.5</v>
      </c>
    </row>
    <row r="905" spans="1:20" x14ac:dyDescent="0.25">
      <c r="A905">
        <v>431</v>
      </c>
      <c r="B905" s="95">
        <f t="shared" si="298"/>
        <v>-20138.131702107381</v>
      </c>
      <c r="C905" s="95">
        <f t="shared" si="299"/>
        <v>-14437.368911742158</v>
      </c>
      <c r="D905" s="95">
        <f t="shared" si="300"/>
        <v>-6315.8387415298539</v>
      </c>
      <c r="E905" s="95">
        <f t="shared" si="301"/>
        <v>-1766.534974263295</v>
      </c>
      <c r="F905" s="96">
        <f t="shared" si="284"/>
        <v>2250.7603379124712</v>
      </c>
      <c r="G905" s="94">
        <f t="shared" si="285"/>
        <v>435.03223280468245</v>
      </c>
      <c r="H905" s="97">
        <f t="shared" si="286"/>
        <v>296.6095488368743</v>
      </c>
      <c r="I905" s="94">
        <f t="shared" si="287"/>
        <v>215.90034710495775</v>
      </c>
      <c r="J905" s="95">
        <f t="shared" si="288"/>
        <v>1.6488252245595645</v>
      </c>
      <c r="K905" s="94">
        <f t="shared" si="289"/>
        <v>291.69951335447388</v>
      </c>
      <c r="L905" s="94">
        <f t="shared" si="290"/>
        <v>1952.5019638510375</v>
      </c>
      <c r="M905" s="93">
        <f t="shared" si="291"/>
        <v>-72.567627654749174</v>
      </c>
      <c r="N905" s="93">
        <f t="shared" si="292"/>
        <v>37276.737213219742</v>
      </c>
      <c r="O905" s="93">
        <f t="shared" si="293"/>
        <v>24437.759301861315</v>
      </c>
      <c r="P905" s="93">
        <f t="shared" si="294"/>
        <v>15148.58360282646</v>
      </c>
      <c r="Q905" s="93">
        <f t="shared" si="295"/>
        <v>53202228046684.867</v>
      </c>
      <c r="R905" s="93">
        <f t="shared" si="296"/>
        <v>15045668293387.668</v>
      </c>
      <c r="S905" s="93">
        <f t="shared" si="297"/>
        <v>4059564277433.9043</v>
      </c>
      <c r="T905">
        <f t="shared" si="283"/>
        <v>0.5</v>
      </c>
    </row>
    <row r="906" spans="1:20" x14ac:dyDescent="0.25">
      <c r="A906">
        <v>431.5</v>
      </c>
      <c r="B906" s="95">
        <f t="shared" si="298"/>
        <v>-22733.36098839419</v>
      </c>
      <c r="C906" s="95">
        <f t="shared" si="299"/>
        <v>-15211.878340672634</v>
      </c>
      <c r="D906" s="95">
        <f t="shared" si="300"/>
        <v>-5190.4585725736179</v>
      </c>
      <c r="E906" s="95">
        <f t="shared" si="301"/>
        <v>-1549.0188578609539</v>
      </c>
      <c r="F906" s="96">
        <f t="shared" si="284"/>
        <v>1778.2167141378982</v>
      </c>
      <c r="G906" s="94">
        <f t="shared" si="285"/>
        <v>471.30645143086565</v>
      </c>
      <c r="H906" s="97">
        <f t="shared" si="286"/>
        <v>264.73995829850799</v>
      </c>
      <c r="I906" s="94">
        <f t="shared" si="287"/>
        <v>183.68849220592759</v>
      </c>
      <c r="J906" s="95">
        <f t="shared" si="288"/>
        <v>29.259693115020607</v>
      </c>
      <c r="K906" s="94">
        <f t="shared" si="289"/>
        <v>269.88452174211341</v>
      </c>
      <c r="L906" s="94">
        <f t="shared" si="290"/>
        <v>1484.2170627243695</v>
      </c>
      <c r="M906" s="93">
        <f t="shared" si="291"/>
        <v>17.733437482824687</v>
      </c>
      <c r="N906" s="93">
        <f t="shared" si="292"/>
        <v>39840.963082712267</v>
      </c>
      <c r="O906" s="93">
        <f t="shared" si="293"/>
        <v>25359.614976528199</v>
      </c>
      <c r="P906" s="93">
        <f t="shared" si="294"/>
        <v>17734.626705288923</v>
      </c>
      <c r="Q906" s="93">
        <f t="shared" si="295"/>
        <v>64739557431730.969</v>
      </c>
      <c r="R906" s="93">
        <f t="shared" si="296"/>
        <v>16777218755497.828</v>
      </c>
      <c r="S906" s="93">
        <f t="shared" si="297"/>
        <v>6255935424783.7285</v>
      </c>
      <c r="T906">
        <f t="shared" si="283"/>
        <v>0.5</v>
      </c>
    </row>
    <row r="907" spans="1:20" x14ac:dyDescent="0.25">
      <c r="A907">
        <v>432</v>
      </c>
      <c r="B907" s="95">
        <f t="shared" si="298"/>
        <v>-24884.036096146523</v>
      </c>
      <c r="C907" s="95">
        <f t="shared" si="299"/>
        <v>-15868.561156745394</v>
      </c>
      <c r="D907" s="95">
        <f t="shared" si="300"/>
        <v>-4301.350215504669</v>
      </c>
      <c r="E907" s="95">
        <f t="shared" si="301"/>
        <v>-1313.365632145521</v>
      </c>
      <c r="F907" s="96">
        <f t="shared" si="284"/>
        <v>1493.1231300496545</v>
      </c>
      <c r="G907" s="94">
        <f t="shared" si="285"/>
        <v>462.49977470791208</v>
      </c>
      <c r="H907" s="97">
        <f t="shared" si="286"/>
        <v>241.59020108107481</v>
      </c>
      <c r="I907" s="94">
        <f t="shared" si="287"/>
        <v>161.83951229935687</v>
      </c>
      <c r="J907" s="95">
        <f t="shared" si="288"/>
        <v>46.829925616218375</v>
      </c>
      <c r="K907" s="94">
        <f t="shared" si="289"/>
        <v>248.03723210088242</v>
      </c>
      <c r="L907" s="94">
        <f t="shared" si="290"/>
        <v>1204.7030033523613</v>
      </c>
      <c r="M907" s="93">
        <f t="shared" si="291"/>
        <v>52.623030307672764</v>
      </c>
      <c r="N907" s="93">
        <f t="shared" si="292"/>
        <v>41987.922369340959</v>
      </c>
      <c r="O907" s="93">
        <f t="shared" si="293"/>
        <v>26325.581948149578</v>
      </c>
      <c r="P907" s="93">
        <f t="shared" si="294"/>
        <v>19902.997009391944</v>
      </c>
      <c r="Q907" s="93">
        <f t="shared" si="295"/>
        <v>75604219484628.766</v>
      </c>
      <c r="R907" s="93">
        <f t="shared" si="296"/>
        <v>18730446892464.344</v>
      </c>
      <c r="S907" s="93">
        <f t="shared" si="297"/>
        <v>8642177304217.7158</v>
      </c>
      <c r="T907">
        <f t="shared" si="283"/>
        <v>0.5</v>
      </c>
    </row>
    <row r="908" spans="1:20" x14ac:dyDescent="0.25">
      <c r="A908">
        <v>432.5</v>
      </c>
      <c r="B908" s="95">
        <f t="shared" si="298"/>
        <v>-26661.430421386442</v>
      </c>
      <c r="C908" s="95">
        <f t="shared" si="299"/>
        <v>-16409.619029141177</v>
      </c>
      <c r="D908" s="95">
        <f t="shared" si="300"/>
        <v>-3554.7886504798416</v>
      </c>
      <c r="E908" s="95">
        <f t="shared" si="301"/>
        <v>-1082.115744791565</v>
      </c>
      <c r="F908" s="96">
        <f t="shared" si="284"/>
        <v>1308.4070229782515</v>
      </c>
      <c r="G908" s="94">
        <f t="shared" si="285"/>
        <v>442.24548509978257</v>
      </c>
      <c r="H908" s="97">
        <f t="shared" si="286"/>
        <v>224.52268517169475</v>
      </c>
      <c r="I908" s="94">
        <f t="shared" si="287"/>
        <v>146.42777993527108</v>
      </c>
      <c r="J908" s="95">
        <f t="shared" si="288"/>
        <v>57.772770112024148</v>
      </c>
      <c r="K908" s="94">
        <f t="shared" si="289"/>
        <v>229.04342647163099</v>
      </c>
      <c r="L908" s="94">
        <f t="shared" si="290"/>
        <v>1026.1115676945326</v>
      </c>
      <c r="M908" s="93">
        <f t="shared" si="291"/>
        <v>66.774278692880486</v>
      </c>
      <c r="N908" s="93">
        <f t="shared" si="292"/>
        <v>43769.057136986958</v>
      </c>
      <c r="O908" s="93">
        <f t="shared" si="293"/>
        <v>27236.788219673563</v>
      </c>
      <c r="P908" s="93">
        <f t="shared" si="294"/>
        <v>21707.247492666658</v>
      </c>
      <c r="Q908" s="93">
        <f t="shared" si="295"/>
        <v>85496394565390.5</v>
      </c>
      <c r="R908" s="93">
        <f t="shared" si="296"/>
        <v>20707947088628.984</v>
      </c>
      <c r="S908" s="93">
        <f t="shared" si="297"/>
        <v>11053279977954.697</v>
      </c>
      <c r="T908">
        <f t="shared" si="283"/>
        <v>0.5</v>
      </c>
    </row>
    <row r="909" spans="1:20" x14ac:dyDescent="0.25">
      <c r="A909">
        <v>433</v>
      </c>
      <c r="B909" s="95">
        <f t="shared" si="298"/>
        <v>-28111.722990881801</v>
      </c>
      <c r="C909" s="95">
        <f t="shared" si="299"/>
        <v>-16840.115530262014</v>
      </c>
      <c r="D909" s="95">
        <f t="shared" si="300"/>
        <v>-2900.5851389907157</v>
      </c>
      <c r="E909" s="95">
        <f t="shared" si="301"/>
        <v>-860.99300224167371</v>
      </c>
      <c r="F909" s="96">
        <f t="shared" si="284"/>
        <v>1183.4576496033756</v>
      </c>
      <c r="G909" s="94">
        <f t="shared" si="285"/>
        <v>421.19429756246279</v>
      </c>
      <c r="H909" s="97">
        <f t="shared" si="286"/>
        <v>211.89421766149292</v>
      </c>
      <c r="I909" s="94">
        <f t="shared" si="287"/>
        <v>135.32659594815902</v>
      </c>
      <c r="J909" s="95">
        <f t="shared" si="288"/>
        <v>64.571505787671441</v>
      </c>
      <c r="K909" s="94">
        <f t="shared" si="289"/>
        <v>213.65456848714246</v>
      </c>
      <c r="L909" s="94">
        <f t="shared" si="290"/>
        <v>906.99192615421134</v>
      </c>
      <c r="M909" s="93">
        <f t="shared" si="291"/>
        <v>72.213133127161285</v>
      </c>
      <c r="N909" s="93">
        <f t="shared" si="292"/>
        <v>45221.064266116184</v>
      </c>
      <c r="O909" s="93">
        <f t="shared" si="293"/>
        <v>28039.112888224772</v>
      </c>
      <c r="P909" s="93">
        <f t="shared" si="294"/>
        <v>23184.86068045193</v>
      </c>
      <c r="Q909" s="93">
        <f t="shared" si="295"/>
        <v>94175535860286.328</v>
      </c>
      <c r="R909" s="93">
        <f t="shared" si="296"/>
        <v>22561342557422.898</v>
      </c>
      <c r="S909" s="93">
        <f t="shared" si="297"/>
        <v>13342202406700.637</v>
      </c>
      <c r="T909">
        <f t="shared" si="283"/>
        <v>0.5</v>
      </c>
    </row>
    <row r="910" spans="1:20" x14ac:dyDescent="0.25">
      <c r="A910">
        <v>433.5</v>
      </c>
      <c r="B910" s="95">
        <f t="shared" si="298"/>
        <v>-29266.151147976318</v>
      </c>
      <c r="C910" s="95">
        <f t="shared" si="299"/>
        <v>-17165.313456992233</v>
      </c>
      <c r="D910" s="95">
        <f t="shared" si="300"/>
        <v>-2308.8563141890281</v>
      </c>
      <c r="E910" s="95">
        <f t="shared" si="301"/>
        <v>-650.39585346044237</v>
      </c>
      <c r="F910" s="96">
        <f t="shared" si="284"/>
        <v>1097.4468070393114</v>
      </c>
      <c r="G910" s="94">
        <f t="shared" si="285"/>
        <v>402.81452180096971</v>
      </c>
      <c r="H910" s="97">
        <f t="shared" si="286"/>
        <v>202.65889696531713</v>
      </c>
      <c r="I910" s="94">
        <f t="shared" si="287"/>
        <v>127.30163441943195</v>
      </c>
      <c r="J910" s="95">
        <f t="shared" si="288"/>
        <v>68.838504200105461</v>
      </c>
      <c r="K910" s="94">
        <f t="shared" si="289"/>
        <v>201.81189737173071</v>
      </c>
      <c r="L910" s="94">
        <f t="shared" si="290"/>
        <v>825.94940587388862</v>
      </c>
      <c r="M910" s="93">
        <f t="shared" si="291"/>
        <v>73.700990009807072</v>
      </c>
      <c r="N910" s="93">
        <f t="shared" si="292"/>
        <v>46370.338729703108</v>
      </c>
      <c r="O910" s="93">
        <f t="shared" si="293"/>
        <v>28702.191768465804</v>
      </c>
      <c r="P910" s="93">
        <f t="shared" si="294"/>
        <v>24362.567063088078</v>
      </c>
      <c r="Q910" s="93">
        <f t="shared" si="295"/>
        <v>101449820222088.28</v>
      </c>
      <c r="R910" s="93">
        <f t="shared" si="296"/>
        <v>24174677965831.457</v>
      </c>
      <c r="S910" s="93">
        <f t="shared" si="297"/>
        <v>15383178363232.15</v>
      </c>
      <c r="T910">
        <f t="shared" si="283"/>
        <v>0.5</v>
      </c>
    </row>
    <row r="911" spans="1:20" x14ac:dyDescent="0.25">
      <c r="A911">
        <v>434</v>
      </c>
      <c r="B911" s="95">
        <f t="shared" si="298"/>
        <v>-30146.217603311004</v>
      </c>
      <c r="C911" s="95">
        <f t="shared" si="299"/>
        <v>-17389.807753272209</v>
      </c>
      <c r="D911" s="95">
        <f t="shared" si="300"/>
        <v>-1760.1329106693724</v>
      </c>
      <c r="E911" s="95">
        <f t="shared" si="301"/>
        <v>-448.98859255995751</v>
      </c>
      <c r="F911" s="96">
        <f t="shared" si="284"/>
        <v>1038.9036132469698</v>
      </c>
      <c r="G911" s="94">
        <f t="shared" si="285"/>
        <v>388.11741119435806</v>
      </c>
      <c r="H911" s="97">
        <f t="shared" si="286"/>
        <v>196.14204955618052</v>
      </c>
      <c r="I911" s="94">
        <f t="shared" si="287"/>
        <v>121.60393175828084</v>
      </c>
      <c r="J911" s="95">
        <f t="shared" si="288"/>
        <v>71.577019547205978</v>
      </c>
      <c r="K911" s="94">
        <f t="shared" si="289"/>
        <v>193.22282269112947</v>
      </c>
      <c r="L911" s="94">
        <f t="shared" si="290"/>
        <v>771.18454414358337</v>
      </c>
      <c r="M911" s="93">
        <f t="shared" si="291"/>
        <v>73.290656744947768</v>
      </c>
      <c r="N911" s="93">
        <f t="shared" si="292"/>
        <v>47235.805464152378</v>
      </c>
      <c r="O911" s="93">
        <f t="shared" si="293"/>
        <v>29208.68535923773</v>
      </c>
      <c r="P911" s="93">
        <f t="shared" si="294"/>
        <v>25259.521785866575</v>
      </c>
      <c r="Q911" s="93">
        <f t="shared" si="295"/>
        <v>107169831403111.02</v>
      </c>
      <c r="R911" s="93">
        <f t="shared" si="296"/>
        <v>25457942669945.098</v>
      </c>
      <c r="S911" s="93">
        <f t="shared" si="297"/>
        <v>17073123220647.188</v>
      </c>
      <c r="T911">
        <f t="shared" si="283"/>
        <v>0.5</v>
      </c>
    </row>
    <row r="912" spans="1:20" x14ac:dyDescent="0.25">
      <c r="A912">
        <v>434.5</v>
      </c>
      <c r="B912" s="95">
        <f t="shared" si="298"/>
        <v>-30766.558155333951</v>
      </c>
      <c r="C912" s="95">
        <f t="shared" si="299"/>
        <v>-17517.2726967536</v>
      </c>
      <c r="D912" s="95">
        <f t="shared" si="300"/>
        <v>-1240.6811040458874</v>
      </c>
      <c r="E912" s="95">
        <f t="shared" si="301"/>
        <v>-254.92988696277848</v>
      </c>
      <c r="F912" s="96">
        <f t="shared" si="284"/>
        <v>1001.2483147500861</v>
      </c>
      <c r="G912" s="94">
        <f t="shared" si="285"/>
        <v>377.25953837247664</v>
      </c>
      <c r="H912" s="97">
        <f t="shared" si="286"/>
        <v>191.91205469689879</v>
      </c>
      <c r="I912" s="94">
        <f t="shared" si="287"/>
        <v>117.77094813481146</v>
      </c>
      <c r="J912" s="95">
        <f t="shared" si="288"/>
        <v>73.397811884771158</v>
      </c>
      <c r="K912" s="94">
        <f t="shared" si="289"/>
        <v>187.59083226403882</v>
      </c>
      <c r="L912" s="94">
        <f t="shared" si="290"/>
        <v>735.93844816841613</v>
      </c>
      <c r="M912" s="93">
        <f t="shared" si="291"/>
        <v>71.897757973626341</v>
      </c>
      <c r="N912" s="93">
        <f t="shared" si="292"/>
        <v>47830.703496979411</v>
      </c>
      <c r="O912" s="93">
        <f t="shared" si="293"/>
        <v>29548.588311113766</v>
      </c>
      <c r="P912" s="93">
        <f t="shared" si="294"/>
        <v>25889.229053836803</v>
      </c>
      <c r="Q912" s="93">
        <f t="shared" si="295"/>
        <v>111224487535199.27</v>
      </c>
      <c r="R912" s="93">
        <f t="shared" si="296"/>
        <v>26344291298521.195</v>
      </c>
      <c r="S912" s="93">
        <f t="shared" si="297"/>
        <v>18332155814242.48</v>
      </c>
      <c r="T912">
        <f t="shared" si="283"/>
        <v>0.5</v>
      </c>
    </row>
    <row r="913" spans="1:20" x14ac:dyDescent="0.25">
      <c r="A913">
        <v>435</v>
      </c>
      <c r="B913" s="95">
        <f t="shared" si="298"/>
        <v>-31136.586628669371</v>
      </c>
      <c r="C913" s="95">
        <f t="shared" si="299"/>
        <v>-17550.42275564187</v>
      </c>
      <c r="D913" s="95">
        <f t="shared" si="300"/>
        <v>-740.05694667084435</v>
      </c>
      <c r="E913" s="95">
        <f t="shared" si="301"/>
        <v>-66.300117776540162</v>
      </c>
      <c r="F913" s="96">
        <f t="shared" si="284"/>
        <v>980.72499984187596</v>
      </c>
      <c r="G913" s="94">
        <f t="shared" si="285"/>
        <v>370.12689840183594</v>
      </c>
      <c r="H913" s="97">
        <f t="shared" si="286"/>
        <v>189.70735049292711</v>
      </c>
      <c r="I913" s="94">
        <f t="shared" si="287"/>
        <v>115.52366686614096</v>
      </c>
      <c r="J913" s="95">
        <f t="shared" si="288"/>
        <v>74.660764745604141</v>
      </c>
      <c r="K913" s="94">
        <f t="shared" si="289"/>
        <v>184.7007256878569</v>
      </c>
      <c r="L913" s="94">
        <f t="shared" si="290"/>
        <v>716.35688460334472</v>
      </c>
      <c r="M913" s="93">
        <f t="shared" si="291"/>
        <v>69.9025058478381</v>
      </c>
      <c r="N913" s="93">
        <f t="shared" si="292"/>
        <v>48163.704588563363</v>
      </c>
      <c r="O913" s="93">
        <f t="shared" si="293"/>
        <v>29716.146381259579</v>
      </c>
      <c r="P913" s="93">
        <f t="shared" si="294"/>
        <v>26260.727652341138</v>
      </c>
      <c r="Q913" s="93">
        <f t="shared" si="295"/>
        <v>113538386019827.31</v>
      </c>
      <c r="R913" s="93">
        <f t="shared" si="296"/>
        <v>26788747450466.402</v>
      </c>
      <c r="S913" s="93">
        <f t="shared" si="297"/>
        <v>19103724765160.516</v>
      </c>
      <c r="T913">
        <f t="shared" si="283"/>
        <v>0.5</v>
      </c>
    </row>
    <row r="914" spans="1:20" x14ac:dyDescent="0.25">
      <c r="A914">
        <v>435.5</v>
      </c>
      <c r="B914" s="95">
        <f t="shared" si="298"/>
        <v>-31261.433852044327</v>
      </c>
      <c r="C914" s="95">
        <f t="shared" si="299"/>
        <v>-17491.04108992968</v>
      </c>
      <c r="D914" s="95">
        <f t="shared" si="300"/>
        <v>-249.69444674990638</v>
      </c>
      <c r="E914" s="95">
        <f t="shared" si="301"/>
        <v>118.76333142437781</v>
      </c>
      <c r="F914" s="96">
        <f t="shared" si="284"/>
        <v>975.40312412635615</v>
      </c>
      <c r="G914" s="94">
        <f t="shared" si="285"/>
        <v>366.55109070762836</v>
      </c>
      <c r="H914" s="97">
        <f t="shared" si="286"/>
        <v>189.39603447133749</v>
      </c>
      <c r="I914" s="94">
        <f t="shared" si="287"/>
        <v>114.71254481158617</v>
      </c>
      <c r="J914" s="95">
        <f t="shared" si="288"/>
        <v>75.557511085830541</v>
      </c>
      <c r="K914" s="94">
        <f t="shared" si="289"/>
        <v>184.44850533276559</v>
      </c>
      <c r="L914" s="94">
        <f t="shared" si="290"/>
        <v>710.44957856918813</v>
      </c>
      <c r="M914" s="93">
        <f t="shared" si="291"/>
        <v>67.3900405632766</v>
      </c>
      <c r="N914" s="93">
        <f t="shared" si="292"/>
        <v>48239.590154614525</v>
      </c>
      <c r="O914" s="93">
        <f t="shared" si="293"/>
        <v>29708.201436845215</v>
      </c>
      <c r="P914" s="93">
        <f t="shared" si="294"/>
        <v>26379.313745376658</v>
      </c>
      <c r="Q914" s="93">
        <f t="shared" si="295"/>
        <v>114070161525109.16</v>
      </c>
      <c r="R914" s="93">
        <f t="shared" si="296"/>
        <v>26767560257665.445</v>
      </c>
      <c r="S914" s="93">
        <f t="shared" si="297"/>
        <v>19354581979032.055</v>
      </c>
      <c r="T914">
        <f t="shared" ref="T914:T975" si="302">A915-A914</f>
        <v>0.5</v>
      </c>
    </row>
    <row r="915" spans="1:20" x14ac:dyDescent="0.25">
      <c r="A915">
        <v>436</v>
      </c>
      <c r="B915" s="95">
        <f t="shared" si="298"/>
        <v>-31142.43029438769</v>
      </c>
      <c r="C915" s="95">
        <f t="shared" si="299"/>
        <v>-17340.021651540585</v>
      </c>
      <c r="D915" s="95">
        <f t="shared" si="300"/>
        <v>238.0071153132717</v>
      </c>
      <c r="E915" s="95">
        <f t="shared" si="301"/>
        <v>302.03887677819199</v>
      </c>
      <c r="F915" s="96">
        <f t="shared" si="284"/>
        <v>984.71522989129721</v>
      </c>
      <c r="G915" s="94">
        <f t="shared" si="285"/>
        <v>366.37813511035608</v>
      </c>
      <c r="H915" s="97">
        <f t="shared" si="286"/>
        <v>190.95657476866316</v>
      </c>
      <c r="I915" s="94">
        <f t="shared" si="287"/>
        <v>115.29132863122751</v>
      </c>
      <c r="J915" s="95">
        <f t="shared" si="288"/>
        <v>76.152175046698517</v>
      </c>
      <c r="K915" s="94">
        <f t="shared" si="289"/>
        <v>186.85350139792448</v>
      </c>
      <c r="L915" s="94">
        <f t="shared" si="290"/>
        <v>717.60648007593556</v>
      </c>
      <c r="M915" s="93">
        <f t="shared" si="291"/>
        <v>64.23330508120408</v>
      </c>
      <c r="N915" s="93">
        <f t="shared" si="292"/>
        <v>48059.611381882343</v>
      </c>
      <c r="O915" s="93">
        <f t="shared" si="293"/>
        <v>29523.389655864325</v>
      </c>
      <c r="P915" s="93">
        <f t="shared" si="294"/>
        <v>26246.949594697628</v>
      </c>
      <c r="Q915" s="93">
        <f t="shared" si="295"/>
        <v>112811649210702.7</v>
      </c>
      <c r="R915" s="93">
        <f t="shared" si="296"/>
        <v>26277881879582.848</v>
      </c>
      <c r="S915" s="93">
        <f t="shared" si="297"/>
        <v>19074722530176.734</v>
      </c>
      <c r="T915">
        <f t="shared" si="302"/>
        <v>0.5</v>
      </c>
    </row>
    <row r="916" spans="1:20" x14ac:dyDescent="0.25">
      <c r="A916">
        <v>436.5</v>
      </c>
      <c r="B916" s="95">
        <f t="shared" si="298"/>
        <v>-30777.247929258228</v>
      </c>
      <c r="C916" s="95">
        <f t="shared" si="299"/>
        <v>-17097.4076793739</v>
      </c>
      <c r="D916" s="95">
        <f t="shared" si="300"/>
        <v>730.3647302589203</v>
      </c>
      <c r="E916" s="95">
        <f t="shared" si="301"/>
        <v>485.22794433337003</v>
      </c>
      <c r="F916" s="96">
        <f t="shared" si="284"/>
        <v>1009.3158713408927</v>
      </c>
      <c r="G916" s="94">
        <f t="shared" si="285"/>
        <v>369.46283715425182</v>
      </c>
      <c r="H916" s="97">
        <f t="shared" si="286"/>
        <v>194.4744764933487</v>
      </c>
      <c r="I916" s="94">
        <f t="shared" si="287"/>
        <v>117.30973090284104</v>
      </c>
      <c r="J916" s="95">
        <f t="shared" si="288"/>
        <v>76.389672580403655</v>
      </c>
      <c r="K916" s="94">
        <f t="shared" si="289"/>
        <v>192.06778149600927</v>
      </c>
      <c r="L916" s="94">
        <f t="shared" si="290"/>
        <v>738.45172226714033</v>
      </c>
      <c r="M916" s="93">
        <f t="shared" si="291"/>
        <v>60.085324755401558</v>
      </c>
      <c r="N916" s="93">
        <f t="shared" si="292"/>
        <v>47621.596080239869</v>
      </c>
      <c r="O916" s="93">
        <f t="shared" si="293"/>
        <v>29161.937107656144</v>
      </c>
      <c r="P916" s="93">
        <f t="shared" si="294"/>
        <v>25862.436655890415</v>
      </c>
      <c r="Q916" s="93">
        <f t="shared" si="295"/>
        <v>109787759674252.7</v>
      </c>
      <c r="R916" s="93">
        <f t="shared" si="296"/>
        <v>25337628699086.625</v>
      </c>
      <c r="S916" s="93">
        <f t="shared" si="297"/>
        <v>18277343050424.598</v>
      </c>
      <c r="T916">
        <f t="shared" si="302"/>
        <v>0.5</v>
      </c>
    </row>
    <row r="917" spans="1:20" x14ac:dyDescent="0.25">
      <c r="A917">
        <v>437</v>
      </c>
      <c r="B917" s="95">
        <f t="shared" si="298"/>
        <v>-30159.736596293544</v>
      </c>
      <c r="C917" s="95">
        <f t="shared" si="299"/>
        <v>-16762.427997918654</v>
      </c>
      <c r="D917" s="95">
        <f t="shared" si="300"/>
        <v>1235.0226659293667</v>
      </c>
      <c r="E917" s="95">
        <f t="shared" si="301"/>
        <v>669.95936291049588</v>
      </c>
      <c r="F917" s="96">
        <f t="shared" si="284"/>
        <v>1051.1978751044476</v>
      </c>
      <c r="G917" s="94">
        <f t="shared" si="285"/>
        <v>375.59622509799823</v>
      </c>
      <c r="H917" s="97">
        <f t="shared" si="286"/>
        <v>200.15398840131368</v>
      </c>
      <c r="I917" s="94">
        <f t="shared" si="287"/>
        <v>120.92264899295463</v>
      </c>
      <c r="J917" s="95">
        <f t="shared" si="288"/>
        <v>76.072355117485316</v>
      </c>
      <c r="K917" s="94">
        <f t="shared" si="289"/>
        <v>200.38717610125107</v>
      </c>
      <c r="L917" s="94">
        <f t="shared" si="290"/>
        <v>774.97153158564856</v>
      </c>
      <c r="M917" s="93">
        <f t="shared" si="291"/>
        <v>54.286400003792473</v>
      </c>
      <c r="N917" s="93">
        <f t="shared" si="292"/>
        <v>46919.823697855747</v>
      </c>
      <c r="O917" s="93">
        <f t="shared" si="293"/>
        <v>28625.99867340608</v>
      </c>
      <c r="P917" s="93">
        <f t="shared" si="294"/>
        <v>25221.389692931676</v>
      </c>
      <c r="Q917" s="93">
        <f t="shared" si="295"/>
        <v>105057056709800.14</v>
      </c>
      <c r="R917" s="93">
        <f t="shared" si="296"/>
        <v>23985475307865.781</v>
      </c>
      <c r="S917" s="93">
        <f t="shared" si="297"/>
        <v>16998827362394.646</v>
      </c>
      <c r="T917">
        <f t="shared" si="302"/>
        <v>0.5</v>
      </c>
    </row>
    <row r="918" spans="1:20" x14ac:dyDescent="0.25">
      <c r="A918">
        <v>437.5</v>
      </c>
      <c r="B918" s="95">
        <f t="shared" si="298"/>
        <v>-29279.425794552746</v>
      </c>
      <c r="C918" s="95">
        <f t="shared" si="299"/>
        <v>-16333.549260188907</v>
      </c>
      <c r="D918" s="95">
        <f t="shared" si="300"/>
        <v>1760.6216034815905</v>
      </c>
      <c r="E918" s="95">
        <f t="shared" si="301"/>
        <v>857.75747545949503</v>
      </c>
      <c r="F918" s="96">
        <f t="shared" si="284"/>
        <v>1114.1069839066147</v>
      </c>
      <c r="G918" s="94">
        <f t="shared" si="285"/>
        <v>384.31954322612052</v>
      </c>
      <c r="H918" s="97">
        <f t="shared" si="286"/>
        <v>208.34779763344196</v>
      </c>
      <c r="I918" s="94">
        <f t="shared" si="287"/>
        <v>126.41904502680242</v>
      </c>
      <c r="J918" s="95">
        <f t="shared" si="288"/>
        <v>74.796184364691356</v>
      </c>
      <c r="K918" s="94">
        <f t="shared" si="289"/>
        <v>212.25979376848986</v>
      </c>
      <c r="L918" s="94">
        <f t="shared" si="290"/>
        <v>830.96300190848137</v>
      </c>
      <c r="M918" s="93">
        <f t="shared" si="291"/>
        <v>45.640704430828237</v>
      </c>
      <c r="N918" s="93">
        <f t="shared" si="292"/>
        <v>45944.655413743465</v>
      </c>
      <c r="O918" s="93">
        <f t="shared" si="293"/>
        <v>27920.665459752323</v>
      </c>
      <c r="P918" s="93">
        <f t="shared" si="294"/>
        <v>24316.020861615983</v>
      </c>
      <c r="Q918" s="93">
        <f t="shared" si="295"/>
        <v>98713110893622.891</v>
      </c>
      <c r="R918" s="93">
        <f t="shared" si="296"/>
        <v>22280985811835.227</v>
      </c>
      <c r="S918" s="93">
        <f t="shared" si="297"/>
        <v>15298728811102.58</v>
      </c>
      <c r="T918">
        <f t="shared" si="302"/>
        <v>0.5</v>
      </c>
    </row>
    <row r="919" spans="1:20" x14ac:dyDescent="0.25">
      <c r="A919">
        <v>438</v>
      </c>
      <c r="B919" s="95">
        <f t="shared" si="298"/>
        <v>-28120.588246835297</v>
      </c>
      <c r="C919" s="95">
        <f t="shared" si="299"/>
        <v>-15808.590636652631</v>
      </c>
      <c r="D919" s="95">
        <f t="shared" si="300"/>
        <v>2317.6750954348977</v>
      </c>
      <c r="E919" s="95">
        <f t="shared" si="301"/>
        <v>1049.9172470725553</v>
      </c>
      <c r="F919" s="96">
        <f t="shared" si="284"/>
        <v>1204.425739851695</v>
      </c>
      <c r="G919" s="94">
        <f t="shared" si="285"/>
        <v>394.48362480230111</v>
      </c>
      <c r="H919" s="97">
        <f t="shared" si="286"/>
        <v>219.61266363687787</v>
      </c>
      <c r="I919" s="94">
        <f t="shared" si="287"/>
        <v>134.28076298801173</v>
      </c>
      <c r="J919" s="95">
        <f t="shared" si="288"/>
        <v>71.82540255605673</v>
      </c>
      <c r="K919" s="94">
        <f t="shared" si="289"/>
        <v>228.27316883163834</v>
      </c>
      <c r="L919" s="94">
        <f t="shared" si="290"/>
        <v>912.9876736587604</v>
      </c>
      <c r="M919" s="93">
        <f t="shared" si="291"/>
        <v>31.929692982651044</v>
      </c>
      <c r="N919" s="93">
        <f t="shared" si="292"/>
        <v>44681.871556055121</v>
      </c>
      <c r="O919" s="93">
        <f t="shared" si="293"/>
        <v>27056.003106980777</v>
      </c>
      <c r="P919" s="93">
        <f t="shared" si="294"/>
        <v>23134.723246613106</v>
      </c>
      <c r="Q919" s="93">
        <f t="shared" si="295"/>
        <v>90886804980121.141</v>
      </c>
      <c r="R919" s="93">
        <f t="shared" si="296"/>
        <v>20304961194374.348</v>
      </c>
      <c r="S919" s="93">
        <f t="shared" si="297"/>
        <v>13259666090169.037</v>
      </c>
      <c r="T919">
        <f t="shared" si="302"/>
        <v>0.5</v>
      </c>
    </row>
    <row r="920" spans="1:20" x14ac:dyDescent="0.25">
      <c r="A920">
        <v>438.5</v>
      </c>
      <c r="B920" s="95">
        <f t="shared" si="298"/>
        <v>-26660.644264154926</v>
      </c>
      <c r="C920" s="95">
        <f t="shared" si="299"/>
        <v>-15185.011106915777</v>
      </c>
      <c r="D920" s="95">
        <f t="shared" si="300"/>
        <v>2919.8879653607451</v>
      </c>
      <c r="E920" s="95">
        <f t="shared" si="301"/>
        <v>1247.1590594737058</v>
      </c>
      <c r="F920" s="96">
        <f t="shared" si="284"/>
        <v>1332.9451697090476</v>
      </c>
      <c r="G920" s="94">
        <f t="shared" si="285"/>
        <v>403.17703427993553</v>
      </c>
      <c r="H920" s="97">
        <f t="shared" si="286"/>
        <v>234.80716570712124</v>
      </c>
      <c r="I920" s="94">
        <f t="shared" si="287"/>
        <v>145.29485962300899</v>
      </c>
      <c r="J920" s="95">
        <f t="shared" si="288"/>
        <v>65.869924709917512</v>
      </c>
      <c r="K920" s="94">
        <f t="shared" si="289"/>
        <v>249.06521345971589</v>
      </c>
      <c r="L920" s="94">
        <f t="shared" si="290"/>
        <v>1032.2680792920089</v>
      </c>
      <c r="M920" s="93">
        <f t="shared" si="291"/>
        <v>8.8169611972106807</v>
      </c>
      <c r="N920" s="93">
        <f t="shared" si="292"/>
        <v>43111.629136276068</v>
      </c>
      <c r="O920" s="93">
        <f t="shared" si="293"/>
        <v>26050.891855540973</v>
      </c>
      <c r="P920" s="93">
        <f t="shared" si="294"/>
        <v>21661.434371895826</v>
      </c>
      <c r="Q920" s="93">
        <f t="shared" si="295"/>
        <v>81749926121501.469</v>
      </c>
      <c r="R920" s="93">
        <f t="shared" si="296"/>
        <v>18160249650970.332</v>
      </c>
      <c r="S920" s="93">
        <f t="shared" si="297"/>
        <v>10986958758969.377</v>
      </c>
      <c r="T920">
        <f t="shared" si="302"/>
        <v>0.5</v>
      </c>
    </row>
    <row r="921" spans="1:20" x14ac:dyDescent="0.25">
      <c r="A921">
        <v>439</v>
      </c>
      <c r="B921" s="95">
        <f t="shared" si="298"/>
        <v>-24867.463989047294</v>
      </c>
      <c r="C921" s="95">
        <f t="shared" si="299"/>
        <v>-14460.63731860894</v>
      </c>
      <c r="D921" s="95">
        <f t="shared" si="300"/>
        <v>3586.3605502152686</v>
      </c>
      <c r="E921" s="95">
        <f t="shared" si="301"/>
        <v>1448.7475766136736</v>
      </c>
      <c r="F921" s="96">
        <f t="shared" si="284"/>
        <v>1518.5147718295652</v>
      </c>
      <c r="G921" s="94">
        <f t="shared" si="285"/>
        <v>402.97721098720723</v>
      </c>
      <c r="H921" s="97">
        <f t="shared" si="286"/>
        <v>255.26273830495262</v>
      </c>
      <c r="I921" s="94">
        <f t="shared" si="287"/>
        <v>160.77258783807582</v>
      </c>
      <c r="J921" s="95">
        <f t="shared" si="288"/>
        <v>54.725455619874481</v>
      </c>
      <c r="K921" s="94">
        <f t="shared" si="289"/>
        <v>275.01374946492137</v>
      </c>
      <c r="L921" s="94">
        <f t="shared" si="290"/>
        <v>1208.5265779047381</v>
      </c>
      <c r="M921" s="93">
        <f t="shared" si="291"/>
        <v>-32.809126315789953</v>
      </c>
      <c r="N921" s="93">
        <f t="shared" si="292"/>
        <v>41206.912484035842</v>
      </c>
      <c r="O921" s="93">
        <f t="shared" si="293"/>
        <v>24940.228221032714</v>
      </c>
      <c r="P921" s="93">
        <f t="shared" si="294"/>
        <v>19874.783960037614</v>
      </c>
      <c r="Q921" s="93">
        <f t="shared" si="295"/>
        <v>71520667583971.938</v>
      </c>
      <c r="R921" s="93">
        <f t="shared" si="296"/>
        <v>15973721324576.49</v>
      </c>
      <c r="S921" s="93">
        <f t="shared" si="297"/>
        <v>8607654981774.375</v>
      </c>
      <c r="T921">
        <f t="shared" si="302"/>
        <v>0.5</v>
      </c>
    </row>
    <row r="922" spans="1:20" x14ac:dyDescent="0.25">
      <c r="A922">
        <v>439.5</v>
      </c>
      <c r="B922" s="95">
        <f t="shared" si="298"/>
        <v>-22694.655020982267</v>
      </c>
      <c r="C922" s="95">
        <f t="shared" si="299"/>
        <v>-13635.519227555302</v>
      </c>
      <c r="D922" s="95">
        <f t="shared" si="300"/>
        <v>4345.617936130051</v>
      </c>
      <c r="E922" s="95">
        <f t="shared" si="301"/>
        <v>1650.2361821072773</v>
      </c>
      <c r="F922" s="96">
        <f t="shared" si="284"/>
        <v>1795.965532038553</v>
      </c>
      <c r="G922" s="94">
        <f t="shared" si="285"/>
        <v>374.3744897145005</v>
      </c>
      <c r="H922" s="97">
        <f t="shared" si="286"/>
        <v>283.08648017489014</v>
      </c>
      <c r="I922" s="94">
        <f t="shared" si="287"/>
        <v>183.00177019630735</v>
      </c>
      <c r="J922" s="95">
        <f t="shared" si="288"/>
        <v>34.812588837301163</v>
      </c>
      <c r="K922" s="94">
        <f t="shared" si="289"/>
        <v>305.35026057809546</v>
      </c>
      <c r="L922" s="94">
        <f t="shared" si="290"/>
        <v>1478.0664630263616</v>
      </c>
      <c r="M922" s="93">
        <f t="shared" si="291"/>
        <v>-113.97754105990231</v>
      </c>
      <c r="N922" s="93">
        <f t="shared" si="292"/>
        <v>38931.358054393648</v>
      </c>
      <c r="O922" s="93">
        <f t="shared" si="293"/>
        <v>23788.630369112077</v>
      </c>
      <c r="P922" s="93">
        <f t="shared" si="294"/>
        <v>17747.18637108272</v>
      </c>
      <c r="Q922" s="93">
        <f t="shared" si="295"/>
        <v>60472267439331.914</v>
      </c>
      <c r="R922" s="93">
        <f t="shared" si="296"/>
        <v>13901433764388.15</v>
      </c>
      <c r="S922" s="93">
        <f t="shared" si="297"/>
        <v>6268256492776.7832</v>
      </c>
      <c r="T922">
        <f t="shared" si="302"/>
        <v>0.5</v>
      </c>
    </row>
    <row r="923" spans="1:20" x14ac:dyDescent="0.25">
      <c r="A923">
        <v>440</v>
      </c>
      <c r="B923" s="95">
        <f t="shared" si="298"/>
        <v>-20072.854669907603</v>
      </c>
      <c r="C923" s="95">
        <f t="shared" si="299"/>
        <v>-12716.807514073038</v>
      </c>
      <c r="D923" s="95">
        <f t="shared" si="300"/>
        <v>5243.6007021493278</v>
      </c>
      <c r="E923" s="95">
        <f t="shared" si="301"/>
        <v>1837.4234269645276</v>
      </c>
      <c r="F923" s="96">
        <f t="shared" si="284"/>
        <v>2233.818286828151</v>
      </c>
      <c r="G923" s="94">
        <f t="shared" si="285"/>
        <v>262.75831149381577</v>
      </c>
      <c r="H923" s="97">
        <f t="shared" si="286"/>
        <v>321.69359992445555</v>
      </c>
      <c r="I923" s="94">
        <f t="shared" si="287"/>
        <v>216.262062899196</v>
      </c>
      <c r="J923" s="95">
        <f t="shared" si="288"/>
        <v>1.0775031618183011</v>
      </c>
      <c r="K923" s="94">
        <f t="shared" si="289"/>
        <v>335.97615573407364</v>
      </c>
      <c r="L923" s="94">
        <f t="shared" si="290"/>
        <v>1911.047183741877</v>
      </c>
      <c r="M923" s="93">
        <f t="shared" si="291"/>
        <v>-289.47990713945387</v>
      </c>
      <c r="N923" s="93">
        <f t="shared" si="292"/>
        <v>36236.665051553289</v>
      </c>
      <c r="O923" s="93">
        <f t="shared" si="293"/>
        <v>22716.924339231588</v>
      </c>
      <c r="P923" s="93">
        <f t="shared" si="294"/>
        <v>15244.799632266369</v>
      </c>
      <c r="Q923" s="93">
        <f t="shared" si="295"/>
        <v>48947538550990.508</v>
      </c>
      <c r="R923" s="93">
        <f t="shared" si="296"/>
        <v>12143156269056.475</v>
      </c>
      <c r="S923" s="93">
        <f t="shared" si="297"/>
        <v>4129740132570.5322</v>
      </c>
      <c r="T923">
        <f t="shared" si="302"/>
        <v>0.5</v>
      </c>
    </row>
    <row r="924" spans="1:20" x14ac:dyDescent="0.25">
      <c r="A924">
        <v>440.5</v>
      </c>
      <c r="B924" s="95">
        <f t="shared" si="298"/>
        <v>-16892.599747125903</v>
      </c>
      <c r="C924" s="95">
        <f t="shared" si="299"/>
        <v>-11732.40622271732</v>
      </c>
      <c r="D924" s="95">
        <f t="shared" si="300"/>
        <v>6360.5098455634034</v>
      </c>
      <c r="E924" s="95">
        <f t="shared" si="301"/>
        <v>1968.8025827114354</v>
      </c>
      <c r="F924" s="96">
        <f t="shared" si="284"/>
        <v>2967.6727656527264</v>
      </c>
      <c r="G924" s="94">
        <f t="shared" si="285"/>
        <v>-101.2647798768495</v>
      </c>
      <c r="H924" s="97">
        <f t="shared" si="286"/>
        <v>376.62745137369467</v>
      </c>
      <c r="I924" s="94">
        <f t="shared" si="287"/>
        <v>269.34741183658679</v>
      </c>
      <c r="J924" s="95">
        <f t="shared" si="288"/>
        <v>-50.796211628082887</v>
      </c>
      <c r="K924" s="94">
        <f t="shared" si="289"/>
        <v>355.25642525631287</v>
      </c>
      <c r="L924" s="94">
        <f t="shared" si="290"/>
        <v>2641.8415259071148</v>
      </c>
      <c r="M924" s="93">
        <f t="shared" si="291"/>
        <v>-725.86861696974916</v>
      </c>
      <c r="N924" s="93">
        <f t="shared" si="292"/>
        <v>33062.023082000473</v>
      </c>
      <c r="O924" s="93">
        <f t="shared" si="293"/>
        <v>21953.437465708292</v>
      </c>
      <c r="P924" s="93">
        <f t="shared" si="294"/>
        <v>12333.332795261611</v>
      </c>
      <c r="Q924" s="93">
        <f t="shared" si="295"/>
        <v>37386898509102.461</v>
      </c>
      <c r="R924" s="93">
        <f t="shared" si="296"/>
        <v>10986481157428.074</v>
      </c>
      <c r="S924" s="93">
        <f t="shared" si="297"/>
        <v>2357049279910.0229</v>
      </c>
      <c r="T924">
        <f t="shared" si="302"/>
        <v>0.5</v>
      </c>
    </row>
    <row r="925" spans="1:20" x14ac:dyDescent="0.25">
      <c r="A925">
        <v>441</v>
      </c>
      <c r="B925" s="95">
        <f t="shared" si="298"/>
        <v>-12970.426632931019</v>
      </c>
      <c r="C925" s="95">
        <f t="shared" si="299"/>
        <v>-10773.321126330815</v>
      </c>
      <c r="D925" s="95">
        <f t="shared" si="300"/>
        <v>7844.3462283897661</v>
      </c>
      <c r="E925" s="95">
        <f t="shared" si="301"/>
        <v>1918.1701927730107</v>
      </c>
      <c r="F925" s="96">
        <f t="shared" si="284"/>
        <v>4143.2515121561328</v>
      </c>
      <c r="G925" s="94">
        <f t="shared" si="285"/>
        <v>-1313.5757229700566</v>
      </c>
      <c r="H925" s="97">
        <f t="shared" si="286"/>
        <v>455.62687352687249</v>
      </c>
      <c r="I925" s="94">
        <f t="shared" si="287"/>
        <v>362.45805560296139</v>
      </c>
      <c r="J925" s="95">
        <f t="shared" si="288"/>
        <v>-115.26373612516473</v>
      </c>
      <c r="K925" s="94">
        <f t="shared" si="289"/>
        <v>340.61961938766524</v>
      </c>
      <c r="L925" s="94">
        <f t="shared" si="290"/>
        <v>3802.8883747544246</v>
      </c>
      <c r="M925" s="93">
        <f t="shared" si="291"/>
        <v>-2016.6533979606832</v>
      </c>
      <c r="N925" s="93">
        <f t="shared" si="292"/>
        <v>29352.253144943996</v>
      </c>
      <c r="O925" s="93">
        <f t="shared" si="293"/>
        <v>21930.475880396843</v>
      </c>
      <c r="P925" s="93">
        <f t="shared" si="294"/>
        <v>9021.7800356724238</v>
      </c>
      <c r="Q925" s="93">
        <f t="shared" si="295"/>
        <v>26397229748266.543</v>
      </c>
      <c r="R925" s="93">
        <f t="shared" si="296"/>
        <v>10952897356760.662</v>
      </c>
      <c r="S925" s="93">
        <f t="shared" si="297"/>
        <v>1097404187223.4152</v>
      </c>
      <c r="T925">
        <f t="shared" si="302"/>
        <v>0.5</v>
      </c>
    </row>
    <row r="926" spans="1:20" x14ac:dyDescent="0.25">
      <c r="A926">
        <v>441.5</v>
      </c>
      <c r="B926" s="95">
        <f t="shared" si="298"/>
        <v>-8012.440640697102</v>
      </c>
      <c r="C926" s="95">
        <f t="shared" si="299"/>
        <v>-10142.629960686823</v>
      </c>
      <c r="D926" s="95">
        <f t="shared" si="300"/>
        <v>9915.971984467833</v>
      </c>
      <c r="E926" s="95">
        <f t="shared" si="301"/>
        <v>1261.3823312879824</v>
      </c>
      <c r="F926" s="96">
        <f t="shared" si="284"/>
        <v>3995.284413733043</v>
      </c>
      <c r="G926" s="94">
        <f t="shared" si="285"/>
        <v>-4991.794637148575</v>
      </c>
      <c r="H926" s="97">
        <f t="shared" si="286"/>
        <v>555.33425215502052</v>
      </c>
      <c r="I926" s="94">
        <f t="shared" si="287"/>
        <v>543.93276906236065</v>
      </c>
      <c r="J926" s="95">
        <f t="shared" si="288"/>
        <v>-161.73105218047573</v>
      </c>
      <c r="K926" s="94">
        <f t="shared" si="289"/>
        <v>271.75579612006158</v>
      </c>
      <c r="L926" s="94">
        <f t="shared" si="290"/>
        <v>3601.6812137584984</v>
      </c>
      <c r="M926" s="93">
        <f t="shared" si="291"/>
        <v>-5807.4832023309973</v>
      </c>
      <c r="N926" s="93">
        <f t="shared" si="292"/>
        <v>25213.298272228509</v>
      </c>
      <c r="O926" s="93">
        <f t="shared" si="293"/>
        <v>23439.861798354719</v>
      </c>
      <c r="P926" s="93">
        <f t="shared" si="294"/>
        <v>5715.666392691307</v>
      </c>
      <c r="Q926" s="93">
        <f t="shared" si="295"/>
        <v>16983090505235.598</v>
      </c>
      <c r="R926" s="93">
        <f t="shared" si="296"/>
        <v>13311595158652.672</v>
      </c>
      <c r="S926" s="93">
        <f t="shared" si="297"/>
        <v>437937212490.1557</v>
      </c>
      <c r="T926">
        <f t="shared" si="302"/>
        <v>0.5</v>
      </c>
    </row>
    <row r="927" spans="1:20" x14ac:dyDescent="0.25">
      <c r="A927">
        <v>442</v>
      </c>
      <c r="B927" s="95">
        <f t="shared" si="298"/>
        <v>-2055.6335450299248</v>
      </c>
      <c r="C927" s="95">
        <f t="shared" si="299"/>
        <v>-10759.887454329975</v>
      </c>
      <c r="D927" s="95">
        <f t="shared" si="300"/>
        <v>11913.614191334354</v>
      </c>
      <c r="E927" s="95">
        <f t="shared" si="301"/>
        <v>-1234.5149872863051</v>
      </c>
      <c r="F927" s="96">
        <f t="shared" si="284"/>
        <v>-3747.4451750824901</v>
      </c>
      <c r="G927" s="94">
        <f t="shared" si="285"/>
        <v>-4959.6095095093406</v>
      </c>
      <c r="H927" s="97">
        <f t="shared" si="286"/>
        <v>558.27840025714488</v>
      </c>
      <c r="I927" s="94">
        <f t="shared" si="287"/>
        <v>845.588140913713</v>
      </c>
      <c r="J927" s="95">
        <f t="shared" si="288"/>
        <v>-152.2434675150966</v>
      </c>
      <c r="K927" s="94">
        <f t="shared" si="289"/>
        <v>176.13089095129143</v>
      </c>
      <c r="L927" s="94">
        <f t="shared" si="290"/>
        <v>-4153.4801078245382</v>
      </c>
      <c r="M927" s="93">
        <f t="shared" si="291"/>
        <v>-5981.3285413743451</v>
      </c>
      <c r="N927" s="93">
        <f t="shared" si="292"/>
        <v>21880.62590550938</v>
      </c>
      <c r="O927" s="93">
        <f t="shared" si="293"/>
        <v>27440.357406322215</v>
      </c>
      <c r="P927" s="93">
        <f t="shared" si="294"/>
        <v>5162.1553852147244</v>
      </c>
      <c r="Q927" s="93">
        <f t="shared" si="295"/>
        <v>11306751184233.482</v>
      </c>
      <c r="R927" s="93">
        <f t="shared" si="296"/>
        <v>21168115920611.168</v>
      </c>
      <c r="S927" s="93">
        <f t="shared" si="297"/>
        <v>371174685014.3244</v>
      </c>
      <c r="T927">
        <f t="shared" si="302"/>
        <v>0.5</v>
      </c>
    </row>
    <row r="928" spans="1:20" x14ac:dyDescent="0.25">
      <c r="A928">
        <v>442.5</v>
      </c>
      <c r="B928" s="95">
        <f t="shared" si="298"/>
        <v>2964.3122568666299</v>
      </c>
      <c r="C928" s="95">
        <f t="shared" si="299"/>
        <v>-12617.047325350462</v>
      </c>
      <c r="D928" s="95">
        <f t="shared" si="300"/>
        <v>10039.891603793109</v>
      </c>
      <c r="E928" s="95">
        <f t="shared" si="301"/>
        <v>-3714.3197420409751</v>
      </c>
      <c r="F928" s="96">
        <f t="shared" si="284"/>
        <v>-4337.5820873295979</v>
      </c>
      <c r="G928" s="94">
        <f t="shared" si="285"/>
        <v>-243.36219474013092</v>
      </c>
      <c r="H928" s="97">
        <f t="shared" si="286"/>
        <v>351.18400662404503</v>
      </c>
      <c r="I928" s="94">
        <f t="shared" si="287"/>
        <v>1004.1357062864439</v>
      </c>
      <c r="J928" s="95">
        <f t="shared" si="288"/>
        <v>-121.0194157305172</v>
      </c>
      <c r="K928" s="94">
        <f t="shared" si="289"/>
        <v>119.189367495425</v>
      </c>
      <c r="L928" s="94">
        <f t="shared" si="290"/>
        <v>-4567.7466782231259</v>
      </c>
      <c r="M928" s="93">
        <f t="shared" si="291"/>
        <v>-1366.6872685219998</v>
      </c>
      <c r="N928" s="93">
        <f t="shared" si="292"/>
        <v>21311.886240060201</v>
      </c>
      <c r="O928" s="93">
        <f t="shared" si="293"/>
        <v>32231.82382596457</v>
      </c>
      <c r="P928" s="93">
        <f t="shared" si="294"/>
        <v>8313.1662544722039</v>
      </c>
      <c r="Q928" s="93">
        <f t="shared" si="295"/>
        <v>10489878292607.764</v>
      </c>
      <c r="R928" s="93">
        <f t="shared" si="296"/>
        <v>34079336755153.898</v>
      </c>
      <c r="S928" s="93">
        <f t="shared" si="297"/>
        <v>912945581255.41248</v>
      </c>
      <c r="T928">
        <f t="shared" si="302"/>
        <v>0.5</v>
      </c>
    </row>
    <row r="929" spans="1:20" x14ac:dyDescent="0.25">
      <c r="A929">
        <v>443</v>
      </c>
      <c r="B929" s="95">
        <f t="shared" si="298"/>
        <v>6899.8625369307847</v>
      </c>
      <c r="C929" s="95">
        <f t="shared" si="299"/>
        <v>-14535.047745055983</v>
      </c>
      <c r="D929" s="95">
        <f t="shared" si="300"/>
        <v>7871.1005601283096</v>
      </c>
      <c r="E929" s="95">
        <f t="shared" si="301"/>
        <v>-3836.0008394110405</v>
      </c>
      <c r="F929" s="96">
        <f t="shared" si="284"/>
        <v>-2853.6244682523175</v>
      </c>
      <c r="G929" s="94">
        <f t="shared" si="285"/>
        <v>949.61975325131084</v>
      </c>
      <c r="H929" s="97">
        <f t="shared" si="286"/>
        <v>136.83003326332354</v>
      </c>
      <c r="I929" s="94">
        <f t="shared" si="287"/>
        <v>972.55568562109829</v>
      </c>
      <c r="J929" s="95">
        <f t="shared" si="288"/>
        <v>-98.729219974388371</v>
      </c>
      <c r="K929" s="94">
        <f t="shared" si="289"/>
        <v>90.049758528622405</v>
      </c>
      <c r="L929" s="94">
        <f t="shared" si="290"/>
        <v>-2891.7252815412526</v>
      </c>
      <c r="M929" s="93">
        <f t="shared" si="291"/>
        <v>-112.98569089840979</v>
      </c>
      <c r="N929" s="93">
        <f t="shared" si="292"/>
        <v>22252.060161181078</v>
      </c>
      <c r="O929" s="93">
        <f t="shared" si="293"/>
        <v>36408.394256791238</v>
      </c>
      <c r="P929" s="93">
        <f t="shared" si="294"/>
        <v>11908.942396251075</v>
      </c>
      <c r="Q929" s="93">
        <f t="shared" si="295"/>
        <v>11863098627810.93</v>
      </c>
      <c r="R929" s="93">
        <f t="shared" si="296"/>
        <v>48932465347861.273</v>
      </c>
      <c r="S929" s="93">
        <f t="shared" si="297"/>
        <v>2154683743264.8901</v>
      </c>
      <c r="T929">
        <f t="shared" si="302"/>
        <v>0.5</v>
      </c>
    </row>
    <row r="930" spans="1:20" x14ac:dyDescent="0.25">
      <c r="A930">
        <v>443.5</v>
      </c>
      <c r="B930" s="95">
        <f t="shared" si="298"/>
        <v>10122.006699931861</v>
      </c>
      <c r="C930" s="95">
        <f t="shared" si="299"/>
        <v>-16215.643226448674</v>
      </c>
      <c r="D930" s="95">
        <f t="shared" si="300"/>
        <v>6444.2883260021508</v>
      </c>
      <c r="E930" s="95">
        <f t="shared" si="301"/>
        <v>-3361.1909627853852</v>
      </c>
      <c r="F930" s="96">
        <f t="shared" si="284"/>
        <v>-2031.1816004795141</v>
      </c>
      <c r="G930" s="94">
        <f t="shared" si="285"/>
        <v>1101.3974588133162</v>
      </c>
      <c r="H930" s="97">
        <f t="shared" si="286"/>
        <v>-4.4867274574715097</v>
      </c>
      <c r="I930" s="94">
        <f t="shared" si="287"/>
        <v>872.12938055968982</v>
      </c>
      <c r="J930" s="95">
        <f t="shared" si="288"/>
        <v>-83.987676795288863</v>
      </c>
      <c r="K930" s="94">
        <f t="shared" si="289"/>
        <v>73.09575992785885</v>
      </c>
      <c r="L930" s="94">
        <f t="shared" si="290"/>
        <v>-1942.7071962267537</v>
      </c>
      <c r="M930" s="93">
        <f t="shared" si="291"/>
        <v>156.17231832576752</v>
      </c>
      <c r="N930" s="93">
        <f t="shared" si="292"/>
        <v>23715.95706015317</v>
      </c>
      <c r="O930" s="93">
        <f t="shared" si="293"/>
        <v>39932.38331739272</v>
      </c>
      <c r="P930" s="93">
        <f t="shared" si="294"/>
        <v>15170.790193223114</v>
      </c>
      <c r="Q930" s="93">
        <f t="shared" si="295"/>
        <v>14238118830402.99</v>
      </c>
      <c r="R930" s="93">
        <f t="shared" si="296"/>
        <v>64411153218655.758</v>
      </c>
      <c r="S930" s="93">
        <f t="shared" si="297"/>
        <v>4075685830603.8916</v>
      </c>
      <c r="T930">
        <f t="shared" si="302"/>
        <v>0.5</v>
      </c>
    </row>
    <row r="931" spans="1:20" x14ac:dyDescent="0.25">
      <c r="A931">
        <v>444</v>
      </c>
      <c r="B931" s="95">
        <f t="shared" si="298"/>
        <v>12836.355462813059</v>
      </c>
      <c r="C931" s="95">
        <f t="shared" si="299"/>
        <v>-17620.889343138038</v>
      </c>
      <c r="D931" s="95">
        <f t="shared" si="300"/>
        <v>5428.6975257623935</v>
      </c>
      <c r="E931" s="95">
        <f t="shared" si="301"/>
        <v>-2810.4922333787272</v>
      </c>
      <c r="F931" s="96">
        <f t="shared" si="284"/>
        <v>-1586.9308404496364</v>
      </c>
      <c r="G931" s="94">
        <f t="shared" si="285"/>
        <v>1040.3065691310792</v>
      </c>
      <c r="H931" s="97">
        <f t="shared" si="286"/>
        <v>-86.777101872106925</v>
      </c>
      <c r="I931" s="94">
        <f t="shared" si="287"/>
        <v>768.56303881086956</v>
      </c>
      <c r="J931" s="95">
        <f t="shared" si="288"/>
        <v>-73.909037915346346</v>
      </c>
      <c r="K931" s="94">
        <f t="shared" si="289"/>
        <v>62.169912858614417</v>
      </c>
      <c r="L931" s="94">
        <f t="shared" si="290"/>
        <v>-1426.2447006621833</v>
      </c>
      <c r="M931" s="93">
        <f t="shared" si="291"/>
        <v>209.57361746159518</v>
      </c>
      <c r="N931" s="93">
        <f t="shared" si="292"/>
        <v>25280.506199473457</v>
      </c>
      <c r="O931" s="93">
        <f t="shared" si="293"/>
        <v>42908.504613725352</v>
      </c>
      <c r="P931" s="93">
        <f t="shared" si="294"/>
        <v>18027.884988117596</v>
      </c>
      <c r="Q931" s="93">
        <f t="shared" si="295"/>
        <v>17114102861826.832</v>
      </c>
      <c r="R931" s="93">
        <f t="shared" si="296"/>
        <v>79790308034455.344</v>
      </c>
      <c r="S931" s="93">
        <f t="shared" si="297"/>
        <v>6548030556838.4932</v>
      </c>
      <c r="T931">
        <f t="shared" si="302"/>
        <v>0.5</v>
      </c>
    </row>
    <row r="932" spans="1:20" x14ac:dyDescent="0.25">
      <c r="A932">
        <v>444.5</v>
      </c>
      <c r="B932" s="95">
        <f t="shared" si="298"/>
        <v>15153.971515581847</v>
      </c>
      <c r="C932" s="95">
        <f t="shared" si="299"/>
        <v>-18766.058817544632</v>
      </c>
      <c r="D932" s="95">
        <f t="shared" si="300"/>
        <v>4635.2321055375751</v>
      </c>
      <c r="E932" s="95">
        <f t="shared" si="301"/>
        <v>-2290.3389488131875</v>
      </c>
      <c r="F932" s="96">
        <f t="shared" si="284"/>
        <v>-1323.18071674975</v>
      </c>
      <c r="G932" s="94">
        <f t="shared" si="285"/>
        <v>945.60550295577707</v>
      </c>
      <c r="H932" s="97">
        <f t="shared" si="286"/>
        <v>-133.65982960620832</v>
      </c>
      <c r="I932" s="94">
        <f t="shared" si="287"/>
        <v>681.16731638229214</v>
      </c>
      <c r="J932" s="95">
        <f t="shared" si="288"/>
        <v>-66.768428002208722</v>
      </c>
      <c r="K932" s="94">
        <f t="shared" si="289"/>
        <v>54.635776393435478</v>
      </c>
      <c r="L932" s="94">
        <f t="shared" si="290"/>
        <v>-1122.752459141333</v>
      </c>
      <c r="M932" s="93">
        <f t="shared" si="291"/>
        <v>209.80241018004946</v>
      </c>
      <c r="N932" s="93">
        <f t="shared" si="292"/>
        <v>26766.943572065586</v>
      </c>
      <c r="O932" s="93">
        <f t="shared" si="293"/>
        <v>45423.428461673582</v>
      </c>
      <c r="P932" s="93">
        <f t="shared" si="294"/>
        <v>20502.823387721266</v>
      </c>
      <c r="Q932" s="93">
        <f t="shared" si="295"/>
        <v>20190158725908</v>
      </c>
      <c r="R932" s="93">
        <f t="shared" si="296"/>
        <v>94557501334791.984</v>
      </c>
      <c r="S932" s="93">
        <f t="shared" si="297"/>
        <v>9398861452569.998</v>
      </c>
      <c r="T932">
        <f t="shared" si="302"/>
        <v>0.5</v>
      </c>
    </row>
    <row r="933" spans="1:20" x14ac:dyDescent="0.25">
      <c r="A933">
        <v>445</v>
      </c>
      <c r="B933" s="95">
        <f t="shared" si="298"/>
        <v>17140.792389163198</v>
      </c>
      <c r="C933" s="95">
        <f t="shared" si="299"/>
        <v>-19674.826916212282</v>
      </c>
      <c r="D933" s="95">
        <f t="shared" si="300"/>
        <v>3973.6417471627001</v>
      </c>
      <c r="E933" s="95">
        <f t="shared" si="301"/>
        <v>-1817.536197335299</v>
      </c>
      <c r="F933" s="96">
        <f t="shared" si="284"/>
        <v>-1153.861137397683</v>
      </c>
      <c r="G933" s="94">
        <f t="shared" si="285"/>
        <v>858.01571682737301</v>
      </c>
      <c r="H933" s="97">
        <f t="shared" si="286"/>
        <v>-160.85652494349642</v>
      </c>
      <c r="I933" s="94">
        <f t="shared" si="287"/>
        <v>612.15170326428563</v>
      </c>
      <c r="J933" s="95">
        <f t="shared" si="288"/>
        <v>-61.581469153548767</v>
      </c>
      <c r="K933" s="94">
        <f t="shared" si="289"/>
        <v>49.202489253051674</v>
      </c>
      <c r="L933" s="94">
        <f t="shared" si="290"/>
        <v>-931.42314330063789</v>
      </c>
      <c r="M933" s="93">
        <f t="shared" si="291"/>
        <v>196.6615243100357</v>
      </c>
      <c r="N933" s="93">
        <f t="shared" si="292"/>
        <v>28097.368806904793</v>
      </c>
      <c r="O933" s="93">
        <f t="shared" si="293"/>
        <v>47539.812912989881</v>
      </c>
      <c r="P933" s="93">
        <f t="shared" si="294"/>
        <v>22628.934891341436</v>
      </c>
      <c r="Q933" s="93">
        <f t="shared" si="295"/>
        <v>23243758082433.129</v>
      </c>
      <c r="R933" s="93">
        <f t="shared" si="296"/>
        <v>108316311297005.8</v>
      </c>
      <c r="S933" s="93">
        <f t="shared" si="297"/>
        <v>12446428746295.512</v>
      </c>
      <c r="T933">
        <f t="shared" si="302"/>
        <v>0.5</v>
      </c>
    </row>
    <row r="934" spans="1:20" x14ac:dyDescent="0.25">
      <c r="A934">
        <v>445.5</v>
      </c>
      <c r="B934" s="95">
        <f t="shared" si="298"/>
        <v>18839.147978395125</v>
      </c>
      <c r="C934" s="95">
        <f t="shared" si="299"/>
        <v>-20369.091085673088</v>
      </c>
      <c r="D934" s="95">
        <f t="shared" si="300"/>
        <v>3396.7111784638587</v>
      </c>
      <c r="E934" s="95">
        <f t="shared" si="301"/>
        <v>-1388.5283389216124</v>
      </c>
      <c r="F934" s="96">
        <f t="shared" si="284"/>
        <v>-1039.4996646610941</v>
      </c>
      <c r="G934" s="94">
        <f t="shared" si="285"/>
        <v>785.49016293387456</v>
      </c>
      <c r="H934" s="97">
        <f t="shared" si="286"/>
        <v>-177.34570279303821</v>
      </c>
      <c r="I934" s="94">
        <f t="shared" si="287"/>
        <v>559.15610383177068</v>
      </c>
      <c r="J934" s="95">
        <f t="shared" si="288"/>
        <v>-57.766263073782881</v>
      </c>
      <c r="K934" s="94">
        <f t="shared" si="289"/>
        <v>45.16857336681349</v>
      </c>
      <c r="L934" s="94">
        <f t="shared" si="290"/>
        <v>-804.38769879427298</v>
      </c>
      <c r="M934" s="93">
        <f t="shared" si="291"/>
        <v>181.16548573529045</v>
      </c>
      <c r="N934" s="93">
        <f t="shared" si="292"/>
        <v>29237.24978388887</v>
      </c>
      <c r="O934" s="93">
        <f t="shared" si="293"/>
        <v>49302.749508091154</v>
      </c>
      <c r="P934" s="93">
        <f t="shared" si="294"/>
        <v>24436.286858319425</v>
      </c>
      <c r="Q934" s="93">
        <f t="shared" si="295"/>
        <v>26096866097854.766</v>
      </c>
      <c r="R934" s="93">
        <f t="shared" si="296"/>
        <v>120750284524591.91</v>
      </c>
      <c r="S934" s="93">
        <f t="shared" si="297"/>
        <v>15517577794270.488</v>
      </c>
      <c r="T934">
        <f t="shared" si="302"/>
        <v>0.5</v>
      </c>
    </row>
    <row r="935" spans="1:20" x14ac:dyDescent="0.25">
      <c r="A935">
        <v>446</v>
      </c>
      <c r="B935" s="95">
        <f t="shared" si="298"/>
        <v>20277.628651461782</v>
      </c>
      <c r="C935" s="95">
        <f t="shared" si="299"/>
        <v>-20866.982714400427</v>
      </c>
      <c r="D935" s="95">
        <f t="shared" si="300"/>
        <v>2876.9613461333115</v>
      </c>
      <c r="E935" s="95">
        <f t="shared" si="301"/>
        <v>-995.78325745467509</v>
      </c>
      <c r="F935" s="96">
        <f t="shared" si="284"/>
        <v>-960.22217505214292</v>
      </c>
      <c r="G935" s="94">
        <f t="shared" si="285"/>
        <v>727.8172720621842</v>
      </c>
      <c r="H935" s="97">
        <f t="shared" si="286"/>
        <v>-188.12843601850926</v>
      </c>
      <c r="I935" s="94">
        <f t="shared" si="287"/>
        <v>519.247802542974</v>
      </c>
      <c r="J935" s="95">
        <f t="shared" si="288"/>
        <v>-54.964773280105163</v>
      </c>
      <c r="K935" s="94">
        <f t="shared" si="289"/>
        <v>42.122556951385228</v>
      </c>
      <c r="L935" s="94">
        <f t="shared" si="290"/>
        <v>-717.12896575352852</v>
      </c>
      <c r="M935" s="93">
        <f t="shared" si="291"/>
        <v>166.446912567825</v>
      </c>
      <c r="N935" s="93">
        <f t="shared" si="292"/>
        <v>30171.432830020531</v>
      </c>
      <c r="O935" s="93">
        <f t="shared" si="293"/>
        <v>50745.029231207955</v>
      </c>
      <c r="P935" s="93">
        <f t="shared" si="294"/>
        <v>25949.566401238288</v>
      </c>
      <c r="Q935" s="93">
        <f t="shared" si="295"/>
        <v>28604680354807.887</v>
      </c>
      <c r="R935" s="93">
        <f t="shared" si="296"/>
        <v>131604941038933.09</v>
      </c>
      <c r="S935" s="93">
        <f t="shared" si="297"/>
        <v>18456004490108.332</v>
      </c>
      <c r="T935">
        <f t="shared" si="302"/>
        <v>0.5</v>
      </c>
    </row>
    <row r="936" spans="1:20" x14ac:dyDescent="0.25">
      <c r="A936">
        <v>446.5</v>
      </c>
      <c r="B936" s="95">
        <f t="shared" si="298"/>
        <v>21476.053780765404</v>
      </c>
      <c r="C936" s="95">
        <f t="shared" si="299"/>
        <v>-21182.92002511222</v>
      </c>
      <c r="D936" s="95">
        <f t="shared" si="300"/>
        <v>2396.85025860724</v>
      </c>
      <c r="E936" s="95">
        <f t="shared" si="301"/>
        <v>-631.87462142358299</v>
      </c>
      <c r="F936" s="96">
        <f t="shared" si="284"/>
        <v>-905.18492466383429</v>
      </c>
      <c r="G936" s="94">
        <f t="shared" si="285"/>
        <v>683.02643419207459</v>
      </c>
      <c r="H936" s="97">
        <f t="shared" si="286"/>
        <v>-196.03995225932229</v>
      </c>
      <c r="I936" s="94">
        <f t="shared" si="287"/>
        <v>489.97664003679228</v>
      </c>
      <c r="J936" s="95">
        <f t="shared" si="288"/>
        <v>-52.950047209120484</v>
      </c>
      <c r="K936" s="94">
        <f t="shared" si="289"/>
        <v>39.809406559638475</v>
      </c>
      <c r="L936" s="94">
        <f t="shared" si="290"/>
        <v>-656.19492519539153</v>
      </c>
      <c r="M936" s="93">
        <f t="shared" si="291"/>
        <v>153.24038759564382</v>
      </c>
      <c r="N936" s="93">
        <f t="shared" si="292"/>
        <v>30893.522161547127</v>
      </c>
      <c r="O936" s="93">
        <f t="shared" si="293"/>
        <v>51890.630546539796</v>
      </c>
      <c r="P936" s="93">
        <f t="shared" si="294"/>
        <v>27188.415250597373</v>
      </c>
      <c r="Q936" s="93">
        <f t="shared" si="295"/>
        <v>30651138398363.156</v>
      </c>
      <c r="R936" s="93">
        <f t="shared" si="296"/>
        <v>140677233684759.33</v>
      </c>
      <c r="S936" s="93">
        <f t="shared" si="297"/>
        <v>21126084353906.91</v>
      </c>
      <c r="T936">
        <f t="shared" si="302"/>
        <v>0.5</v>
      </c>
    </row>
    <row r="937" spans="1:20" x14ac:dyDescent="0.25">
      <c r="A937">
        <v>447</v>
      </c>
      <c r="B937" s="95">
        <f t="shared" si="298"/>
        <v>22448.182678903067</v>
      </c>
      <c r="C937" s="95">
        <f t="shared" si="299"/>
        <v>-21328.100727275993</v>
      </c>
      <c r="D937" s="95">
        <f t="shared" si="300"/>
        <v>1944.2577962753228</v>
      </c>
      <c r="E937" s="95">
        <f t="shared" si="301"/>
        <v>-290.3614043275457</v>
      </c>
      <c r="F937" s="96">
        <f t="shared" si="284"/>
        <v>-868.1279801408258</v>
      </c>
      <c r="G937" s="94">
        <f t="shared" si="285"/>
        <v>649.11955034567382</v>
      </c>
      <c r="H937" s="97">
        <f t="shared" si="286"/>
        <v>-202.75292007912302</v>
      </c>
      <c r="I937" s="94">
        <f t="shared" si="287"/>
        <v>469.54497323502943</v>
      </c>
      <c r="J937" s="95">
        <f t="shared" si="288"/>
        <v>-51.576443126181701</v>
      </c>
      <c r="K937" s="94">
        <f t="shared" si="289"/>
        <v>38.065045508171956</v>
      </c>
      <c r="L937" s="94">
        <f t="shared" si="290"/>
        <v>-613.79861693552107</v>
      </c>
      <c r="M937" s="93">
        <f t="shared" si="291"/>
        <v>141.50953160247238</v>
      </c>
      <c r="N937" s="93">
        <f t="shared" si="292"/>
        <v>31400.901954391578</v>
      </c>
      <c r="O937" s="93">
        <f t="shared" si="293"/>
        <v>52756.972126154826</v>
      </c>
      <c r="P937" s="93">
        <f t="shared" si="294"/>
        <v>28168.201774145706</v>
      </c>
      <c r="Q937" s="93">
        <f t="shared" si="295"/>
        <v>32146778485626.977</v>
      </c>
      <c r="R937" s="93">
        <f t="shared" si="296"/>
        <v>147808855934020.09</v>
      </c>
      <c r="S937" s="93">
        <f t="shared" si="297"/>
        <v>23414576778985.848</v>
      </c>
      <c r="T937">
        <f t="shared" si="302"/>
        <v>0.5</v>
      </c>
    </row>
    <row r="938" spans="1:20" x14ac:dyDescent="0.25">
      <c r="A938">
        <v>447.5</v>
      </c>
      <c r="B938" s="95">
        <f t="shared" si="298"/>
        <v>23203.279582005522</v>
      </c>
      <c r="C938" s="95">
        <f t="shared" si="299"/>
        <v>-21311.001541853348</v>
      </c>
      <c r="D938" s="95">
        <f t="shared" si="300"/>
        <v>1510.1938062049098</v>
      </c>
      <c r="E938" s="95">
        <f t="shared" si="301"/>
        <v>34.198370845291208</v>
      </c>
      <c r="F938" s="96">
        <f t="shared" si="284"/>
        <v>-845.34164984724862</v>
      </c>
      <c r="G938" s="94">
        <f t="shared" si="285"/>
        <v>624.49944002004167</v>
      </c>
      <c r="H938" s="97">
        <f t="shared" si="286"/>
        <v>-209.31673024289589</v>
      </c>
      <c r="I938" s="94">
        <f t="shared" si="287"/>
        <v>456.7520213676903</v>
      </c>
      <c r="J938" s="95">
        <f t="shared" si="288"/>
        <v>-50.752045383172671</v>
      </c>
      <c r="K938" s="94">
        <f t="shared" si="289"/>
        <v>36.781869029836365</v>
      </c>
      <c r="L938" s="94">
        <f t="shared" si="290"/>
        <v>-585.27287422118002</v>
      </c>
      <c r="M938" s="93">
        <f t="shared" si="291"/>
        <v>130.96554962251497</v>
      </c>
      <c r="N938" s="93">
        <f t="shared" si="292"/>
        <v>31692.276686367612</v>
      </c>
      <c r="O938" s="93">
        <f t="shared" si="293"/>
        <v>53356.369668436753</v>
      </c>
      <c r="P938" s="93">
        <f t="shared" si="294"/>
        <v>28900.75638529284</v>
      </c>
      <c r="Q938" s="93">
        <f t="shared" si="295"/>
        <v>33027560744895.313</v>
      </c>
      <c r="R938" s="93">
        <f t="shared" si="296"/>
        <v>152881842558703.78</v>
      </c>
      <c r="S938" s="93">
        <f t="shared" si="297"/>
        <v>25231312277448.773</v>
      </c>
      <c r="T938">
        <f t="shared" si="302"/>
        <v>0.5</v>
      </c>
    </row>
    <row r="939" spans="1:20" x14ac:dyDescent="0.25">
      <c r="A939">
        <v>448</v>
      </c>
      <c r="B939" s="95">
        <f t="shared" si="298"/>
        <v>23747.041072646163</v>
      </c>
      <c r="C939" s="95">
        <f t="shared" si="299"/>
        <v>-21137.777496425693</v>
      </c>
      <c r="D939" s="95">
        <f t="shared" si="300"/>
        <v>1087.5229812812854</v>
      </c>
      <c r="E939" s="95">
        <f t="shared" si="301"/>
        <v>346.44809085531205</v>
      </c>
      <c r="F939" s="96">
        <f t="shared" si="284"/>
        <v>-834.67054154318498</v>
      </c>
      <c r="G939" s="94">
        <f t="shared" si="285"/>
        <v>608.03171256008829</v>
      </c>
      <c r="H939" s="97">
        <f t="shared" si="286"/>
        <v>-216.45213776603163</v>
      </c>
      <c r="I939" s="94">
        <f t="shared" si="287"/>
        <v>450.91217282411935</v>
      </c>
      <c r="J939" s="95">
        <f t="shared" si="288"/>
        <v>-50.423181786551304</v>
      </c>
      <c r="K939" s="94">
        <f t="shared" si="289"/>
        <v>35.889645942549897</v>
      </c>
      <c r="L939" s="94">
        <f t="shared" si="290"/>
        <v>-567.79522199060204</v>
      </c>
      <c r="M939" s="93">
        <f t="shared" si="291"/>
        <v>121.22989379341901</v>
      </c>
      <c r="N939" s="93">
        <f t="shared" si="292"/>
        <v>31766.388497715732</v>
      </c>
      <c r="O939" s="93">
        <f t="shared" si="293"/>
        <v>53696.971888819804</v>
      </c>
      <c r="P939" s="93">
        <f t="shared" si="294"/>
        <v>29394.977173456609</v>
      </c>
      <c r="Q939" s="93">
        <f t="shared" si="295"/>
        <v>33254159316816.16</v>
      </c>
      <c r="R939" s="93">
        <f t="shared" si="296"/>
        <v>155815687174541.28</v>
      </c>
      <c r="S939" s="93">
        <f t="shared" si="297"/>
        <v>26509408541589.789</v>
      </c>
      <c r="T939">
        <f t="shared" si="302"/>
        <v>0.5</v>
      </c>
    </row>
    <row r="940" spans="1:20" x14ac:dyDescent="0.25">
      <c r="A940">
        <v>448.5</v>
      </c>
      <c r="B940" s="95">
        <f t="shared" si="298"/>
        <v>24082.13492790101</v>
      </c>
      <c r="C940" s="95">
        <f t="shared" si="299"/>
        <v>-20812.545522858018</v>
      </c>
      <c r="D940" s="95">
        <f t="shared" si="300"/>
        <v>670.18771050969292</v>
      </c>
      <c r="E940" s="95">
        <f t="shared" si="301"/>
        <v>650.46394713535619</v>
      </c>
      <c r="F940" s="96">
        <f t="shared" ref="F940:F1003" si="303">SUM(H940,J940,L940)</f>
        <v>-835.00638529022274</v>
      </c>
      <c r="G940" s="94">
        <f t="shared" ref="G940:G1003" si="304">SUM(I940,K940,M940)</f>
        <v>599.0191322877763</v>
      </c>
      <c r="H940" s="97">
        <f t="shared" ref="H940:H1003" si="305">$D$22*(($D$18-$B940)/$Q940)</f>
        <v>-224.71941119375094</v>
      </c>
      <c r="I940" s="94">
        <f t="shared" ref="I940:I1003" si="306">$D$22*(($E$18-$C940)/$Q940)</f>
        <v>451.80497075674992</v>
      </c>
      <c r="J940" s="95">
        <f t="shared" ref="J940:J1003" si="307">$D$30*(($D$26-$B940)/$R940)</f>
        <v>-50.566061020456708</v>
      </c>
      <c r="K940" s="94">
        <f t="shared" ref="K940:K1003" si="308">$D$30*(($E$26-$C940)/$R940)</f>
        <v>35.344682367420596</v>
      </c>
      <c r="L940" s="94">
        <f t="shared" ref="L940:L1003" si="309">$D$38*(($D$34-$B940)/$S940)</f>
        <v>-559.72091307601511</v>
      </c>
      <c r="M940" s="93">
        <f t="shared" ref="M940:M1003" si="310">$D$38*(($E$34-$C940)/$S940)</f>
        <v>111.86947916360576</v>
      </c>
      <c r="N940" s="93">
        <f t="shared" ref="N940:N1003" si="311">SQRT(($D$18-$B940)^2+($E$18-$C940)^2)</f>
        <v>31621.302283611236</v>
      </c>
      <c r="O940" s="93">
        <f t="shared" ref="O940:O1003" si="312">SQRT(($D$26-$B940)^2+($E$26-$C940)^2)</f>
        <v>53783.339254827493</v>
      </c>
      <c r="P940" s="93">
        <f t="shared" ref="P940:P1003" si="313">SQRT(($D$34-$B940)^2+($E$34-$C940)^2)</f>
        <v>29657.313725621487</v>
      </c>
      <c r="Q940" s="93">
        <f t="shared" ref="Q940:Q1003" si="314">($N940^2+$D$39^2)^(3/2)</f>
        <v>32811534023207.91</v>
      </c>
      <c r="R940" s="93">
        <f t="shared" ref="R940:R1003" si="315">($O940^2+$D$31^2)^(3/2)</f>
        <v>156565560635263.25</v>
      </c>
      <c r="S940" s="93">
        <f t="shared" ref="S940:S1003" si="316">($P940^2+$D$23^2)^(3/2)</f>
        <v>27205290858884.66</v>
      </c>
      <c r="T940">
        <f t="shared" si="302"/>
        <v>0.5</v>
      </c>
    </row>
    <row r="941" spans="1:20" x14ac:dyDescent="0.25">
      <c r="A941">
        <v>449</v>
      </c>
      <c r="B941" s="95">
        <f t="shared" ref="B941:B1004" si="317">B940+(D940*$T940)+(F940*($T940)^2)</f>
        <v>24208.477186833301</v>
      </c>
      <c r="C941" s="95">
        <f t="shared" ref="C941:C1004" si="318">C940+(E940*$T940)+(G940*($T940)^2)</f>
        <v>-20337.558766218393</v>
      </c>
      <c r="D941" s="95">
        <f t="shared" ref="D941:D1004" si="319">D940+(F940*$T940)</f>
        <v>252.68451786458155</v>
      </c>
      <c r="E941" s="95">
        <f t="shared" ref="E941:E1004" si="320">E940+(G940*$T940)</f>
        <v>949.97351327924434</v>
      </c>
      <c r="F941" s="96">
        <f t="shared" si="303"/>
        <v>-846.034424811083</v>
      </c>
      <c r="G941" s="94">
        <f t="shared" si="304"/>
        <v>597.17578787565844</v>
      </c>
      <c r="H941" s="97">
        <f t="shared" si="305"/>
        <v>-234.62148888762243</v>
      </c>
      <c r="I941" s="94">
        <f t="shared" si="306"/>
        <v>459.6755443137323</v>
      </c>
      <c r="J941" s="95">
        <f t="shared" si="307"/>
        <v>-51.183096775235299</v>
      </c>
      <c r="K941" s="94">
        <f t="shared" si="308"/>
        <v>35.123811202395558</v>
      </c>
      <c r="L941" s="94">
        <f t="shared" si="309"/>
        <v>-560.22983914822521</v>
      </c>
      <c r="M941" s="93">
        <f t="shared" si="310"/>
        <v>102.37643235953051</v>
      </c>
      <c r="N941" s="93">
        <f t="shared" si="311"/>
        <v>31253.96778061027</v>
      </c>
      <c r="O941" s="93">
        <f t="shared" si="312"/>
        <v>53616.759759169661</v>
      </c>
      <c r="P941" s="93">
        <f t="shared" si="313"/>
        <v>29692.165181350385</v>
      </c>
      <c r="Q941" s="93">
        <f t="shared" si="314"/>
        <v>31708695113198.363</v>
      </c>
      <c r="R941" s="93">
        <f t="shared" si="315"/>
        <v>155121408290614.28</v>
      </c>
      <c r="S941" s="93">
        <f t="shared" si="316"/>
        <v>27298658199586.566</v>
      </c>
      <c r="T941">
        <f t="shared" si="302"/>
        <v>0.5</v>
      </c>
    </row>
    <row r="942" spans="1:20" x14ac:dyDescent="0.25">
      <c r="A942">
        <v>449.5</v>
      </c>
      <c r="B942" s="95">
        <f t="shared" si="317"/>
        <v>24123.310839562822</v>
      </c>
      <c r="C942" s="95">
        <f t="shared" si="318"/>
        <v>-19713.278062609857</v>
      </c>
      <c r="D942" s="95">
        <f t="shared" si="319"/>
        <v>-170.33269454095995</v>
      </c>
      <c r="E942" s="95">
        <f t="shared" si="320"/>
        <v>1248.5614072170736</v>
      </c>
      <c r="F942" s="96">
        <f t="shared" si="303"/>
        <v>-868.12695158429665</v>
      </c>
      <c r="G942" s="94">
        <f t="shared" si="304"/>
        <v>602.63218165864316</v>
      </c>
      <c r="H942" s="97">
        <f t="shared" si="305"/>
        <v>-246.67414980324418</v>
      </c>
      <c r="I942" s="94">
        <f t="shared" si="306"/>
        <v>475.30018320133161</v>
      </c>
      <c r="J942" s="95">
        <f t="shared" si="307"/>
        <v>-52.302899699466657</v>
      </c>
      <c r="K942" s="94">
        <f t="shared" si="308"/>
        <v>35.221531944914325</v>
      </c>
      <c r="L942" s="94">
        <f t="shared" si="309"/>
        <v>-569.14990208158576</v>
      </c>
      <c r="M942" s="93">
        <f t="shared" si="310"/>
        <v>92.110466512397224</v>
      </c>
      <c r="N942" s="93">
        <f t="shared" si="311"/>
        <v>30659.915394270669</v>
      </c>
      <c r="O942" s="93">
        <f t="shared" si="312"/>
        <v>53195.351795722287</v>
      </c>
      <c r="P942" s="93">
        <f t="shared" si="313"/>
        <v>29502.241005613061</v>
      </c>
      <c r="Q942" s="93">
        <f t="shared" si="314"/>
        <v>29978610522779.715</v>
      </c>
      <c r="R942" s="93">
        <f t="shared" si="315"/>
        <v>151507826538202.88</v>
      </c>
      <c r="S942" s="93">
        <f t="shared" si="316"/>
        <v>26792466872423.137</v>
      </c>
      <c r="T942">
        <f t="shared" si="302"/>
        <v>0.5</v>
      </c>
    </row>
    <row r="943" spans="1:20" x14ac:dyDescent="0.25">
      <c r="A943">
        <v>450</v>
      </c>
      <c r="B943" s="95">
        <f t="shared" si="317"/>
        <v>23821.112754396268</v>
      </c>
      <c r="C943" s="95">
        <f t="shared" si="318"/>
        <v>-18938.339313586661</v>
      </c>
      <c r="D943" s="95">
        <f t="shared" si="319"/>
        <v>-604.39617033310833</v>
      </c>
      <c r="E943" s="95">
        <f t="shared" si="320"/>
        <v>1549.8774980463952</v>
      </c>
      <c r="F943" s="96">
        <f t="shared" si="303"/>
        <v>-902.33356756078388</v>
      </c>
      <c r="G943" s="94">
        <f t="shared" si="304"/>
        <v>615.99052635141186</v>
      </c>
      <c r="H943" s="97">
        <f t="shared" si="305"/>
        <v>-261.45901692058482</v>
      </c>
      <c r="I943" s="94">
        <f t="shared" si="306"/>
        <v>500.14368081502352</v>
      </c>
      <c r="J943" s="95">
        <f t="shared" si="307"/>
        <v>-53.983887493088069</v>
      </c>
      <c r="K943" s="94">
        <f t="shared" si="308"/>
        <v>35.649575183020531</v>
      </c>
      <c r="L943" s="94">
        <f t="shared" si="309"/>
        <v>-586.89066314711101</v>
      </c>
      <c r="M943" s="93">
        <f t="shared" si="310"/>
        <v>80.19727035336777</v>
      </c>
      <c r="N943" s="93">
        <f t="shared" si="311"/>
        <v>29833.017672204689</v>
      </c>
      <c r="O943" s="93">
        <f t="shared" si="312"/>
        <v>52513.9734286198</v>
      </c>
      <c r="P943" s="93">
        <f t="shared" si="313"/>
        <v>29088.950770878029</v>
      </c>
      <c r="Q943" s="93">
        <f t="shared" si="314"/>
        <v>27678210531197.66</v>
      </c>
      <c r="R943" s="93">
        <f t="shared" si="315"/>
        <v>145784713603066.56</v>
      </c>
      <c r="S943" s="93">
        <f t="shared" si="316"/>
        <v>25712965458780.418</v>
      </c>
      <c r="T943">
        <f t="shared" si="302"/>
        <v>0.5</v>
      </c>
    </row>
    <row r="944" spans="1:20" x14ac:dyDescent="0.25">
      <c r="A944">
        <v>450.5</v>
      </c>
      <c r="B944" s="95">
        <f t="shared" si="317"/>
        <v>23293.331277339519</v>
      </c>
      <c r="C944" s="95">
        <f t="shared" si="318"/>
        <v>-18009.402932975612</v>
      </c>
      <c r="D944" s="95">
        <f t="shared" si="319"/>
        <v>-1055.5629541135004</v>
      </c>
      <c r="E944" s="95">
        <f t="shared" si="320"/>
        <v>1857.8727612221012</v>
      </c>
      <c r="F944" s="96">
        <f t="shared" si="303"/>
        <v>-950.43920086118146</v>
      </c>
      <c r="G944" s="94">
        <f t="shared" si="304"/>
        <v>638.45752780245675</v>
      </c>
      <c r="H944" s="97">
        <f t="shared" si="305"/>
        <v>-279.66297032213885</v>
      </c>
      <c r="I944" s="94">
        <f t="shared" si="306"/>
        <v>536.66272558341154</v>
      </c>
      <c r="J944" s="95">
        <f t="shared" si="307"/>
        <v>-56.322401399225129</v>
      </c>
      <c r="K944" s="94">
        <f t="shared" si="308"/>
        <v>36.438795269363041</v>
      </c>
      <c r="L944" s="94">
        <f t="shared" si="309"/>
        <v>-614.45382913981746</v>
      </c>
      <c r="M944" s="93">
        <f t="shared" si="310"/>
        <v>65.356006949682197</v>
      </c>
      <c r="N944" s="93">
        <f t="shared" si="311"/>
        <v>28765.296703597513</v>
      </c>
      <c r="O944" s="93">
        <f t="shared" si="312"/>
        <v>51563.932993432987</v>
      </c>
      <c r="P944" s="93">
        <f t="shared" si="313"/>
        <v>28452.927806858137</v>
      </c>
      <c r="Q944" s="93">
        <f t="shared" si="314"/>
        <v>24888428998733.77</v>
      </c>
      <c r="R944" s="93">
        <f t="shared" si="315"/>
        <v>138048783379885.19</v>
      </c>
      <c r="S944" s="93">
        <f t="shared" si="316"/>
        <v>24109791349418.145</v>
      </c>
      <c r="T944">
        <f t="shared" si="302"/>
        <v>0.5</v>
      </c>
    </row>
    <row r="945" spans="1:20" x14ac:dyDescent="0.25">
      <c r="A945">
        <v>451</v>
      </c>
      <c r="B945" s="95">
        <f t="shared" si="317"/>
        <v>22527.940000067476</v>
      </c>
      <c r="C945" s="95">
        <f t="shared" si="318"/>
        <v>-16920.852170413946</v>
      </c>
      <c r="D945" s="95">
        <f t="shared" si="319"/>
        <v>-1530.782554544091</v>
      </c>
      <c r="E945" s="95">
        <f t="shared" si="320"/>
        <v>2177.1015251233293</v>
      </c>
      <c r="F945" s="96">
        <f t="shared" si="303"/>
        <v>-1015.0528556868607</v>
      </c>
      <c r="G945" s="94">
        <f t="shared" si="304"/>
        <v>672.10912245388977</v>
      </c>
      <c r="H945" s="97">
        <f t="shared" si="305"/>
        <v>-302.08898527714939</v>
      </c>
      <c r="I945" s="94">
        <f t="shared" si="306"/>
        <v>588.86540418647337</v>
      </c>
      <c r="J945" s="95">
        <f t="shared" si="307"/>
        <v>-59.467517335046644</v>
      </c>
      <c r="K945" s="94">
        <f t="shared" si="308"/>
        <v>37.643869962095017</v>
      </c>
      <c r="L945" s="94">
        <f t="shared" si="309"/>
        <v>-653.49635307466463</v>
      </c>
      <c r="M945" s="93">
        <f t="shared" si="310"/>
        <v>45.599848305321458</v>
      </c>
      <c r="N945" s="93">
        <f t="shared" si="311"/>
        <v>27446.808582684112</v>
      </c>
      <c r="O945" s="93">
        <f t="shared" si="312"/>
        <v>50332.474231162341</v>
      </c>
      <c r="P945" s="93">
        <f t="shared" si="313"/>
        <v>27594.875497234967</v>
      </c>
      <c r="Q945" s="93">
        <f t="shared" si="314"/>
        <v>21714178154447.473</v>
      </c>
      <c r="R945" s="93">
        <f t="shared" si="315"/>
        <v>128436150701268.8</v>
      </c>
      <c r="S945" s="93">
        <f t="shared" si="316"/>
        <v>22056122594967.188</v>
      </c>
      <c r="T945">
        <f t="shared" si="302"/>
        <v>0.5</v>
      </c>
    </row>
    <row r="946" spans="1:20" x14ac:dyDescent="0.25">
      <c r="A946">
        <v>451.5</v>
      </c>
      <c r="B946" s="95">
        <f t="shared" si="317"/>
        <v>21508.785508873712</v>
      </c>
      <c r="C946" s="95">
        <f t="shared" si="318"/>
        <v>-15664.274127238808</v>
      </c>
      <c r="D946" s="95">
        <f t="shared" si="319"/>
        <v>-2038.3089823875214</v>
      </c>
      <c r="E946" s="95">
        <f t="shared" si="320"/>
        <v>2513.1560863502741</v>
      </c>
      <c r="F946" s="96">
        <f t="shared" si="303"/>
        <v>-1099.6232567200368</v>
      </c>
      <c r="G946" s="94">
        <f t="shared" si="304"/>
        <v>720.40624963914752</v>
      </c>
      <c r="H946" s="97">
        <f t="shared" si="305"/>
        <v>-329.57583840974718</v>
      </c>
      <c r="I946" s="94">
        <f t="shared" si="306"/>
        <v>663.35279780403789</v>
      </c>
      <c r="J946" s="95">
        <f t="shared" si="307"/>
        <v>-63.647016472861473</v>
      </c>
      <c r="K946" s="94">
        <f t="shared" si="308"/>
        <v>39.352018087621531</v>
      </c>
      <c r="L946" s="94">
        <f t="shared" si="309"/>
        <v>-706.40040183742826</v>
      </c>
      <c r="M946" s="93">
        <f t="shared" si="310"/>
        <v>17.701433747488121</v>
      </c>
      <c r="N946" s="93">
        <f t="shared" si="311"/>
        <v>25865.725192445829</v>
      </c>
      <c r="O946" s="93">
        <f t="shared" si="312"/>
        <v>48801.990132572908</v>
      </c>
      <c r="P946" s="93">
        <f t="shared" si="313"/>
        <v>26517.107106009731</v>
      </c>
      <c r="Q946" s="93">
        <f t="shared" si="314"/>
        <v>18284064845730.215</v>
      </c>
      <c r="R946" s="93">
        <f t="shared" si="315"/>
        <v>117126379403063.58</v>
      </c>
      <c r="S946" s="93">
        <f t="shared" si="316"/>
        <v>19648867128247.406</v>
      </c>
      <c r="T946">
        <f t="shared" si="302"/>
        <v>0.5</v>
      </c>
    </row>
    <row r="947" spans="1:20" x14ac:dyDescent="0.25">
      <c r="A947">
        <v>452</v>
      </c>
      <c r="B947" s="95">
        <f t="shared" si="317"/>
        <v>20214.725203499944</v>
      </c>
      <c r="C947" s="95">
        <f t="shared" si="318"/>
        <v>-14227.594521653884</v>
      </c>
      <c r="D947" s="95">
        <f t="shared" si="319"/>
        <v>-2588.12061074754</v>
      </c>
      <c r="E947" s="95">
        <f t="shared" si="320"/>
        <v>2873.3592111698481</v>
      </c>
      <c r="F947" s="96">
        <f t="shared" si="303"/>
        <v>-1208.0375369310823</v>
      </c>
      <c r="G947" s="94">
        <f t="shared" si="304"/>
        <v>789.23895670959632</v>
      </c>
      <c r="H947" s="97">
        <f t="shared" si="305"/>
        <v>-362.61752514750657</v>
      </c>
      <c r="I947" s="94">
        <f t="shared" si="306"/>
        <v>771.31850303237536</v>
      </c>
      <c r="J947" s="95">
        <f t="shared" si="307"/>
        <v>-69.213498953585983</v>
      </c>
      <c r="K947" s="94">
        <f t="shared" si="308"/>
        <v>41.698074016093386</v>
      </c>
      <c r="L947" s="94">
        <f t="shared" si="309"/>
        <v>-776.20651282998961</v>
      </c>
      <c r="M947" s="93">
        <f t="shared" si="310"/>
        <v>-23.777620338872396</v>
      </c>
      <c r="N947" s="93">
        <f t="shared" si="311"/>
        <v>24008.935309180637</v>
      </c>
      <c r="O947" s="93">
        <f t="shared" si="312"/>
        <v>46948.913294118815</v>
      </c>
      <c r="P947" s="93">
        <f t="shared" si="313"/>
        <v>25226.553020795258</v>
      </c>
      <c r="Q947" s="93">
        <f t="shared" si="314"/>
        <v>14749473587769.951</v>
      </c>
      <c r="R947" s="93">
        <f t="shared" si="315"/>
        <v>104348700039732.66</v>
      </c>
      <c r="S947" s="93">
        <f t="shared" si="316"/>
        <v>17008874604085.967</v>
      </c>
      <c r="T947">
        <f t="shared" si="302"/>
        <v>0.5</v>
      </c>
    </row>
    <row r="948" spans="1:20" x14ac:dyDescent="0.25">
      <c r="A948">
        <v>452.5</v>
      </c>
      <c r="B948" s="95">
        <f t="shared" si="317"/>
        <v>18618.655513893405</v>
      </c>
      <c r="C948" s="95">
        <f t="shared" si="318"/>
        <v>-12593.60517689156</v>
      </c>
      <c r="D948" s="95">
        <f t="shared" si="319"/>
        <v>-3192.1393792130812</v>
      </c>
      <c r="E948" s="95">
        <f t="shared" si="320"/>
        <v>3267.9786895246461</v>
      </c>
      <c r="F948" s="96">
        <f t="shared" si="303"/>
        <v>-1342.6538594429662</v>
      </c>
      <c r="G948" s="94">
        <f t="shared" si="304"/>
        <v>889.18775101080564</v>
      </c>
      <c r="H948" s="97">
        <f t="shared" si="305"/>
        <v>-399.98332498953141</v>
      </c>
      <c r="I948" s="94">
        <f t="shared" si="306"/>
        <v>932.52445195471705</v>
      </c>
      <c r="J948" s="95">
        <f t="shared" si="307"/>
        <v>-76.72932514968636</v>
      </c>
      <c r="K948" s="94">
        <f t="shared" si="308"/>
        <v>44.890016362627492</v>
      </c>
      <c r="L948" s="94">
        <f t="shared" si="309"/>
        <v>-865.94120930374845</v>
      </c>
      <c r="M948" s="93">
        <f t="shared" si="310"/>
        <v>-88.226717306538987</v>
      </c>
      <c r="N948" s="93">
        <f t="shared" si="311"/>
        <v>21863.993045003663</v>
      </c>
      <c r="O948" s="93">
        <f t="shared" si="312"/>
        <v>44742.279206473497</v>
      </c>
      <c r="P948" s="93">
        <f t="shared" si="313"/>
        <v>23740.927200272748</v>
      </c>
      <c r="Q948" s="93">
        <f t="shared" si="314"/>
        <v>11282264015621.709</v>
      </c>
      <c r="R948" s="93">
        <f t="shared" si="315"/>
        <v>90391691587118.563</v>
      </c>
      <c r="S948" s="93">
        <f t="shared" si="316"/>
        <v>14281222530448.598</v>
      </c>
      <c r="T948">
        <f t="shared" si="302"/>
        <v>0.5</v>
      </c>
    </row>
    <row r="949" spans="1:20" x14ac:dyDescent="0.25">
      <c r="A949">
        <v>453</v>
      </c>
      <c r="B949" s="95">
        <f t="shared" si="317"/>
        <v>16686.92235942612</v>
      </c>
      <c r="C949" s="95">
        <f t="shared" si="318"/>
        <v>-10737.318894376536</v>
      </c>
      <c r="D949" s="95">
        <f t="shared" si="319"/>
        <v>-3863.466308934564</v>
      </c>
      <c r="E949" s="95">
        <f t="shared" si="320"/>
        <v>3712.5725650300492</v>
      </c>
      <c r="F949" s="96">
        <f t="shared" si="303"/>
        <v>-1496.8937055012916</v>
      </c>
      <c r="G949" s="94">
        <f t="shared" si="304"/>
        <v>1040.7804957647854</v>
      </c>
      <c r="H949" s="97">
        <f t="shared" si="305"/>
        <v>-433.88636312642581</v>
      </c>
      <c r="I949" s="94">
        <f t="shared" si="306"/>
        <v>1183.3431798566567</v>
      </c>
      <c r="J949" s="95">
        <f t="shared" si="307"/>
        <v>-87.131224079257507</v>
      </c>
      <c r="K949" s="94">
        <f t="shared" si="308"/>
        <v>49.251009983526096</v>
      </c>
      <c r="L949" s="94">
        <f t="shared" si="309"/>
        <v>-975.87611829560819</v>
      </c>
      <c r="M949" s="93">
        <f t="shared" si="310"/>
        <v>-191.81369407539739</v>
      </c>
      <c r="N949" s="93">
        <f t="shared" si="311"/>
        <v>19424.590886198257</v>
      </c>
      <c r="O949" s="93">
        <f t="shared" si="312"/>
        <v>42142.219532597308</v>
      </c>
      <c r="P949" s="93">
        <f t="shared" si="313"/>
        <v>22101.878916327812</v>
      </c>
      <c r="Q949" s="93">
        <f t="shared" si="314"/>
        <v>8069542298328.0205</v>
      </c>
      <c r="R949" s="93">
        <f t="shared" si="315"/>
        <v>75618874243801.031</v>
      </c>
      <c r="S949" s="93">
        <f t="shared" si="316"/>
        <v>11635950282012.336</v>
      </c>
      <c r="T949">
        <f t="shared" si="302"/>
        <v>0.5</v>
      </c>
    </row>
    <row r="950" spans="1:20" x14ac:dyDescent="0.25">
      <c r="A950">
        <v>453.5</v>
      </c>
      <c r="B950" s="95">
        <f t="shared" si="317"/>
        <v>14380.965778583515</v>
      </c>
      <c r="C950" s="95">
        <f t="shared" si="318"/>
        <v>-8620.8374879203166</v>
      </c>
      <c r="D950" s="95">
        <f t="shared" si="319"/>
        <v>-4611.9131616852101</v>
      </c>
      <c r="E950" s="95">
        <f t="shared" si="320"/>
        <v>4232.9628129124421</v>
      </c>
      <c r="F950" s="96">
        <f t="shared" si="303"/>
        <v>-1629.267631212575</v>
      </c>
      <c r="G950" s="94">
        <f t="shared" si="304"/>
        <v>1286.905469503087</v>
      </c>
      <c r="H950" s="97">
        <f t="shared" si="305"/>
        <v>-432.61242641676114</v>
      </c>
      <c r="I950" s="94">
        <f t="shared" si="306"/>
        <v>1591.9034692333066</v>
      </c>
      <c r="J950" s="95">
        <f t="shared" si="307"/>
        <v>-102.06843838134256</v>
      </c>
      <c r="K950" s="94">
        <f t="shared" si="308"/>
        <v>55.280582168192161</v>
      </c>
      <c r="L950" s="94">
        <f t="shared" si="309"/>
        <v>-1094.5867664144714</v>
      </c>
      <c r="M950" s="93">
        <f t="shared" si="310"/>
        <v>-360.2785818984118</v>
      </c>
      <c r="N950" s="93">
        <f t="shared" si="311"/>
        <v>16705.515929328758</v>
      </c>
      <c r="O950" s="93">
        <f t="shared" si="312"/>
        <v>39099.698165326925</v>
      </c>
      <c r="P950" s="93">
        <f t="shared" si="313"/>
        <v>20403.812116027439</v>
      </c>
      <c r="Q950" s="93">
        <f t="shared" si="314"/>
        <v>5302363449436.7422</v>
      </c>
      <c r="R950" s="93">
        <f t="shared" si="315"/>
        <v>60494980934022.773</v>
      </c>
      <c r="S950" s="93">
        <f t="shared" si="316"/>
        <v>9270941567126.8203</v>
      </c>
      <c r="T950">
        <f t="shared" si="302"/>
        <v>0.5</v>
      </c>
    </row>
    <row r="951" spans="1:20" x14ac:dyDescent="0.25">
      <c r="A951">
        <v>454</v>
      </c>
      <c r="B951" s="95">
        <f t="shared" si="317"/>
        <v>11667.692289937766</v>
      </c>
      <c r="C951" s="95">
        <f t="shared" si="318"/>
        <v>-6182.6297140883235</v>
      </c>
      <c r="D951" s="95">
        <f t="shared" si="319"/>
        <v>-5426.5469772914976</v>
      </c>
      <c r="E951" s="95">
        <f t="shared" si="320"/>
        <v>4876.4155476639853</v>
      </c>
      <c r="F951" s="96">
        <f t="shared" si="303"/>
        <v>-1577.183085577391</v>
      </c>
      <c r="G951" s="94">
        <f t="shared" si="304"/>
        <v>1714.4152387684726</v>
      </c>
      <c r="H951" s="97">
        <f t="shared" si="305"/>
        <v>-276.99397734205553</v>
      </c>
      <c r="I951" s="94">
        <f t="shared" si="306"/>
        <v>2272.6051129884099</v>
      </c>
      <c r="J951" s="95">
        <f t="shared" si="307"/>
        <v>-124.63441938296201</v>
      </c>
      <c r="K951" s="94">
        <f t="shared" si="308"/>
        <v>63.689915894052355</v>
      </c>
      <c r="L951" s="94">
        <f t="shared" si="309"/>
        <v>-1175.5546888523736</v>
      </c>
      <c r="M951" s="93">
        <f t="shared" si="310"/>
        <v>-621.87979011398977</v>
      </c>
      <c r="N951" s="93">
        <f t="shared" si="311"/>
        <v>13783.887458433872</v>
      </c>
      <c r="O951" s="93">
        <f t="shared" si="312"/>
        <v>35562.905385154889</v>
      </c>
      <c r="P951" s="93">
        <f t="shared" si="313"/>
        <v>18856.245252725399</v>
      </c>
      <c r="Q951" s="93">
        <f t="shared" si="314"/>
        <v>3152421036244.5332</v>
      </c>
      <c r="R951" s="93">
        <f t="shared" si="315"/>
        <v>45632174418237.164</v>
      </c>
      <c r="S951" s="93">
        <f t="shared" si="316"/>
        <v>7423885386038.8818</v>
      </c>
      <c r="T951">
        <f t="shared" si="302"/>
        <v>0.5</v>
      </c>
    </row>
    <row r="952" spans="1:20" x14ac:dyDescent="0.25">
      <c r="A952">
        <v>454.5</v>
      </c>
      <c r="B952" s="95">
        <f t="shared" si="317"/>
        <v>8560.1230298976698</v>
      </c>
      <c r="C952" s="95">
        <f t="shared" si="318"/>
        <v>-3315.8181305642129</v>
      </c>
      <c r="D952" s="95">
        <f t="shared" si="319"/>
        <v>-6215.1385200801933</v>
      </c>
      <c r="E952" s="95">
        <f t="shared" si="320"/>
        <v>5733.6231670482211</v>
      </c>
      <c r="F952" s="96">
        <f t="shared" si="303"/>
        <v>-830.96368413262917</v>
      </c>
      <c r="G952" s="94">
        <f t="shared" si="304"/>
        <v>2397.3791010260411</v>
      </c>
      <c r="H952" s="97">
        <f t="shared" si="305"/>
        <v>436.04443185834674</v>
      </c>
      <c r="I952" s="94">
        <f t="shared" si="306"/>
        <v>3275.4029474406452</v>
      </c>
      <c r="J952" s="95">
        <f t="shared" si="307"/>
        <v>-160.93374264951169</v>
      </c>
      <c r="K952" s="94">
        <f t="shared" si="308"/>
        <v>75.033445967603072</v>
      </c>
      <c r="L952" s="94">
        <f t="shared" si="309"/>
        <v>-1106.0743733414643</v>
      </c>
      <c r="M952" s="93">
        <f t="shared" si="310"/>
        <v>-953.05729238220727</v>
      </c>
      <c r="N952" s="93">
        <f t="shared" si="311"/>
        <v>10911.240420890406</v>
      </c>
      <c r="O952" s="93">
        <f t="shared" si="312"/>
        <v>31511.769864118294</v>
      </c>
      <c r="P952" s="93">
        <f t="shared" si="313"/>
        <v>17899.638056229327</v>
      </c>
      <c r="Q952" s="93">
        <f t="shared" si="314"/>
        <v>1728993110506.4219</v>
      </c>
      <c r="R952" s="93">
        <f t="shared" si="315"/>
        <v>31871734943192.441</v>
      </c>
      <c r="S952" s="93">
        <f t="shared" si="316"/>
        <v>6419155878250.1523</v>
      </c>
      <c r="T952">
        <f t="shared" si="302"/>
        <v>0.5</v>
      </c>
    </row>
    <row r="953" spans="1:20" x14ac:dyDescent="0.25">
      <c r="A953">
        <v>455</v>
      </c>
      <c r="B953" s="95">
        <f t="shared" si="317"/>
        <v>5244.8128488244165</v>
      </c>
      <c r="C953" s="95">
        <f t="shared" si="318"/>
        <v>150.33822821640797</v>
      </c>
      <c r="D953" s="95">
        <f t="shared" si="319"/>
        <v>-6630.6203621465083</v>
      </c>
      <c r="E953" s="95">
        <f t="shared" si="320"/>
        <v>6932.3127175612417</v>
      </c>
      <c r="F953" s="96">
        <f t="shared" si="303"/>
        <v>1420.9156360002744</v>
      </c>
      <c r="G953" s="94">
        <f t="shared" si="304"/>
        <v>2678.9819798447088</v>
      </c>
      <c r="H953" s="97">
        <f t="shared" si="305"/>
        <v>2430.1754185509321</v>
      </c>
      <c r="I953" s="94">
        <f t="shared" si="306"/>
        <v>3756.1018745679371</v>
      </c>
      <c r="J953" s="95">
        <f t="shared" si="307"/>
        <v>-222.26046897491381</v>
      </c>
      <c r="K953" s="94">
        <f t="shared" si="308"/>
        <v>86.71842638527805</v>
      </c>
      <c r="L953" s="94">
        <f t="shared" si="309"/>
        <v>-786.99931357574405</v>
      </c>
      <c r="M953" s="93">
        <f t="shared" si="310"/>
        <v>-1163.8383211085065</v>
      </c>
      <c r="N953" s="93">
        <f t="shared" si="311"/>
        <v>8753.8181956402605</v>
      </c>
      <c r="O953" s="93">
        <f t="shared" si="312"/>
        <v>27098.273243708823</v>
      </c>
      <c r="P953" s="93">
        <f t="shared" si="313"/>
        <v>18289.038759234816</v>
      </c>
      <c r="Q953" s="93">
        <f t="shared" si="314"/>
        <v>1024539278559.9507</v>
      </c>
      <c r="R953" s="93">
        <f t="shared" si="315"/>
        <v>20398708476923.043</v>
      </c>
      <c r="S953" s="93">
        <f t="shared" si="316"/>
        <v>6815979850739.6211</v>
      </c>
      <c r="T953">
        <f t="shared" si="302"/>
        <v>0.5</v>
      </c>
    </row>
    <row r="954" spans="1:20" x14ac:dyDescent="0.25">
      <c r="A954">
        <v>455.5</v>
      </c>
      <c r="B954" s="95">
        <f t="shared" si="317"/>
        <v>2284.7315767512309</v>
      </c>
      <c r="C954" s="95">
        <f t="shared" si="318"/>
        <v>4286.2400819582062</v>
      </c>
      <c r="D954" s="95">
        <f t="shared" si="319"/>
        <v>-5920.1625441463711</v>
      </c>
      <c r="E954" s="95">
        <f t="shared" si="320"/>
        <v>8271.8037074835956</v>
      </c>
      <c r="F954" s="96">
        <f t="shared" si="303"/>
        <v>3655.7466120437816</v>
      </c>
      <c r="G954" s="94">
        <f t="shared" si="304"/>
        <v>845.17800664037509</v>
      </c>
      <c r="H954" s="97">
        <f t="shared" si="305"/>
        <v>4372.8924888407209</v>
      </c>
      <c r="I954" s="94">
        <f t="shared" si="306"/>
        <v>1821.5084473528495</v>
      </c>
      <c r="J954" s="95">
        <f t="shared" si="307"/>
        <v>-317.61050805168179</v>
      </c>
      <c r="K954" s="94">
        <f t="shared" si="308"/>
        <v>81.43468922676395</v>
      </c>
      <c r="L954" s="94">
        <f t="shared" si="309"/>
        <v>-399.53536874525764</v>
      </c>
      <c r="M954" s="93">
        <f t="shared" si="310"/>
        <v>-1057.7651299392385</v>
      </c>
      <c r="N954" s="93">
        <f t="shared" si="311"/>
        <v>8357.8477883718097</v>
      </c>
      <c r="O954" s="93">
        <f t="shared" si="312"/>
        <v>23005.571365407865</v>
      </c>
      <c r="P954" s="93">
        <f t="shared" si="313"/>
        <v>20616.167700235845</v>
      </c>
      <c r="Q954" s="93">
        <f t="shared" si="314"/>
        <v>923806178664.18701</v>
      </c>
      <c r="R954" s="93">
        <f t="shared" si="315"/>
        <v>12601007996294.58</v>
      </c>
      <c r="S954" s="93">
        <f t="shared" si="316"/>
        <v>9546780667073.2539</v>
      </c>
      <c r="T954">
        <f t="shared" si="302"/>
        <v>0.5</v>
      </c>
    </row>
    <row r="955" spans="1:20" x14ac:dyDescent="0.25">
      <c r="A955">
        <v>456</v>
      </c>
      <c r="B955" s="95">
        <f t="shared" si="317"/>
        <v>238.58695768899076</v>
      </c>
      <c r="C955" s="95">
        <f t="shared" si="318"/>
        <v>8633.4364373600984</v>
      </c>
      <c r="D955" s="95">
        <f t="shared" si="319"/>
        <v>-4092.2892381244801</v>
      </c>
      <c r="E955" s="95">
        <f t="shared" si="320"/>
        <v>8694.3927108037824</v>
      </c>
      <c r="F955" s="96">
        <f t="shared" si="303"/>
        <v>3214.6938262258859</v>
      </c>
      <c r="G955" s="94">
        <f t="shared" si="304"/>
        <v>-1233.9844716260905</v>
      </c>
      <c r="H955" s="97">
        <f t="shared" si="305"/>
        <v>3813.049318952852</v>
      </c>
      <c r="I955" s="94">
        <f t="shared" si="306"/>
        <v>-442.748300560497</v>
      </c>
      <c r="J955" s="95">
        <f t="shared" si="307"/>
        <v>-416.73283041458467</v>
      </c>
      <c r="K955" s="94">
        <f t="shared" si="308"/>
        <v>28.13891615017149</v>
      </c>
      <c r="L955" s="94">
        <f t="shared" si="309"/>
        <v>-181.62266231238149</v>
      </c>
      <c r="M955" s="93">
        <f t="shared" si="310"/>
        <v>-819.37508721576489</v>
      </c>
      <c r="N955" s="93">
        <f t="shared" si="311"/>
        <v>9826.9966286823892</v>
      </c>
      <c r="O955" s="93">
        <f t="shared" si="312"/>
        <v>20284.671503740796</v>
      </c>
      <c r="P955" s="93">
        <f t="shared" si="313"/>
        <v>24207.067380250945</v>
      </c>
      <c r="Q955" s="93">
        <f t="shared" si="314"/>
        <v>1340413797340.2666</v>
      </c>
      <c r="R955" s="93">
        <f t="shared" si="315"/>
        <v>8721982555916.6523</v>
      </c>
      <c r="S955" s="93">
        <f t="shared" si="316"/>
        <v>15102287798168.588</v>
      </c>
      <c r="T955">
        <f t="shared" si="302"/>
        <v>0.5</v>
      </c>
    </row>
    <row r="956" spans="1:20" x14ac:dyDescent="0.25">
      <c r="A956">
        <v>456.5</v>
      </c>
      <c r="B956" s="95">
        <f t="shared" si="317"/>
        <v>-1003.8842048167777</v>
      </c>
      <c r="C956" s="95">
        <f t="shared" si="318"/>
        <v>12672.136674855466</v>
      </c>
      <c r="D956" s="95">
        <f t="shared" si="319"/>
        <v>-2484.9423250115369</v>
      </c>
      <c r="E956" s="95">
        <f t="shared" si="320"/>
        <v>8077.4004749907372</v>
      </c>
      <c r="F956" s="96">
        <f t="shared" si="303"/>
        <v>1984.230608856614</v>
      </c>
      <c r="G956" s="94">
        <f t="shared" si="304"/>
        <v>-1888.9105578428016</v>
      </c>
      <c r="H956" s="97">
        <f t="shared" si="305"/>
        <v>2535.6632114907457</v>
      </c>
      <c r="I956" s="94">
        <f t="shared" si="306"/>
        <v>-1191.8333969283576</v>
      </c>
      <c r="J956" s="95">
        <f t="shared" si="307"/>
        <v>-460.11476725722139</v>
      </c>
      <c r="K956" s="94">
        <f t="shared" si="308"/>
        <v>-64.723207496048531</v>
      </c>
      <c r="L956" s="94">
        <f t="shared" si="309"/>
        <v>-91.31783537691004</v>
      </c>
      <c r="M956" s="93">
        <f t="shared" si="310"/>
        <v>-632.35395341839558</v>
      </c>
      <c r="N956" s="93">
        <f t="shared" si="311"/>
        <v>12158.801971263498</v>
      </c>
      <c r="O956" s="93">
        <f t="shared" si="312"/>
        <v>19183.136597363766</v>
      </c>
      <c r="P956" s="93">
        <f t="shared" si="313"/>
        <v>27959.18613980732</v>
      </c>
      <c r="Q956" s="93">
        <f t="shared" si="314"/>
        <v>2272234053149.4331</v>
      </c>
      <c r="R956" s="93">
        <f t="shared" si="315"/>
        <v>7414662345125.1328</v>
      </c>
      <c r="S956" s="93">
        <f t="shared" si="316"/>
        <v>22912953738673.668</v>
      </c>
      <c r="T956">
        <f t="shared" si="302"/>
        <v>0.5</v>
      </c>
    </row>
    <row r="957" spans="1:20" x14ac:dyDescent="0.25">
      <c r="A957">
        <v>457</v>
      </c>
      <c r="B957" s="95">
        <f t="shared" si="317"/>
        <v>-1750.2977151083926</v>
      </c>
      <c r="C957" s="95">
        <f t="shared" si="318"/>
        <v>16238.609272890135</v>
      </c>
      <c r="D957" s="95">
        <f t="shared" si="319"/>
        <v>-1492.82702058323</v>
      </c>
      <c r="E957" s="95">
        <f t="shared" si="320"/>
        <v>7132.9451960693368</v>
      </c>
      <c r="F957" s="96">
        <f t="shared" si="303"/>
        <v>1172.5410124685334</v>
      </c>
      <c r="G957" s="94">
        <f t="shared" si="304"/>
        <v>-1892.2721299636348</v>
      </c>
      <c r="H957" s="97">
        <f t="shared" si="305"/>
        <v>1660.6268581794764</v>
      </c>
      <c r="I957" s="94">
        <f t="shared" si="306"/>
        <v>-1234.9958795545051</v>
      </c>
      <c r="J957" s="95">
        <f t="shared" si="307"/>
        <v>-435.18647418078518</v>
      </c>
      <c r="K957" s="94">
        <f t="shared" si="308"/>
        <v>-148.76726923420796</v>
      </c>
      <c r="L957" s="94">
        <f t="shared" si="309"/>
        <v>-52.899371530157765</v>
      </c>
      <c r="M957" s="93">
        <f t="shared" si="310"/>
        <v>-508.50898117492176</v>
      </c>
      <c r="N957" s="93">
        <f t="shared" si="311"/>
        <v>14643.523770524735</v>
      </c>
      <c r="O957" s="93">
        <f t="shared" si="312"/>
        <v>19286.572509053251</v>
      </c>
      <c r="P957" s="93">
        <f t="shared" si="313"/>
        <v>31407.185073558045</v>
      </c>
      <c r="Q957" s="93">
        <f t="shared" si="314"/>
        <v>3704890997181.0791</v>
      </c>
      <c r="R957" s="93">
        <f t="shared" si="315"/>
        <v>7531355320178.3945</v>
      </c>
      <c r="S957" s="93">
        <f t="shared" si="316"/>
        <v>32165602127393.844</v>
      </c>
      <c r="T957">
        <f t="shared" si="302"/>
        <v>0.5</v>
      </c>
    </row>
    <row r="958" spans="1:20" x14ac:dyDescent="0.25">
      <c r="A958">
        <v>457.5</v>
      </c>
      <c r="B958" s="95">
        <f t="shared" si="317"/>
        <v>-2203.5759722828743</v>
      </c>
      <c r="C958" s="95">
        <f t="shared" si="318"/>
        <v>19332.013838433897</v>
      </c>
      <c r="D958" s="95">
        <f t="shared" si="319"/>
        <v>-906.55651434896333</v>
      </c>
      <c r="E958" s="95">
        <f t="shared" si="320"/>
        <v>6186.8091310875197</v>
      </c>
      <c r="F958" s="96">
        <f t="shared" si="303"/>
        <v>737.46592428928091</v>
      </c>
      <c r="G958" s="94">
        <f t="shared" si="304"/>
        <v>-1737.6215042511669</v>
      </c>
      <c r="H958" s="97">
        <f t="shared" si="305"/>
        <v>1148.8129696616754</v>
      </c>
      <c r="I958" s="94">
        <f t="shared" si="306"/>
        <v>-1113.8350747093798</v>
      </c>
      <c r="J958" s="95">
        <f t="shared" si="307"/>
        <v>-376.6244108760626</v>
      </c>
      <c r="K958" s="94">
        <f t="shared" si="308"/>
        <v>-197.49272149918991</v>
      </c>
      <c r="L958" s="94">
        <f t="shared" si="309"/>
        <v>-34.722634496331878</v>
      </c>
      <c r="M958" s="93">
        <f t="shared" si="310"/>
        <v>-426.29370804259725</v>
      </c>
      <c r="N958" s="93">
        <f t="shared" si="311"/>
        <v>16997.759204794354</v>
      </c>
      <c r="O958" s="93">
        <f t="shared" si="312"/>
        <v>20094.755297216965</v>
      </c>
      <c r="P958" s="93">
        <f t="shared" si="313"/>
        <v>34445.71325354158</v>
      </c>
      <c r="Q958" s="93">
        <f t="shared" si="314"/>
        <v>5562069375740</v>
      </c>
      <c r="R958" s="93">
        <f t="shared" si="315"/>
        <v>8486273453646.2988</v>
      </c>
      <c r="S958" s="93">
        <f t="shared" si="316"/>
        <v>42168580184231.977</v>
      </c>
      <c r="T958">
        <f t="shared" si="302"/>
        <v>0.5</v>
      </c>
    </row>
    <row r="959" spans="1:20" x14ac:dyDescent="0.25">
      <c r="A959">
        <v>458</v>
      </c>
      <c r="B959" s="95">
        <f t="shared" si="317"/>
        <v>-2472.4877483850355</v>
      </c>
      <c r="C959" s="95">
        <f t="shared" si="318"/>
        <v>21991.013027914865</v>
      </c>
      <c r="D959" s="95">
        <f t="shared" si="319"/>
        <v>-537.82355220432282</v>
      </c>
      <c r="E959" s="95">
        <f t="shared" si="320"/>
        <v>5317.9983789619364</v>
      </c>
      <c r="F959" s="96">
        <f t="shared" si="303"/>
        <v>505.13705011745577</v>
      </c>
      <c r="G959" s="94">
        <f t="shared" si="304"/>
        <v>-1568.8986034395866</v>
      </c>
      <c r="H959" s="97">
        <f t="shared" si="305"/>
        <v>846.12149199402484</v>
      </c>
      <c r="I959" s="94">
        <f t="shared" si="306"/>
        <v>-983.05629246032163</v>
      </c>
      <c r="J959" s="95">
        <f t="shared" si="307"/>
        <v>-315.71308420769367</v>
      </c>
      <c r="K959" s="94">
        <f t="shared" si="308"/>
        <v>-215.98728053770589</v>
      </c>
      <c r="L959" s="94">
        <f t="shared" si="309"/>
        <v>-25.2713576688754</v>
      </c>
      <c r="M959" s="93">
        <f t="shared" si="310"/>
        <v>-369.85503044155905</v>
      </c>
      <c r="N959" s="93">
        <f t="shared" si="311"/>
        <v>19119.424918360208</v>
      </c>
      <c r="O959" s="93">
        <f t="shared" si="312"/>
        <v>21236.715357280107</v>
      </c>
      <c r="P959" s="93">
        <f t="shared" si="313"/>
        <v>37077.262075474653</v>
      </c>
      <c r="Q959" s="93">
        <f t="shared" si="314"/>
        <v>7718252491529.083</v>
      </c>
      <c r="R959" s="93">
        <f t="shared" si="315"/>
        <v>9970580421779.375</v>
      </c>
      <c r="S959" s="93">
        <f t="shared" si="316"/>
        <v>52367677969483.133</v>
      </c>
      <c r="T959">
        <f t="shared" si="302"/>
        <v>0.5</v>
      </c>
    </row>
    <row r="960" spans="1:20" x14ac:dyDescent="0.25">
      <c r="A960">
        <v>458.5</v>
      </c>
      <c r="B960" s="95">
        <f t="shared" si="317"/>
        <v>-2615.1152619578329</v>
      </c>
      <c r="C960" s="95">
        <f t="shared" si="318"/>
        <v>24257.787566535935</v>
      </c>
      <c r="D960" s="95">
        <f t="shared" si="319"/>
        <v>-285.25502714559491</v>
      </c>
      <c r="E960" s="95">
        <f t="shared" si="320"/>
        <v>4533.5490772421435</v>
      </c>
      <c r="F960" s="96">
        <f t="shared" si="303"/>
        <v>373.76310926377556</v>
      </c>
      <c r="G960" s="94">
        <f t="shared" si="304"/>
        <v>-1422.3365619124238</v>
      </c>
      <c r="H960" s="97">
        <f t="shared" si="305"/>
        <v>658.80978872505739</v>
      </c>
      <c r="I960" s="94">
        <f t="shared" si="306"/>
        <v>-875.15605342915626</v>
      </c>
      <c r="J960" s="95">
        <f t="shared" si="307"/>
        <v>-265.00913141757394</v>
      </c>
      <c r="K960" s="94">
        <f t="shared" si="308"/>
        <v>-217.34075065081453</v>
      </c>
      <c r="L960" s="94">
        <f t="shared" si="309"/>
        <v>-20.037548043707869</v>
      </c>
      <c r="M960" s="93">
        <f t="shared" si="310"/>
        <v>-329.83975783245285</v>
      </c>
      <c r="N960" s="93">
        <f t="shared" si="311"/>
        <v>20975.332588486595</v>
      </c>
      <c r="O960" s="93">
        <f t="shared" si="312"/>
        <v>22483.743541667573</v>
      </c>
      <c r="P960" s="93">
        <f t="shared" si="313"/>
        <v>39330.160943390627</v>
      </c>
      <c r="Q960" s="93">
        <f t="shared" si="314"/>
        <v>10026048516940.178</v>
      </c>
      <c r="R960" s="93">
        <f t="shared" si="315"/>
        <v>11781584957937.82</v>
      </c>
      <c r="S960" s="93">
        <f t="shared" si="316"/>
        <v>62319138352562.477</v>
      </c>
      <c r="T960">
        <f t="shared" si="302"/>
        <v>0.5</v>
      </c>
    </row>
    <row r="961" spans="1:20" x14ac:dyDescent="0.25">
      <c r="A961">
        <v>459</v>
      </c>
      <c r="B961" s="95">
        <f t="shared" si="317"/>
        <v>-2664.3019982146866</v>
      </c>
      <c r="C961" s="95">
        <f t="shared" si="318"/>
        <v>26168.977964678899</v>
      </c>
      <c r="D961" s="95">
        <f t="shared" si="319"/>
        <v>-98.373472513707128</v>
      </c>
      <c r="E961" s="95">
        <f t="shared" si="320"/>
        <v>3822.3807962859319</v>
      </c>
      <c r="F961" s="96">
        <f t="shared" si="303"/>
        <v>294.15715183847288</v>
      </c>
      <c r="G961" s="94">
        <f t="shared" si="304"/>
        <v>-1304.1644473805798</v>
      </c>
      <c r="H961" s="97">
        <f t="shared" si="305"/>
        <v>537.49119175086378</v>
      </c>
      <c r="I961" s="94">
        <f t="shared" si="306"/>
        <v>-792.33827623665695</v>
      </c>
      <c r="J961" s="95">
        <f t="shared" si="307"/>
        <v>-226.26916192665374</v>
      </c>
      <c r="K961" s="94">
        <f t="shared" si="308"/>
        <v>-211.04088758939224</v>
      </c>
      <c r="L961" s="94">
        <f t="shared" si="309"/>
        <v>-17.06487798573713</v>
      </c>
      <c r="M961" s="93">
        <f t="shared" si="310"/>
        <v>-300.78528355453051</v>
      </c>
      <c r="N961" s="93">
        <f t="shared" si="311"/>
        <v>22559.150767430296</v>
      </c>
      <c r="O961" s="93">
        <f t="shared" si="312"/>
        <v>23705.74347349973</v>
      </c>
      <c r="P961" s="93">
        <f t="shared" si="313"/>
        <v>41235.181966516895</v>
      </c>
      <c r="Q961" s="93">
        <f t="shared" si="314"/>
        <v>12336970580805.139</v>
      </c>
      <c r="R961" s="93">
        <f t="shared" si="315"/>
        <v>13759691813553.094</v>
      </c>
      <c r="S961" s="93">
        <f t="shared" si="316"/>
        <v>71665828195451.719</v>
      </c>
      <c r="T961">
        <f t="shared" si="302"/>
        <v>0.5</v>
      </c>
    </row>
    <row r="962" spans="1:20" x14ac:dyDescent="0.25">
      <c r="A962">
        <v>459.5</v>
      </c>
      <c r="B962" s="95">
        <f t="shared" si="317"/>
        <v>-2639.9494465119219</v>
      </c>
      <c r="C962" s="95">
        <f t="shared" si="318"/>
        <v>27754.127250976722</v>
      </c>
      <c r="D962" s="95">
        <f t="shared" si="319"/>
        <v>48.705103405529314</v>
      </c>
      <c r="E962" s="95">
        <f t="shared" si="320"/>
        <v>3170.2985725956419</v>
      </c>
      <c r="F962" s="96">
        <f t="shared" si="303"/>
        <v>242.86597685157221</v>
      </c>
      <c r="G962" s="94">
        <f t="shared" si="304"/>
        <v>-1212.312071387732</v>
      </c>
      <c r="H962" s="97">
        <f t="shared" si="305"/>
        <v>456.00615895286018</v>
      </c>
      <c r="I962" s="94">
        <f t="shared" si="306"/>
        <v>-730.69966060735192</v>
      </c>
      <c r="J962" s="95">
        <f t="shared" si="307"/>
        <v>-197.71674185409</v>
      </c>
      <c r="K962" s="94">
        <f t="shared" si="308"/>
        <v>-202.2049523249068</v>
      </c>
      <c r="L962" s="94">
        <f t="shared" si="309"/>
        <v>-15.423440247197945</v>
      </c>
      <c r="M962" s="93">
        <f t="shared" si="310"/>
        <v>-279.40745845547332</v>
      </c>
      <c r="N962" s="93">
        <f t="shared" si="311"/>
        <v>23874.630734508439</v>
      </c>
      <c r="O962" s="93">
        <f t="shared" si="312"/>
        <v>24831.036822161415</v>
      </c>
      <c r="P962" s="93">
        <f t="shared" si="313"/>
        <v>42819.215728545634</v>
      </c>
      <c r="Q962" s="93">
        <f t="shared" si="314"/>
        <v>14513536547435.543</v>
      </c>
      <c r="R962" s="93">
        <f t="shared" si="315"/>
        <v>15768859466376.111</v>
      </c>
      <c r="S962" s="93">
        <f t="shared" si="316"/>
        <v>80119581646574.891</v>
      </c>
      <c r="T962">
        <f t="shared" si="302"/>
        <v>0.5</v>
      </c>
    </row>
    <row r="963" spans="1:20" x14ac:dyDescent="0.25">
      <c r="A963">
        <v>460</v>
      </c>
      <c r="B963" s="95">
        <f t="shared" si="317"/>
        <v>-2554.8804005962643</v>
      </c>
      <c r="C963" s="95">
        <f t="shared" si="318"/>
        <v>29036.198519427609</v>
      </c>
      <c r="D963" s="95">
        <f t="shared" si="319"/>
        <v>170.13809183131542</v>
      </c>
      <c r="E963" s="95">
        <f t="shared" si="320"/>
        <v>2564.1425369017761</v>
      </c>
      <c r="F963" s="96">
        <f t="shared" si="303"/>
        <v>208.23565475870325</v>
      </c>
      <c r="G963" s="94">
        <f t="shared" si="304"/>
        <v>-1143.0031373530019</v>
      </c>
      <c r="H963" s="97">
        <f t="shared" si="305"/>
        <v>399.96874610824955</v>
      </c>
      <c r="I963" s="94">
        <f t="shared" si="306"/>
        <v>-686.0922639569477</v>
      </c>
      <c r="J963" s="95">
        <f t="shared" si="307"/>
        <v>-177.0929691784107</v>
      </c>
      <c r="K963" s="94">
        <f t="shared" si="308"/>
        <v>-193.24470081536876</v>
      </c>
      <c r="L963" s="94">
        <f t="shared" si="309"/>
        <v>-14.640122171135614</v>
      </c>
      <c r="M963" s="93">
        <f t="shared" si="310"/>
        <v>-263.66617258068527</v>
      </c>
      <c r="N963" s="93">
        <f t="shared" si="311"/>
        <v>24928.555283880214</v>
      </c>
      <c r="O963" s="93">
        <f t="shared" si="312"/>
        <v>25820.709748350419</v>
      </c>
      <c r="P963" s="93">
        <f t="shared" si="313"/>
        <v>44104.029179858684</v>
      </c>
      <c r="Q963" s="93">
        <f t="shared" si="314"/>
        <v>16435584203762.109</v>
      </c>
      <c r="R963" s="93">
        <f t="shared" si="315"/>
        <v>17691529220742.441</v>
      </c>
      <c r="S963" s="93">
        <f t="shared" si="316"/>
        <v>87448835021565.313</v>
      </c>
      <c r="T963">
        <f t="shared" si="302"/>
        <v>0.5</v>
      </c>
    </row>
    <row r="964" spans="1:20" x14ac:dyDescent="0.25">
      <c r="A964">
        <v>460.5</v>
      </c>
      <c r="B964" s="95">
        <f t="shared" si="317"/>
        <v>-2417.7524409909311</v>
      </c>
      <c r="C964" s="95">
        <f t="shared" si="318"/>
        <v>30032.519003540245</v>
      </c>
      <c r="D964" s="95">
        <f t="shared" si="319"/>
        <v>274.25591921066706</v>
      </c>
      <c r="E964" s="95">
        <f t="shared" si="320"/>
        <v>1992.6409682252752</v>
      </c>
      <c r="F964" s="96">
        <f t="shared" si="303"/>
        <v>184.15142672384317</v>
      </c>
      <c r="G964" s="94">
        <f t="shared" si="304"/>
        <v>-1092.7663973532424</v>
      </c>
      <c r="H964" s="97">
        <f t="shared" si="305"/>
        <v>361.14959388181632</v>
      </c>
      <c r="I964" s="94">
        <f t="shared" si="306"/>
        <v>-655.3206891450551</v>
      </c>
      <c r="J964" s="95">
        <f t="shared" si="307"/>
        <v>-162.53299819108261</v>
      </c>
      <c r="K964" s="94">
        <f t="shared" si="308"/>
        <v>-185.18368394243782</v>
      </c>
      <c r="L964" s="94">
        <f t="shared" si="309"/>
        <v>-14.465168966890522</v>
      </c>
      <c r="M964" s="93">
        <f t="shared" si="310"/>
        <v>-252.26202426574946</v>
      </c>
      <c r="N964" s="93">
        <f t="shared" si="311"/>
        <v>25727.708571317395</v>
      </c>
      <c r="O964" s="93">
        <f t="shared" si="312"/>
        <v>26654.028717127949</v>
      </c>
      <c r="P964" s="93">
        <f t="shared" si="313"/>
        <v>45106.493659563275</v>
      </c>
      <c r="Q964" s="93">
        <f t="shared" si="314"/>
        <v>18003398270228.559</v>
      </c>
      <c r="R964" s="93">
        <f t="shared" si="315"/>
        <v>19427887783043.848</v>
      </c>
      <c r="S964" s="93">
        <f t="shared" si="316"/>
        <v>93470160167751.422</v>
      </c>
      <c r="T964">
        <f t="shared" si="302"/>
        <v>0.5</v>
      </c>
    </row>
    <row r="965" spans="1:20" x14ac:dyDescent="0.25">
      <c r="A965">
        <v>461</v>
      </c>
      <c r="B965" s="95">
        <f t="shared" si="317"/>
        <v>-2234.5866247046365</v>
      </c>
      <c r="C965" s="95">
        <f t="shared" si="318"/>
        <v>30755.647888314572</v>
      </c>
      <c r="D965" s="95">
        <f t="shared" si="319"/>
        <v>366.33163257258866</v>
      </c>
      <c r="E965" s="95">
        <f t="shared" si="320"/>
        <v>1446.2577695486539</v>
      </c>
      <c r="F965" s="96">
        <f t="shared" si="303"/>
        <v>167.25143283034183</v>
      </c>
      <c r="G965" s="94">
        <f t="shared" si="304"/>
        <v>-1058.9594805590186</v>
      </c>
      <c r="H965" s="97">
        <f t="shared" si="305"/>
        <v>334.7064767191593</v>
      </c>
      <c r="I965" s="94">
        <f t="shared" si="306"/>
        <v>-636.21405506269332</v>
      </c>
      <c r="J965" s="95">
        <f t="shared" si="307"/>
        <v>-152.68627508653165</v>
      </c>
      <c r="K965" s="94">
        <f t="shared" si="308"/>
        <v>-178.38608627488239</v>
      </c>
      <c r="L965" s="94">
        <f t="shared" si="309"/>
        <v>-14.768768802285813</v>
      </c>
      <c r="M965" s="93">
        <f t="shared" si="310"/>
        <v>-244.35933922144287</v>
      </c>
      <c r="N965" s="93">
        <f t="shared" si="311"/>
        <v>26277.562074566042</v>
      </c>
      <c r="O965" s="93">
        <f t="shared" si="312"/>
        <v>27320.447135045586</v>
      </c>
      <c r="P965" s="93">
        <f t="shared" si="313"/>
        <v>45839.140751280327</v>
      </c>
      <c r="Q965" s="93">
        <f t="shared" si="314"/>
        <v>19139201127624.84</v>
      </c>
      <c r="R965" s="93">
        <f t="shared" si="315"/>
        <v>20896235757329.867</v>
      </c>
      <c r="S965" s="93">
        <f t="shared" si="316"/>
        <v>98042502845850.25</v>
      </c>
      <c r="T965">
        <f t="shared" si="302"/>
        <v>0.5</v>
      </c>
    </row>
    <row r="966" spans="1:20" x14ac:dyDescent="0.25">
      <c r="A966">
        <v>461.5</v>
      </c>
      <c r="B966" s="95">
        <f t="shared" si="317"/>
        <v>-2009.6079502107566</v>
      </c>
      <c r="C966" s="95">
        <f t="shared" si="318"/>
        <v>31214.036902949145</v>
      </c>
      <c r="D966" s="95">
        <f t="shared" si="319"/>
        <v>449.95734898775959</v>
      </c>
      <c r="E966" s="95">
        <f t="shared" si="320"/>
        <v>916.77802926914455</v>
      </c>
      <c r="F966" s="96">
        <f t="shared" si="303"/>
        <v>155.64993663583374</v>
      </c>
      <c r="G966" s="94">
        <f t="shared" si="304"/>
        <v>-1039.8337492904957</v>
      </c>
      <c r="H966" s="97">
        <f t="shared" si="305"/>
        <v>317.78190876126519</v>
      </c>
      <c r="I966" s="94">
        <f t="shared" si="306"/>
        <v>-627.48858603015537</v>
      </c>
      <c r="J966" s="95">
        <f t="shared" si="307"/>
        <v>-146.63905035985752</v>
      </c>
      <c r="K966" s="94">
        <f t="shared" si="308"/>
        <v>-172.91486573156021</v>
      </c>
      <c r="L966" s="94">
        <f t="shared" si="309"/>
        <v>-15.492921765573918</v>
      </c>
      <c r="M966" s="93">
        <f t="shared" si="310"/>
        <v>-239.43029752878007</v>
      </c>
      <c r="N966" s="93">
        <f t="shared" si="311"/>
        <v>26581.689738468456</v>
      </c>
      <c r="O966" s="93">
        <f t="shared" si="312"/>
        <v>27815.275799905492</v>
      </c>
      <c r="P966" s="93">
        <f t="shared" si="313"/>
        <v>46310.686147784378</v>
      </c>
      <c r="Q966" s="93">
        <f t="shared" si="314"/>
        <v>19787835130885.293</v>
      </c>
      <c r="R966" s="93">
        <f t="shared" si="315"/>
        <v>22033512210789.078</v>
      </c>
      <c r="S966" s="93">
        <f t="shared" si="316"/>
        <v>101063288095067.25</v>
      </c>
      <c r="T966">
        <f t="shared" si="302"/>
        <v>0.5</v>
      </c>
    </row>
    <row r="967" spans="1:20" x14ac:dyDescent="0.25">
      <c r="A967">
        <v>462</v>
      </c>
      <c r="B967" s="95">
        <f t="shared" si="317"/>
        <v>-1745.7167915579182</v>
      </c>
      <c r="C967" s="95">
        <f t="shared" si="318"/>
        <v>31412.467480261093</v>
      </c>
      <c r="D967" s="95">
        <f t="shared" si="319"/>
        <v>527.78231730567643</v>
      </c>
      <c r="E967" s="95">
        <f t="shared" si="320"/>
        <v>396.86115462389671</v>
      </c>
      <c r="F967" s="96">
        <f t="shared" si="303"/>
        <v>148.3384207910749</v>
      </c>
      <c r="G967" s="94">
        <f t="shared" si="304"/>
        <v>-1034.4970231427612</v>
      </c>
      <c r="H967" s="97">
        <f t="shared" si="305"/>
        <v>308.78260612868507</v>
      </c>
      <c r="I967" s="94">
        <f t="shared" si="306"/>
        <v>-628.63375292935973</v>
      </c>
      <c r="J967" s="95">
        <f t="shared" si="307"/>
        <v>-143.8148531160177</v>
      </c>
      <c r="K967" s="94">
        <f t="shared" si="308"/>
        <v>-168.69634541996732</v>
      </c>
      <c r="L967" s="94">
        <f t="shared" si="309"/>
        <v>-16.629332221592477</v>
      </c>
      <c r="M967" s="93">
        <f t="shared" si="310"/>
        <v>-237.16692479343419</v>
      </c>
      <c r="N967" s="93">
        <f t="shared" si="311"/>
        <v>26641.470754108715</v>
      </c>
      <c r="O967" s="93">
        <f t="shared" si="312"/>
        <v>28137.388276939444</v>
      </c>
      <c r="P967" s="93">
        <f t="shared" si="313"/>
        <v>46526.417192892055</v>
      </c>
      <c r="Q967" s="93">
        <f t="shared" si="314"/>
        <v>19917064007229.332</v>
      </c>
      <c r="R967" s="93">
        <f t="shared" si="315"/>
        <v>22795744700107.141</v>
      </c>
      <c r="S967" s="93">
        <f t="shared" si="316"/>
        <v>102465852548058.78</v>
      </c>
      <c r="T967">
        <f t="shared" si="302"/>
        <v>0.5</v>
      </c>
    </row>
    <row r="968" spans="1:20" x14ac:dyDescent="0.25">
      <c r="A968">
        <v>462.5</v>
      </c>
      <c r="B968" s="95">
        <f t="shared" si="317"/>
        <v>-1444.7410277073113</v>
      </c>
      <c r="C968" s="95">
        <f t="shared" si="318"/>
        <v>31352.273801787353</v>
      </c>
      <c r="D968" s="95">
        <f t="shared" si="319"/>
        <v>601.95152770121388</v>
      </c>
      <c r="E968" s="95">
        <f t="shared" si="320"/>
        <v>-120.38735694748391</v>
      </c>
      <c r="F968" s="96">
        <f t="shared" si="303"/>
        <v>144.91825239032016</v>
      </c>
      <c r="G968" s="94">
        <f t="shared" si="304"/>
        <v>-1042.90311279974</v>
      </c>
      <c r="H968" s="97">
        <f t="shared" si="305"/>
        <v>307.02638820268498</v>
      </c>
      <c r="I968" s="94">
        <f t="shared" si="306"/>
        <v>-639.88144930976614</v>
      </c>
      <c r="J968" s="95">
        <f t="shared" si="307"/>
        <v>-143.89674860440542</v>
      </c>
      <c r="K968" s="94">
        <f t="shared" si="308"/>
        <v>-165.58770642739165</v>
      </c>
      <c r="L968" s="94">
        <f t="shared" si="309"/>
        <v>-18.211387207959419</v>
      </c>
      <c r="M968" s="93">
        <f t="shared" si="310"/>
        <v>-237.43395706258229</v>
      </c>
      <c r="N968" s="93">
        <f t="shared" si="311"/>
        <v>26455.870099218399</v>
      </c>
      <c r="O968" s="93">
        <f t="shared" si="312"/>
        <v>28288.111142940295</v>
      </c>
      <c r="P968" s="93">
        <f t="shared" si="313"/>
        <v>46488.419557519155</v>
      </c>
      <c r="Q968" s="93">
        <f t="shared" si="314"/>
        <v>19517711243735.887</v>
      </c>
      <c r="R968" s="93">
        <f t="shared" si="315"/>
        <v>23158412290401.09</v>
      </c>
      <c r="S968" s="93">
        <f t="shared" si="316"/>
        <v>102217871904547.89</v>
      </c>
      <c r="T968">
        <f t="shared" si="302"/>
        <v>0.5</v>
      </c>
    </row>
    <row r="969" spans="1:20" x14ac:dyDescent="0.25">
      <c r="A969">
        <v>463</v>
      </c>
      <c r="B969" s="95">
        <f t="shared" si="317"/>
        <v>-1107.5357007591244</v>
      </c>
      <c r="C969" s="95">
        <f t="shared" si="318"/>
        <v>31031.354345113676</v>
      </c>
      <c r="D969" s="95">
        <f t="shared" si="319"/>
        <v>674.41065389637401</v>
      </c>
      <c r="E969" s="95">
        <f t="shared" si="320"/>
        <v>-641.83891334735392</v>
      </c>
      <c r="F969" s="96">
        <f t="shared" si="303"/>
        <v>145.52802708852812</v>
      </c>
      <c r="G969" s="94">
        <f t="shared" si="304"/>
        <v>-1065.9276229544093</v>
      </c>
      <c r="H969" s="97">
        <f t="shared" si="305"/>
        <v>312.61948062358169</v>
      </c>
      <c r="I969" s="94">
        <f t="shared" si="306"/>
        <v>-662.28549445365672</v>
      </c>
      <c r="J969" s="95">
        <f t="shared" si="307"/>
        <v>-146.7756888090255</v>
      </c>
      <c r="K969" s="94">
        <f t="shared" si="308"/>
        <v>-163.3927407085155</v>
      </c>
      <c r="L969" s="94">
        <f t="shared" si="309"/>
        <v>-20.315764726028082</v>
      </c>
      <c r="M969" s="93">
        <f t="shared" si="310"/>
        <v>-240.24938779223723</v>
      </c>
      <c r="N969" s="93">
        <f t="shared" si="311"/>
        <v>26021.183421569025</v>
      </c>
      <c r="O969" s="93">
        <f t="shared" si="312"/>
        <v>28270.887373547775</v>
      </c>
      <c r="P969" s="93">
        <f t="shared" si="313"/>
        <v>46195.636819577245</v>
      </c>
      <c r="Q969" s="93">
        <f t="shared" si="314"/>
        <v>18603741779721.84</v>
      </c>
      <c r="R969" s="93">
        <f t="shared" si="315"/>
        <v>23116773905792.254</v>
      </c>
      <c r="S969" s="93">
        <f t="shared" si="316"/>
        <v>100320591847151.09</v>
      </c>
      <c r="T969">
        <f t="shared" si="302"/>
        <v>0.5</v>
      </c>
    </row>
    <row r="970" spans="1:20" x14ac:dyDescent="0.25">
      <c r="A970">
        <v>463.5</v>
      </c>
      <c r="B970" s="95">
        <f t="shared" si="317"/>
        <v>-733.94836703880537</v>
      </c>
      <c r="C970" s="95">
        <f t="shared" si="318"/>
        <v>30443.952982701398</v>
      </c>
      <c r="D970" s="95">
        <f t="shared" si="319"/>
        <v>747.17466744063813</v>
      </c>
      <c r="E970" s="95">
        <f t="shared" si="320"/>
        <v>-1174.8027248245585</v>
      </c>
      <c r="F970" s="96">
        <f t="shared" si="303"/>
        <v>150.93461636618886</v>
      </c>
      <c r="G970" s="94">
        <f t="shared" si="304"/>
        <v>-1105.5857601883688</v>
      </c>
      <c r="H970" s="97">
        <f t="shared" si="305"/>
        <v>326.5265538584261</v>
      </c>
      <c r="I970" s="94">
        <f t="shared" si="306"/>
        <v>-697.95471742128609</v>
      </c>
      <c r="J970" s="95">
        <f t="shared" si="307"/>
        <v>-152.51862058053655</v>
      </c>
      <c r="K970" s="94">
        <f t="shared" si="308"/>
        <v>-161.84341075887141</v>
      </c>
      <c r="L970" s="94">
        <f t="shared" si="309"/>
        <v>-23.07331691170068</v>
      </c>
      <c r="M970" s="93">
        <f t="shared" si="310"/>
        <v>-245.7876320082112</v>
      </c>
      <c r="N970" s="93">
        <f t="shared" si="311"/>
        <v>25330.665723953396</v>
      </c>
      <c r="O970" s="93">
        <f t="shared" si="312"/>
        <v>28091.563841887335</v>
      </c>
      <c r="P970" s="93">
        <f t="shared" si="313"/>
        <v>45643.751590212938</v>
      </c>
      <c r="Q970" s="93">
        <f t="shared" si="314"/>
        <v>17212328234578.109</v>
      </c>
      <c r="R970" s="93">
        <f t="shared" si="315"/>
        <v>22686243722121.352</v>
      </c>
      <c r="S970" s="93">
        <f t="shared" si="316"/>
        <v>96808769203220.906</v>
      </c>
      <c r="T970">
        <f t="shared" si="302"/>
        <v>0.5</v>
      </c>
    </row>
    <row r="971" spans="1:20" x14ac:dyDescent="0.25">
      <c r="A971">
        <v>464</v>
      </c>
      <c r="B971" s="95">
        <f t="shared" si="317"/>
        <v>-322.62737922693907</v>
      </c>
      <c r="C971" s="95">
        <f t="shared" si="318"/>
        <v>29580.155180242029</v>
      </c>
      <c r="D971" s="95">
        <f t="shared" si="319"/>
        <v>822.64197562373261</v>
      </c>
      <c r="E971" s="95">
        <f t="shared" si="320"/>
        <v>-1727.595604918743</v>
      </c>
      <c r="F971" s="96">
        <f t="shared" si="303"/>
        <v>162.84159256849358</v>
      </c>
      <c r="G971" s="94">
        <f t="shared" si="304"/>
        <v>-1165.4885811467764</v>
      </c>
      <c r="H971" s="97">
        <f t="shared" si="305"/>
        <v>350.87975127755851</v>
      </c>
      <c r="I971" s="94">
        <f t="shared" si="306"/>
        <v>-750.53366485010395</v>
      </c>
      <c r="J971" s="95">
        <f t="shared" si="307"/>
        <v>-161.34571570520876</v>
      </c>
      <c r="K971" s="94">
        <f t="shared" si="308"/>
        <v>-160.54857587237615</v>
      </c>
      <c r="L971" s="94">
        <f t="shared" si="309"/>
        <v>-26.69244300385618</v>
      </c>
      <c r="M971" s="93">
        <f t="shared" si="310"/>
        <v>-254.40634042429627</v>
      </c>
      <c r="N971" s="93">
        <f t="shared" si="311"/>
        <v>24373.959235092163</v>
      </c>
      <c r="O971" s="93">
        <f t="shared" si="312"/>
        <v>27759.349238393686</v>
      </c>
      <c r="P971" s="93">
        <f t="shared" si="313"/>
        <v>44824.859737962572</v>
      </c>
      <c r="Q971" s="93">
        <f t="shared" si="314"/>
        <v>15403895599678.59</v>
      </c>
      <c r="R971" s="93">
        <f t="shared" si="315"/>
        <v>21902940037825.918</v>
      </c>
      <c r="S971" s="93">
        <f t="shared" si="316"/>
        <v>91751308671895.313</v>
      </c>
      <c r="T971">
        <f t="shared" si="302"/>
        <v>0.5</v>
      </c>
    </row>
    <row r="972" spans="1:20" x14ac:dyDescent="0.25">
      <c r="A972">
        <v>464.5</v>
      </c>
      <c r="B972" s="95">
        <f t="shared" si="317"/>
        <v>129.40400672705061</v>
      </c>
      <c r="C972" s="95">
        <f t="shared" si="318"/>
        <v>28424.985232495961</v>
      </c>
      <c r="D972" s="95">
        <f t="shared" si="319"/>
        <v>904.06277190797937</v>
      </c>
      <c r="E972" s="95">
        <f t="shared" si="320"/>
        <v>-2310.3398954921313</v>
      </c>
      <c r="F972" s="96">
        <f t="shared" si="303"/>
        <v>184.59770758614928</v>
      </c>
      <c r="G972" s="94">
        <f t="shared" si="304"/>
        <v>-1251.7404957969361</v>
      </c>
      <c r="H972" s="97">
        <f t="shared" si="305"/>
        <v>389.69967990615652</v>
      </c>
      <c r="I972" s="94">
        <f t="shared" si="306"/>
        <v>-826.13654258589759</v>
      </c>
      <c r="J972" s="95">
        <f t="shared" si="307"/>
        <v>-173.5985596271594</v>
      </c>
      <c r="K972" s="94">
        <f t="shared" si="308"/>
        <v>-158.89943370623678</v>
      </c>
      <c r="L972" s="94">
        <f t="shared" si="309"/>
        <v>-31.503412692847839</v>
      </c>
      <c r="M972" s="93">
        <f t="shared" si="310"/>
        <v>-266.70451950480185</v>
      </c>
      <c r="N972" s="93">
        <f t="shared" si="311"/>
        <v>23136.198310063606</v>
      </c>
      <c r="O972" s="93">
        <f t="shared" si="312"/>
        <v>27288.697046281512</v>
      </c>
      <c r="P972" s="93">
        <f t="shared" si="313"/>
        <v>43726.881067676441</v>
      </c>
      <c r="Q972" s="93">
        <f t="shared" si="314"/>
        <v>13262089354930.318</v>
      </c>
      <c r="R972" s="93">
        <f t="shared" si="315"/>
        <v>20824641867594.828</v>
      </c>
      <c r="S972" s="93">
        <f t="shared" si="316"/>
        <v>85252657661467.656</v>
      </c>
      <c r="T972">
        <f t="shared" si="302"/>
        <v>0.5</v>
      </c>
    </row>
    <row r="973" spans="1:20" x14ac:dyDescent="0.25">
      <c r="A973">
        <v>465</v>
      </c>
      <c r="B973" s="95">
        <f t="shared" si="317"/>
        <v>627.5848195775776</v>
      </c>
      <c r="C973" s="95">
        <f t="shared" si="318"/>
        <v>26956.880160800662</v>
      </c>
      <c r="D973" s="95">
        <f t="shared" si="319"/>
        <v>996.36162570105398</v>
      </c>
      <c r="E973" s="95">
        <f t="shared" si="320"/>
        <v>-2936.2101433905991</v>
      </c>
      <c r="F973" s="96">
        <f t="shared" si="303"/>
        <v>222.78131191501518</v>
      </c>
      <c r="G973" s="94">
        <f t="shared" si="304"/>
        <v>-1374.7370901115312</v>
      </c>
      <c r="H973" s="97">
        <f t="shared" si="305"/>
        <v>450.48572991855866</v>
      </c>
      <c r="I973" s="94">
        <f t="shared" si="306"/>
        <v>-935.19617862054224</v>
      </c>
      <c r="J973" s="95">
        <f t="shared" si="307"/>
        <v>-189.66178806467556</v>
      </c>
      <c r="K973" s="94">
        <f t="shared" si="308"/>
        <v>-155.9112343701776</v>
      </c>
      <c r="L973" s="94">
        <f t="shared" si="309"/>
        <v>-38.042629938867897</v>
      </c>
      <c r="M973" s="93">
        <f t="shared" si="310"/>
        <v>-283.62967712081132</v>
      </c>
      <c r="N973" s="93">
        <f t="shared" si="311"/>
        <v>21596.581949604224</v>
      </c>
      <c r="O973" s="93">
        <f t="shared" si="312"/>
        <v>26702.678522511975</v>
      </c>
      <c r="P973" s="93">
        <f t="shared" si="313"/>
        <v>42332.605680838125</v>
      </c>
      <c r="Q973" s="93">
        <f t="shared" si="314"/>
        <v>10893541763809.641</v>
      </c>
      <c r="R973" s="93">
        <f t="shared" si="315"/>
        <v>19532655180544.09</v>
      </c>
      <c r="S973" s="93">
        <f t="shared" si="316"/>
        <v>77455121421452.406</v>
      </c>
      <c r="T973">
        <f t="shared" si="302"/>
        <v>0.5</v>
      </c>
    </row>
    <row r="974" spans="1:20" x14ac:dyDescent="0.25">
      <c r="A974">
        <v>465.5</v>
      </c>
      <c r="B974" s="95">
        <f t="shared" si="317"/>
        <v>1181.4609604068585</v>
      </c>
      <c r="C974" s="95">
        <f t="shared" si="318"/>
        <v>25145.090816577478</v>
      </c>
      <c r="D974" s="95">
        <f t="shared" si="319"/>
        <v>1107.7522816585615</v>
      </c>
      <c r="E974" s="95">
        <f t="shared" si="320"/>
        <v>-3623.5786884463646</v>
      </c>
      <c r="F974" s="96">
        <f t="shared" si="303"/>
        <v>290.93851763407184</v>
      </c>
      <c r="G974" s="94">
        <f t="shared" si="304"/>
        <v>-1552.9745414106217</v>
      </c>
      <c r="H974" s="97">
        <f t="shared" si="305"/>
        <v>547.91408852603763</v>
      </c>
      <c r="I974" s="94">
        <f t="shared" si="306"/>
        <v>-1096.3260250158462</v>
      </c>
      <c r="J974" s="95">
        <f t="shared" si="307"/>
        <v>-209.7551077637718</v>
      </c>
      <c r="K974" s="94">
        <f t="shared" si="308"/>
        <v>-149.97833068556665</v>
      </c>
      <c r="L974" s="94">
        <f t="shared" si="309"/>
        <v>-47.220463128193998</v>
      </c>
      <c r="M974" s="93">
        <f t="shared" si="310"/>
        <v>-306.67018570920891</v>
      </c>
      <c r="N974" s="93">
        <f t="shared" si="311"/>
        <v>19726.019890441537</v>
      </c>
      <c r="O974" s="93">
        <f t="shared" si="312"/>
        <v>26038.972027705302</v>
      </c>
      <c r="P974" s="93">
        <f t="shared" si="313"/>
        <v>40618.207447846427</v>
      </c>
      <c r="Q974" s="93">
        <f t="shared" si="314"/>
        <v>8427190211732.1494</v>
      </c>
      <c r="R974" s="93">
        <f t="shared" si="315"/>
        <v>18135774570041.391</v>
      </c>
      <c r="S974" s="93">
        <f t="shared" si="316"/>
        <v>68542432154699.266</v>
      </c>
      <c r="T974">
        <f t="shared" si="302"/>
        <v>0.5</v>
      </c>
    </row>
    <row r="975" spans="1:20" x14ac:dyDescent="0.25">
      <c r="A975">
        <v>466</v>
      </c>
      <c r="B975" s="95">
        <f t="shared" si="317"/>
        <v>1808.0717306446572</v>
      </c>
      <c r="C975" s="95">
        <f t="shared" si="318"/>
        <v>22945.057837001641</v>
      </c>
      <c r="D975" s="95">
        <f t="shared" si="319"/>
        <v>1253.2215404755975</v>
      </c>
      <c r="E975" s="95">
        <f t="shared" si="320"/>
        <v>-4400.0659591516751</v>
      </c>
      <c r="F975" s="96">
        <f t="shared" si="303"/>
        <v>419.27551705105662</v>
      </c>
      <c r="G975" s="94">
        <f t="shared" si="304"/>
        <v>-1821.7548234526237</v>
      </c>
      <c r="H975" s="97">
        <f t="shared" si="305"/>
        <v>713.37386679841711</v>
      </c>
      <c r="I975" s="94">
        <f t="shared" si="306"/>
        <v>-1344.9947643369831</v>
      </c>
      <c r="J975" s="95">
        <f t="shared" si="307"/>
        <v>-233.41778239129786</v>
      </c>
      <c r="K975" s="94">
        <f t="shared" si="308"/>
        <v>-138.55451002548099</v>
      </c>
      <c r="L975" s="94">
        <f t="shared" si="309"/>
        <v>-60.680567356062603</v>
      </c>
      <c r="M975" s="93">
        <f t="shared" si="310"/>
        <v>-338.20554909015959</v>
      </c>
      <c r="N975" s="93">
        <f t="shared" si="311"/>
        <v>17483.063242995748</v>
      </c>
      <c r="O975" s="93">
        <f t="shared" si="312"/>
        <v>25360.727809198619</v>
      </c>
      <c r="P975" s="93">
        <f t="shared" si="313"/>
        <v>38550.969572022477</v>
      </c>
      <c r="Q975" s="93">
        <f t="shared" si="314"/>
        <v>6012672753031.4766</v>
      </c>
      <c r="R975" s="93">
        <f t="shared" si="315"/>
        <v>16779386223256.463</v>
      </c>
      <c r="S975" s="93">
        <f t="shared" si="316"/>
        <v>58745298168257.555</v>
      </c>
      <c r="T975">
        <f t="shared" si="302"/>
        <v>0.5</v>
      </c>
    </row>
    <row r="976" spans="1:20" x14ac:dyDescent="0.25">
      <c r="A976">
        <v>466.5</v>
      </c>
      <c r="B976" s="95">
        <f t="shared" si="317"/>
        <v>2539.5013801452205</v>
      </c>
      <c r="C976" s="95">
        <f t="shared" si="318"/>
        <v>20289.586151562649</v>
      </c>
      <c r="D976" s="95">
        <f t="shared" si="319"/>
        <v>1462.8592990011259</v>
      </c>
      <c r="E976" s="95">
        <f t="shared" si="320"/>
        <v>-5310.943370877987</v>
      </c>
      <c r="F976" s="96">
        <f t="shared" si="303"/>
        <v>683.43702624914999</v>
      </c>
      <c r="G976" s="94">
        <f t="shared" si="304"/>
        <v>-2254.583833027843</v>
      </c>
      <c r="H976" s="97">
        <f t="shared" si="305"/>
        <v>1023.4370882119896</v>
      </c>
      <c r="I976" s="94">
        <f t="shared" si="306"/>
        <v>-1754.4855213238352</v>
      </c>
      <c r="J976" s="95">
        <f t="shared" si="307"/>
        <v>-258.35363335422551</v>
      </c>
      <c r="K976" s="94">
        <f t="shared" si="308"/>
        <v>-117.94191553453103</v>
      </c>
      <c r="L976" s="94">
        <f t="shared" si="309"/>
        <v>-81.646428608614031</v>
      </c>
      <c r="M976" s="93">
        <f t="shared" si="310"/>
        <v>-382.15639616947686</v>
      </c>
      <c r="N976" s="93">
        <f t="shared" si="311"/>
        <v>14806.5037596692</v>
      </c>
      <c r="O976" s="93">
        <f t="shared" si="312"/>
        <v>24777.100428339032</v>
      </c>
      <c r="P976" s="93">
        <f t="shared" si="313"/>
        <v>36085.99412250927</v>
      </c>
      <c r="Q976" s="93">
        <f t="shared" si="314"/>
        <v>3816852044646.2729</v>
      </c>
      <c r="R976" s="93">
        <f t="shared" si="315"/>
        <v>15668321455372.262</v>
      </c>
      <c r="S976" s="93">
        <f t="shared" si="316"/>
        <v>48350843491141.086</v>
      </c>
      <c r="T976">
        <f>A977-A976</f>
        <v>0.5</v>
      </c>
    </row>
    <row r="977" spans="1:20" x14ac:dyDescent="0.25">
      <c r="A977">
        <v>467</v>
      </c>
      <c r="B977" s="95">
        <f t="shared" si="317"/>
        <v>3441.7902862080709</v>
      </c>
      <c r="C977" s="95">
        <f t="shared" si="318"/>
        <v>17070.468507866692</v>
      </c>
      <c r="D977" s="95">
        <f t="shared" si="319"/>
        <v>1804.5778121257008</v>
      </c>
      <c r="E977" s="95">
        <f t="shared" si="320"/>
        <v>-6438.2352873919081</v>
      </c>
      <c r="F977" s="96">
        <f t="shared" si="303"/>
        <v>1307.6043966208524</v>
      </c>
      <c r="G977" s="94">
        <f t="shared" si="304"/>
        <v>-3014.2957326595697</v>
      </c>
      <c r="H977" s="97">
        <f t="shared" si="305"/>
        <v>1703.0144708706339</v>
      </c>
      <c r="I977" s="94">
        <f t="shared" si="306"/>
        <v>-2485.2279925773905</v>
      </c>
      <c r="J977" s="95">
        <f t="shared" si="307"/>
        <v>-278.23573490901367</v>
      </c>
      <c r="K977" s="94">
        <f t="shared" si="308"/>
        <v>-83.920936814913745</v>
      </c>
      <c r="L977" s="94">
        <f t="shared" si="309"/>
        <v>-117.17433934076773</v>
      </c>
      <c r="M977" s="93">
        <f t="shared" si="310"/>
        <v>-445.14680326726551</v>
      </c>
      <c r="N977" s="93">
        <f t="shared" si="311"/>
        <v>11601.895625721812</v>
      </c>
      <c r="O977" s="93">
        <f t="shared" si="312"/>
        <v>24484.874039767768</v>
      </c>
      <c r="P977" s="93">
        <f t="shared" si="313"/>
        <v>33162.912621637835</v>
      </c>
      <c r="Q977" s="93">
        <f t="shared" si="314"/>
        <v>2016348442713.3625</v>
      </c>
      <c r="R977" s="93">
        <f t="shared" si="315"/>
        <v>15131103826856.078</v>
      </c>
      <c r="S977" s="93">
        <f t="shared" si="316"/>
        <v>37722517426460.938</v>
      </c>
      <c r="T977">
        <f t="shared" ref="T977:T1040" si="321">A978-A977</f>
        <v>0.5</v>
      </c>
    </row>
    <row r="978" spans="1:20" x14ac:dyDescent="0.25">
      <c r="A978">
        <v>467.5</v>
      </c>
      <c r="B978" s="95">
        <f t="shared" si="317"/>
        <v>4670.9802914261345</v>
      </c>
      <c r="C978" s="95">
        <f t="shared" si="318"/>
        <v>13097.776931005845</v>
      </c>
      <c r="D978" s="95">
        <f t="shared" si="319"/>
        <v>2458.3800104361271</v>
      </c>
      <c r="E978" s="95">
        <f t="shared" si="320"/>
        <v>-7945.3831537216929</v>
      </c>
      <c r="F978" s="96">
        <f t="shared" si="303"/>
        <v>3112.428707483944</v>
      </c>
      <c r="G978" s="94">
        <f t="shared" si="304"/>
        <v>-4330.6088991840297</v>
      </c>
      <c r="H978" s="97">
        <f t="shared" si="305"/>
        <v>3577.3611569801633</v>
      </c>
      <c r="I978" s="94">
        <f t="shared" si="306"/>
        <v>-3757.7773874998543</v>
      </c>
      <c r="J978" s="95">
        <f t="shared" si="307"/>
        <v>-279.86455992737268</v>
      </c>
      <c r="K978" s="94">
        <f t="shared" si="308"/>
        <v>-35.140799729405579</v>
      </c>
      <c r="L978" s="94">
        <f t="shared" si="309"/>
        <v>-185.0678895688464</v>
      </c>
      <c r="M978" s="93">
        <f t="shared" si="310"/>
        <v>-537.69071195477022</v>
      </c>
      <c r="N978" s="93">
        <f t="shared" si="311"/>
        <v>7728.7487747804234</v>
      </c>
      <c r="O978" s="93">
        <f t="shared" si="312"/>
        <v>24864.703707348068</v>
      </c>
      <c r="P978" s="93">
        <f t="shared" si="313"/>
        <v>29715.533450734431</v>
      </c>
      <c r="Q978" s="93">
        <f t="shared" si="314"/>
        <v>779979451922.01111</v>
      </c>
      <c r="R978" s="93">
        <f t="shared" si="315"/>
        <v>15831834553564.734</v>
      </c>
      <c r="S978" s="93">
        <f t="shared" si="316"/>
        <v>27361383172537.18</v>
      </c>
      <c r="T978">
        <f t="shared" si="321"/>
        <v>0.5</v>
      </c>
    </row>
    <row r="979" spans="1:20" x14ac:dyDescent="0.25">
      <c r="A979">
        <v>468</v>
      </c>
      <c r="B979" s="95">
        <f t="shared" si="317"/>
        <v>6678.2774735151843</v>
      </c>
      <c r="C979" s="95">
        <f t="shared" si="318"/>
        <v>8042.4331293489904</v>
      </c>
      <c r="D979" s="95">
        <f t="shared" si="319"/>
        <v>4014.5943641780991</v>
      </c>
      <c r="E979" s="95">
        <f t="shared" si="320"/>
        <v>-10110.687603313709</v>
      </c>
      <c r="F979" s="96">
        <f t="shared" si="303"/>
        <v>7363.5736461905726</v>
      </c>
      <c r="G979" s="94">
        <f t="shared" si="304"/>
        <v>-1941.5134015587905</v>
      </c>
      <c r="H979" s="97">
        <f t="shared" si="305"/>
        <v>7943.2532539080685</v>
      </c>
      <c r="I979" s="94">
        <f t="shared" si="306"/>
        <v>-1297.1233103833426</v>
      </c>
      <c r="J979" s="95">
        <f t="shared" si="307"/>
        <v>-244.01763363139543</v>
      </c>
      <c r="K979" s="94">
        <f t="shared" si="308"/>
        <v>17.905235295857917</v>
      </c>
      <c r="L979" s="94">
        <f t="shared" si="309"/>
        <v>-335.66197408610014</v>
      </c>
      <c r="M979" s="93">
        <f t="shared" si="310"/>
        <v>-662.29532647130588</v>
      </c>
      <c r="N979" s="93">
        <f t="shared" si="311"/>
        <v>3365.7204641461249</v>
      </c>
      <c r="O979" s="93">
        <f t="shared" si="312"/>
        <v>26750.001065550223</v>
      </c>
      <c r="P979" s="93">
        <f t="shared" si="313"/>
        <v>25832.845164033559</v>
      </c>
      <c r="Q979" s="93">
        <f t="shared" si="314"/>
        <v>218959385046.5524</v>
      </c>
      <c r="R979" s="93">
        <f t="shared" si="315"/>
        <v>19634928147723.844</v>
      </c>
      <c r="S979" s="93">
        <f t="shared" si="316"/>
        <v>18216933279017.371</v>
      </c>
      <c r="T979">
        <f t="shared" si="321"/>
        <v>0.5</v>
      </c>
    </row>
    <row r="980" spans="1:20" x14ac:dyDescent="0.25">
      <c r="A980">
        <v>468.5</v>
      </c>
      <c r="B980" s="95">
        <f t="shared" si="317"/>
        <v>10526.468067151876</v>
      </c>
      <c r="C980" s="95">
        <f t="shared" si="318"/>
        <v>2501.7109773024386</v>
      </c>
      <c r="D980" s="95">
        <f t="shared" si="319"/>
        <v>7696.3811872733859</v>
      </c>
      <c r="E980" s="95">
        <f t="shared" si="320"/>
        <v>-11081.444304093104</v>
      </c>
      <c r="F980" s="96">
        <f t="shared" si="303"/>
        <v>-1540.582539623409</v>
      </c>
      <c r="G980" s="94">
        <f t="shared" si="304"/>
        <v>6718.2632126451454</v>
      </c>
      <c r="H980" s="97">
        <f t="shared" si="305"/>
        <v>-773.63503561093125</v>
      </c>
      <c r="I980" s="94">
        <f t="shared" si="306"/>
        <v>7344.8927814131594</v>
      </c>
      <c r="J980" s="95">
        <f t="shared" si="307"/>
        <v>-173.27987071577317</v>
      </c>
      <c r="K980" s="94">
        <f t="shared" si="308"/>
        <v>42.563147154277374</v>
      </c>
      <c r="L980" s="94">
        <f t="shared" si="309"/>
        <v>-593.66763329670459</v>
      </c>
      <c r="M980" s="93">
        <f t="shared" si="310"/>
        <v>-669.19271592229131</v>
      </c>
      <c r="N980" s="93">
        <f t="shared" si="311"/>
        <v>5025.938895385576</v>
      </c>
      <c r="O980" s="93">
        <f t="shared" si="312"/>
        <v>31433.89239217361</v>
      </c>
      <c r="P980" s="93">
        <f t="shared" si="313"/>
        <v>23396.176990553726</v>
      </c>
      <c r="Q980" s="93">
        <f t="shared" si="314"/>
        <v>356315345949.45178</v>
      </c>
      <c r="R980" s="93">
        <f t="shared" si="315"/>
        <v>31638886180986.16</v>
      </c>
      <c r="S980" s="93">
        <f t="shared" si="316"/>
        <v>13693924366706.645</v>
      </c>
      <c r="T980">
        <f t="shared" si="321"/>
        <v>0.5</v>
      </c>
    </row>
    <row r="981" spans="1:20" x14ac:dyDescent="0.25">
      <c r="A981">
        <v>469</v>
      </c>
      <c r="B981" s="95">
        <f t="shared" si="317"/>
        <v>13989.513025882718</v>
      </c>
      <c r="C981" s="95">
        <f t="shared" si="318"/>
        <v>-1359.445371582827</v>
      </c>
      <c r="D981" s="95">
        <f t="shared" si="319"/>
        <v>6926.0899174616816</v>
      </c>
      <c r="E981" s="95">
        <f t="shared" si="320"/>
        <v>-7722.3126977705306</v>
      </c>
      <c r="F981" s="96">
        <f t="shared" si="303"/>
        <v>-2459.1481214091391</v>
      </c>
      <c r="G981" s="94">
        <f t="shared" si="304"/>
        <v>3076.3767316773965</v>
      </c>
      <c r="H981" s="97">
        <f t="shared" si="305"/>
        <v>-1600.9558608094751</v>
      </c>
      <c r="I981" s="94">
        <f t="shared" si="306"/>
        <v>3555.2161126278452</v>
      </c>
      <c r="J981" s="95">
        <f t="shared" si="307"/>
        <v>-130.75000813539162</v>
      </c>
      <c r="K981" s="94">
        <f t="shared" si="308"/>
        <v>43.697230190293936</v>
      </c>
      <c r="L981" s="94">
        <f t="shared" si="309"/>
        <v>-727.44225246427209</v>
      </c>
      <c r="M981" s="93">
        <f t="shared" si="310"/>
        <v>-522.53661114074237</v>
      </c>
      <c r="N981" s="93">
        <f t="shared" si="311"/>
        <v>9716.2743104416459</v>
      </c>
      <c r="O981" s="93">
        <f t="shared" si="312"/>
        <v>35837.466356965379</v>
      </c>
      <c r="P981" s="93">
        <f t="shared" si="313"/>
        <v>23380.896807671914</v>
      </c>
      <c r="Q981" s="93">
        <f t="shared" si="314"/>
        <v>1304785588860.3098</v>
      </c>
      <c r="R981" s="93">
        <f t="shared" si="315"/>
        <v>46686999155605</v>
      </c>
      <c r="S981" s="93">
        <f t="shared" si="316"/>
        <v>13668281895748.801</v>
      </c>
      <c r="T981">
        <f t="shared" si="321"/>
        <v>0.5</v>
      </c>
    </row>
    <row r="982" spans="1:20" x14ac:dyDescent="0.25">
      <c r="A982">
        <v>469.5</v>
      </c>
      <c r="B982" s="95">
        <f t="shared" si="317"/>
        <v>16837.770954261276</v>
      </c>
      <c r="C982" s="95">
        <f t="shared" si="318"/>
        <v>-4451.5075375487431</v>
      </c>
      <c r="D982" s="95">
        <f t="shared" si="319"/>
        <v>5696.5158567571125</v>
      </c>
      <c r="E982" s="95">
        <f t="shared" si="320"/>
        <v>-6184.1243319318328</v>
      </c>
      <c r="F982" s="96">
        <f t="shared" si="303"/>
        <v>-1997.5271003539772</v>
      </c>
      <c r="G982" s="94">
        <f t="shared" si="304"/>
        <v>1668.2826807518654</v>
      </c>
      <c r="H982" s="97">
        <f t="shared" si="305"/>
        <v>-1138.9060223495192</v>
      </c>
      <c r="I982" s="94">
        <f t="shared" si="306"/>
        <v>1990.6551421099016</v>
      </c>
      <c r="J982" s="95">
        <f t="shared" si="307"/>
        <v>-105.53028403891504</v>
      </c>
      <c r="K982" s="94">
        <f t="shared" si="308"/>
        <v>41.399673642621025</v>
      </c>
      <c r="L982" s="94">
        <f t="shared" si="309"/>
        <v>-753.09079396554307</v>
      </c>
      <c r="M982" s="93">
        <f t="shared" si="310"/>
        <v>-363.77213500065722</v>
      </c>
      <c r="N982" s="93">
        <f t="shared" si="311"/>
        <v>13769.300782647737</v>
      </c>
      <c r="O982" s="93">
        <f t="shared" si="312"/>
        <v>39571.042935288468</v>
      </c>
      <c r="P982" s="93">
        <f t="shared" si="313"/>
        <v>24251.988237692356</v>
      </c>
      <c r="Q982" s="93">
        <f t="shared" si="314"/>
        <v>3143585536659.9087</v>
      </c>
      <c r="R982" s="93">
        <f t="shared" si="315"/>
        <v>62691545810546.914</v>
      </c>
      <c r="S982" s="93">
        <f t="shared" si="316"/>
        <v>15183069857006.459</v>
      </c>
      <c r="T982">
        <f t="shared" si="321"/>
        <v>0.5</v>
      </c>
    </row>
    <row r="983" spans="1:20" x14ac:dyDescent="0.25">
      <c r="A983">
        <v>470</v>
      </c>
      <c r="B983" s="95">
        <f t="shared" si="317"/>
        <v>19186.647107551336</v>
      </c>
      <c r="C983" s="95">
        <f t="shared" si="318"/>
        <v>-7126.4990333266933</v>
      </c>
      <c r="D983" s="95">
        <f t="shared" si="319"/>
        <v>4697.7523065801242</v>
      </c>
      <c r="E983" s="95">
        <f t="shared" si="320"/>
        <v>-5349.9829915559003</v>
      </c>
      <c r="F983" s="96">
        <f t="shared" si="303"/>
        <v>-1643.4310934854691</v>
      </c>
      <c r="G983" s="94">
        <f t="shared" si="304"/>
        <v>1119.5346023630773</v>
      </c>
      <c r="H983" s="97">
        <f t="shared" si="305"/>
        <v>-827.34900718391054</v>
      </c>
      <c r="I983" s="94">
        <f t="shared" si="306"/>
        <v>1317.2618162128142</v>
      </c>
      <c r="J983" s="95">
        <f t="shared" si="307"/>
        <v>-89.082716567656703</v>
      </c>
      <c r="K983" s="94">
        <f t="shared" si="308"/>
        <v>38.933544250283354</v>
      </c>
      <c r="L983" s="94">
        <f t="shared" si="309"/>
        <v>-726.99936973390186</v>
      </c>
      <c r="M983" s="93">
        <f t="shared" si="310"/>
        <v>-236.66075810002025</v>
      </c>
      <c r="N983" s="93">
        <f t="shared" si="311"/>
        <v>17272.201916680689</v>
      </c>
      <c r="O983" s="93">
        <f t="shared" si="312"/>
        <v>42765.760611385158</v>
      </c>
      <c r="P983" s="93">
        <f t="shared" si="313"/>
        <v>25435.917828484722</v>
      </c>
      <c r="Q983" s="93">
        <f t="shared" si="314"/>
        <v>5813891278772.3896</v>
      </c>
      <c r="R983" s="93">
        <f t="shared" si="315"/>
        <v>79001874481438.313</v>
      </c>
      <c r="S983" s="93">
        <f t="shared" si="316"/>
        <v>17419683343023.201</v>
      </c>
      <c r="T983">
        <f t="shared" si="321"/>
        <v>0.5</v>
      </c>
    </row>
    <row r="984" spans="1:20" x14ac:dyDescent="0.25">
      <c r="A984">
        <v>470.5</v>
      </c>
      <c r="B984" s="95">
        <f t="shared" si="317"/>
        <v>21124.665487470029</v>
      </c>
      <c r="C984" s="95">
        <f t="shared" si="318"/>
        <v>-9521.6068785138741</v>
      </c>
      <c r="D984" s="95">
        <f t="shared" si="319"/>
        <v>3876.0367598373896</v>
      </c>
      <c r="E984" s="95">
        <f t="shared" si="320"/>
        <v>-4790.2156903743617</v>
      </c>
      <c r="F984" s="96">
        <f t="shared" si="303"/>
        <v>-1394.9309648989852</v>
      </c>
      <c r="G984" s="94">
        <f t="shared" si="304"/>
        <v>864.25049404131744</v>
      </c>
      <c r="H984" s="97">
        <f t="shared" si="305"/>
        <v>-634.36785145199519</v>
      </c>
      <c r="I984" s="94">
        <f t="shared" si="306"/>
        <v>970.63234808681159</v>
      </c>
      <c r="J984" s="95">
        <f t="shared" si="307"/>
        <v>-77.600921967459641</v>
      </c>
      <c r="K984" s="94">
        <f t="shared" si="308"/>
        <v>36.836644726521612</v>
      </c>
      <c r="L984" s="94">
        <f t="shared" si="309"/>
        <v>-682.96219147953025</v>
      </c>
      <c r="M984" s="93">
        <f t="shared" si="310"/>
        <v>-143.21849877201578</v>
      </c>
      <c r="N984" s="93">
        <f t="shared" si="311"/>
        <v>20334.534244353315</v>
      </c>
      <c r="O984" s="93">
        <f t="shared" si="312"/>
        <v>45522.865096295827</v>
      </c>
      <c r="P984" s="93">
        <f t="shared" si="313"/>
        <v>26692.900517286507</v>
      </c>
      <c r="Q984" s="93">
        <f t="shared" si="314"/>
        <v>9182150726660.4395</v>
      </c>
      <c r="R984" s="93">
        <f t="shared" si="315"/>
        <v>95176173361307.359</v>
      </c>
      <c r="S984" s="93">
        <f t="shared" si="316"/>
        <v>20028697097450.414</v>
      </c>
      <c r="T984">
        <f t="shared" si="321"/>
        <v>0.5</v>
      </c>
    </row>
    <row r="985" spans="1:20" x14ac:dyDescent="0.25">
      <c r="A985">
        <v>471</v>
      </c>
      <c r="B985" s="95">
        <f t="shared" si="317"/>
        <v>22713.951126163978</v>
      </c>
      <c r="C985" s="95">
        <f t="shared" si="318"/>
        <v>-11700.652100190724</v>
      </c>
      <c r="D985" s="95">
        <f t="shared" si="319"/>
        <v>3178.5712773878968</v>
      </c>
      <c r="E985" s="95">
        <f t="shared" si="320"/>
        <v>-4358.0904433537025</v>
      </c>
      <c r="F985" s="96">
        <f t="shared" si="303"/>
        <v>-1214.4996148249252</v>
      </c>
      <c r="G985" s="94">
        <f t="shared" si="304"/>
        <v>727.63813939157808</v>
      </c>
      <c r="H985" s="97">
        <f t="shared" si="305"/>
        <v>-508.71716813072771</v>
      </c>
      <c r="I985" s="94">
        <f t="shared" si="306"/>
        <v>768.2663922288823</v>
      </c>
      <c r="J985" s="95">
        <f t="shared" si="307"/>
        <v>-69.200239931655958</v>
      </c>
      <c r="K985" s="94">
        <f t="shared" si="308"/>
        <v>35.15690523620858</v>
      </c>
      <c r="L985" s="94">
        <f t="shared" si="309"/>
        <v>-636.58220676254143</v>
      </c>
      <c r="M985" s="93">
        <f t="shared" si="310"/>
        <v>-75.785158073512818</v>
      </c>
      <c r="N985" s="93">
        <f t="shared" si="311"/>
        <v>23028.451843557454</v>
      </c>
      <c r="O985" s="93">
        <f t="shared" si="312"/>
        <v>47910.332104691537</v>
      </c>
      <c r="P985" s="93">
        <f t="shared" si="313"/>
        <v>27909.653949617175</v>
      </c>
      <c r="Q985" s="93">
        <f t="shared" si="314"/>
        <v>13085874941349.307</v>
      </c>
      <c r="R985" s="93">
        <f t="shared" si="315"/>
        <v>110854898461633.39</v>
      </c>
      <c r="S985" s="93">
        <f t="shared" si="316"/>
        <v>22795156261826.617</v>
      </c>
      <c r="T985">
        <f t="shared" si="321"/>
        <v>0.5</v>
      </c>
    </row>
    <row r="986" spans="1:20" x14ac:dyDescent="0.25">
      <c r="A986">
        <v>471.5</v>
      </c>
      <c r="B986" s="95">
        <f t="shared" si="317"/>
        <v>23999.611861151698</v>
      </c>
      <c r="C986" s="95">
        <f t="shared" si="318"/>
        <v>-13697.787787019681</v>
      </c>
      <c r="D986" s="95">
        <f t="shared" si="319"/>
        <v>2571.3214699754344</v>
      </c>
      <c r="E986" s="95">
        <f t="shared" si="320"/>
        <v>-3994.2713736579135</v>
      </c>
      <c r="F986" s="96">
        <f t="shared" si="303"/>
        <v>-1079.2963857495724</v>
      </c>
      <c r="G986" s="94">
        <f t="shared" si="304"/>
        <v>646.68648606449835</v>
      </c>
      <c r="H986" s="97">
        <f t="shared" si="305"/>
        <v>-422.3538370644074</v>
      </c>
      <c r="I986" s="94">
        <f t="shared" si="306"/>
        <v>639.51537356324025</v>
      </c>
      <c r="J986" s="95">
        <f t="shared" si="307"/>
        <v>-62.846726047875165</v>
      </c>
      <c r="K986" s="94">
        <f t="shared" si="308"/>
        <v>33.848670794900151</v>
      </c>
      <c r="L986" s="94">
        <f t="shared" si="309"/>
        <v>-594.09582263728976</v>
      </c>
      <c r="M986" s="93">
        <f t="shared" si="310"/>
        <v>-26.677558293642068</v>
      </c>
      <c r="N986" s="93">
        <f t="shared" si="311"/>
        <v>25403.451327062237</v>
      </c>
      <c r="O986" s="93">
        <f t="shared" si="312"/>
        <v>49975.503898716423</v>
      </c>
      <c r="P986" s="93">
        <f t="shared" si="313"/>
        <v>29028.834712145876</v>
      </c>
      <c r="Q986" s="93">
        <f t="shared" si="314"/>
        <v>17355541695321.748</v>
      </c>
      <c r="R986" s="93">
        <f t="shared" si="315"/>
        <v>125735794220276.16</v>
      </c>
      <c r="S986" s="93">
        <f t="shared" si="316"/>
        <v>25558438024222.969</v>
      </c>
      <c r="T986">
        <f t="shared" si="321"/>
        <v>0.5</v>
      </c>
    </row>
    <row r="987" spans="1:20" x14ac:dyDescent="0.25">
      <c r="A987">
        <v>472</v>
      </c>
      <c r="B987" s="95">
        <f t="shared" si="317"/>
        <v>25015.448499702019</v>
      </c>
      <c r="C987" s="95">
        <f t="shared" si="318"/>
        <v>-15533.251852332512</v>
      </c>
      <c r="D987" s="95">
        <f t="shared" si="319"/>
        <v>2031.6732771006482</v>
      </c>
      <c r="E987" s="95">
        <f t="shared" si="320"/>
        <v>-3670.9281306256644</v>
      </c>
      <c r="F987" s="96">
        <f t="shared" si="303"/>
        <v>-975.68784550412306</v>
      </c>
      <c r="G987" s="94">
        <f t="shared" si="304"/>
        <v>595.32554548545511</v>
      </c>
      <c r="H987" s="97">
        <f t="shared" si="305"/>
        <v>-360.21771267843798</v>
      </c>
      <c r="I987" s="94">
        <f t="shared" si="306"/>
        <v>552.56326828720876</v>
      </c>
      <c r="J987" s="95">
        <f t="shared" si="307"/>
        <v>-57.927345891898121</v>
      </c>
      <c r="K987" s="94">
        <f t="shared" si="308"/>
        <v>32.857020447209464</v>
      </c>
      <c r="L987" s="94">
        <f t="shared" si="309"/>
        <v>-557.54278693378694</v>
      </c>
      <c r="M987" s="93">
        <f t="shared" si="310"/>
        <v>9.9052567510368821</v>
      </c>
      <c r="N987" s="93">
        <f t="shared" si="311"/>
        <v>27495.352053395913</v>
      </c>
      <c r="O987" s="93">
        <f t="shared" si="312"/>
        <v>51752.65745625017</v>
      </c>
      <c r="P987" s="93">
        <f t="shared" si="313"/>
        <v>30020.18497904835</v>
      </c>
      <c r="Q987" s="93">
        <f t="shared" si="314"/>
        <v>21825885215482.633</v>
      </c>
      <c r="R987" s="93">
        <f t="shared" si="315"/>
        <v>139563127580075.23</v>
      </c>
      <c r="S987" s="93">
        <f t="shared" si="316"/>
        <v>28188064578699.66</v>
      </c>
      <c r="T987">
        <f t="shared" si="321"/>
        <v>0.5</v>
      </c>
    </row>
    <row r="988" spans="1:20" x14ac:dyDescent="0.25">
      <c r="A988">
        <v>472.5</v>
      </c>
      <c r="B988" s="95">
        <f t="shared" si="317"/>
        <v>25787.363176876312</v>
      </c>
      <c r="C988" s="95">
        <f t="shared" si="318"/>
        <v>-17219.884531273983</v>
      </c>
      <c r="D988" s="95">
        <f t="shared" si="319"/>
        <v>1543.8293543485865</v>
      </c>
      <c r="E988" s="95">
        <f t="shared" si="320"/>
        <v>-3373.2653578829368</v>
      </c>
      <c r="F988" s="96">
        <f t="shared" si="303"/>
        <v>-895.0972038268344</v>
      </c>
      <c r="G988" s="94">
        <f t="shared" si="304"/>
        <v>561.51098806610332</v>
      </c>
      <c r="H988" s="97">
        <f t="shared" si="305"/>
        <v>-313.80696007933653</v>
      </c>
      <c r="I988" s="94">
        <f t="shared" si="306"/>
        <v>491.35955962762353</v>
      </c>
      <c r="J988" s="95">
        <f t="shared" si="307"/>
        <v>-54.056759653991421</v>
      </c>
      <c r="K988" s="94">
        <f t="shared" si="308"/>
        <v>32.13591379421424</v>
      </c>
      <c r="L988" s="94">
        <f t="shared" si="309"/>
        <v>-527.23348409350638</v>
      </c>
      <c r="M988" s="93">
        <f t="shared" si="310"/>
        <v>38.015514644265515</v>
      </c>
      <c r="N988" s="93">
        <f t="shared" si="311"/>
        <v>29331.101706518097</v>
      </c>
      <c r="O988" s="93">
        <f t="shared" si="312"/>
        <v>53267.295224997652</v>
      </c>
      <c r="P988" s="93">
        <f t="shared" si="313"/>
        <v>30867.290433678641</v>
      </c>
      <c r="Q988" s="93">
        <f t="shared" si="314"/>
        <v>26341812263336.152</v>
      </c>
      <c r="R988" s="93">
        <f t="shared" si="315"/>
        <v>152120718215530.13</v>
      </c>
      <c r="S988" s="93">
        <f t="shared" si="316"/>
        <v>30575117380924.203</v>
      </c>
      <c r="T988">
        <f t="shared" si="321"/>
        <v>0.5</v>
      </c>
    </row>
    <row r="989" spans="1:20" x14ac:dyDescent="0.25">
      <c r="A989">
        <v>473</v>
      </c>
      <c r="B989" s="95">
        <f t="shared" si="317"/>
        <v>26335.503553093895</v>
      </c>
      <c r="C989" s="95">
        <f t="shared" si="318"/>
        <v>-18766.139463198924</v>
      </c>
      <c r="D989" s="95">
        <f t="shared" si="319"/>
        <v>1096.2807524351692</v>
      </c>
      <c r="E989" s="95">
        <f t="shared" si="320"/>
        <v>-3092.5098638498853</v>
      </c>
      <c r="F989" s="96">
        <f t="shared" si="303"/>
        <v>-831.87779329572049</v>
      </c>
      <c r="G989" s="94">
        <f t="shared" si="304"/>
        <v>539.16895291895139</v>
      </c>
      <c r="H989" s="97">
        <f t="shared" si="305"/>
        <v>-278.05068674637255</v>
      </c>
      <c r="I989" s="94">
        <f t="shared" si="306"/>
        <v>447.0825213426146</v>
      </c>
      <c r="J989" s="95">
        <f t="shared" si="307"/>
        <v>-50.981773176625268</v>
      </c>
      <c r="K989" s="94">
        <f t="shared" si="308"/>
        <v>31.650649821891335</v>
      </c>
      <c r="L989" s="94">
        <f t="shared" si="309"/>
        <v>-502.84533337272268</v>
      </c>
      <c r="M989" s="93">
        <f t="shared" si="310"/>
        <v>60.435781754445372</v>
      </c>
      <c r="N989" s="93">
        <f t="shared" si="311"/>
        <v>30931.517237816821</v>
      </c>
      <c r="O989" s="93">
        <f t="shared" si="312"/>
        <v>54538.698821433085</v>
      </c>
      <c r="P989" s="93">
        <f t="shared" si="313"/>
        <v>31561.013757200897</v>
      </c>
      <c r="Q989" s="93">
        <f t="shared" si="314"/>
        <v>30761476474911.852</v>
      </c>
      <c r="R989" s="93">
        <f t="shared" si="315"/>
        <v>163226885129628.59</v>
      </c>
      <c r="S989" s="93">
        <f t="shared" si="316"/>
        <v>32628783055633.168</v>
      </c>
      <c r="T989">
        <f t="shared" si="321"/>
        <v>0.5</v>
      </c>
    </row>
    <row r="990" spans="1:20" x14ac:dyDescent="0.25">
      <c r="A990">
        <v>473.5</v>
      </c>
      <c r="B990" s="95">
        <f t="shared" si="317"/>
        <v>26675.674480987549</v>
      </c>
      <c r="C990" s="95">
        <f t="shared" si="318"/>
        <v>-20177.602156894129</v>
      </c>
      <c r="D990" s="95">
        <f t="shared" si="319"/>
        <v>680.34185578730899</v>
      </c>
      <c r="E990" s="95">
        <f t="shared" si="320"/>
        <v>-2822.9253873904095</v>
      </c>
      <c r="F990" s="96">
        <f t="shared" si="303"/>
        <v>-782.19208286395701</v>
      </c>
      <c r="G990" s="94">
        <f t="shared" si="304"/>
        <v>525.0278364990354</v>
      </c>
      <c r="H990" s="97">
        <f t="shared" si="305"/>
        <v>-249.76846761485803</v>
      </c>
      <c r="I990" s="94">
        <f t="shared" si="306"/>
        <v>414.5554823502253</v>
      </c>
      <c r="J990" s="95">
        <f t="shared" si="307"/>
        <v>-48.530397626224342</v>
      </c>
      <c r="K990" s="94">
        <f t="shared" si="308"/>
        <v>31.37675134564207</v>
      </c>
      <c r="L990" s="94">
        <f t="shared" si="309"/>
        <v>-483.89321762287472</v>
      </c>
      <c r="M990" s="93">
        <f t="shared" si="310"/>
        <v>79.095602803168006</v>
      </c>
      <c r="N990" s="93">
        <f t="shared" si="311"/>
        <v>32312.966136694569</v>
      </c>
      <c r="O990" s="93">
        <f t="shared" si="312"/>
        <v>55581.528048398359</v>
      </c>
      <c r="P990" s="93">
        <f t="shared" si="313"/>
        <v>32096.042091207455</v>
      </c>
      <c r="Q990" s="93">
        <f t="shared" si="314"/>
        <v>34957826437821.621</v>
      </c>
      <c r="R990" s="93">
        <f t="shared" si="315"/>
        <v>172730684909439.31</v>
      </c>
      <c r="S990" s="93">
        <f t="shared" si="316"/>
        <v>34274802312731.02</v>
      </c>
      <c r="T990">
        <f t="shared" si="321"/>
        <v>0.5</v>
      </c>
    </row>
    <row r="991" spans="1:20" x14ac:dyDescent="0.25">
      <c r="A991">
        <v>474</v>
      </c>
      <c r="B991" s="95">
        <f t="shared" si="317"/>
        <v>26820.297388165214</v>
      </c>
      <c r="C991" s="95">
        <f t="shared" si="318"/>
        <v>-21457.807891464574</v>
      </c>
      <c r="D991" s="95">
        <f t="shared" si="319"/>
        <v>289.24581435533048</v>
      </c>
      <c r="E991" s="95">
        <f t="shared" si="320"/>
        <v>-2560.4114691408918</v>
      </c>
      <c r="F991" s="96">
        <f t="shared" si="303"/>
        <v>-743.38234152256825</v>
      </c>
      <c r="G991" s="94">
        <f t="shared" si="304"/>
        <v>517.25362517046301</v>
      </c>
      <c r="H991" s="97">
        <f t="shared" si="305"/>
        <v>-226.87374945311407</v>
      </c>
      <c r="I991" s="94">
        <f t="shared" si="306"/>
        <v>390.58563000806635</v>
      </c>
      <c r="J991" s="95">
        <f t="shared" si="307"/>
        <v>-46.583039366199856</v>
      </c>
      <c r="K991" s="94">
        <f t="shared" si="308"/>
        <v>31.29839802668269</v>
      </c>
      <c r="L991" s="94">
        <f t="shared" si="309"/>
        <v>-469.92555270325431</v>
      </c>
      <c r="M991" s="93">
        <f t="shared" si="310"/>
        <v>95.369597135713946</v>
      </c>
      <c r="N991" s="93">
        <f t="shared" si="311"/>
        <v>33488.461327825826</v>
      </c>
      <c r="O991" s="93">
        <f t="shared" si="312"/>
        <v>56406.860618656319</v>
      </c>
      <c r="P991" s="93">
        <f t="shared" si="313"/>
        <v>32468.979174503409</v>
      </c>
      <c r="Q991" s="93">
        <f t="shared" si="314"/>
        <v>38819330746163.078</v>
      </c>
      <c r="R991" s="93">
        <f t="shared" si="315"/>
        <v>180509095084060.38</v>
      </c>
      <c r="S991" s="93">
        <f t="shared" si="316"/>
        <v>35454698421428.641</v>
      </c>
      <c r="T991">
        <f t="shared" si="321"/>
        <v>0.5</v>
      </c>
    </row>
    <row r="992" spans="1:20" x14ac:dyDescent="0.25">
      <c r="A992">
        <v>474.5</v>
      </c>
      <c r="B992" s="95">
        <f t="shared" si="317"/>
        <v>26779.074709962239</v>
      </c>
      <c r="C992" s="95">
        <f t="shared" si="318"/>
        <v>-22608.700219742404</v>
      </c>
      <c r="D992" s="95">
        <f t="shared" si="319"/>
        <v>-82.445356405953646</v>
      </c>
      <c r="E992" s="95">
        <f t="shared" si="320"/>
        <v>-2301.7846565556601</v>
      </c>
      <c r="F992" s="96">
        <f t="shared" si="303"/>
        <v>-713.59903984226037</v>
      </c>
      <c r="G992" s="94">
        <f t="shared" si="304"/>
        <v>514.81812593263498</v>
      </c>
      <c r="H992" s="97">
        <f t="shared" si="305"/>
        <v>-207.93960002922464</v>
      </c>
      <c r="I992" s="94">
        <f t="shared" si="306"/>
        <v>373.13089007082402</v>
      </c>
      <c r="J992" s="95">
        <f t="shared" si="307"/>
        <v>-45.055441975040765</v>
      </c>
      <c r="K992" s="94">
        <f t="shared" si="308"/>
        <v>31.407192419717035</v>
      </c>
      <c r="L992" s="94">
        <f t="shared" si="309"/>
        <v>-460.60399783799494</v>
      </c>
      <c r="M992" s="93">
        <f t="shared" si="310"/>
        <v>110.28004344209388</v>
      </c>
      <c r="N992" s="93">
        <f t="shared" si="311"/>
        <v>34468.408391522964</v>
      </c>
      <c r="O992" s="93">
        <f t="shared" si="312"/>
        <v>57022.882781750493</v>
      </c>
      <c r="P992" s="93">
        <f t="shared" si="313"/>
        <v>32677.238384772812</v>
      </c>
      <c r="Q992" s="93">
        <f t="shared" si="314"/>
        <v>42250263887080</v>
      </c>
      <c r="R992" s="93">
        <f t="shared" si="315"/>
        <v>186464909734474.94</v>
      </c>
      <c r="S992" s="93">
        <f t="shared" si="316"/>
        <v>36125358628857.539</v>
      </c>
      <c r="T992">
        <f t="shared" si="321"/>
        <v>0.5</v>
      </c>
    </row>
    <row r="993" spans="1:20" x14ac:dyDescent="0.25">
      <c r="A993">
        <v>475</v>
      </c>
      <c r="B993" s="95">
        <f t="shared" si="317"/>
        <v>26559.452271798698</v>
      </c>
      <c r="C993" s="95">
        <f t="shared" si="318"/>
        <v>-23630.888016537076</v>
      </c>
      <c r="D993" s="95">
        <f t="shared" si="319"/>
        <v>-439.24487632708383</v>
      </c>
      <c r="E993" s="95">
        <f t="shared" si="320"/>
        <v>-2044.3755935893428</v>
      </c>
      <c r="F993" s="96">
        <f t="shared" si="303"/>
        <v>-691.57524611824124</v>
      </c>
      <c r="G993" s="94">
        <f t="shared" si="304"/>
        <v>517.19157454944684</v>
      </c>
      <c r="H993" s="97">
        <f t="shared" si="305"/>
        <v>-191.94956316853936</v>
      </c>
      <c r="I993" s="94">
        <f t="shared" si="306"/>
        <v>360.85495206864948</v>
      </c>
      <c r="J993" s="95">
        <f t="shared" si="307"/>
        <v>-43.888244931245104</v>
      </c>
      <c r="K993" s="94">
        <f t="shared" si="308"/>
        <v>31.701417832595002</v>
      </c>
      <c r="L993" s="94">
        <f t="shared" si="309"/>
        <v>-455.73743801845671</v>
      </c>
      <c r="M993" s="93">
        <f t="shared" si="310"/>
        <v>124.63520464820238</v>
      </c>
      <c r="N993" s="93">
        <f t="shared" si="311"/>
        <v>35261.135095741753</v>
      </c>
      <c r="O993" s="93">
        <f t="shared" si="312"/>
        <v>57435.348215456637</v>
      </c>
      <c r="P993" s="93">
        <f t="shared" si="313"/>
        <v>32718.362667620509</v>
      </c>
      <c r="Q993" s="93">
        <f t="shared" si="314"/>
        <v>45170766689785.141</v>
      </c>
      <c r="R993" s="93">
        <f t="shared" si="315"/>
        <v>190525184554535.81</v>
      </c>
      <c r="S993" s="93">
        <f t="shared" si="316"/>
        <v>36258795502768.266</v>
      </c>
      <c r="T993">
        <f t="shared" si="321"/>
        <v>0.5</v>
      </c>
    </row>
    <row r="994" spans="1:20" x14ac:dyDescent="0.25">
      <c r="A994">
        <v>475.5</v>
      </c>
      <c r="B994" s="95">
        <f t="shared" si="317"/>
        <v>26166.936022105598</v>
      </c>
      <c r="C994" s="95">
        <f t="shared" si="318"/>
        <v>-24523.777919694385</v>
      </c>
      <c r="D994" s="95">
        <f t="shared" si="319"/>
        <v>-785.03249938620445</v>
      </c>
      <c r="E994" s="95">
        <f t="shared" si="320"/>
        <v>-1785.7798063146192</v>
      </c>
      <c r="F994" s="96">
        <f t="shared" si="303"/>
        <v>-676.49053316506888</v>
      </c>
      <c r="G994" s="94">
        <f t="shared" si="304"/>
        <v>524.19160690143804</v>
      </c>
      <c r="H994" s="97">
        <f t="shared" si="305"/>
        <v>-178.14725329151619</v>
      </c>
      <c r="I994" s="94">
        <f t="shared" si="306"/>
        <v>352.87750682074147</v>
      </c>
      <c r="J994" s="95">
        <f t="shared" si="307"/>
        <v>-43.040475485838712</v>
      </c>
      <c r="K994" s="94">
        <f t="shared" si="308"/>
        <v>32.185801035608243</v>
      </c>
      <c r="L994" s="94">
        <f t="shared" si="309"/>
        <v>-455.30280438771405</v>
      </c>
      <c r="M994" s="93">
        <f t="shared" si="310"/>
        <v>139.12829904508831</v>
      </c>
      <c r="N994" s="93">
        <f t="shared" si="311"/>
        <v>35873.279367695963</v>
      </c>
      <c r="O994" s="93">
        <f t="shared" si="312"/>
        <v>57647.872671223253</v>
      </c>
      <c r="P994" s="93">
        <f t="shared" si="313"/>
        <v>32589.572670866397</v>
      </c>
      <c r="Q994" s="93">
        <f t="shared" si="314"/>
        <v>47516802813112.164</v>
      </c>
      <c r="R994" s="93">
        <f t="shared" si="315"/>
        <v>192640117452065.75</v>
      </c>
      <c r="S994" s="93">
        <f t="shared" si="316"/>
        <v>35842014112499.406</v>
      </c>
      <c r="T994">
        <f t="shared" si="321"/>
        <v>0.5</v>
      </c>
    </row>
    <row r="995" spans="1:20" x14ac:dyDescent="0.25">
      <c r="A995">
        <v>476</v>
      </c>
      <c r="B995" s="95">
        <f t="shared" si="317"/>
        <v>25605.29713912123</v>
      </c>
      <c r="C995" s="95">
        <f t="shared" si="318"/>
        <v>-25285.619921126334</v>
      </c>
      <c r="D995" s="95">
        <f t="shared" si="319"/>
        <v>-1123.277765968739</v>
      </c>
      <c r="E995" s="95">
        <f t="shared" si="320"/>
        <v>-1523.6840028639003</v>
      </c>
      <c r="F995" s="96">
        <f t="shared" si="303"/>
        <v>-667.89534686565321</v>
      </c>
      <c r="G995" s="94">
        <f t="shared" si="304"/>
        <v>535.91597434878031</v>
      </c>
      <c r="H995" s="97">
        <f t="shared" si="305"/>
        <v>-165.94030998848558</v>
      </c>
      <c r="I995" s="94">
        <f t="shared" si="306"/>
        <v>348.62879472109404</v>
      </c>
      <c r="J995" s="95">
        <f t="shared" si="307"/>
        <v>-42.485516924467966</v>
      </c>
      <c r="K995" s="94">
        <f t="shared" si="308"/>
        <v>32.871791138125744</v>
      </c>
      <c r="L995" s="94">
        <f t="shared" si="309"/>
        <v>-459.46951995269973</v>
      </c>
      <c r="M995" s="93">
        <f t="shared" si="310"/>
        <v>154.41538848956057</v>
      </c>
      <c r="N995" s="93">
        <f t="shared" si="311"/>
        <v>36310.083618918055</v>
      </c>
      <c r="O995" s="93">
        <f t="shared" si="312"/>
        <v>57662.102809087068</v>
      </c>
      <c r="P995" s="93">
        <f t="shared" si="313"/>
        <v>32287.430838265424</v>
      </c>
      <c r="Q995" s="93">
        <f t="shared" si="314"/>
        <v>49240082023822.195</v>
      </c>
      <c r="R995" s="93">
        <f t="shared" si="315"/>
        <v>192782285792956.78</v>
      </c>
      <c r="S995" s="93">
        <f t="shared" si="316"/>
        <v>34876951381923.406</v>
      </c>
      <c r="T995">
        <f t="shared" si="321"/>
        <v>0.5</v>
      </c>
    </row>
    <row r="996" spans="1:20" x14ac:dyDescent="0.25">
      <c r="A996">
        <v>476.5</v>
      </c>
      <c r="B996" s="95">
        <f t="shared" si="317"/>
        <v>24876.684419420446</v>
      </c>
      <c r="C996" s="95">
        <f t="shared" si="318"/>
        <v>-25913.482928971087</v>
      </c>
      <c r="D996" s="95">
        <f t="shared" si="319"/>
        <v>-1457.2254394015656</v>
      </c>
      <c r="E996" s="95">
        <f t="shared" si="320"/>
        <v>-1255.7260156895102</v>
      </c>
      <c r="F996" s="96">
        <f t="shared" si="303"/>
        <v>-665.68241861691422</v>
      </c>
      <c r="G996" s="94">
        <f t="shared" si="304"/>
        <v>552.72793001554658</v>
      </c>
      <c r="H996" s="97">
        <f t="shared" si="305"/>
        <v>-154.83451577159278</v>
      </c>
      <c r="I996" s="94">
        <f t="shared" si="306"/>
        <v>347.7630030785561</v>
      </c>
      <c r="J996" s="95">
        <f t="shared" si="307"/>
        <v>-42.208752404162993</v>
      </c>
      <c r="K996" s="94">
        <f t="shared" si="308"/>
        <v>33.778415864075797</v>
      </c>
      <c r="L996" s="94">
        <f t="shared" si="309"/>
        <v>-468.63915044115851</v>
      </c>
      <c r="M996" s="93">
        <f t="shared" si="310"/>
        <v>171.1865110729147</v>
      </c>
      <c r="N996" s="93">
        <f t="shared" si="311"/>
        <v>36575.628234654694</v>
      </c>
      <c r="O996" s="93">
        <f t="shared" si="312"/>
        <v>57477.778841651074</v>
      </c>
      <c r="P996" s="93">
        <f t="shared" si="313"/>
        <v>31807.552272040422</v>
      </c>
      <c r="Q996" s="93">
        <f t="shared" si="314"/>
        <v>50307993073466.539</v>
      </c>
      <c r="R996" s="93">
        <f t="shared" si="315"/>
        <v>190946186680528.03</v>
      </c>
      <c r="S996" s="93">
        <f t="shared" si="316"/>
        <v>33380470594954.004</v>
      </c>
      <c r="T996">
        <f t="shared" si="321"/>
        <v>0.5</v>
      </c>
    </row>
    <row r="997" spans="1:20" x14ac:dyDescent="0.25">
      <c r="A997">
        <v>477</v>
      </c>
      <c r="B997" s="95">
        <f t="shared" si="317"/>
        <v>23981.651095065434</v>
      </c>
      <c r="C997" s="95">
        <f t="shared" si="318"/>
        <v>-26403.163954311956</v>
      </c>
      <c r="D997" s="95">
        <f t="shared" si="319"/>
        <v>-1790.0666487100227</v>
      </c>
      <c r="E997" s="95">
        <f t="shared" si="320"/>
        <v>-979.36205068173695</v>
      </c>
      <c r="F997" s="96">
        <f t="shared" si="303"/>
        <v>-670.10300929240759</v>
      </c>
      <c r="G997" s="94">
        <f t="shared" si="304"/>
        <v>575.28408960038701</v>
      </c>
      <c r="H997" s="97">
        <f t="shared" si="305"/>
        <v>-144.38381365229725</v>
      </c>
      <c r="I997" s="94">
        <f t="shared" si="306"/>
        <v>350.10658421667256</v>
      </c>
      <c r="J997" s="95">
        <f t="shared" si="307"/>
        <v>-42.206464734318928</v>
      </c>
      <c r="K997" s="94">
        <f t="shared" si="308"/>
        <v>34.93386031220826</v>
      </c>
      <c r="L997" s="94">
        <f t="shared" si="309"/>
        <v>-483.51273090579144</v>
      </c>
      <c r="M997" s="93">
        <f t="shared" si="310"/>
        <v>190.24364507150622</v>
      </c>
      <c r="N997" s="93">
        <f t="shared" si="311"/>
        <v>36673.029510215019</v>
      </c>
      <c r="O997" s="93">
        <f t="shared" si="312"/>
        <v>57092.69637118734</v>
      </c>
      <c r="P997" s="93">
        <f t="shared" si="313"/>
        <v>31144.313258844333</v>
      </c>
      <c r="Q997" s="93">
        <f t="shared" si="314"/>
        <v>50703574099023.641</v>
      </c>
      <c r="R997" s="93">
        <f t="shared" si="315"/>
        <v>187148044993705.66</v>
      </c>
      <c r="S997" s="93">
        <f t="shared" si="316"/>
        <v>31384400157914.426</v>
      </c>
      <c r="T997">
        <f t="shared" si="321"/>
        <v>0.5</v>
      </c>
    </row>
    <row r="998" spans="1:20" x14ac:dyDescent="0.25">
      <c r="A998">
        <v>477.5</v>
      </c>
      <c r="B998" s="95">
        <f t="shared" si="317"/>
        <v>22919.09201838732</v>
      </c>
      <c r="C998" s="95">
        <f t="shared" si="318"/>
        <v>-26749.023957252728</v>
      </c>
      <c r="D998" s="95">
        <f t="shared" si="319"/>
        <v>-2125.1181533562267</v>
      </c>
      <c r="E998" s="95">
        <f t="shared" si="320"/>
        <v>-691.72000588154344</v>
      </c>
      <c r="F998" s="96">
        <f t="shared" si="303"/>
        <v>-681.83717301740933</v>
      </c>
      <c r="G998" s="94">
        <f t="shared" si="304"/>
        <v>604.60852459797002</v>
      </c>
      <c r="H998" s="97">
        <f t="shared" si="305"/>
        <v>-134.14671457015825</v>
      </c>
      <c r="I998" s="94">
        <f t="shared" si="306"/>
        <v>355.62824651771524</v>
      </c>
      <c r="J998" s="95">
        <f t="shared" si="307"/>
        <v>-42.48582549757797</v>
      </c>
      <c r="K998" s="94">
        <f t="shared" si="308"/>
        <v>36.378044027242161</v>
      </c>
      <c r="L998" s="94">
        <f t="shared" si="309"/>
        <v>-505.20463294967311</v>
      </c>
      <c r="M998" s="93">
        <f t="shared" si="310"/>
        <v>212.60223405301269</v>
      </c>
      <c r="N998" s="93">
        <f t="shared" si="311"/>
        <v>36604.625125850289</v>
      </c>
      <c r="O998" s="93">
        <f t="shared" si="312"/>
        <v>56502.559424273284</v>
      </c>
      <c r="P998" s="93">
        <f t="shared" si="313"/>
        <v>30290.514407637205</v>
      </c>
      <c r="Q998" s="93">
        <f t="shared" si="314"/>
        <v>50425541798353.836</v>
      </c>
      <c r="R998" s="93">
        <f t="shared" si="315"/>
        <v>181425866915108.06</v>
      </c>
      <c r="S998" s="93">
        <f t="shared" si="316"/>
        <v>28935606372596.504</v>
      </c>
      <c r="T998">
        <f t="shared" si="321"/>
        <v>0.5</v>
      </c>
    </row>
    <row r="999" spans="1:20" x14ac:dyDescent="0.25">
      <c r="A999">
        <v>478</v>
      </c>
      <c r="B999" s="95">
        <f t="shared" si="317"/>
        <v>21686.073648454854</v>
      </c>
      <c r="C999" s="95">
        <f t="shared" si="318"/>
        <v>-26943.731829044009</v>
      </c>
      <c r="D999" s="95">
        <f t="shared" si="319"/>
        <v>-2466.0367398649314</v>
      </c>
      <c r="E999" s="95">
        <f t="shared" si="320"/>
        <v>-389.41574358255843</v>
      </c>
      <c r="F999" s="96">
        <f t="shared" si="303"/>
        <v>-702.14382206059281</v>
      </c>
      <c r="G999" s="94">
        <f t="shared" si="304"/>
        <v>642.23156558199003</v>
      </c>
      <c r="H999" s="97">
        <f t="shared" si="305"/>
        <v>-123.6413749212135</v>
      </c>
      <c r="I999" s="94">
        <f t="shared" si="306"/>
        <v>364.42268711216371</v>
      </c>
      <c r="J999" s="95">
        <f t="shared" si="307"/>
        <v>-43.066017064747093</v>
      </c>
      <c r="K999" s="94">
        <f t="shared" si="308"/>
        <v>38.166688443780139</v>
      </c>
      <c r="L999" s="94">
        <f t="shared" si="309"/>
        <v>-535.4364300746322</v>
      </c>
      <c r="M999" s="93">
        <f t="shared" si="310"/>
        <v>239.64219002604617</v>
      </c>
      <c r="N999" s="93">
        <f t="shared" si="311"/>
        <v>36372.173149651237</v>
      </c>
      <c r="O999" s="93">
        <f t="shared" si="312"/>
        <v>55700.700692906197</v>
      </c>
      <c r="P999" s="93">
        <f t="shared" si="313"/>
        <v>29236.950196196518</v>
      </c>
      <c r="Q999" s="93">
        <f t="shared" si="314"/>
        <v>49488400284949.313</v>
      </c>
      <c r="R999" s="93">
        <f t="shared" si="315"/>
        <v>173839724754034.69</v>
      </c>
      <c r="S999" s="93">
        <f t="shared" si="316"/>
        <v>26096086674396.398</v>
      </c>
      <c r="T999">
        <f t="shared" si="321"/>
        <v>0.5</v>
      </c>
    </row>
    <row r="1000" spans="1:20" x14ac:dyDescent="0.25">
      <c r="A1000">
        <v>478.5</v>
      </c>
      <c r="B1000" s="95">
        <f t="shared" si="317"/>
        <v>20277.51932300724</v>
      </c>
      <c r="C1000" s="95">
        <f t="shared" si="318"/>
        <v>-26977.881809439794</v>
      </c>
      <c r="D1000" s="95">
        <f t="shared" si="319"/>
        <v>-2817.1086508952276</v>
      </c>
      <c r="E1000" s="95">
        <f t="shared" si="320"/>
        <v>-68.299960791563421</v>
      </c>
      <c r="F1000" s="96">
        <f t="shared" si="303"/>
        <v>-733.14701290233336</v>
      </c>
      <c r="G1000" s="94">
        <f t="shared" si="304"/>
        <v>690.43523460554343</v>
      </c>
      <c r="H1000" s="97">
        <f t="shared" si="305"/>
        <v>-112.29128049807956</v>
      </c>
      <c r="I1000" s="94">
        <f t="shared" si="306"/>
        <v>376.70233210620756</v>
      </c>
      <c r="J1000" s="95">
        <f t="shared" si="307"/>
        <v>-43.980766648871672</v>
      </c>
      <c r="K1000" s="94">
        <f t="shared" si="308"/>
        <v>40.377749632201095</v>
      </c>
      <c r="L1000" s="94">
        <f t="shared" si="309"/>
        <v>-576.87496575538216</v>
      </c>
      <c r="M1000" s="93">
        <f t="shared" si="310"/>
        <v>273.35515286713473</v>
      </c>
      <c r="N1000" s="93">
        <f t="shared" si="311"/>
        <v>35977.100181928043</v>
      </c>
      <c r="O1000" s="93">
        <f t="shared" si="312"/>
        <v>54677.621619160789</v>
      </c>
      <c r="P1000" s="93">
        <f t="shared" si="313"/>
        <v>27971.818599546099</v>
      </c>
      <c r="Q1000" s="93">
        <f t="shared" si="314"/>
        <v>47922657127473.766</v>
      </c>
      <c r="R1000" s="93">
        <f t="shared" si="315"/>
        <v>164472260561563.69</v>
      </c>
      <c r="S1000" s="93">
        <f t="shared" si="316"/>
        <v>22943062107675.535</v>
      </c>
      <c r="T1000">
        <f t="shared" si="321"/>
        <v>0.5</v>
      </c>
    </row>
    <row r="1001" spans="1:20" x14ac:dyDescent="0.25">
      <c r="A1001">
        <v>479</v>
      </c>
      <c r="B1001" s="95">
        <f t="shared" si="317"/>
        <v>18685.678244334042</v>
      </c>
      <c r="C1001" s="95">
        <f t="shared" si="318"/>
        <v>-26839.422981184191</v>
      </c>
      <c r="D1001" s="95">
        <f t="shared" si="319"/>
        <v>-3183.6821573463944</v>
      </c>
      <c r="E1001" s="95">
        <f t="shared" si="320"/>
        <v>276.91765651120829</v>
      </c>
      <c r="F1001" s="96">
        <f t="shared" si="303"/>
        <v>-778.37967118938377</v>
      </c>
      <c r="G1001" s="94">
        <f t="shared" si="304"/>
        <v>752.69421535203878</v>
      </c>
      <c r="H1001" s="97">
        <f t="shared" si="305"/>
        <v>-99.350987370420256</v>
      </c>
      <c r="I1001" s="94">
        <f t="shared" si="306"/>
        <v>392.79092351097478</v>
      </c>
      <c r="J1001" s="95">
        <f t="shared" si="307"/>
        <v>-45.282918512476535</v>
      </c>
      <c r="K1001" s="94">
        <f t="shared" si="308"/>
        <v>43.121813151820483</v>
      </c>
      <c r="L1001" s="94">
        <f t="shared" si="309"/>
        <v>-633.74576530648699</v>
      </c>
      <c r="M1001" s="93">
        <f t="shared" si="310"/>
        <v>316.78147868924356</v>
      </c>
      <c r="N1001" s="93">
        <f t="shared" si="311"/>
        <v>35420.855117356761</v>
      </c>
      <c r="O1001" s="93">
        <f t="shared" si="312"/>
        <v>53420.26569393625</v>
      </c>
      <c r="P1001" s="93">
        <f t="shared" si="313"/>
        <v>26479.865755352901</v>
      </c>
      <c r="Q1001" s="93">
        <f t="shared" si="314"/>
        <v>45775191715186.758</v>
      </c>
      <c r="R1001" s="93">
        <f t="shared" si="315"/>
        <v>153429386368401.59</v>
      </c>
      <c r="S1001" s="93">
        <f t="shared" si="316"/>
        <v>19569033525535.141</v>
      </c>
      <c r="T1001">
        <f t="shared" si="321"/>
        <v>0.5</v>
      </c>
    </row>
    <row r="1002" spans="1:20" x14ac:dyDescent="0.25">
      <c r="A1002">
        <v>479.5</v>
      </c>
      <c r="B1002" s="95">
        <f t="shared" si="317"/>
        <v>16899.242247863498</v>
      </c>
      <c r="C1002" s="95">
        <f t="shared" si="318"/>
        <v>-26512.790599090578</v>
      </c>
      <c r="D1002" s="95">
        <f t="shared" si="319"/>
        <v>-3572.8719929410863</v>
      </c>
      <c r="E1002" s="95">
        <f t="shared" si="320"/>
        <v>653.26476418722768</v>
      </c>
      <c r="F1002" s="96">
        <f t="shared" si="303"/>
        <v>-843.8567397026851</v>
      </c>
      <c r="G1002" s="94">
        <f t="shared" si="304"/>
        <v>834.5083468403559</v>
      </c>
      <c r="H1002" s="97">
        <f t="shared" si="305"/>
        <v>-83.796020505321962</v>
      </c>
      <c r="I1002" s="94">
        <f t="shared" si="306"/>
        <v>413.10862788840666</v>
      </c>
      <c r="J1002" s="95">
        <f t="shared" si="307"/>
        <v>-47.052283476530548</v>
      </c>
      <c r="K1002" s="94">
        <f t="shared" si="308"/>
        <v>46.559497407757306</v>
      </c>
      <c r="L1002" s="94">
        <f t="shared" si="309"/>
        <v>-713.00843572083261</v>
      </c>
      <c r="M1002" s="93">
        <f t="shared" si="310"/>
        <v>374.84022154419193</v>
      </c>
      <c r="N1002" s="93">
        <f t="shared" si="311"/>
        <v>34705.467406912838</v>
      </c>
      <c r="O1002" s="93">
        <f t="shared" si="312"/>
        <v>51910.865488831449</v>
      </c>
      <c r="P1002" s="93">
        <f t="shared" si="313"/>
        <v>24741.082401728465</v>
      </c>
      <c r="Q1002" s="93">
        <f t="shared" si="314"/>
        <v>43109860966583.172</v>
      </c>
      <c r="R1002" s="93">
        <f t="shared" si="315"/>
        <v>140841124924261.81</v>
      </c>
      <c r="S1002" s="93">
        <f t="shared" si="316"/>
        <v>16081740205387.082</v>
      </c>
      <c r="T1002">
        <f t="shared" si="321"/>
        <v>0.5</v>
      </c>
    </row>
    <row r="1003" spans="1:20" x14ac:dyDescent="0.25">
      <c r="A1003">
        <v>480</v>
      </c>
      <c r="B1003" s="95">
        <f t="shared" si="317"/>
        <v>14901.842066467283</v>
      </c>
      <c r="C1003" s="95">
        <f t="shared" si="318"/>
        <v>-25977.531130286876</v>
      </c>
      <c r="D1003" s="95">
        <f t="shared" si="319"/>
        <v>-3994.800362792429</v>
      </c>
      <c r="E1003" s="95">
        <f t="shared" si="320"/>
        <v>1070.5189376074056</v>
      </c>
      <c r="F1003" s="96">
        <f t="shared" si="303"/>
        <v>-940.33399820817817</v>
      </c>
      <c r="G1003" s="94">
        <f t="shared" si="304"/>
        <v>945.0933364597272</v>
      </c>
      <c r="H1003" s="97">
        <f t="shared" si="305"/>
        <v>-64.151300629671383</v>
      </c>
      <c r="I1003" s="94">
        <f t="shared" si="306"/>
        <v>438.12655217306769</v>
      </c>
      <c r="J1003" s="95">
        <f t="shared" si="307"/>
        <v>-49.409222224076679</v>
      </c>
      <c r="K1003" s="94">
        <f t="shared" si="308"/>
        <v>50.93203468472143</v>
      </c>
      <c r="L1003" s="94">
        <f t="shared" si="309"/>
        <v>-826.77347535443016</v>
      </c>
      <c r="M1003" s="93">
        <f t="shared" si="310"/>
        <v>456.03474960193813</v>
      </c>
      <c r="N1003" s="93">
        <f t="shared" si="311"/>
        <v>33834.496393827343</v>
      </c>
      <c r="O1003" s="93">
        <f t="shared" si="312"/>
        <v>50125.056866435443</v>
      </c>
      <c r="P1003" s="93">
        <f t="shared" si="313"/>
        <v>22728.605486369463</v>
      </c>
      <c r="Q1003" s="93">
        <f t="shared" si="314"/>
        <v>40008518595668.133</v>
      </c>
      <c r="R1003" s="93">
        <f t="shared" si="315"/>
        <v>126862444007169.5</v>
      </c>
      <c r="S1003" s="93">
        <f t="shared" si="316"/>
        <v>12603912013125.215</v>
      </c>
      <c r="T1003">
        <f t="shared" si="321"/>
        <v>0.5</v>
      </c>
    </row>
    <row r="1004" spans="1:20" x14ac:dyDescent="0.25">
      <c r="A1004">
        <v>480.5</v>
      </c>
      <c r="B1004" s="95">
        <f t="shared" si="317"/>
        <v>12669.358385519023</v>
      </c>
      <c r="C1004" s="95">
        <f t="shared" si="318"/>
        <v>-25205.998327368241</v>
      </c>
      <c r="D1004" s="95">
        <f t="shared" si="319"/>
        <v>-4464.967361896518</v>
      </c>
      <c r="E1004" s="95">
        <f t="shared" si="320"/>
        <v>1543.0656058372692</v>
      </c>
      <c r="F1004" s="96">
        <f t="shared" ref="F1004:F1067" si="322">SUM(H1004,J1004,L1004)</f>
        <v>-1088.4948123918596</v>
      </c>
      <c r="G1004" s="94">
        <f t="shared" ref="G1004:G1067" si="323">SUM(I1004,K1004,M1004)</f>
        <v>1101.1615615754554</v>
      </c>
      <c r="H1004" s="97">
        <f t="shared" ref="H1004:H1067" si="324">$D$22*(($D$18-$B1004)/$Q1004)</f>
        <v>-38.216133351663828</v>
      </c>
      <c r="I1004" s="94">
        <f t="shared" ref="I1004:I1067" si="325">$D$22*(($E$18-$C1004)/$Q1004)</f>
        <v>468.23865999355962</v>
      </c>
      <c r="J1004" s="95">
        <f t="shared" ref="J1004:J1067" si="326">$D$30*(($D$26-$B1004)/$R1004)</f>
        <v>-52.539075012770169</v>
      </c>
      <c r="K1004" s="94">
        <f t="shared" ref="K1004:K1067" si="327">$D$30*(($E$26-$C1004)/$R1004)</f>
        <v>56.618515894727594</v>
      </c>
      <c r="L1004" s="94">
        <f t="shared" ref="L1004:L1067" si="328">$D$38*(($D$34-$B1004)/$S1004)</f>
        <v>-997.73960402742557</v>
      </c>
      <c r="M1004" s="93">
        <f t="shared" ref="M1004:M1067" si="329">$D$38*(($E$34-$C1004)/$S1004)</f>
        <v>576.30438568716829</v>
      </c>
      <c r="N1004" s="93">
        <f t="shared" ref="N1004:N1067" si="330">SQRT(($D$18-$B1004)^2+($E$18-$C1004)^2)</f>
        <v>32814.749744286564</v>
      </c>
      <c r="O1004" s="93">
        <f t="shared" ref="O1004:O1067" si="331">SQRT(($D$26-$B1004)^2+($E$26-$C1004)^2)</f>
        <v>48028.629957017693</v>
      </c>
      <c r="P1004" s="93">
        <f t="shared" ref="P1004:P1067" si="332">SQRT(($D$34-$B1004)^2+($E$34-$C1004)^2)</f>
        <v>20405.112781216249</v>
      </c>
      <c r="Q1004" s="93">
        <f t="shared" ref="Q1004:Q1067" si="333">($N1004^2+$D$39^2)^(3/2)</f>
        <v>36572846588886.023</v>
      </c>
      <c r="R1004" s="93">
        <f t="shared" ref="R1004:R1067" si="334">($O1004^2+$D$31^2)^(3/2)</f>
        <v>111673705024425.2</v>
      </c>
      <c r="S1004" s="93">
        <f t="shared" ref="S1004:S1067" si="335">($P1004^2+$D$23^2)^(3/2)</f>
        <v>9272614196049.2813</v>
      </c>
      <c r="T1004">
        <f t="shared" si="321"/>
        <v>0.5</v>
      </c>
    </row>
    <row r="1005" spans="1:20" x14ac:dyDescent="0.25">
      <c r="A1005">
        <v>481</v>
      </c>
      <c r="B1005" s="95">
        <f t="shared" ref="B1005:B1068" si="336">B1004+(D1004*$T1004)+(F1004*($T1004)^2)</f>
        <v>10164.7510014728</v>
      </c>
      <c r="C1005" s="95">
        <f t="shared" ref="C1005:C1068" si="337">C1004+(E1004*$T1004)+(G1004*($T1004)^2)</f>
        <v>-24159.175134055742</v>
      </c>
      <c r="D1005" s="95">
        <f t="shared" ref="D1005:D1068" si="338">D1004+(F1004*$T1004)</f>
        <v>-5009.2147680924481</v>
      </c>
      <c r="E1005" s="95">
        <f t="shared" ref="E1005:E1068" si="339">E1004+(G1004*$T1004)</f>
        <v>2093.6463866249969</v>
      </c>
      <c r="F1005" s="96">
        <f t="shared" si="322"/>
        <v>-1332.2846386570252</v>
      </c>
      <c r="G1005" s="94">
        <f t="shared" si="323"/>
        <v>1336.4943842326907</v>
      </c>
      <c r="H1005" s="97">
        <f t="shared" si="324"/>
        <v>-2.6197593823322358</v>
      </c>
      <c r="I1005" s="94">
        <f t="shared" si="325"/>
        <v>503.42286452222436</v>
      </c>
      <c r="J1005" s="95">
        <f t="shared" si="326"/>
        <v>-56.73894507671092</v>
      </c>
      <c r="K1005" s="94">
        <f t="shared" si="327"/>
        <v>64.252330864667414</v>
      </c>
      <c r="L1005" s="94">
        <f t="shared" si="328"/>
        <v>-1272.9259341979821</v>
      </c>
      <c r="M1005" s="93">
        <f t="shared" si="329"/>
        <v>768.81918884579886</v>
      </c>
      <c r="N1005" s="93">
        <f t="shared" si="330"/>
        <v>31659.603804553521</v>
      </c>
      <c r="O1005" s="93">
        <f t="shared" si="331"/>
        <v>45571.498206883058</v>
      </c>
      <c r="P1005" s="93">
        <f t="shared" si="332"/>
        <v>17716.098951884844</v>
      </c>
      <c r="Q1005" s="93">
        <f t="shared" si="333"/>
        <v>32927994544657.578</v>
      </c>
      <c r="R1005" s="93">
        <f t="shared" si="334"/>
        <v>95479740547714.125</v>
      </c>
      <c r="S1005" s="93">
        <f t="shared" si="335"/>
        <v>6237790309164.416</v>
      </c>
      <c r="T1005">
        <f t="shared" si="321"/>
        <v>0.5</v>
      </c>
    </row>
    <row r="1006" spans="1:20" x14ac:dyDescent="0.25">
      <c r="A1006">
        <v>481.5</v>
      </c>
      <c r="B1006" s="95">
        <f t="shared" si="336"/>
        <v>7327.0724577623196</v>
      </c>
      <c r="C1006" s="95">
        <f t="shared" si="337"/>
        <v>-22778.228344685071</v>
      </c>
      <c r="D1006" s="95">
        <f t="shared" si="338"/>
        <v>-5675.3570874209609</v>
      </c>
      <c r="E1006" s="95">
        <f t="shared" si="339"/>
        <v>2761.893578741342</v>
      </c>
      <c r="F1006" s="96">
        <f t="shared" si="322"/>
        <v>-1778.5596300440022</v>
      </c>
      <c r="G1006" s="94">
        <f t="shared" si="323"/>
        <v>1730.3594570311952</v>
      </c>
      <c r="H1006" s="97">
        <f t="shared" si="324"/>
        <v>47.878925139047901</v>
      </c>
      <c r="I1006" s="94">
        <f t="shared" si="325"/>
        <v>542.36001737800427</v>
      </c>
      <c r="J1006" s="95">
        <f t="shared" si="326"/>
        <v>-62.515677876261485</v>
      </c>
      <c r="K1006" s="94">
        <f t="shared" si="327"/>
        <v>74.986194284737905</v>
      </c>
      <c r="L1006" s="94">
        <f t="shared" si="328"/>
        <v>-1763.9228773067887</v>
      </c>
      <c r="M1006" s="93">
        <f t="shared" si="329"/>
        <v>1113.013245368453</v>
      </c>
      <c r="N1006" s="93">
        <f t="shared" si="330"/>
        <v>30395.980874762754</v>
      </c>
      <c r="O1006" s="93">
        <f t="shared" si="331"/>
        <v>42675.298974091646</v>
      </c>
      <c r="P1006" s="93">
        <f t="shared" si="332"/>
        <v>14575.923694949306</v>
      </c>
      <c r="Q1006" s="93">
        <f t="shared" si="333"/>
        <v>29230848109353.574</v>
      </c>
      <c r="R1006" s="93">
        <f t="shared" si="334"/>
        <v>78504925529348.203</v>
      </c>
      <c r="S1006" s="93">
        <f t="shared" si="335"/>
        <v>3659139596539.8999</v>
      </c>
      <c r="T1006">
        <f t="shared" si="321"/>
        <v>0.5</v>
      </c>
    </row>
    <row r="1007" spans="1:20" x14ac:dyDescent="0.25">
      <c r="A1007">
        <v>482</v>
      </c>
      <c r="B1007" s="95">
        <f t="shared" si="336"/>
        <v>4044.7540065408389</v>
      </c>
      <c r="C1007" s="95">
        <f t="shared" si="337"/>
        <v>-20964.6916910566</v>
      </c>
      <c r="D1007" s="95">
        <f t="shared" si="338"/>
        <v>-6564.6369024429623</v>
      </c>
      <c r="E1007" s="95">
        <f t="shared" si="339"/>
        <v>3627.0733072569396</v>
      </c>
      <c r="F1007" s="96">
        <f t="shared" si="322"/>
        <v>-2736.8483403816776</v>
      </c>
      <c r="G1007" s="94">
        <f t="shared" si="323"/>
        <v>2509.4822998909235</v>
      </c>
      <c r="H1007" s="97">
        <f t="shared" si="324"/>
        <v>121.36481462852279</v>
      </c>
      <c r="I1007" s="94">
        <f t="shared" si="325"/>
        <v>580.095605511082</v>
      </c>
      <c r="J1007" s="95">
        <f t="shared" si="326"/>
        <v>-70.81849038328015</v>
      </c>
      <c r="K1007" s="94">
        <f t="shared" si="327"/>
        <v>91.19963215875714</v>
      </c>
      <c r="L1007" s="94">
        <f t="shared" si="328"/>
        <v>-2787.3946646269201</v>
      </c>
      <c r="M1007" s="93">
        <f t="shared" si="329"/>
        <v>1838.1870622210843</v>
      </c>
      <c r="N1007" s="93">
        <f t="shared" si="330"/>
        <v>29080.983957038283</v>
      </c>
      <c r="O1007" s="93">
        <f t="shared" si="331"/>
        <v>39204.11109510393</v>
      </c>
      <c r="P1007" s="93">
        <f t="shared" si="332"/>
        <v>10834.441471907825</v>
      </c>
      <c r="Q1007" s="93">
        <f t="shared" si="333"/>
        <v>25692450650594.664</v>
      </c>
      <c r="R1007" s="93">
        <f t="shared" si="334"/>
        <v>60977050843818.805</v>
      </c>
      <c r="S1007" s="93">
        <f t="shared" si="335"/>
        <v>1699013843827.6946</v>
      </c>
      <c r="T1007">
        <f t="shared" si="321"/>
        <v>0.5</v>
      </c>
    </row>
    <row r="1008" spans="1:20" x14ac:dyDescent="0.25">
      <c r="A1008">
        <v>482.5</v>
      </c>
      <c r="B1008" s="95">
        <f t="shared" si="336"/>
        <v>78.223470223938307</v>
      </c>
      <c r="C1008" s="95">
        <f t="shared" si="337"/>
        <v>-18523.784462455398</v>
      </c>
      <c r="D1008" s="95">
        <f t="shared" si="338"/>
        <v>-7933.0610726338009</v>
      </c>
      <c r="E1008" s="95">
        <f t="shared" si="339"/>
        <v>4881.8144572024012</v>
      </c>
      <c r="F1008" s="96">
        <f t="shared" si="322"/>
        <v>-5145.899007692281</v>
      </c>
      <c r="G1008" s="94">
        <f t="shared" si="323"/>
        <v>4392.1028256871577</v>
      </c>
      <c r="H1008" s="97">
        <f t="shared" si="324"/>
        <v>229.29807057030169</v>
      </c>
      <c r="I1008" s="94">
        <f t="shared" si="325"/>
        <v>601.42491097943537</v>
      </c>
      <c r="J1008" s="95">
        <f t="shared" si="326"/>
        <v>-83.694090281426114</v>
      </c>
      <c r="K1008" s="94">
        <f t="shared" si="327"/>
        <v>118.89857663498033</v>
      </c>
      <c r="L1008" s="94">
        <f t="shared" si="328"/>
        <v>-5291.5029879811564</v>
      </c>
      <c r="M1008" s="93">
        <f t="shared" si="329"/>
        <v>3671.7793380727417</v>
      </c>
      <c r="N1008" s="93">
        <f t="shared" si="330"/>
        <v>27851.01447443432</v>
      </c>
      <c r="O1008" s="93">
        <f t="shared" si="331"/>
        <v>34881.819588158862</v>
      </c>
      <c r="P1008" s="93">
        <f t="shared" si="332"/>
        <v>6181.052543974637</v>
      </c>
      <c r="Q1008" s="93">
        <f t="shared" si="333"/>
        <v>22656230947908.969</v>
      </c>
      <c r="R1008" s="93">
        <f t="shared" si="334"/>
        <v>43084715827818.266</v>
      </c>
      <c r="S1008" s="93">
        <f t="shared" si="335"/>
        <v>502494583724.73792</v>
      </c>
      <c r="T1008">
        <f t="shared" si="321"/>
        <v>0.5</v>
      </c>
    </row>
    <row r="1009" spans="1:20" x14ac:dyDescent="0.25">
      <c r="A1009">
        <v>483</v>
      </c>
      <c r="B1009" s="95">
        <f t="shared" si="336"/>
        <v>-5174.781818016032</v>
      </c>
      <c r="C1009" s="95">
        <f t="shared" si="337"/>
        <v>-14984.851527432407</v>
      </c>
      <c r="D1009" s="95">
        <f t="shared" si="338"/>
        <v>-10506.010576479941</v>
      </c>
      <c r="E1009" s="95">
        <f t="shared" si="339"/>
        <v>7077.86587004598</v>
      </c>
      <c r="F1009" s="96">
        <f t="shared" si="322"/>
        <v>1003.1128397129532</v>
      </c>
      <c r="G1009" s="94">
        <f t="shared" si="323"/>
        <v>676.72154277764753</v>
      </c>
      <c r="H1009" s="97">
        <f t="shared" si="324"/>
        <v>378.59849909671618</v>
      </c>
      <c r="I1009" s="94">
        <f t="shared" si="325"/>
        <v>560.97880963216244</v>
      </c>
      <c r="J1009" s="95">
        <f t="shared" si="326"/>
        <v>-106.26009783268121</v>
      </c>
      <c r="K1009" s="94">
        <f t="shared" si="327"/>
        <v>179.0795072996824</v>
      </c>
      <c r="L1009" s="94">
        <f t="shared" si="328"/>
        <v>730.77443844891832</v>
      </c>
      <c r="M1009" s="93">
        <f t="shared" si="329"/>
        <v>-63.336774154197357</v>
      </c>
      <c r="N1009" s="93">
        <f t="shared" si="330"/>
        <v>27126.417961741088</v>
      </c>
      <c r="O1009" s="93">
        <f t="shared" si="331"/>
        <v>29052.19268818224</v>
      </c>
      <c r="P1009" s="93">
        <f t="shared" si="332"/>
        <v>175.43705460968175</v>
      </c>
      <c r="Q1009" s="93">
        <f t="shared" si="333"/>
        <v>20986605068011.055</v>
      </c>
      <c r="R1009" s="93">
        <f t="shared" si="334"/>
        <v>25056685646935.492</v>
      </c>
      <c r="S1009" s="93">
        <f t="shared" si="335"/>
        <v>125230907233.54041</v>
      </c>
      <c r="T1009">
        <f t="shared" si="321"/>
        <v>0.5</v>
      </c>
    </row>
    <row r="1010" spans="1:20" x14ac:dyDescent="0.25">
      <c r="A1010">
        <v>483.5</v>
      </c>
      <c r="B1010" s="95">
        <f t="shared" si="336"/>
        <v>-10177.008896327765</v>
      </c>
      <c r="C1010" s="95">
        <f t="shared" si="337"/>
        <v>-11276.738206715005</v>
      </c>
      <c r="D1010" s="95">
        <f t="shared" si="338"/>
        <v>-10004.454156623464</v>
      </c>
      <c r="E1010" s="95">
        <f t="shared" si="339"/>
        <v>7416.2266414348042</v>
      </c>
      <c r="F1010" s="96">
        <f t="shared" si="322"/>
        <v>5442.3392123393487</v>
      </c>
      <c r="G1010" s="94">
        <f t="shared" si="323"/>
        <v>-2929.2664094325896</v>
      </c>
      <c r="H1010" s="97">
        <f t="shared" si="324"/>
        <v>480.63847944113786</v>
      </c>
      <c r="I1010" s="94">
        <f t="shared" si="325"/>
        <v>447.2824959789923</v>
      </c>
      <c r="J1010" s="95">
        <f t="shared" si="326"/>
        <v>-132.61132205464247</v>
      </c>
      <c r="K1010" s="94">
        <f t="shared" si="327"/>
        <v>287.23800651190589</v>
      </c>
      <c r="L1010" s="94">
        <f t="shared" si="328"/>
        <v>5094.312054952853</v>
      </c>
      <c r="M1010" s="93">
        <f t="shared" si="329"/>
        <v>-3663.7869119234879</v>
      </c>
      <c r="N1010" s="93">
        <f t="shared" si="330"/>
        <v>27562.249285680602</v>
      </c>
      <c r="O1010" s="93">
        <f t="shared" si="331"/>
        <v>23434.819029382536</v>
      </c>
      <c r="P1010" s="93">
        <f t="shared" si="332"/>
        <v>6376.8408709950272</v>
      </c>
      <c r="Q1010" s="93">
        <f t="shared" si="333"/>
        <v>21980464746886.789</v>
      </c>
      <c r="R1010" s="93">
        <f t="shared" si="334"/>
        <v>13303192894641.592</v>
      </c>
      <c r="S1010" s="93">
        <f t="shared" si="335"/>
        <v>532098444331.323</v>
      </c>
      <c r="T1010">
        <f t="shared" si="321"/>
        <v>0.5</v>
      </c>
    </row>
    <row r="1011" spans="1:20" x14ac:dyDescent="0.25">
      <c r="A1011">
        <v>484</v>
      </c>
      <c r="B1011" s="95">
        <f t="shared" si="336"/>
        <v>-13818.65117155466</v>
      </c>
      <c r="C1011" s="95">
        <f t="shared" si="337"/>
        <v>-8300.9414883557492</v>
      </c>
      <c r="D1011" s="95">
        <f t="shared" si="338"/>
        <v>-7283.2845504537891</v>
      </c>
      <c r="E1011" s="95">
        <f t="shared" si="339"/>
        <v>5951.5934367185091</v>
      </c>
      <c r="F1011" s="96">
        <f t="shared" si="322"/>
        <v>2937.470940902997</v>
      </c>
      <c r="G1011" s="94">
        <f t="shared" si="323"/>
        <v>-1182.0905855659018</v>
      </c>
      <c r="H1011" s="97">
        <f t="shared" si="324"/>
        <v>510.44537997642584</v>
      </c>
      <c r="I1011" s="94">
        <f t="shared" si="325"/>
        <v>338.62192799738546</v>
      </c>
      <c r="J1011" s="95">
        <f t="shared" si="326"/>
        <v>-146.73586100628779</v>
      </c>
      <c r="K1011" s="94">
        <f t="shared" si="327"/>
        <v>434.43663851518562</v>
      </c>
      <c r="L1011" s="94">
        <f t="shared" si="328"/>
        <v>2573.7614219328589</v>
      </c>
      <c r="M1011" s="93">
        <f t="shared" si="329"/>
        <v>-1955.149152078473</v>
      </c>
      <c r="N1011" s="93">
        <f t="shared" si="330"/>
        <v>28583.175043207571</v>
      </c>
      <c r="O1011" s="93">
        <f t="shared" si="331"/>
        <v>19316.664637021146</v>
      </c>
      <c r="P1011" s="93">
        <f t="shared" si="332"/>
        <v>11074.565157512761</v>
      </c>
      <c r="Q1011" s="93">
        <f t="shared" si="333"/>
        <v>24432421330574.055</v>
      </c>
      <c r="R1011" s="93">
        <f t="shared" si="334"/>
        <v>7565536488367.8682</v>
      </c>
      <c r="S1011" s="93">
        <f t="shared" si="335"/>
        <v>1794041559759.9932</v>
      </c>
      <c r="T1011">
        <f t="shared" si="321"/>
        <v>0.5</v>
      </c>
    </row>
    <row r="1012" spans="1:20" x14ac:dyDescent="0.25">
      <c r="A1012">
        <v>484.5</v>
      </c>
      <c r="B1012" s="95">
        <f t="shared" si="336"/>
        <v>-16725.925711555803</v>
      </c>
      <c r="C1012" s="95">
        <f t="shared" si="337"/>
        <v>-5620.6674163879698</v>
      </c>
      <c r="D1012" s="95">
        <f t="shared" si="338"/>
        <v>-5814.5490800022908</v>
      </c>
      <c r="E1012" s="95">
        <f t="shared" si="339"/>
        <v>5360.5481439355581</v>
      </c>
      <c r="F1012" s="96">
        <f t="shared" si="322"/>
        <v>1922.6391560103514</v>
      </c>
      <c r="G1012" s="94">
        <f t="shared" si="323"/>
        <v>-346.1224400576574</v>
      </c>
      <c r="H1012" s="97">
        <f t="shared" si="324"/>
        <v>508.567415554425</v>
      </c>
      <c r="I1012" s="94">
        <f t="shared" si="325"/>
        <v>249.67306989918077</v>
      </c>
      <c r="J1012" s="95">
        <f t="shared" si="326"/>
        <v>-134.7956369442754</v>
      </c>
      <c r="K1012" s="94">
        <f t="shared" si="327"/>
        <v>643.11241235984937</v>
      </c>
      <c r="L1012" s="94">
        <f t="shared" si="328"/>
        <v>1548.8673774002018</v>
      </c>
      <c r="M1012" s="93">
        <f t="shared" si="329"/>
        <v>-1238.9079223166875</v>
      </c>
      <c r="N1012" s="93">
        <f t="shared" si="330"/>
        <v>29772.924253271871</v>
      </c>
      <c r="O1012" s="93">
        <f t="shared" si="331"/>
        <v>15960.100656939985</v>
      </c>
      <c r="P1012" s="93">
        <f t="shared" si="332"/>
        <v>15015.63230459949</v>
      </c>
      <c r="Q1012" s="93">
        <f t="shared" si="333"/>
        <v>27515844608420.773</v>
      </c>
      <c r="R1012" s="93">
        <f t="shared" si="334"/>
        <v>4362198624048.1187</v>
      </c>
      <c r="S1012" s="93">
        <f t="shared" si="335"/>
        <v>3963980670593.4883</v>
      </c>
      <c r="T1012">
        <f t="shared" si="321"/>
        <v>0.5</v>
      </c>
    </row>
    <row r="1013" spans="1:20" x14ac:dyDescent="0.25">
      <c r="A1013">
        <v>485</v>
      </c>
      <c r="B1013" s="95">
        <f t="shared" si="336"/>
        <v>-19152.54046255436</v>
      </c>
      <c r="C1013" s="95">
        <f t="shared" si="337"/>
        <v>-3026.9239544346051</v>
      </c>
      <c r="D1013" s="95">
        <f t="shared" si="338"/>
        <v>-4853.2295019971152</v>
      </c>
      <c r="E1013" s="95">
        <f t="shared" si="339"/>
        <v>5187.4869239067293</v>
      </c>
      <c r="F1013" s="96">
        <f t="shared" si="322"/>
        <v>1478.5221796121564</v>
      </c>
      <c r="G1013" s="94">
        <f t="shared" si="323"/>
        <v>240.04237152555868</v>
      </c>
      <c r="H1013" s="97">
        <f t="shared" si="324"/>
        <v>493.24950212342969</v>
      </c>
      <c r="I1013" s="94">
        <f t="shared" si="325"/>
        <v>178.1114070002088</v>
      </c>
      <c r="J1013" s="95">
        <f t="shared" si="326"/>
        <v>-61.647386193870801</v>
      </c>
      <c r="K1013" s="94">
        <f t="shared" si="327"/>
        <v>947.6273219578103</v>
      </c>
      <c r="L1013" s="94">
        <f t="shared" si="328"/>
        <v>1046.9200636825974</v>
      </c>
      <c r="M1013" s="93">
        <f t="shared" si="329"/>
        <v>-885.69635743246033</v>
      </c>
      <c r="N1013" s="93">
        <f t="shared" si="330"/>
        <v>30994.947061792478</v>
      </c>
      <c r="O1013" s="93">
        <f t="shared" si="331"/>
        <v>13054.460363501423</v>
      </c>
      <c r="P1013" s="93">
        <f t="shared" si="332"/>
        <v>18537.770943053813</v>
      </c>
      <c r="Q1013" s="93">
        <f t="shared" si="333"/>
        <v>30946274504203.43</v>
      </c>
      <c r="R1013" s="93">
        <f t="shared" si="334"/>
        <v>2468863314814.4077</v>
      </c>
      <c r="S1013" s="93">
        <f t="shared" si="335"/>
        <v>7078145805834.3857</v>
      </c>
      <c r="T1013">
        <f t="shared" si="321"/>
        <v>0.5</v>
      </c>
    </row>
    <row r="1014" spans="1:20" x14ac:dyDescent="0.25">
      <c r="A1014">
        <v>485.5</v>
      </c>
      <c r="B1014" s="95">
        <f t="shared" si="336"/>
        <v>-21209.524668649876</v>
      </c>
      <c r="C1014" s="95">
        <f t="shared" si="337"/>
        <v>-373.16989959985074</v>
      </c>
      <c r="D1014" s="95">
        <f t="shared" si="338"/>
        <v>-4113.9684121910368</v>
      </c>
      <c r="E1014" s="95">
        <f t="shared" si="339"/>
        <v>5307.5081096695085</v>
      </c>
      <c r="F1014" s="96">
        <f t="shared" si="322"/>
        <v>1390.6782420716609</v>
      </c>
      <c r="G1014" s="94">
        <f t="shared" si="323"/>
        <v>831.9508650726242</v>
      </c>
      <c r="H1014" s="97">
        <f t="shared" si="324"/>
        <v>472.82416386983863</v>
      </c>
      <c r="I1014" s="94">
        <f t="shared" si="325"/>
        <v>119.27848995799914</v>
      </c>
      <c r="J1014" s="95">
        <f t="shared" si="326"/>
        <v>162.5670321229139</v>
      </c>
      <c r="K1014" s="94">
        <f t="shared" si="327"/>
        <v>1394.213353388694</v>
      </c>
      <c r="L1014" s="94">
        <f t="shared" si="328"/>
        <v>755.28704607890836</v>
      </c>
      <c r="M1014" s="93">
        <f t="shared" si="329"/>
        <v>-681.54097827406906</v>
      </c>
      <c r="N1014" s="93">
        <f t="shared" si="330"/>
        <v>32187.283736143847</v>
      </c>
      <c r="O1014" s="93">
        <f t="shared" si="331"/>
        <v>10443.447883244162</v>
      </c>
      <c r="P1014" s="93">
        <f t="shared" si="332"/>
        <v>21833.296791129385</v>
      </c>
      <c r="Q1014" s="93">
        <f t="shared" si="333"/>
        <v>34560985144592.742</v>
      </c>
      <c r="R1014" s="93">
        <f t="shared" si="334"/>
        <v>1336210855059.3987</v>
      </c>
      <c r="S1014" s="93">
        <f t="shared" si="335"/>
        <v>11237167794148.543</v>
      </c>
      <c r="T1014">
        <f t="shared" si="321"/>
        <v>0.5</v>
      </c>
    </row>
    <row r="1015" spans="1:20" x14ac:dyDescent="0.25">
      <c r="A1015">
        <v>486</v>
      </c>
      <c r="B1015" s="95">
        <f t="shared" si="336"/>
        <v>-22918.83931422748</v>
      </c>
      <c r="C1015" s="95">
        <f t="shared" si="337"/>
        <v>2488.5718715030594</v>
      </c>
      <c r="D1015" s="95">
        <f t="shared" si="338"/>
        <v>-3418.6292911552064</v>
      </c>
      <c r="E1015" s="95">
        <f t="shared" si="339"/>
        <v>5723.4835422058204</v>
      </c>
      <c r="F1015" s="96">
        <f t="shared" si="322"/>
        <v>1788.0916745219506</v>
      </c>
      <c r="G1015" s="94">
        <f t="shared" si="323"/>
        <v>1507.7612265925304</v>
      </c>
      <c r="H1015" s="97">
        <f t="shared" si="324"/>
        <v>451.50120715986145</v>
      </c>
      <c r="I1015" s="94">
        <f t="shared" si="325"/>
        <v>68.734678887458003</v>
      </c>
      <c r="J1015" s="95">
        <f t="shared" si="326"/>
        <v>772.95008251313698</v>
      </c>
      <c r="K1015" s="94">
        <f t="shared" si="327"/>
        <v>1989.1327910422685</v>
      </c>
      <c r="L1015" s="94">
        <f t="shared" si="328"/>
        <v>563.64038484895207</v>
      </c>
      <c r="M1015" s="93">
        <f t="shared" si="329"/>
        <v>-550.10624333719625</v>
      </c>
      <c r="N1015" s="93">
        <f t="shared" si="330"/>
        <v>33298.113965854267</v>
      </c>
      <c r="O1015" s="93">
        <f t="shared" si="331"/>
        <v>8058.6087801713629</v>
      </c>
      <c r="P1015" s="93">
        <f t="shared" si="332"/>
        <v>25038.669063547135</v>
      </c>
      <c r="Q1015" s="93">
        <f t="shared" si="333"/>
        <v>38175454873022.891</v>
      </c>
      <c r="R1015" s="93">
        <f t="shared" si="334"/>
        <v>678190156008.68018</v>
      </c>
      <c r="S1015" s="93">
        <f t="shared" si="335"/>
        <v>16645866011865.869</v>
      </c>
      <c r="T1015">
        <f t="shared" si="321"/>
        <v>0.5</v>
      </c>
    </row>
    <row r="1016" spans="1:20" x14ac:dyDescent="0.25">
      <c r="A1016">
        <v>486.5</v>
      </c>
      <c r="B1016" s="95">
        <f t="shared" si="336"/>
        <v>-24181.131041174598</v>
      </c>
      <c r="C1016" s="95">
        <f t="shared" si="337"/>
        <v>5727.2539492541027</v>
      </c>
      <c r="D1016" s="95">
        <f t="shared" si="338"/>
        <v>-2524.5834538942308</v>
      </c>
      <c r="E1016" s="95">
        <f t="shared" si="339"/>
        <v>6477.3641555020859</v>
      </c>
      <c r="F1016" s="96">
        <f t="shared" si="322"/>
        <v>3117.0068888124815</v>
      </c>
      <c r="G1016" s="94">
        <f t="shared" si="323"/>
        <v>1870.7034764333534</v>
      </c>
      <c r="H1016" s="97">
        <f t="shared" si="324"/>
        <v>432.43432912797329</v>
      </c>
      <c r="I1016" s="94">
        <f t="shared" si="325"/>
        <v>22.42746877641715</v>
      </c>
      <c r="J1016" s="95">
        <f t="shared" si="326"/>
        <v>2258.8355771579936</v>
      </c>
      <c r="K1016" s="94">
        <f t="shared" si="327"/>
        <v>2308.3301375971196</v>
      </c>
      <c r="L1016" s="94">
        <f t="shared" si="328"/>
        <v>425.73698252651457</v>
      </c>
      <c r="M1016" s="93">
        <f t="shared" si="329"/>
        <v>-460.05412994018349</v>
      </c>
      <c r="N1016" s="93">
        <f t="shared" si="330"/>
        <v>34227.070394855364</v>
      </c>
      <c r="O1016" s="93">
        <f t="shared" si="331"/>
        <v>5978.144829095264</v>
      </c>
      <c r="P1016" s="93">
        <f t="shared" si="332"/>
        <v>28240.659416798</v>
      </c>
      <c r="Q1016" s="93">
        <f t="shared" si="333"/>
        <v>41387089683223.508</v>
      </c>
      <c r="R1016" s="93">
        <f t="shared" si="334"/>
        <v>332431295468.4455</v>
      </c>
      <c r="S1016" s="93">
        <f t="shared" si="335"/>
        <v>23590190986342.273</v>
      </c>
      <c r="T1016">
        <f t="shared" si="321"/>
        <v>0.5</v>
      </c>
    </row>
    <row r="1017" spans="1:20" x14ac:dyDescent="0.25">
      <c r="A1017">
        <v>487</v>
      </c>
      <c r="B1017" s="95">
        <f t="shared" si="336"/>
        <v>-24664.171045918592</v>
      </c>
      <c r="C1017" s="95">
        <f t="shared" si="337"/>
        <v>9433.6118961134835</v>
      </c>
      <c r="D1017" s="95">
        <f t="shared" si="338"/>
        <v>-966.08000948799008</v>
      </c>
      <c r="E1017" s="95">
        <f t="shared" si="339"/>
        <v>7412.7158937187623</v>
      </c>
      <c r="F1017" s="96">
        <f t="shared" si="322"/>
        <v>4907.2664411941996</v>
      </c>
      <c r="G1017" s="94">
        <f t="shared" si="323"/>
        <v>82.996185445655044</v>
      </c>
      <c r="H1017" s="97">
        <f t="shared" si="324"/>
        <v>420.57147605147918</v>
      </c>
      <c r="I1017" s="94">
        <f t="shared" si="325"/>
        <v>-23.460016054672018</v>
      </c>
      <c r="J1017" s="95">
        <f t="shared" si="326"/>
        <v>4165.2967234491452</v>
      </c>
      <c r="K1017" s="94">
        <f t="shared" si="327"/>
        <v>505.80788956774848</v>
      </c>
      <c r="L1017" s="94">
        <f t="shared" si="328"/>
        <v>321.39824169357541</v>
      </c>
      <c r="M1017" s="93">
        <f t="shared" si="329"/>
        <v>-399.35168806742143</v>
      </c>
      <c r="N1017" s="93">
        <f t="shared" si="330"/>
        <v>34718.058834927571</v>
      </c>
      <c r="O1017" s="93">
        <f t="shared" si="331"/>
        <v>4698.4345296927895</v>
      </c>
      <c r="P1017" s="93">
        <f t="shared" si="332"/>
        <v>31363.689406908772</v>
      </c>
      <c r="Q1017" s="93">
        <f t="shared" si="333"/>
        <v>43155845201806.672</v>
      </c>
      <c r="R1017" s="93">
        <f t="shared" si="334"/>
        <v>201104258102.64926</v>
      </c>
      <c r="S1017" s="93">
        <f t="shared" si="335"/>
        <v>32035445584717.734</v>
      </c>
      <c r="T1017">
        <f t="shared" si="321"/>
        <v>0.5</v>
      </c>
    </row>
    <row r="1018" spans="1:20" x14ac:dyDescent="0.25">
      <c r="A1018">
        <v>487.5</v>
      </c>
      <c r="B1018" s="95">
        <f t="shared" si="336"/>
        <v>-23920.394440364038</v>
      </c>
      <c r="C1018" s="95">
        <f t="shared" si="337"/>
        <v>13160.718889334279</v>
      </c>
      <c r="D1018" s="95">
        <f t="shared" si="338"/>
        <v>1487.5532111091097</v>
      </c>
      <c r="E1018" s="95">
        <f t="shared" si="339"/>
        <v>7454.2139864415894</v>
      </c>
      <c r="F1018" s="96">
        <f t="shared" si="322"/>
        <v>3721.4847733356723</v>
      </c>
      <c r="G1018" s="94">
        <f t="shared" si="323"/>
        <v>-2897.3476041081376</v>
      </c>
      <c r="H1018" s="97">
        <f t="shared" si="324"/>
        <v>423.20905911418515</v>
      </c>
      <c r="I1018" s="94">
        <f t="shared" si="325"/>
        <v>-70.626169140719028</v>
      </c>
      <c r="J1018" s="95">
        <f t="shared" si="326"/>
        <v>3052.6274392425498</v>
      </c>
      <c r="K1018" s="94">
        <f t="shared" si="327"/>
        <v>-2461.1036863979739</v>
      </c>
      <c r="L1018" s="94">
        <f t="shared" si="328"/>
        <v>245.64827497893728</v>
      </c>
      <c r="M1018" s="93">
        <f t="shared" si="329"/>
        <v>-365.61774856944481</v>
      </c>
      <c r="N1018" s="93">
        <f t="shared" si="330"/>
        <v>34389.488180750021</v>
      </c>
      <c r="O1018" s="93">
        <f t="shared" si="331"/>
        <v>5035.8352301710365</v>
      </c>
      <c r="P1018" s="93">
        <f t="shared" si="332"/>
        <v>33926.500175276953</v>
      </c>
      <c r="Q1018" s="93">
        <f t="shared" si="333"/>
        <v>41966674895761.102</v>
      </c>
      <c r="R1018" s="93">
        <f t="shared" si="334"/>
        <v>230647474349.43817</v>
      </c>
      <c r="S1018" s="93">
        <f t="shared" si="335"/>
        <v>40328780503998.672</v>
      </c>
      <c r="T1018">
        <f t="shared" si="321"/>
        <v>0.5</v>
      </c>
    </row>
    <row r="1019" spans="1:20" x14ac:dyDescent="0.25">
      <c r="A1019">
        <v>488</v>
      </c>
      <c r="B1019" s="95">
        <f t="shared" si="336"/>
        <v>-22246.246641475565</v>
      </c>
      <c r="C1019" s="95">
        <f t="shared" si="337"/>
        <v>16163.488981528038</v>
      </c>
      <c r="D1019" s="95">
        <f t="shared" si="338"/>
        <v>3348.2955977769461</v>
      </c>
      <c r="E1019" s="95">
        <f t="shared" si="339"/>
        <v>6005.5401843875206</v>
      </c>
      <c r="F1019" s="96">
        <f t="shared" si="322"/>
        <v>1614.2154532226675</v>
      </c>
      <c r="G1019" s="94">
        <f t="shared" si="323"/>
        <v>-3161.4628075195692</v>
      </c>
      <c r="H1019" s="97">
        <f t="shared" si="324"/>
        <v>438.72371853292492</v>
      </c>
      <c r="I1019" s="94">
        <f t="shared" si="325"/>
        <v>-117.87040345204895</v>
      </c>
      <c r="J1019" s="95">
        <f t="shared" si="326"/>
        <v>981.40529901892194</v>
      </c>
      <c r="K1019" s="94">
        <f t="shared" si="327"/>
        <v>-2692.8836020174658</v>
      </c>
      <c r="L1019" s="94">
        <f t="shared" si="328"/>
        <v>194.08643567082066</v>
      </c>
      <c r="M1019" s="93">
        <f t="shared" si="329"/>
        <v>-350.70880205005449</v>
      </c>
      <c r="N1019" s="93">
        <f t="shared" si="330"/>
        <v>33389.765854164536</v>
      </c>
      <c r="O1019" s="93">
        <f t="shared" si="331"/>
        <v>6560.0472863964778</v>
      </c>
      <c r="P1019" s="93">
        <f t="shared" si="332"/>
        <v>35617.356284828704</v>
      </c>
      <c r="Q1019" s="93">
        <f t="shared" si="333"/>
        <v>38484573652815.313</v>
      </c>
      <c r="R1019" s="93">
        <f t="shared" si="334"/>
        <v>411056750329.38885</v>
      </c>
      <c r="S1019" s="93">
        <f t="shared" si="335"/>
        <v>46526247926250.539</v>
      </c>
      <c r="T1019">
        <f t="shared" si="321"/>
        <v>0.5</v>
      </c>
    </row>
    <row r="1020" spans="1:20" x14ac:dyDescent="0.25">
      <c r="A1020">
        <v>488.5</v>
      </c>
      <c r="B1020" s="95">
        <f t="shared" si="336"/>
        <v>-20168.544979281425</v>
      </c>
      <c r="C1020" s="95">
        <f t="shared" si="337"/>
        <v>18375.893371841907</v>
      </c>
      <c r="D1020" s="95">
        <f t="shared" si="338"/>
        <v>4155.4033243882795</v>
      </c>
      <c r="E1020" s="95">
        <f t="shared" si="339"/>
        <v>4424.8087806277363</v>
      </c>
      <c r="F1020" s="96">
        <f t="shared" si="322"/>
        <v>659.23954748482606</v>
      </c>
      <c r="G1020" s="94">
        <f t="shared" si="323"/>
        <v>-2521.4006544428485</v>
      </c>
      <c r="H1020" s="97">
        <f t="shared" si="324"/>
        <v>462.00517128773834</v>
      </c>
      <c r="I1020" s="94">
        <f t="shared" si="325"/>
        <v>-166.55489960207819</v>
      </c>
      <c r="J1020" s="95">
        <f t="shared" si="326"/>
        <v>40.443527112298149</v>
      </c>
      <c r="K1020" s="94">
        <f t="shared" si="327"/>
        <v>-2009.8532280109227</v>
      </c>
      <c r="L1020" s="94">
        <f t="shared" si="328"/>
        <v>156.79084908478958</v>
      </c>
      <c r="M1020" s="93">
        <f t="shared" si="329"/>
        <v>-344.99252682984729</v>
      </c>
      <c r="N1020" s="93">
        <f t="shared" si="330"/>
        <v>32069.084221452304</v>
      </c>
      <c r="O1020" s="93">
        <f t="shared" si="331"/>
        <v>8377.5889840995515</v>
      </c>
      <c r="P1020" s="93">
        <f t="shared" si="332"/>
        <v>36661.083114892339</v>
      </c>
      <c r="Q1020" s="93">
        <f t="shared" si="333"/>
        <v>34190554986009.078</v>
      </c>
      <c r="R1020" s="93">
        <f t="shared" si="334"/>
        <v>748444392033.47241</v>
      </c>
      <c r="S1020" s="93">
        <f t="shared" si="335"/>
        <v>50654943353642.195</v>
      </c>
      <c r="T1020">
        <f t="shared" si="321"/>
        <v>0.5</v>
      </c>
    </row>
    <row r="1021" spans="1:20" x14ac:dyDescent="0.25">
      <c r="A1021">
        <v>489</v>
      </c>
      <c r="B1021" s="95">
        <f t="shared" si="336"/>
        <v>-17926.033430216077</v>
      </c>
      <c r="C1021" s="95">
        <f t="shared" si="337"/>
        <v>19957.947598545063</v>
      </c>
      <c r="D1021" s="95">
        <f t="shared" si="338"/>
        <v>4485.0230981306922</v>
      </c>
      <c r="E1021" s="95">
        <f t="shared" si="339"/>
        <v>3164.108453406312</v>
      </c>
      <c r="F1021" s="96">
        <f t="shared" si="322"/>
        <v>319.56366715341255</v>
      </c>
      <c r="G1021" s="94">
        <f t="shared" si="323"/>
        <v>-2000.2683829534537</v>
      </c>
      <c r="H1021" s="97">
        <f t="shared" si="324"/>
        <v>491.53871863750931</v>
      </c>
      <c r="I1021" s="94">
        <f t="shared" si="325"/>
        <v>-219.27795849504201</v>
      </c>
      <c r="J1021" s="95">
        <f t="shared" si="326"/>
        <v>-299.24477011871795</v>
      </c>
      <c r="K1021" s="94">
        <f t="shared" si="327"/>
        <v>-1436.7944900342898</v>
      </c>
      <c r="L1021" s="94">
        <f t="shared" si="328"/>
        <v>127.26971863462119</v>
      </c>
      <c r="M1021" s="93">
        <f t="shared" si="329"/>
        <v>-344.19593442412196</v>
      </c>
      <c r="N1021" s="93">
        <f t="shared" si="330"/>
        <v>30578.812951349839</v>
      </c>
      <c r="O1021" s="93">
        <f t="shared" si="331"/>
        <v>10171.630041834527</v>
      </c>
      <c r="P1021" s="93">
        <f t="shared" si="332"/>
        <v>37271.174391769389</v>
      </c>
      <c r="Q1021" s="93">
        <f t="shared" si="333"/>
        <v>29747477374537.168</v>
      </c>
      <c r="R1021" s="93">
        <f t="shared" si="334"/>
        <v>1244709273134.3945</v>
      </c>
      <c r="S1021" s="93">
        <f t="shared" si="335"/>
        <v>53178834289987.203</v>
      </c>
      <c r="T1021">
        <f t="shared" si="321"/>
        <v>0.5</v>
      </c>
    </row>
    <row r="1022" spans="1:20" x14ac:dyDescent="0.25">
      <c r="A1022">
        <v>489.5</v>
      </c>
      <c r="B1022" s="95">
        <f t="shared" si="336"/>
        <v>-15603.630964362377</v>
      </c>
      <c r="C1022" s="95">
        <f t="shared" si="337"/>
        <v>21039.934729509856</v>
      </c>
      <c r="D1022" s="95">
        <f t="shared" si="338"/>
        <v>4644.8049317073983</v>
      </c>
      <c r="E1022" s="95">
        <f t="shared" si="339"/>
        <v>2163.9742619295853</v>
      </c>
      <c r="F1022" s="96">
        <f t="shared" si="322"/>
        <v>214.64412039907779</v>
      </c>
      <c r="G1022" s="94">
        <f t="shared" si="323"/>
        <v>-1668.8538426183222</v>
      </c>
      <c r="H1022" s="97">
        <f t="shared" si="324"/>
        <v>527.98703203612297</v>
      </c>
      <c r="I1022" s="94">
        <f t="shared" si="325"/>
        <v>-279.21469270304993</v>
      </c>
      <c r="J1022" s="95">
        <f t="shared" si="326"/>
        <v>-415.33798360083011</v>
      </c>
      <c r="K1022" s="94">
        <f t="shared" si="327"/>
        <v>-1042.9752808443147</v>
      </c>
      <c r="L1022" s="94">
        <f t="shared" si="328"/>
        <v>101.99507196378494</v>
      </c>
      <c r="M1022" s="93">
        <f t="shared" si="329"/>
        <v>-346.66386907095756</v>
      </c>
      <c r="N1022" s="93">
        <f t="shared" si="330"/>
        <v>28963.351861251194</v>
      </c>
      <c r="O1022" s="93">
        <f t="shared" si="331"/>
        <v>11883.106476395436</v>
      </c>
      <c r="P1022" s="93">
        <f t="shared" si="332"/>
        <v>37567.457791760615</v>
      </c>
      <c r="Q1022" s="93">
        <f t="shared" si="333"/>
        <v>25390831612117.398</v>
      </c>
      <c r="R1022" s="93">
        <f t="shared" si="334"/>
        <v>1901013638324.5103</v>
      </c>
      <c r="S1022" s="93">
        <f t="shared" si="335"/>
        <v>54434474950002.453</v>
      </c>
      <c r="T1022">
        <f t="shared" si="321"/>
        <v>0.5</v>
      </c>
    </row>
    <row r="1023" spans="1:20" x14ac:dyDescent="0.25">
      <c r="A1023">
        <v>490</v>
      </c>
      <c r="B1023" s="95">
        <f t="shared" si="336"/>
        <v>-13227.567468408908</v>
      </c>
      <c r="C1023" s="95">
        <f t="shared" si="337"/>
        <v>21704.708399820069</v>
      </c>
      <c r="D1023" s="95">
        <f t="shared" si="338"/>
        <v>4752.1269919069373</v>
      </c>
      <c r="E1023" s="95">
        <f t="shared" si="339"/>
        <v>1329.5473406204242</v>
      </c>
      <c r="F1023" s="96">
        <f t="shared" si="322"/>
        <v>205.90832865183597</v>
      </c>
      <c r="G1023" s="94">
        <f t="shared" si="323"/>
        <v>-1473.6340482677015</v>
      </c>
      <c r="H1023" s="97">
        <f t="shared" si="324"/>
        <v>573.33641750389347</v>
      </c>
      <c r="I1023" s="94">
        <f t="shared" si="325"/>
        <v>-350.62115896194501</v>
      </c>
      <c r="J1023" s="95">
        <f t="shared" si="326"/>
        <v>-446.2702807979656</v>
      </c>
      <c r="K1023" s="94">
        <f t="shared" si="327"/>
        <v>-771.28321026164974</v>
      </c>
      <c r="L1023" s="94">
        <f t="shared" si="328"/>
        <v>78.842191945908084</v>
      </c>
      <c r="M1023" s="93">
        <f t="shared" si="329"/>
        <v>-351.72967904410666</v>
      </c>
      <c r="N1023" s="93">
        <f t="shared" si="330"/>
        <v>27226.708049696474</v>
      </c>
      <c r="O1023" s="93">
        <f t="shared" si="331"/>
        <v>13522.797089351439</v>
      </c>
      <c r="P1023" s="93">
        <f t="shared" si="332"/>
        <v>37615.535157206556</v>
      </c>
      <c r="Q1023" s="93">
        <f t="shared" si="333"/>
        <v>21212547320009.008</v>
      </c>
      <c r="R1023" s="93">
        <f t="shared" si="334"/>
        <v>2725457809184.0449</v>
      </c>
      <c r="S1023" s="93">
        <f t="shared" si="335"/>
        <v>54640087322367.781</v>
      </c>
      <c r="T1023">
        <f t="shared" si="321"/>
        <v>0.5</v>
      </c>
    </row>
    <row r="1024" spans="1:20" x14ac:dyDescent="0.25">
      <c r="A1024">
        <v>490.5</v>
      </c>
      <c r="B1024" s="95">
        <f t="shared" si="336"/>
        <v>-10800.02689029248</v>
      </c>
      <c r="C1024" s="95">
        <f t="shared" si="337"/>
        <v>22001.073558063355</v>
      </c>
      <c r="D1024" s="95">
        <f t="shared" si="338"/>
        <v>4855.0811562328554</v>
      </c>
      <c r="E1024" s="95">
        <f t="shared" si="339"/>
        <v>592.73031648657343</v>
      </c>
      <c r="F1024" s="96">
        <f t="shared" si="322"/>
        <v>245.35524766239234</v>
      </c>
      <c r="G1024" s="94">
        <f t="shared" si="323"/>
        <v>-1375.3726156973507</v>
      </c>
      <c r="H1024" s="97">
        <f t="shared" si="324"/>
        <v>630.91906243943924</v>
      </c>
      <c r="I1024" s="94">
        <f t="shared" si="325"/>
        <v>-439.85538008552197</v>
      </c>
      <c r="J1024" s="95">
        <f t="shared" si="326"/>
        <v>-441.85808267785501</v>
      </c>
      <c r="K1024" s="94">
        <f t="shared" si="327"/>
        <v>-576.38987518848967</v>
      </c>
      <c r="L1024" s="94">
        <f t="shared" si="328"/>
        <v>56.294267900808123</v>
      </c>
      <c r="M1024" s="93">
        <f t="shared" si="329"/>
        <v>-359.1273604233391</v>
      </c>
      <c r="N1024" s="93">
        <f t="shared" si="330"/>
        <v>25355.91159815112</v>
      </c>
      <c r="O1024" s="93">
        <f t="shared" si="331"/>
        <v>15121.682173798948</v>
      </c>
      <c r="P1024" s="93">
        <f t="shared" si="332"/>
        <v>37452.9005068677</v>
      </c>
      <c r="Q1024" s="93">
        <f t="shared" si="333"/>
        <v>17261910854396.205</v>
      </c>
      <c r="R1024" s="93">
        <f t="shared" si="334"/>
        <v>3739353271347.0786</v>
      </c>
      <c r="S1024" s="93">
        <f t="shared" si="335"/>
        <v>53946646638080.813</v>
      </c>
      <c r="T1024">
        <f t="shared" si="321"/>
        <v>0.5</v>
      </c>
    </row>
    <row r="1025" spans="1:20" x14ac:dyDescent="0.25">
      <c r="A1025">
        <v>491</v>
      </c>
      <c r="B1025" s="95">
        <f t="shared" si="336"/>
        <v>-8311.1475002604529</v>
      </c>
      <c r="C1025" s="95">
        <f t="shared" si="337"/>
        <v>21953.595562382303</v>
      </c>
      <c r="D1025" s="95">
        <f t="shared" si="338"/>
        <v>4977.7587800640513</v>
      </c>
      <c r="E1025" s="95">
        <f t="shared" si="339"/>
        <v>-94.95599136210194</v>
      </c>
      <c r="F1025" s="96">
        <f t="shared" si="322"/>
        <v>317.8339826409503</v>
      </c>
      <c r="G1025" s="94">
        <f t="shared" si="323"/>
        <v>-1356.8041388808094</v>
      </c>
      <c r="H1025" s="97">
        <f t="shared" si="324"/>
        <v>706.01128296797549</v>
      </c>
      <c r="I1025" s="94">
        <f t="shared" si="325"/>
        <v>-557.27810320749268</v>
      </c>
      <c r="J1025" s="95">
        <f t="shared" si="326"/>
        <v>-421.21978206104484</v>
      </c>
      <c r="K1025" s="94">
        <f t="shared" si="327"/>
        <v>-430.76006971126884</v>
      </c>
      <c r="L1025" s="94">
        <f t="shared" si="328"/>
        <v>33.042481734019624</v>
      </c>
      <c r="M1025" s="93">
        <f t="shared" si="329"/>
        <v>-368.7659659620478</v>
      </c>
      <c r="N1025" s="93">
        <f t="shared" si="330"/>
        <v>23328.192117204711</v>
      </c>
      <c r="O1025" s="93">
        <f t="shared" si="331"/>
        <v>16718.783437489503</v>
      </c>
      <c r="P1025" s="93">
        <f t="shared" si="332"/>
        <v>37101.64312744925</v>
      </c>
      <c r="Q1025" s="93">
        <f t="shared" si="333"/>
        <v>13580086667497.521</v>
      </c>
      <c r="R1025" s="93">
        <f t="shared" si="334"/>
        <v>4983745558396.2549</v>
      </c>
      <c r="S1025" s="93">
        <f t="shared" si="335"/>
        <v>52469205882219.148</v>
      </c>
      <c r="T1025">
        <f t="shared" si="321"/>
        <v>0.5</v>
      </c>
    </row>
    <row r="1026" spans="1:20" x14ac:dyDescent="0.25">
      <c r="A1026">
        <v>491.5</v>
      </c>
      <c r="B1026" s="95">
        <f t="shared" si="336"/>
        <v>-5742.8096145681902</v>
      </c>
      <c r="C1026" s="95">
        <f t="shared" si="337"/>
        <v>21566.916531981049</v>
      </c>
      <c r="D1026" s="95">
        <f t="shared" si="338"/>
        <v>5136.6757713845263</v>
      </c>
      <c r="E1026" s="95">
        <f t="shared" si="339"/>
        <v>-773.35806080250666</v>
      </c>
      <c r="F1026" s="96">
        <f t="shared" si="322"/>
        <v>422.66387132068729</v>
      </c>
      <c r="G1026" s="94">
        <f t="shared" si="323"/>
        <v>-1420.022978616468</v>
      </c>
      <c r="H1026" s="97">
        <f t="shared" si="324"/>
        <v>807.13266257871885</v>
      </c>
      <c r="I1026" s="94">
        <f t="shared" si="325"/>
        <v>-721.20975052786901</v>
      </c>
      <c r="J1026" s="95">
        <f t="shared" si="326"/>
        <v>-392.20058010822208</v>
      </c>
      <c r="K1026" s="94">
        <f t="shared" si="327"/>
        <v>-318.19392539934523</v>
      </c>
      <c r="L1026" s="94">
        <f t="shared" si="328"/>
        <v>7.7317888501905045</v>
      </c>
      <c r="M1026" s="93">
        <f t="shared" si="329"/>
        <v>-380.6193026892538</v>
      </c>
      <c r="N1026" s="93">
        <f t="shared" si="330"/>
        <v>21111.944374648734</v>
      </c>
      <c r="O1026" s="93">
        <f t="shared" si="331"/>
        <v>18359.222089845356</v>
      </c>
      <c r="P1026" s="93">
        <f t="shared" si="332"/>
        <v>36574.460362121048</v>
      </c>
      <c r="Q1026" s="93">
        <f t="shared" si="333"/>
        <v>10212591090453</v>
      </c>
      <c r="R1026" s="93">
        <f t="shared" si="334"/>
        <v>6528575933105.0801</v>
      </c>
      <c r="S1026" s="93">
        <f t="shared" si="335"/>
        <v>50303262573054.57</v>
      </c>
      <c r="T1026">
        <f t="shared" si="321"/>
        <v>0.5</v>
      </c>
    </row>
    <row r="1027" spans="1:20" x14ac:dyDescent="0.25">
      <c r="A1027">
        <v>492</v>
      </c>
      <c r="B1027" s="95">
        <f t="shared" si="336"/>
        <v>-3068.8057610457554</v>
      </c>
      <c r="C1027" s="95">
        <f t="shared" si="337"/>
        <v>20825.231756925677</v>
      </c>
      <c r="D1027" s="95">
        <f t="shared" si="338"/>
        <v>5348.0077070448697</v>
      </c>
      <c r="E1027" s="95">
        <f t="shared" si="339"/>
        <v>-1483.3695501107406</v>
      </c>
      <c r="F1027" s="96">
        <f t="shared" si="322"/>
        <v>569.00915354478047</v>
      </c>
      <c r="G1027" s="94">
        <f t="shared" si="323"/>
        <v>-1590.8295588875444</v>
      </c>
      <c r="H1027" s="97">
        <f t="shared" si="324"/>
        <v>948.5292346714906</v>
      </c>
      <c r="I1027" s="94">
        <f t="shared" si="325"/>
        <v>-967.14054147863965</v>
      </c>
      <c r="J1027" s="95">
        <f t="shared" si="326"/>
        <v>-358.24672178537764</v>
      </c>
      <c r="K1027" s="94">
        <f t="shared" si="327"/>
        <v>-229.05081205453817</v>
      </c>
      <c r="L1027" s="94">
        <f t="shared" si="328"/>
        <v>-21.273359341332451</v>
      </c>
      <c r="M1027" s="93">
        <f t="shared" si="329"/>
        <v>-394.63820535436656</v>
      </c>
      <c r="N1027" s="93">
        <f t="shared" si="330"/>
        <v>18664.283682898826</v>
      </c>
      <c r="O1027" s="93">
        <f t="shared" si="331"/>
        <v>20096.043912878715</v>
      </c>
      <c r="P1027" s="93">
        <f t="shared" si="332"/>
        <v>35877.245457615696</v>
      </c>
      <c r="Q1027" s="93">
        <f t="shared" si="333"/>
        <v>7214127350946.0771</v>
      </c>
      <c r="R1027" s="93">
        <f t="shared" si="334"/>
        <v>8487858081051.3193</v>
      </c>
      <c r="S1027" s="93">
        <f t="shared" si="335"/>
        <v>47532264309300.039</v>
      </c>
      <c r="T1027">
        <f t="shared" si="321"/>
        <v>0.5</v>
      </c>
    </row>
    <row r="1028" spans="1:20" x14ac:dyDescent="0.25">
      <c r="A1028">
        <v>492.5</v>
      </c>
      <c r="B1028" s="95">
        <f t="shared" si="336"/>
        <v>-252.54961913712543</v>
      </c>
      <c r="C1028" s="95">
        <f t="shared" si="337"/>
        <v>19685.839592148419</v>
      </c>
      <c r="D1028" s="95">
        <f t="shared" si="338"/>
        <v>5632.5122838172601</v>
      </c>
      <c r="E1028" s="95">
        <f t="shared" si="339"/>
        <v>-2278.7843295545126</v>
      </c>
      <c r="F1028" s="96">
        <f t="shared" si="322"/>
        <v>777.11528214744294</v>
      </c>
      <c r="G1028" s="94">
        <f t="shared" si="323"/>
        <v>-1940.1087971628554</v>
      </c>
      <c r="H1028" s="97">
        <f t="shared" si="324"/>
        <v>1154.3478907825902</v>
      </c>
      <c r="I1028" s="94">
        <f t="shared" si="325"/>
        <v>-1372.0195222810719</v>
      </c>
      <c r="J1028" s="95">
        <f t="shared" si="326"/>
        <v>-321.02985587213141</v>
      </c>
      <c r="K1028" s="94">
        <f t="shared" si="327"/>
        <v>-157.46051405609973</v>
      </c>
      <c r="L1028" s="94">
        <f t="shared" si="328"/>
        <v>-56.202752763015795</v>
      </c>
      <c r="M1028" s="93">
        <f t="shared" si="329"/>
        <v>-410.62876082568374</v>
      </c>
      <c r="N1028" s="93">
        <f t="shared" si="330"/>
        <v>15925.120415822317</v>
      </c>
      <c r="O1028" s="93">
        <f t="shared" si="331"/>
        <v>21994.937716426277</v>
      </c>
      <c r="P1028" s="93">
        <f t="shared" si="332"/>
        <v>35009.22383217037</v>
      </c>
      <c r="Q1028" s="93">
        <f t="shared" si="333"/>
        <v>4650437247043.1055</v>
      </c>
      <c r="R1028" s="93">
        <f t="shared" si="334"/>
        <v>11047356012087.365</v>
      </c>
      <c r="S1028" s="93">
        <f t="shared" si="335"/>
        <v>44228424488653.008</v>
      </c>
      <c r="T1028">
        <f t="shared" si="321"/>
        <v>0.5</v>
      </c>
    </row>
    <row r="1029" spans="1:20" x14ac:dyDescent="0.25">
      <c r="A1029">
        <v>493</v>
      </c>
      <c r="B1029" s="95">
        <f t="shared" si="336"/>
        <v>2757.9853433083654</v>
      </c>
      <c r="C1029" s="95">
        <f t="shared" si="337"/>
        <v>18061.420228080449</v>
      </c>
      <c r="D1029" s="95">
        <f t="shared" si="338"/>
        <v>6021.0699248909814</v>
      </c>
      <c r="E1029" s="95">
        <f t="shared" si="339"/>
        <v>-3248.8387281359401</v>
      </c>
      <c r="F1029" s="96">
        <f t="shared" si="322"/>
        <v>1077.5472061937432</v>
      </c>
      <c r="G1029" s="94">
        <f t="shared" si="323"/>
        <v>-2656.1761282096149</v>
      </c>
      <c r="H1029" s="97">
        <f t="shared" si="324"/>
        <v>1459.4811717764262</v>
      </c>
      <c r="I1029" s="94">
        <f t="shared" si="325"/>
        <v>-2128.4400406258997</v>
      </c>
      <c r="J1029" s="95">
        <f t="shared" si="326"/>
        <v>-281.49671676436617</v>
      </c>
      <c r="K1029" s="94">
        <f t="shared" si="327"/>
        <v>-99.712838919185614</v>
      </c>
      <c r="L1029" s="94">
        <f t="shared" si="328"/>
        <v>-100.43724881831692</v>
      </c>
      <c r="M1029" s="93">
        <f t="shared" si="329"/>
        <v>-428.02324866452943</v>
      </c>
      <c r="N1029" s="93">
        <f t="shared" si="330"/>
        <v>12805.872618523243</v>
      </c>
      <c r="O1029" s="93">
        <f t="shared" si="331"/>
        <v>24143.578711117851</v>
      </c>
      <c r="P1029" s="93">
        <f t="shared" si="332"/>
        <v>33959.44410741605</v>
      </c>
      <c r="Q1029" s="93">
        <f t="shared" si="333"/>
        <v>2598121908276.0093</v>
      </c>
      <c r="R1029" s="93">
        <f t="shared" si="334"/>
        <v>14519552183230.322</v>
      </c>
      <c r="S1029" s="93">
        <f t="shared" si="335"/>
        <v>40443875899207.242</v>
      </c>
      <c r="T1029">
        <f t="shared" si="321"/>
        <v>0.5</v>
      </c>
    </row>
    <row r="1030" spans="1:20" x14ac:dyDescent="0.25">
      <c r="A1030">
        <v>493.5</v>
      </c>
      <c r="B1030" s="95">
        <f t="shared" si="336"/>
        <v>6037.9071073022924</v>
      </c>
      <c r="C1030" s="95">
        <f t="shared" si="337"/>
        <v>15772.956831960077</v>
      </c>
      <c r="D1030" s="95">
        <f t="shared" si="338"/>
        <v>6559.8435279878531</v>
      </c>
      <c r="E1030" s="95">
        <f t="shared" si="339"/>
        <v>-4576.9267922407471</v>
      </c>
      <c r="F1030" s="96">
        <f t="shared" si="322"/>
        <v>1419.4506029671622</v>
      </c>
      <c r="G1030" s="94">
        <f t="shared" si="323"/>
        <v>-4297.7996434629913</v>
      </c>
      <c r="H1030" s="97">
        <f t="shared" si="324"/>
        <v>1819.4804037468323</v>
      </c>
      <c r="I1030" s="94">
        <f t="shared" si="325"/>
        <v>-3799.1241610051979</v>
      </c>
      <c r="J1030" s="95">
        <f t="shared" si="326"/>
        <v>-240.2682142440342</v>
      </c>
      <c r="K1030" s="94">
        <f t="shared" si="327"/>
        <v>-53.270718848749034</v>
      </c>
      <c r="L1030" s="94">
        <f t="shared" si="328"/>
        <v>-159.76158653563579</v>
      </c>
      <c r="M1030" s="93">
        <f t="shared" si="329"/>
        <v>-445.40476360904489</v>
      </c>
      <c r="N1030" s="93">
        <f t="shared" si="330"/>
        <v>9172.7855547723666</v>
      </c>
      <c r="O1030" s="93">
        <f t="shared" si="331"/>
        <v>26670.201294931725</v>
      </c>
      <c r="P1030" s="93">
        <f t="shared" si="332"/>
        <v>32692.663787019756</v>
      </c>
      <c r="Q1030" s="93">
        <f t="shared" si="333"/>
        <v>1140186496733.4377</v>
      </c>
      <c r="R1030" s="93">
        <f t="shared" si="334"/>
        <v>19462673408271.832</v>
      </c>
      <c r="S1030" s="93">
        <f t="shared" si="335"/>
        <v>36175370887807.898</v>
      </c>
      <c r="T1030">
        <f t="shared" si="321"/>
        <v>0.5</v>
      </c>
    </row>
    <row r="1031" spans="1:20" x14ac:dyDescent="0.25">
      <c r="A1031">
        <v>494</v>
      </c>
      <c r="B1031" s="95">
        <f t="shared" si="336"/>
        <v>9672.6915220380088</v>
      </c>
      <c r="C1031" s="95">
        <f t="shared" si="337"/>
        <v>12410.043524973957</v>
      </c>
      <c r="D1031" s="95">
        <f t="shared" si="338"/>
        <v>7269.5688294714346</v>
      </c>
      <c r="E1031" s="95">
        <f t="shared" si="339"/>
        <v>-6725.8266139722427</v>
      </c>
      <c r="F1031" s="96">
        <f t="shared" si="322"/>
        <v>52.467583701548222</v>
      </c>
      <c r="G1031" s="94">
        <f t="shared" si="323"/>
        <v>-7921.7988667992722</v>
      </c>
      <c r="H1031" s="97">
        <f t="shared" si="324"/>
        <v>496.36474741605917</v>
      </c>
      <c r="I1031" s="94">
        <f t="shared" si="325"/>
        <v>-7446.1026162560083</v>
      </c>
      <c r="J1031" s="95">
        <f t="shared" si="326"/>
        <v>-197.85773612731717</v>
      </c>
      <c r="K1031" s="94">
        <f t="shared" si="327"/>
        <v>-16.070188828859408</v>
      </c>
      <c r="L1031" s="94">
        <f t="shared" si="328"/>
        <v>-246.03942758719376</v>
      </c>
      <c r="M1031" s="93">
        <f t="shared" si="329"/>
        <v>-459.62606171440433</v>
      </c>
      <c r="N1031" s="93">
        <f t="shared" si="330"/>
        <v>4920.9407898169702</v>
      </c>
      <c r="O1031" s="93">
        <f t="shared" si="331"/>
        <v>29770.403624309416</v>
      </c>
      <c r="P1031" s="93">
        <f t="shared" si="332"/>
        <v>31090.165045265567</v>
      </c>
      <c r="Q1031" s="93">
        <f t="shared" si="333"/>
        <v>345266901398.59979</v>
      </c>
      <c r="R1031" s="93">
        <f t="shared" si="334"/>
        <v>26933739069465.297</v>
      </c>
      <c r="S1031" s="93">
        <f t="shared" si="335"/>
        <v>31225090185791.496</v>
      </c>
      <c r="T1031">
        <f t="shared" si="321"/>
        <v>0.5</v>
      </c>
    </row>
    <row r="1032" spans="1:20" x14ac:dyDescent="0.25">
      <c r="A1032">
        <v>494.5</v>
      </c>
      <c r="B1032" s="95">
        <f t="shared" si="336"/>
        <v>13320.592832699112</v>
      </c>
      <c r="C1032" s="95">
        <f t="shared" si="337"/>
        <v>7066.6805012880168</v>
      </c>
      <c r="D1032" s="95">
        <f t="shared" si="338"/>
        <v>7295.8026213222083</v>
      </c>
      <c r="E1032" s="95">
        <f t="shared" si="339"/>
        <v>-10686.726047371878</v>
      </c>
      <c r="F1032" s="96">
        <f t="shared" si="322"/>
        <v>-8524.1176675297029</v>
      </c>
      <c r="G1032" s="94">
        <f t="shared" si="323"/>
        <v>586.70922052680112</v>
      </c>
      <c r="H1032" s="97">
        <f t="shared" si="324"/>
        <v>-7978.0666084109644</v>
      </c>
      <c r="I1032" s="94">
        <f t="shared" si="325"/>
        <v>1041.0947675982966</v>
      </c>
      <c r="J1032" s="95">
        <f t="shared" si="326"/>
        <v>-157.30574650135091</v>
      </c>
      <c r="K1032" s="94">
        <f t="shared" si="327"/>
        <v>13.848133368714715</v>
      </c>
      <c r="L1032" s="94">
        <f t="shared" si="328"/>
        <v>-388.74531261738861</v>
      </c>
      <c r="M1032" s="93">
        <f t="shared" si="329"/>
        <v>-468.23368044021032</v>
      </c>
      <c r="N1032" s="93">
        <f t="shared" si="330"/>
        <v>3348.7464144865794</v>
      </c>
      <c r="O1032" s="93">
        <f t="shared" si="331"/>
        <v>33449.458441117451</v>
      </c>
      <c r="P1032" s="93">
        <f t="shared" si="332"/>
        <v>28680.699260782865</v>
      </c>
      <c r="Q1032" s="93">
        <f t="shared" si="333"/>
        <v>217929785097.14902</v>
      </c>
      <c r="R1032" s="93">
        <f t="shared" si="334"/>
        <v>38041783883441.805</v>
      </c>
      <c r="S1032" s="93">
        <f t="shared" si="335"/>
        <v>24675898754507.953</v>
      </c>
      <c r="T1032">
        <f t="shared" si="321"/>
        <v>0.5</v>
      </c>
    </row>
    <row r="1033" spans="1:20" x14ac:dyDescent="0.25">
      <c r="A1033">
        <v>495</v>
      </c>
      <c r="B1033" s="95">
        <f t="shared" si="336"/>
        <v>14837.464726477792</v>
      </c>
      <c r="C1033" s="95">
        <f t="shared" si="337"/>
        <v>1869.994782733778</v>
      </c>
      <c r="D1033" s="95">
        <f t="shared" si="338"/>
        <v>3033.7437875573569</v>
      </c>
      <c r="E1033" s="95">
        <f t="shared" si="339"/>
        <v>-10393.371437108477</v>
      </c>
      <c r="F1033" s="96">
        <f t="shared" si="322"/>
        <v>-4225.15849927217</v>
      </c>
      <c r="G1033" s="94">
        <f t="shared" si="323"/>
        <v>3669.8750565662303</v>
      </c>
      <c r="H1033" s="97">
        <f t="shared" si="324"/>
        <v>-3533.3261889880168</v>
      </c>
      <c r="I1033" s="94">
        <f t="shared" si="325"/>
        <v>4112.2046367436669</v>
      </c>
      <c r="J1033" s="95">
        <f t="shared" si="326"/>
        <v>-134.724805190268</v>
      </c>
      <c r="K1033" s="94">
        <f t="shared" si="327"/>
        <v>31.440673932267373</v>
      </c>
      <c r="L1033" s="94">
        <f t="shared" si="328"/>
        <v>-557.10750509388527</v>
      </c>
      <c r="M1033" s="93">
        <f t="shared" si="329"/>
        <v>-473.77025410970424</v>
      </c>
      <c r="N1033" s="93">
        <f t="shared" si="330"/>
        <v>7422.8043033857321</v>
      </c>
      <c r="O1033" s="93">
        <f t="shared" si="331"/>
        <v>35773.536775126951</v>
      </c>
      <c r="P1033" s="93">
        <f t="shared" si="332"/>
        <v>26040.770548194527</v>
      </c>
      <c r="Q1033" s="93">
        <f t="shared" si="333"/>
        <v>716857281865.95166</v>
      </c>
      <c r="R1033" s="93">
        <f t="shared" si="334"/>
        <v>46439947495491.117</v>
      </c>
      <c r="S1033" s="93">
        <f t="shared" si="335"/>
        <v>18644287048345.883</v>
      </c>
      <c r="T1033">
        <f t="shared" si="321"/>
        <v>0.5</v>
      </c>
    </row>
    <row r="1034" spans="1:20" x14ac:dyDescent="0.25">
      <c r="A1034">
        <v>495.5</v>
      </c>
      <c r="B1034" s="95">
        <f t="shared" si="336"/>
        <v>15298.046995438428</v>
      </c>
      <c r="C1034" s="95">
        <f t="shared" si="337"/>
        <v>-2409.2221716789027</v>
      </c>
      <c r="D1034" s="95">
        <f t="shared" si="338"/>
        <v>921.16453792127186</v>
      </c>
      <c r="E1034" s="95">
        <f t="shared" si="339"/>
        <v>-8558.4339088253619</v>
      </c>
      <c r="F1034" s="96">
        <f t="shared" si="322"/>
        <v>-2341.8868400747024</v>
      </c>
      <c r="G1034" s="94">
        <f t="shared" si="323"/>
        <v>2377.3486161501692</v>
      </c>
      <c r="H1034" s="97">
        <f t="shared" si="324"/>
        <v>-1491.1445010490866</v>
      </c>
      <c r="I1034" s="94">
        <f t="shared" si="325"/>
        <v>2788.967739186678</v>
      </c>
      <c r="J1034" s="95">
        <f t="shared" si="326"/>
        <v>-119.45471562613041</v>
      </c>
      <c r="K1034" s="94">
        <f t="shared" si="327"/>
        <v>41.994960963447596</v>
      </c>
      <c r="L1034" s="94">
        <f t="shared" si="328"/>
        <v>-731.28762339948571</v>
      </c>
      <c r="M1034" s="93">
        <f t="shared" si="329"/>
        <v>-453.61408399995656</v>
      </c>
      <c r="N1034" s="93">
        <f t="shared" si="330"/>
        <v>11236.63588506662</v>
      </c>
      <c r="O1034" s="93">
        <f t="shared" si="331"/>
        <v>37415.784324242988</v>
      </c>
      <c r="P1034" s="93">
        <f t="shared" si="332"/>
        <v>23885.945619781709</v>
      </c>
      <c r="Q1034" s="93">
        <f t="shared" si="333"/>
        <v>1860350165877.377</v>
      </c>
      <c r="R1034" s="93">
        <f t="shared" si="334"/>
        <v>53068904255434.016</v>
      </c>
      <c r="S1034" s="93">
        <f t="shared" si="335"/>
        <v>14533313861435.938</v>
      </c>
      <c r="T1034">
        <f t="shared" si="321"/>
        <v>0.5</v>
      </c>
    </row>
    <row r="1035" spans="1:20" x14ac:dyDescent="0.25">
      <c r="A1035">
        <v>496</v>
      </c>
      <c r="B1035" s="95">
        <f t="shared" si="336"/>
        <v>15173.157554380388</v>
      </c>
      <c r="C1035" s="95">
        <f t="shared" si="337"/>
        <v>-6094.1019720540417</v>
      </c>
      <c r="D1035" s="95">
        <f t="shared" si="338"/>
        <v>-249.77888211607933</v>
      </c>
      <c r="E1035" s="95">
        <f t="shared" si="339"/>
        <v>-7369.7596007502771</v>
      </c>
      <c r="F1035" s="96">
        <f t="shared" si="322"/>
        <v>-1765.9640110140367</v>
      </c>
      <c r="G1035" s="94">
        <f t="shared" si="323"/>
        <v>1602.2646746623261</v>
      </c>
      <c r="H1035" s="97">
        <f t="shared" si="324"/>
        <v>-744.45619024920541</v>
      </c>
      <c r="I1035" s="94">
        <f t="shared" si="325"/>
        <v>1956.2932807652919</v>
      </c>
      <c r="J1035" s="95">
        <f t="shared" si="326"/>
        <v>-107.82517915883099</v>
      </c>
      <c r="K1035" s="94">
        <f t="shared" si="327"/>
        <v>49.337322810846295</v>
      </c>
      <c r="L1035" s="94">
        <f t="shared" si="328"/>
        <v>-913.68264160600017</v>
      </c>
      <c r="M1035" s="93">
        <f t="shared" si="329"/>
        <v>-403.36592891381207</v>
      </c>
      <c r="N1035" s="93">
        <f t="shared" si="330"/>
        <v>14545.142402501479</v>
      </c>
      <c r="O1035" s="93">
        <f t="shared" si="331"/>
        <v>38680.371386946899</v>
      </c>
      <c r="P1035" s="93">
        <f t="shared" si="332"/>
        <v>22051.560157912325</v>
      </c>
      <c r="Q1035" s="93">
        <f t="shared" si="333"/>
        <v>3638439705288.6919</v>
      </c>
      <c r="R1035" s="93">
        <f t="shared" si="334"/>
        <v>58584659668211.758</v>
      </c>
      <c r="S1035" s="93">
        <f t="shared" si="335"/>
        <v>11560513590210.006</v>
      </c>
      <c r="T1035">
        <f t="shared" si="321"/>
        <v>0.5</v>
      </c>
    </row>
    <row r="1036" spans="1:20" x14ac:dyDescent="0.25">
      <c r="A1036">
        <v>496.5</v>
      </c>
      <c r="B1036" s="95">
        <f t="shared" si="336"/>
        <v>14606.777110568839</v>
      </c>
      <c r="C1036" s="95">
        <f t="shared" si="337"/>
        <v>-9378.4156037635985</v>
      </c>
      <c r="D1036" s="95">
        <f t="shared" si="338"/>
        <v>-1132.7608876230977</v>
      </c>
      <c r="E1036" s="95">
        <f t="shared" si="339"/>
        <v>-6568.6272634191137</v>
      </c>
      <c r="F1036" s="96">
        <f t="shared" si="322"/>
        <v>-1607.2399200030045</v>
      </c>
      <c r="G1036" s="94">
        <f t="shared" si="323"/>
        <v>1204.1762693147059</v>
      </c>
      <c r="H1036" s="97">
        <f t="shared" si="324"/>
        <v>-400.3598720266196</v>
      </c>
      <c r="I1036" s="94">
        <f t="shared" si="325"/>
        <v>1466.8476787453026</v>
      </c>
      <c r="J1036" s="95">
        <f t="shared" si="326"/>
        <v>-98.456590007578001</v>
      </c>
      <c r="K1036" s="94">
        <f t="shared" si="327"/>
        <v>55.13176549206964</v>
      </c>
      <c r="L1036" s="94">
        <f t="shared" si="328"/>
        <v>-1108.423457968807</v>
      </c>
      <c r="M1036" s="93">
        <f t="shared" si="329"/>
        <v>-317.80317492266641</v>
      </c>
      <c r="N1036" s="93">
        <f t="shared" si="330"/>
        <v>17495.80831627483</v>
      </c>
      <c r="O1036" s="93">
        <f t="shared" si="331"/>
        <v>39662.980388427444</v>
      </c>
      <c r="P1036" s="93">
        <f t="shared" si="332"/>
        <v>20396.762482990645</v>
      </c>
      <c r="Q1036" s="93">
        <f t="shared" si="333"/>
        <v>6024836710877.2939</v>
      </c>
      <c r="R1036" s="93">
        <f t="shared" si="334"/>
        <v>63126121669845.852</v>
      </c>
      <c r="S1036" s="93">
        <f t="shared" si="335"/>
        <v>9261879487227.0742</v>
      </c>
      <c r="T1036">
        <f t="shared" si="321"/>
        <v>0.5</v>
      </c>
    </row>
    <row r="1037" spans="1:20" x14ac:dyDescent="0.25">
      <c r="A1037">
        <v>497</v>
      </c>
      <c r="B1037" s="95">
        <f t="shared" si="336"/>
        <v>13638.586686756538</v>
      </c>
      <c r="C1037" s="95">
        <f t="shared" si="337"/>
        <v>-12361.685168144479</v>
      </c>
      <c r="D1037" s="95">
        <f t="shared" si="338"/>
        <v>-1936.3808476245999</v>
      </c>
      <c r="E1037" s="95">
        <f t="shared" si="339"/>
        <v>-5966.5391287617604</v>
      </c>
      <c r="F1037" s="96">
        <f t="shared" si="322"/>
        <v>-1623.0946677675713</v>
      </c>
      <c r="G1037" s="94">
        <f t="shared" si="323"/>
        <v>1028.5969230339824</v>
      </c>
      <c r="H1037" s="97">
        <f t="shared" si="324"/>
        <v>-211.64698577271736</v>
      </c>
      <c r="I1037" s="94">
        <f t="shared" si="325"/>
        <v>1155.3018136147919</v>
      </c>
      <c r="J1037" s="95">
        <f t="shared" si="326"/>
        <v>-90.643655402917659</v>
      </c>
      <c r="K1037" s="94">
        <f t="shared" si="327"/>
        <v>60.256541200282598</v>
      </c>
      <c r="L1037" s="94">
        <f t="shared" si="328"/>
        <v>-1320.8040265919362</v>
      </c>
      <c r="M1037" s="93">
        <f t="shared" si="329"/>
        <v>-186.96143178109187</v>
      </c>
      <c r="N1037" s="93">
        <f t="shared" si="330"/>
        <v>20192.222532339827</v>
      </c>
      <c r="O1037" s="93">
        <f t="shared" si="331"/>
        <v>40393.06224887693</v>
      </c>
      <c r="P1037" s="93">
        <f t="shared" si="332"/>
        <v>18824.388936476182</v>
      </c>
      <c r="Q1037" s="93">
        <f t="shared" si="333"/>
        <v>9001590677695.2617</v>
      </c>
      <c r="R1037" s="93">
        <f t="shared" si="334"/>
        <v>66648913200231.297</v>
      </c>
      <c r="S1037" s="93">
        <f t="shared" si="335"/>
        <v>7388788171133.8643</v>
      </c>
      <c r="T1037">
        <f t="shared" si="321"/>
        <v>0.5</v>
      </c>
    </row>
    <row r="1038" spans="1:20" x14ac:dyDescent="0.25">
      <c r="A1038">
        <v>497.5</v>
      </c>
      <c r="B1038" s="95">
        <f t="shared" si="336"/>
        <v>12264.622596002344</v>
      </c>
      <c r="C1038" s="95">
        <f t="shared" si="337"/>
        <v>-15087.805501766863</v>
      </c>
      <c r="D1038" s="95">
        <f t="shared" si="338"/>
        <v>-2747.9281815083855</v>
      </c>
      <c r="E1038" s="95">
        <f t="shared" si="339"/>
        <v>-5452.2406672447687</v>
      </c>
      <c r="F1038" s="96">
        <f t="shared" si="322"/>
        <v>-1735.0421348886698</v>
      </c>
      <c r="G1038" s="94">
        <f t="shared" si="323"/>
        <v>1014.8131523115413</v>
      </c>
      <c r="H1038" s="97">
        <f t="shared" si="324"/>
        <v>-94.40539803862336</v>
      </c>
      <c r="I1038" s="94">
        <f t="shared" si="325"/>
        <v>941.61860478543963</v>
      </c>
      <c r="J1038" s="95">
        <f t="shared" si="326"/>
        <v>-83.951247514550602</v>
      </c>
      <c r="K1038" s="94">
        <f t="shared" si="327"/>
        <v>65.277458709115379</v>
      </c>
      <c r="L1038" s="94">
        <f t="shared" si="328"/>
        <v>-1556.6854893354957</v>
      </c>
      <c r="M1038" s="93">
        <f t="shared" si="329"/>
        <v>7.9170888169862268</v>
      </c>
      <c r="N1038" s="93">
        <f t="shared" si="330"/>
        <v>22701.045634242793</v>
      </c>
      <c r="O1038" s="93">
        <f t="shared" si="331"/>
        <v>40870.574453473841</v>
      </c>
      <c r="P1038" s="93">
        <f t="shared" si="332"/>
        <v>17264.845877925909</v>
      </c>
      <c r="Q1038" s="93">
        <f t="shared" si="333"/>
        <v>12560231121253.785</v>
      </c>
      <c r="R1038" s="93">
        <f t="shared" si="334"/>
        <v>69022737166992.477</v>
      </c>
      <c r="S1038" s="93">
        <f t="shared" si="335"/>
        <v>5807040223836.3213</v>
      </c>
      <c r="T1038">
        <f t="shared" si="321"/>
        <v>0.5</v>
      </c>
    </row>
    <row r="1039" spans="1:20" x14ac:dyDescent="0.25">
      <c r="A1039">
        <v>498</v>
      </c>
      <c r="B1039" s="95">
        <f t="shared" si="336"/>
        <v>10456.897971525985</v>
      </c>
      <c r="C1039" s="95">
        <f t="shared" si="337"/>
        <v>-17560.222547311361</v>
      </c>
      <c r="D1039" s="95">
        <f t="shared" si="338"/>
        <v>-3615.4492489527202</v>
      </c>
      <c r="E1039" s="95">
        <f t="shared" si="339"/>
        <v>-4944.8340910889983</v>
      </c>
      <c r="F1039" s="96">
        <f t="shared" si="322"/>
        <v>-1911.8605601381112</v>
      </c>
      <c r="G1039" s="94">
        <f t="shared" si="323"/>
        <v>1157.9611012698842</v>
      </c>
      <c r="H1039" s="97">
        <f t="shared" si="324"/>
        <v>-14.329305502312486</v>
      </c>
      <c r="I1039" s="94">
        <f t="shared" si="325"/>
        <v>785.94261129465667</v>
      </c>
      <c r="J1039" s="95">
        <f t="shared" si="326"/>
        <v>-78.076481067087585</v>
      </c>
      <c r="K1039" s="94">
        <f t="shared" si="327"/>
        <v>70.650832397034932</v>
      </c>
      <c r="L1039" s="94">
        <f t="shared" si="328"/>
        <v>-1819.4547735687111</v>
      </c>
      <c r="M1039" s="93">
        <f t="shared" si="329"/>
        <v>301.36765757819251</v>
      </c>
      <c r="N1039" s="93">
        <f t="shared" si="330"/>
        <v>25064.387283098651</v>
      </c>
      <c r="O1039" s="93">
        <f t="shared" si="331"/>
        <v>41075.400191663051</v>
      </c>
      <c r="P1039" s="93">
        <f t="shared" si="332"/>
        <v>15667.496111182718</v>
      </c>
      <c r="Q1039" s="93">
        <f t="shared" si="333"/>
        <v>16695241679769.092</v>
      </c>
      <c r="R1039" s="93">
        <f t="shared" si="334"/>
        <v>70058071702024.352</v>
      </c>
      <c r="S1039" s="93">
        <f t="shared" si="335"/>
        <v>4448152803801.0322</v>
      </c>
      <c r="T1039">
        <f t="shared" si="321"/>
        <v>0.5</v>
      </c>
    </row>
    <row r="1040" spans="1:20" x14ac:dyDescent="0.25">
      <c r="A1040">
        <v>498.5</v>
      </c>
      <c r="B1040" s="95">
        <f t="shared" si="336"/>
        <v>8171.2082070150982</v>
      </c>
      <c r="C1040" s="95">
        <f t="shared" si="337"/>
        <v>-19743.149317538388</v>
      </c>
      <c r="D1040" s="95">
        <f t="shared" si="338"/>
        <v>-4571.3795290217759</v>
      </c>
      <c r="E1040" s="95">
        <f t="shared" si="339"/>
        <v>-4365.8535404540562</v>
      </c>
      <c r="F1040" s="96">
        <f t="shared" si="322"/>
        <v>-2127.4442098766663</v>
      </c>
      <c r="G1040" s="94">
        <f t="shared" si="323"/>
        <v>1499.796728234915</v>
      </c>
      <c r="H1040" s="97">
        <f t="shared" si="324"/>
        <v>44.768800674616045</v>
      </c>
      <c r="I1040" s="94">
        <f t="shared" si="325"/>
        <v>666.9119613419806</v>
      </c>
      <c r="J1040" s="95">
        <f t="shared" si="326"/>
        <v>-72.789211137384484</v>
      </c>
      <c r="K1040" s="94">
        <f t="shared" si="327"/>
        <v>76.850817318723983</v>
      </c>
      <c r="L1040" s="94">
        <f t="shared" si="328"/>
        <v>-2099.423799413898</v>
      </c>
      <c r="M1040" s="93">
        <f t="shared" si="329"/>
        <v>756.0339495742104</v>
      </c>
      <c r="N1040" s="93">
        <f t="shared" si="330"/>
        <v>27304.462348850258</v>
      </c>
      <c r="O1040" s="93">
        <f t="shared" si="331"/>
        <v>40966.717017212635</v>
      </c>
      <c r="P1040" s="93">
        <f t="shared" si="332"/>
        <v>13999.221088367978</v>
      </c>
      <c r="Q1040" s="93">
        <f t="shared" si="333"/>
        <v>21388849582786.473</v>
      </c>
      <c r="R1040" s="93">
        <f t="shared" si="334"/>
        <v>69507425531673.672</v>
      </c>
      <c r="S1040" s="93">
        <f t="shared" si="335"/>
        <v>3284914885821.8457</v>
      </c>
      <c r="T1040">
        <f t="shared" si="321"/>
        <v>0.5</v>
      </c>
    </row>
    <row r="1041" spans="1:20" x14ac:dyDescent="0.25">
      <c r="A1041">
        <v>499</v>
      </c>
      <c r="B1041" s="95">
        <f t="shared" si="336"/>
        <v>5353.6573900350431</v>
      </c>
      <c r="C1041" s="95">
        <f t="shared" si="337"/>
        <v>-21551.126905706689</v>
      </c>
      <c r="D1041" s="95">
        <f t="shared" si="338"/>
        <v>-5635.1016339601092</v>
      </c>
      <c r="E1041" s="95">
        <f t="shared" si="339"/>
        <v>-3615.9551763365989</v>
      </c>
      <c r="F1041" s="96">
        <f t="shared" si="322"/>
        <v>-2315.7688518350546</v>
      </c>
      <c r="G1041" s="94">
        <f t="shared" si="323"/>
        <v>2137.0883731553263</v>
      </c>
      <c r="H1041" s="97">
        <f t="shared" si="324"/>
        <v>91.5414221046248</v>
      </c>
      <c r="I1041" s="94">
        <f t="shared" si="325"/>
        <v>572.36017528857519</v>
      </c>
      <c r="J1041" s="95">
        <f t="shared" si="326"/>
        <v>-67.904352658426163</v>
      </c>
      <c r="K1041" s="94">
        <f t="shared" si="327"/>
        <v>84.502950214115216</v>
      </c>
      <c r="L1041" s="94">
        <f t="shared" si="328"/>
        <v>-2339.4059212812531</v>
      </c>
      <c r="M1041" s="93">
        <f t="shared" si="329"/>
        <v>1480.2252476526357</v>
      </c>
      <c r="N1041" s="93">
        <f t="shared" si="330"/>
        <v>29420.341162886794</v>
      </c>
      <c r="O1041" s="93">
        <f t="shared" si="331"/>
        <v>40475.690878245514</v>
      </c>
      <c r="P1041" s="93">
        <f t="shared" si="332"/>
        <v>12252.162465658925</v>
      </c>
      <c r="Q1041" s="93">
        <f t="shared" si="333"/>
        <v>26576158045778.773</v>
      </c>
      <c r="R1041" s="93">
        <f t="shared" si="334"/>
        <v>67055707067355.992</v>
      </c>
      <c r="S1041" s="93">
        <f t="shared" si="335"/>
        <v>2317324361313.7251</v>
      </c>
      <c r="T1041">
        <f t="shared" ref="T1041:T1104" si="340">A1042-A1041</f>
        <v>0.5</v>
      </c>
    </row>
    <row r="1042" spans="1:20" x14ac:dyDescent="0.25">
      <c r="A1042">
        <v>499.5</v>
      </c>
      <c r="B1042" s="95">
        <f t="shared" si="336"/>
        <v>1957.1643600962248</v>
      </c>
      <c r="C1042" s="95">
        <f t="shared" si="337"/>
        <v>-22824.832400586154</v>
      </c>
      <c r="D1042" s="95">
        <f t="shared" si="338"/>
        <v>-6792.9860598776368</v>
      </c>
      <c r="E1042" s="95">
        <f t="shared" si="339"/>
        <v>-2547.410989758936</v>
      </c>
      <c r="F1042" s="96">
        <f t="shared" si="322"/>
        <v>-2263.8817060721403</v>
      </c>
      <c r="G1042" s="94">
        <f t="shared" si="323"/>
        <v>3212.5653871346476</v>
      </c>
      <c r="H1042" s="97">
        <f t="shared" si="324"/>
        <v>131.3374544905372</v>
      </c>
      <c r="I1042" s="94">
        <f t="shared" si="325"/>
        <v>495.196778059834</v>
      </c>
      <c r="J1042" s="95">
        <f t="shared" si="326"/>
        <v>-63.27874580045858</v>
      </c>
      <c r="K1042" s="94">
        <f t="shared" si="327"/>
        <v>94.598473252501776</v>
      </c>
      <c r="L1042" s="94">
        <f t="shared" si="328"/>
        <v>-2331.940414762219</v>
      </c>
      <c r="M1042" s="93">
        <f t="shared" si="329"/>
        <v>2622.7701358223121</v>
      </c>
      <c r="N1042" s="93">
        <f t="shared" si="330"/>
        <v>31373.279478788096</v>
      </c>
      <c r="O1042" s="93">
        <f t="shared" si="331"/>
        <v>39491.602763914889</v>
      </c>
      <c r="P1042" s="93">
        <f t="shared" si="332"/>
        <v>10470.441157403828</v>
      </c>
      <c r="Q1042" s="93">
        <f t="shared" si="333"/>
        <v>32064112325973.188</v>
      </c>
      <c r="R1042" s="93">
        <f t="shared" si="334"/>
        <v>62317659280226.586</v>
      </c>
      <c r="S1042" s="93">
        <f t="shared" si="335"/>
        <v>1562116560750.0942</v>
      </c>
      <c r="T1042">
        <f t="shared" si="340"/>
        <v>0.5</v>
      </c>
    </row>
    <row r="1043" spans="1:20" x14ac:dyDescent="0.25">
      <c r="A1043">
        <v>500</v>
      </c>
      <c r="B1043" s="95">
        <f t="shared" si="336"/>
        <v>-2005.2990963606287</v>
      </c>
      <c r="C1043" s="95">
        <f t="shared" si="337"/>
        <v>-23295.396548681962</v>
      </c>
      <c r="D1043" s="95">
        <f t="shared" si="338"/>
        <v>-7924.9269129137065</v>
      </c>
      <c r="E1043" s="95">
        <f t="shared" si="339"/>
        <v>-941.12829619161221</v>
      </c>
      <c r="F1043" s="96">
        <f t="shared" si="322"/>
        <v>-1395.3811820485212</v>
      </c>
      <c r="G1043" s="94">
        <f t="shared" si="323"/>
        <v>4708.8645644723365</v>
      </c>
      <c r="H1043" s="97">
        <f t="shared" si="324"/>
        <v>168.27121762699119</v>
      </c>
      <c r="I1043" s="94">
        <f t="shared" si="325"/>
        <v>431.64096395762914</v>
      </c>
      <c r="J1043" s="95">
        <f t="shared" si="326"/>
        <v>-58.85680830509483</v>
      </c>
      <c r="K1043" s="94">
        <f t="shared" si="327"/>
        <v>108.90210304698951</v>
      </c>
      <c r="L1043" s="94">
        <f t="shared" si="328"/>
        <v>-1504.7955913704175</v>
      </c>
      <c r="M1043" s="93">
        <f t="shared" si="329"/>
        <v>4168.3214974677176</v>
      </c>
      <c r="N1043" s="93">
        <f t="shared" si="330"/>
        <v>33052.740506403556</v>
      </c>
      <c r="O1043" s="93">
        <f t="shared" si="331"/>
        <v>37846.964104739265</v>
      </c>
      <c r="P1043" s="93">
        <f t="shared" si="332"/>
        <v>8819.401192946325</v>
      </c>
      <c r="Q1043" s="93">
        <f t="shared" si="333"/>
        <v>37356120649699.883</v>
      </c>
      <c r="R1043" s="93">
        <f t="shared" si="334"/>
        <v>54908637516766.945</v>
      </c>
      <c r="S1043" s="93">
        <f t="shared" si="335"/>
        <v>1042016427627.0216</v>
      </c>
      <c r="T1043">
        <f t="shared" si="340"/>
        <v>0.5</v>
      </c>
    </row>
    <row r="1044" spans="1:20" x14ac:dyDescent="0.25">
      <c r="A1044">
        <v>500.5</v>
      </c>
      <c r="B1044" s="95">
        <f t="shared" si="336"/>
        <v>-6316.6078483296124</v>
      </c>
      <c r="C1044" s="95">
        <f t="shared" si="337"/>
        <v>-22588.744555659687</v>
      </c>
      <c r="D1044" s="95">
        <f t="shared" si="338"/>
        <v>-8622.6175039379668</v>
      </c>
      <c r="E1044" s="95">
        <f t="shared" si="339"/>
        <v>1413.303986044556</v>
      </c>
      <c r="F1044" s="96">
        <f t="shared" si="322"/>
        <v>1041.8675499849978</v>
      </c>
      <c r="G1044" s="94">
        <f t="shared" si="323"/>
        <v>5642.8568300495572</v>
      </c>
      <c r="H1044" s="97">
        <f t="shared" si="324"/>
        <v>206.4070222515422</v>
      </c>
      <c r="I1044" s="94">
        <f t="shared" si="325"/>
        <v>380.62618313504493</v>
      </c>
      <c r="J1044" s="95">
        <f t="shared" si="326"/>
        <v>-54.846598554224173</v>
      </c>
      <c r="K1044" s="94">
        <f t="shared" si="327"/>
        <v>130.62417346653567</v>
      </c>
      <c r="L1044" s="94">
        <f t="shared" si="328"/>
        <v>890.30712628767969</v>
      </c>
      <c r="M1044" s="93">
        <f t="shared" si="329"/>
        <v>5131.6064734479769</v>
      </c>
      <c r="N1044" s="93">
        <f t="shared" si="330"/>
        <v>34228.120611741339</v>
      </c>
      <c r="O1044" s="93">
        <f t="shared" si="331"/>
        <v>35344.893442906767</v>
      </c>
      <c r="P1044" s="93">
        <f t="shared" si="332"/>
        <v>7702.1101106993838</v>
      </c>
      <c r="Q1044" s="93">
        <f t="shared" si="333"/>
        <v>41390819934853.961</v>
      </c>
      <c r="R1044" s="93">
        <f t="shared" si="334"/>
        <v>44806066282487.914</v>
      </c>
      <c r="S1044" s="93">
        <f t="shared" si="335"/>
        <v>774310613690.11475</v>
      </c>
      <c r="T1044">
        <f t="shared" si="340"/>
        <v>0.5</v>
      </c>
    </row>
    <row r="1045" spans="1:20" x14ac:dyDescent="0.25">
      <c r="A1045">
        <v>501</v>
      </c>
      <c r="B1045" s="95">
        <f t="shared" si="336"/>
        <v>-10367.449712802345</v>
      </c>
      <c r="C1045" s="95">
        <f t="shared" si="337"/>
        <v>-20471.37835512502</v>
      </c>
      <c r="D1045" s="95">
        <f t="shared" si="338"/>
        <v>-8101.6837289454679</v>
      </c>
      <c r="E1045" s="95">
        <f t="shared" si="339"/>
        <v>4234.7324010693346</v>
      </c>
      <c r="F1045" s="96">
        <f t="shared" si="322"/>
        <v>3864.626799615814</v>
      </c>
      <c r="G1045" s="94">
        <f t="shared" si="323"/>
        <v>4245.5733084595295</v>
      </c>
      <c r="H1045" s="97">
        <f t="shared" si="324"/>
        <v>249.57743959325447</v>
      </c>
      <c r="I1045" s="94">
        <f t="shared" si="325"/>
        <v>342.75400652533466</v>
      </c>
      <c r="J1045" s="95">
        <f t="shared" si="326"/>
        <v>-52.064596981230032</v>
      </c>
      <c r="K1045" s="94">
        <f t="shared" si="327"/>
        <v>164.6998963120603</v>
      </c>
      <c r="L1045" s="94">
        <f t="shared" si="328"/>
        <v>3667.1139570037894</v>
      </c>
      <c r="M1045" s="93">
        <f t="shared" si="329"/>
        <v>3738.1194056221343</v>
      </c>
      <c r="N1045" s="93">
        <f t="shared" si="330"/>
        <v>34601.026211502583</v>
      </c>
      <c r="O1045" s="93">
        <f t="shared" si="331"/>
        <v>31957.642652369923</v>
      </c>
      <c r="P1045" s="93">
        <f t="shared" si="332"/>
        <v>7664.5611436267209</v>
      </c>
      <c r="Q1045" s="93">
        <f t="shared" si="333"/>
        <v>42729710462064.797</v>
      </c>
      <c r="R1045" s="93">
        <f t="shared" si="334"/>
        <v>33227029445033.773</v>
      </c>
      <c r="S1045" s="93">
        <f t="shared" si="335"/>
        <v>766376537696.95605</v>
      </c>
      <c r="T1045">
        <f t="shared" si="340"/>
        <v>0.5</v>
      </c>
    </row>
    <row r="1046" spans="1:20" x14ac:dyDescent="0.25">
      <c r="A1046">
        <v>501.5</v>
      </c>
      <c r="B1046" s="95">
        <f t="shared" si="336"/>
        <v>-13452.134877371125</v>
      </c>
      <c r="C1046" s="95">
        <f t="shared" si="337"/>
        <v>-17292.618827475471</v>
      </c>
      <c r="D1046" s="95">
        <f t="shared" si="338"/>
        <v>-6169.3703291375605</v>
      </c>
      <c r="E1046" s="95">
        <f t="shared" si="339"/>
        <v>6357.5190552990989</v>
      </c>
      <c r="F1046" s="96">
        <f t="shared" si="322"/>
        <v>4562.6491733994981</v>
      </c>
      <c r="G1046" s="94">
        <f t="shared" si="323"/>
        <v>1703.50612152337</v>
      </c>
      <c r="H1046" s="97">
        <f t="shared" si="324"/>
        <v>299.25239720811186</v>
      </c>
      <c r="I1046" s="94">
        <f t="shared" si="325"/>
        <v>316.35715281288986</v>
      </c>
      <c r="J1046" s="95">
        <f t="shared" si="326"/>
        <v>-51.969442401800507</v>
      </c>
      <c r="K1046" s="94">
        <f t="shared" si="327"/>
        <v>216.61750136650983</v>
      </c>
      <c r="L1046" s="94">
        <f t="shared" si="328"/>
        <v>4315.3662185931871</v>
      </c>
      <c r="M1046" s="93">
        <f t="shared" si="329"/>
        <v>1170.5314673439702</v>
      </c>
      <c r="N1046" s="93">
        <f t="shared" si="330"/>
        <v>34127.358213475862</v>
      </c>
      <c r="O1046" s="93">
        <f t="shared" si="331"/>
        <v>28067.090695795461</v>
      </c>
      <c r="P1046" s="93">
        <f t="shared" si="332"/>
        <v>8757.5501753269109</v>
      </c>
      <c r="Q1046" s="93">
        <f t="shared" si="333"/>
        <v>41033954018480.359</v>
      </c>
      <c r="R1046" s="93">
        <f t="shared" si="334"/>
        <v>22627908302885.098</v>
      </c>
      <c r="S1046" s="93">
        <f t="shared" si="335"/>
        <v>1025527672232.1667</v>
      </c>
      <c r="T1046">
        <f t="shared" si="340"/>
        <v>0.5</v>
      </c>
    </row>
    <row r="1047" spans="1:20" x14ac:dyDescent="0.25">
      <c r="A1047">
        <v>502</v>
      </c>
      <c r="B1047" s="95">
        <f t="shared" si="336"/>
        <v>-15396.157748590032</v>
      </c>
      <c r="C1047" s="95">
        <f t="shared" si="337"/>
        <v>-13687.98276944508</v>
      </c>
      <c r="D1047" s="95">
        <f t="shared" si="338"/>
        <v>-3888.0457424378114</v>
      </c>
      <c r="E1047" s="95">
        <f t="shared" si="339"/>
        <v>7209.2721160607834</v>
      </c>
      <c r="F1047" s="96">
        <f t="shared" si="322"/>
        <v>3776.2573360720489</v>
      </c>
      <c r="G1047" s="94">
        <f t="shared" si="323"/>
        <v>150.9277302046558</v>
      </c>
      <c r="H1047" s="97">
        <f t="shared" si="324"/>
        <v>355.28950684909387</v>
      </c>
      <c r="I1047" s="94">
        <f t="shared" si="325"/>
        <v>296.41759292116456</v>
      </c>
      <c r="J1047" s="95">
        <f t="shared" si="326"/>
        <v>-57.031289327904268</v>
      </c>
      <c r="K1047" s="94">
        <f t="shared" si="327"/>
        <v>293.44102711271023</v>
      </c>
      <c r="L1047" s="94">
        <f t="shared" si="328"/>
        <v>3477.9991185508593</v>
      </c>
      <c r="M1047" s="93">
        <f t="shared" si="329"/>
        <v>-438.93088982921898</v>
      </c>
      <c r="N1047" s="93">
        <f t="shared" si="330"/>
        <v>33074.090195038945</v>
      </c>
      <c r="O1047" s="93">
        <f t="shared" si="331"/>
        <v>24131.222330445562</v>
      </c>
      <c r="P1047" s="93">
        <f t="shared" si="332"/>
        <v>10478.620383754798</v>
      </c>
      <c r="Q1047" s="93">
        <f t="shared" si="333"/>
        <v>37426934501927.031</v>
      </c>
      <c r="R1047" s="93">
        <f t="shared" si="334"/>
        <v>14497729310397</v>
      </c>
      <c r="S1047" s="93">
        <f t="shared" si="335"/>
        <v>1565099726177.2043</v>
      </c>
      <c r="T1047">
        <f t="shared" si="340"/>
        <v>0.5</v>
      </c>
    </row>
    <row r="1048" spans="1:20" x14ac:dyDescent="0.25">
      <c r="A1048">
        <v>502.5</v>
      </c>
      <c r="B1048" s="95">
        <f t="shared" si="336"/>
        <v>-16396.116285790929</v>
      </c>
      <c r="C1048" s="95">
        <f t="shared" si="337"/>
        <v>-10045.614778863524</v>
      </c>
      <c r="D1048" s="95">
        <f t="shared" si="338"/>
        <v>-1999.917074401787</v>
      </c>
      <c r="E1048" s="95">
        <f t="shared" si="339"/>
        <v>7284.7359811631113</v>
      </c>
      <c r="F1048" s="96">
        <f t="shared" si="322"/>
        <v>2827.9038124166923</v>
      </c>
      <c r="G1048" s="94">
        <f t="shared" si="323"/>
        <v>-393.43069961981905</v>
      </c>
      <c r="H1048" s="97">
        <f t="shared" si="324"/>
        <v>418.34405954636924</v>
      </c>
      <c r="I1048" s="94">
        <f t="shared" si="325"/>
        <v>278.07513932561847</v>
      </c>
      <c r="J1048" s="95">
        <f t="shared" si="326"/>
        <v>-73.336989037434847</v>
      </c>
      <c r="K1048" s="94">
        <f t="shared" si="327"/>
        <v>407.91688851947038</v>
      </c>
      <c r="L1048" s="94">
        <f t="shared" si="328"/>
        <v>2482.896741907758</v>
      </c>
      <c r="M1048" s="93">
        <f t="shared" si="329"/>
        <v>-1079.4227274649079</v>
      </c>
      <c r="N1048" s="93">
        <f t="shared" si="330"/>
        <v>31695.481585571015</v>
      </c>
      <c r="O1048" s="93">
        <f t="shared" si="331"/>
        <v>20366.999034912656</v>
      </c>
      <c r="P1048" s="93">
        <f t="shared" si="332"/>
        <v>12426.479763741812</v>
      </c>
      <c r="Q1048" s="93">
        <f t="shared" si="333"/>
        <v>33037338172740.395</v>
      </c>
      <c r="R1048" s="93">
        <f t="shared" si="334"/>
        <v>8825522698020.6387</v>
      </c>
      <c r="S1048" s="93">
        <f t="shared" si="335"/>
        <v>2403238295456.124</v>
      </c>
      <c r="T1048">
        <f t="shared" si="340"/>
        <v>0.5</v>
      </c>
    </row>
    <row r="1049" spans="1:20" x14ac:dyDescent="0.25">
      <c r="A1049">
        <v>503</v>
      </c>
      <c r="B1049" s="95">
        <f t="shared" si="336"/>
        <v>-16689.09886988765</v>
      </c>
      <c r="C1049" s="95">
        <f t="shared" si="337"/>
        <v>-6501.6044631869236</v>
      </c>
      <c r="D1049" s="95">
        <f t="shared" si="338"/>
        <v>-585.96516819344083</v>
      </c>
      <c r="E1049" s="95">
        <f t="shared" si="339"/>
        <v>7088.0206313532017</v>
      </c>
      <c r="F1049" s="96">
        <f t="shared" si="322"/>
        <v>2084.4285520851095</v>
      </c>
      <c r="G1049" s="94">
        <f t="shared" si="323"/>
        <v>-403.77003972552927</v>
      </c>
      <c r="H1049" s="97">
        <f t="shared" si="324"/>
        <v>490.07629125317033</v>
      </c>
      <c r="I1049" s="94">
        <f t="shared" si="325"/>
        <v>257.1032622856543</v>
      </c>
      <c r="J1049" s="95">
        <f t="shared" si="326"/>
        <v>-117.04951640398458</v>
      </c>
      <c r="K1049" s="94">
        <f t="shared" si="327"/>
        <v>583.37737866558405</v>
      </c>
      <c r="L1049" s="94">
        <f t="shared" si="328"/>
        <v>1711.4017772359239</v>
      </c>
      <c r="M1049" s="93">
        <f t="shared" si="329"/>
        <v>-1244.2506806767676</v>
      </c>
      <c r="N1049" s="93">
        <f t="shared" si="330"/>
        <v>30138.893908539081</v>
      </c>
      <c r="O1049" s="93">
        <f t="shared" si="331"/>
        <v>16830.478785609452</v>
      </c>
      <c r="P1049" s="93">
        <f t="shared" si="332"/>
        <v>14451.911952753282</v>
      </c>
      <c r="Q1049" s="93">
        <f t="shared" si="333"/>
        <v>28514702179045.094</v>
      </c>
      <c r="R1049" s="93">
        <f t="shared" si="334"/>
        <v>5080065719807.0137</v>
      </c>
      <c r="S1049" s="93">
        <f t="shared" si="335"/>
        <v>3576248393294.0957</v>
      </c>
      <c r="T1049">
        <f t="shared" si="340"/>
        <v>0.5</v>
      </c>
    </row>
    <row r="1050" spans="1:20" x14ac:dyDescent="0.25">
      <c r="A1050">
        <v>503.5</v>
      </c>
      <c r="B1050" s="95">
        <f t="shared" si="336"/>
        <v>-16460.974315963093</v>
      </c>
      <c r="C1050" s="95">
        <f t="shared" si="337"/>
        <v>-3058.5366574417048</v>
      </c>
      <c r="D1050" s="95">
        <f t="shared" si="338"/>
        <v>456.2491078491139</v>
      </c>
      <c r="E1050" s="95">
        <f t="shared" si="339"/>
        <v>6886.1356114904374</v>
      </c>
      <c r="F1050" s="96">
        <f t="shared" si="322"/>
        <v>1500.5853108382007</v>
      </c>
      <c r="G1050" s="94">
        <f t="shared" si="323"/>
        <v>-121.91210235848644</v>
      </c>
      <c r="H1050" s="97">
        <f t="shared" si="324"/>
        <v>572.50117581812401</v>
      </c>
      <c r="I1050" s="94">
        <f t="shared" si="325"/>
        <v>228.44112159760931</v>
      </c>
      <c r="J1050" s="95">
        <f t="shared" si="326"/>
        <v>-232.87497268755001</v>
      </c>
      <c r="K1050" s="94">
        <f t="shared" si="327"/>
        <v>859.2778462043492</v>
      </c>
      <c r="L1050" s="94">
        <f t="shared" si="328"/>
        <v>1160.9591077076266</v>
      </c>
      <c r="M1050" s="93">
        <f t="shared" si="329"/>
        <v>-1209.631070160445</v>
      </c>
      <c r="N1050" s="93">
        <f t="shared" si="330"/>
        <v>28489.75005324895</v>
      </c>
      <c r="O1050" s="93">
        <f t="shared" si="331"/>
        <v>13529.600231567143</v>
      </c>
      <c r="P1050" s="93">
        <f t="shared" si="332"/>
        <v>16551.509871695365</v>
      </c>
      <c r="Q1050" s="93">
        <f t="shared" si="333"/>
        <v>24200707942961.215</v>
      </c>
      <c r="R1050" s="93">
        <f t="shared" si="334"/>
        <v>2729314860675.8862</v>
      </c>
      <c r="S1050" s="93">
        <f t="shared" si="335"/>
        <v>5168960800739.1523</v>
      </c>
      <c r="T1050">
        <f t="shared" si="340"/>
        <v>0.5</v>
      </c>
    </row>
    <row r="1051" spans="1:20" x14ac:dyDescent="0.25">
      <c r="A1051">
        <v>504</v>
      </c>
      <c r="B1051" s="95">
        <f t="shared" si="336"/>
        <v>-15857.703434328985</v>
      </c>
      <c r="C1051" s="95">
        <f t="shared" si="337"/>
        <v>354.05312271389226</v>
      </c>
      <c r="D1051" s="95">
        <f t="shared" si="338"/>
        <v>1206.5417632682143</v>
      </c>
      <c r="E1051" s="95">
        <f t="shared" si="339"/>
        <v>6825.1795603111941</v>
      </c>
      <c r="F1051" s="96">
        <f t="shared" si="322"/>
        <v>888.84631127067098</v>
      </c>
      <c r="G1051" s="94">
        <f t="shared" si="323"/>
        <v>371.41175288732643</v>
      </c>
      <c r="H1051" s="97">
        <f t="shared" si="324"/>
        <v>666.23788953859298</v>
      </c>
      <c r="I1051" s="94">
        <f t="shared" si="325"/>
        <v>184.11923465551735</v>
      </c>
      <c r="J1051" s="95">
        <f t="shared" si="326"/>
        <v>-549.01000010250357</v>
      </c>
      <c r="K1051" s="94">
        <f t="shared" si="327"/>
        <v>1278.4505435886699</v>
      </c>
      <c r="L1051" s="94">
        <f t="shared" si="328"/>
        <v>771.61842183458157</v>
      </c>
      <c r="M1051" s="93">
        <f t="shared" si="329"/>
        <v>-1091.1580253568609</v>
      </c>
      <c r="N1051" s="93">
        <f t="shared" si="330"/>
        <v>26826.952560264912</v>
      </c>
      <c r="O1051" s="93">
        <f t="shared" si="331"/>
        <v>10497.757474689321</v>
      </c>
      <c r="P1051" s="93">
        <f t="shared" si="332"/>
        <v>18805.229888596408</v>
      </c>
      <c r="Q1051" s="93">
        <f t="shared" si="333"/>
        <v>20321662983435.453</v>
      </c>
      <c r="R1051" s="93">
        <f t="shared" si="334"/>
        <v>1355044868898.7161</v>
      </c>
      <c r="S1051" s="93">
        <f t="shared" si="335"/>
        <v>7367735221390.1143</v>
      </c>
      <c r="T1051">
        <f t="shared" si="340"/>
        <v>0.5</v>
      </c>
    </row>
    <row r="1052" spans="1:20" x14ac:dyDescent="0.25">
      <c r="A1052">
        <v>504.5</v>
      </c>
      <c r="B1052" s="95">
        <f t="shared" si="336"/>
        <v>-15032.220974877209</v>
      </c>
      <c r="C1052" s="95">
        <f t="shared" si="337"/>
        <v>3859.4958410913209</v>
      </c>
      <c r="D1052" s="95">
        <f t="shared" si="338"/>
        <v>1650.9649189035497</v>
      </c>
      <c r="E1052" s="95">
        <f t="shared" si="339"/>
        <v>7010.8854367548574</v>
      </c>
      <c r="F1052" s="96">
        <f t="shared" si="322"/>
        <v>-121.73771426152388</v>
      </c>
      <c r="G1052" s="94">
        <f t="shared" si="323"/>
        <v>886.41853346193739</v>
      </c>
      <c r="H1052" s="97">
        <f t="shared" si="324"/>
        <v>764.53513567494247</v>
      </c>
      <c r="I1052" s="94">
        <f t="shared" si="325"/>
        <v>111.18842965831131</v>
      </c>
      <c r="J1052" s="95">
        <f t="shared" si="326"/>
        <v>-1383.7082327797027</v>
      </c>
      <c r="K1052" s="94">
        <f t="shared" si="327"/>
        <v>1710.3550933185734</v>
      </c>
      <c r="L1052" s="94">
        <f t="shared" si="328"/>
        <v>497.43538284323637</v>
      </c>
      <c r="M1052" s="93">
        <f t="shared" si="329"/>
        <v>-935.1249895149474</v>
      </c>
      <c r="N1052" s="93">
        <f t="shared" si="330"/>
        <v>25295.560034640741</v>
      </c>
      <c r="O1052" s="93">
        <f t="shared" si="331"/>
        <v>7898.3934928581994</v>
      </c>
      <c r="P1052" s="93">
        <f t="shared" si="332"/>
        <v>21361.789275922256</v>
      </c>
      <c r="Q1052" s="93">
        <f t="shared" si="333"/>
        <v>17143542057594.064</v>
      </c>
      <c r="R1052" s="93">
        <f t="shared" si="334"/>
        <v>644778409933.82605</v>
      </c>
      <c r="S1052" s="93">
        <f t="shared" si="335"/>
        <v>10559881343689.385</v>
      </c>
      <c r="T1052">
        <f t="shared" si="340"/>
        <v>0.5</v>
      </c>
    </row>
    <row r="1053" spans="1:20" x14ac:dyDescent="0.25">
      <c r="A1053">
        <v>505</v>
      </c>
      <c r="B1053" s="95">
        <f t="shared" si="336"/>
        <v>-14237.172943990816</v>
      </c>
      <c r="C1053" s="95">
        <f t="shared" si="337"/>
        <v>7586.5431928342341</v>
      </c>
      <c r="D1053" s="95">
        <f t="shared" si="338"/>
        <v>1590.0960617727878</v>
      </c>
      <c r="E1053" s="95">
        <f t="shared" si="339"/>
        <v>7454.0947034858264</v>
      </c>
      <c r="F1053" s="96">
        <f t="shared" si="322"/>
        <v>-1667.7931077834473</v>
      </c>
      <c r="G1053" s="94">
        <f t="shared" si="323"/>
        <v>412.01508051682629</v>
      </c>
      <c r="H1053" s="97">
        <f t="shared" si="324"/>
        <v>837.29154984484649</v>
      </c>
      <c r="I1053" s="94">
        <f t="shared" si="325"/>
        <v>-2.989700334446924</v>
      </c>
      <c r="J1053" s="95">
        <f t="shared" si="326"/>
        <v>-2818.015848971138</v>
      </c>
      <c r="K1053" s="94">
        <f t="shared" si="327"/>
        <v>1180.1776224237899</v>
      </c>
      <c r="L1053" s="94">
        <f t="shared" si="328"/>
        <v>312.9311913428441</v>
      </c>
      <c r="M1053" s="93">
        <f t="shared" si="329"/>
        <v>-765.17284157251663</v>
      </c>
      <c r="N1053" s="93">
        <f t="shared" si="330"/>
        <v>24237.327452529629</v>
      </c>
      <c r="O1053" s="93">
        <f t="shared" si="331"/>
        <v>6247.7955662398444</v>
      </c>
      <c r="P1053" s="93">
        <f t="shared" si="332"/>
        <v>24402.403516845679</v>
      </c>
      <c r="Q1053" s="93">
        <f t="shared" si="333"/>
        <v>15156672821778.053</v>
      </c>
      <c r="R1053" s="93">
        <f t="shared" si="334"/>
        <v>367269528566.77405</v>
      </c>
      <c r="S1053" s="93">
        <f t="shared" si="335"/>
        <v>15455705846095.818</v>
      </c>
      <c r="T1053">
        <f t="shared" si="340"/>
        <v>0.5</v>
      </c>
    </row>
    <row r="1054" spans="1:20" x14ac:dyDescent="0.25">
      <c r="A1054">
        <v>505.5</v>
      </c>
      <c r="B1054" s="95">
        <f t="shared" si="336"/>
        <v>-13859.073190050283</v>
      </c>
      <c r="C1054" s="95">
        <f t="shared" si="337"/>
        <v>11416.594314706354</v>
      </c>
      <c r="D1054" s="95">
        <f t="shared" si="338"/>
        <v>756.19950788106416</v>
      </c>
      <c r="E1054" s="95">
        <f t="shared" si="339"/>
        <v>7660.1022437442398</v>
      </c>
      <c r="F1054" s="96">
        <f t="shared" si="322"/>
        <v>-1909.405313535136</v>
      </c>
      <c r="G1054" s="94">
        <f t="shared" si="323"/>
        <v>-1425.1299253168818</v>
      </c>
      <c r="H1054" s="97">
        <f t="shared" si="324"/>
        <v>830.02277113214063</v>
      </c>
      <c r="I1054" s="94">
        <f t="shared" si="325"/>
        <v>-136.25267170263055</v>
      </c>
      <c r="J1054" s="95">
        <f t="shared" si="326"/>
        <v>-2943.9209860491214</v>
      </c>
      <c r="K1054" s="94">
        <f t="shared" si="327"/>
        <v>-679.10624256667461</v>
      </c>
      <c r="L1054" s="94">
        <f t="shared" si="328"/>
        <v>204.49290138184458</v>
      </c>
      <c r="M1054" s="93">
        <f t="shared" si="329"/>
        <v>-609.77101104757674</v>
      </c>
      <c r="N1054" s="93">
        <f t="shared" si="330"/>
        <v>24178.401198469812</v>
      </c>
      <c r="O1054" s="93">
        <f t="shared" si="331"/>
        <v>6302.1997379976438</v>
      </c>
      <c r="P1054" s="93">
        <f t="shared" si="332"/>
        <v>27862.513041261078</v>
      </c>
      <c r="Q1054" s="93">
        <f t="shared" si="333"/>
        <v>15050890100497.848</v>
      </c>
      <c r="R1054" s="93">
        <f t="shared" si="334"/>
        <v>374628241882.25427</v>
      </c>
      <c r="S1054" s="93">
        <f t="shared" si="335"/>
        <v>22683427365454.117</v>
      </c>
      <c r="T1054">
        <f t="shared" si="340"/>
        <v>0.5</v>
      </c>
    </row>
    <row r="1055" spans="1:20" x14ac:dyDescent="0.25">
      <c r="A1055">
        <v>506</v>
      </c>
      <c r="B1055" s="95">
        <f t="shared" si="336"/>
        <v>-13958.324764493535</v>
      </c>
      <c r="C1055" s="95">
        <f t="shared" si="337"/>
        <v>14890.362955249253</v>
      </c>
      <c r="D1055" s="95">
        <f t="shared" si="338"/>
        <v>-198.50314888650382</v>
      </c>
      <c r="E1055" s="95">
        <f t="shared" si="339"/>
        <v>6947.5372810857989</v>
      </c>
      <c r="F1055" s="96">
        <f t="shared" si="322"/>
        <v>-852.29498262779418</v>
      </c>
      <c r="G1055" s="94">
        <f t="shared" si="323"/>
        <v>-2145.2872879113643</v>
      </c>
      <c r="H1055" s="97">
        <f t="shared" si="324"/>
        <v>750.70321682768895</v>
      </c>
      <c r="I1055" s="94">
        <f t="shared" si="325"/>
        <v>-231.56749474620798</v>
      </c>
      <c r="J1055" s="95">
        <f t="shared" si="326"/>
        <v>-1751.6199549166529</v>
      </c>
      <c r="K1055" s="94">
        <f t="shared" si="327"/>
        <v>-1417.8281693887977</v>
      </c>
      <c r="L1055" s="94">
        <f t="shared" si="328"/>
        <v>148.62175546116978</v>
      </c>
      <c r="M1055" s="93">
        <f t="shared" si="329"/>
        <v>-495.89162377635841</v>
      </c>
      <c r="N1055" s="93">
        <f t="shared" si="330"/>
        <v>25072.271339694467</v>
      </c>
      <c r="O1055" s="93">
        <f t="shared" si="331"/>
        <v>7772.8688066508821</v>
      </c>
      <c r="P1055" s="93">
        <f t="shared" si="332"/>
        <v>31203.932126939948</v>
      </c>
      <c r="Q1055" s="93">
        <f t="shared" si="333"/>
        <v>16710397972031.869</v>
      </c>
      <c r="R1055" s="93">
        <f t="shared" si="334"/>
        <v>619455673143.62207</v>
      </c>
      <c r="S1055" s="93">
        <f t="shared" si="335"/>
        <v>31560439207207.668</v>
      </c>
      <c r="T1055">
        <f t="shared" si="340"/>
        <v>0.5</v>
      </c>
    </row>
    <row r="1056" spans="1:20" x14ac:dyDescent="0.25">
      <c r="A1056">
        <v>506.5</v>
      </c>
      <c r="B1056" s="95">
        <f t="shared" si="336"/>
        <v>-14270.650084593733</v>
      </c>
      <c r="C1056" s="95">
        <f t="shared" si="337"/>
        <v>17827.809773814311</v>
      </c>
      <c r="D1056" s="95">
        <f t="shared" si="338"/>
        <v>-624.65064020040086</v>
      </c>
      <c r="E1056" s="95">
        <f t="shared" si="339"/>
        <v>5874.893637130117</v>
      </c>
      <c r="F1056" s="96">
        <f t="shared" si="322"/>
        <v>-162.95310777799079</v>
      </c>
      <c r="G1056" s="94">
        <f t="shared" si="323"/>
        <v>-1980.7486604436319</v>
      </c>
      <c r="H1056" s="97">
        <f t="shared" si="324"/>
        <v>656.78441658528686</v>
      </c>
      <c r="I1056" s="94">
        <f t="shared" si="325"/>
        <v>-279.4793090937514</v>
      </c>
      <c r="J1056" s="95">
        <f t="shared" si="326"/>
        <v>-938.19152030146722</v>
      </c>
      <c r="K1056" s="94">
        <f t="shared" si="327"/>
        <v>-1281.8181575151314</v>
      </c>
      <c r="L1056" s="94">
        <f t="shared" si="328"/>
        <v>118.45399593818955</v>
      </c>
      <c r="M1056" s="93">
        <f t="shared" si="329"/>
        <v>-419.45119383474918</v>
      </c>
      <c r="N1056" s="93">
        <f t="shared" si="330"/>
        <v>26376.658436065856</v>
      </c>
      <c r="O1056" s="93">
        <f t="shared" si="331"/>
        <v>9700.5183525515095</v>
      </c>
      <c r="P1056" s="93">
        <f t="shared" si="332"/>
        <v>34111.728885190154</v>
      </c>
      <c r="Q1056" s="93">
        <f t="shared" si="333"/>
        <v>19348940605715.203</v>
      </c>
      <c r="R1056" s="93">
        <f t="shared" si="334"/>
        <v>1096747331187.6965</v>
      </c>
      <c r="S1056" s="93">
        <f t="shared" si="335"/>
        <v>40978786699829.539</v>
      </c>
      <c r="T1056">
        <f t="shared" si="340"/>
        <v>0.5</v>
      </c>
    </row>
    <row r="1057" spans="1:20" x14ac:dyDescent="0.25">
      <c r="A1057">
        <v>507</v>
      </c>
      <c r="B1057" s="95">
        <f t="shared" si="336"/>
        <v>-14623.713681638432</v>
      </c>
      <c r="C1057" s="95">
        <f t="shared" si="337"/>
        <v>20270.069427268463</v>
      </c>
      <c r="D1057" s="95">
        <f t="shared" si="338"/>
        <v>-706.1271940893962</v>
      </c>
      <c r="E1057" s="95">
        <f t="shared" si="339"/>
        <v>4884.5193069083007</v>
      </c>
      <c r="F1057" s="96">
        <f t="shared" si="322"/>
        <v>132.31058229606293</v>
      </c>
      <c r="G1057" s="94">
        <f t="shared" si="323"/>
        <v>-1705.005990413368</v>
      </c>
      <c r="H1057" s="97">
        <f t="shared" si="324"/>
        <v>575.82660099147824</v>
      </c>
      <c r="I1057" s="94">
        <f t="shared" si="325"/>
        <v>-298.62862149069269</v>
      </c>
      <c r="J1057" s="95">
        <f t="shared" si="326"/>
        <v>-543.80888284844593</v>
      </c>
      <c r="K1057" s="94">
        <f t="shared" si="327"/>
        <v>-1038.8127884753105</v>
      </c>
      <c r="L1057" s="94">
        <f t="shared" si="328"/>
        <v>100.29286415303061</v>
      </c>
      <c r="M1057" s="93">
        <f t="shared" si="329"/>
        <v>-367.56458044736473</v>
      </c>
      <c r="N1057" s="93">
        <f t="shared" si="330"/>
        <v>27738.09562051015</v>
      </c>
      <c r="O1057" s="93">
        <f t="shared" si="331"/>
        <v>11592.18618802839</v>
      </c>
      <c r="P1057" s="93">
        <f t="shared" si="332"/>
        <v>36559.453803776836</v>
      </c>
      <c r="Q1057" s="93">
        <f t="shared" si="333"/>
        <v>22390327769139.941</v>
      </c>
      <c r="R1057" s="93">
        <f t="shared" si="334"/>
        <v>1775533351264.0881</v>
      </c>
      <c r="S1057" s="93">
        <f t="shared" si="335"/>
        <v>50242504718240.359</v>
      </c>
      <c r="T1057">
        <f t="shared" si="340"/>
        <v>0.5</v>
      </c>
    </row>
    <row r="1058" spans="1:20" x14ac:dyDescent="0.25">
      <c r="A1058">
        <v>507.5</v>
      </c>
      <c r="B1058" s="95">
        <f t="shared" si="336"/>
        <v>-14943.699633109114</v>
      </c>
      <c r="C1058" s="95">
        <f t="shared" si="337"/>
        <v>22286.077583119273</v>
      </c>
      <c r="D1058" s="95">
        <f t="shared" si="338"/>
        <v>-639.97190294136476</v>
      </c>
      <c r="E1058" s="95">
        <f t="shared" si="339"/>
        <v>4032.0163117016168</v>
      </c>
      <c r="F1058" s="96">
        <f t="shared" si="322"/>
        <v>250.87495229977577</v>
      </c>
      <c r="G1058" s="94">
        <f t="shared" si="323"/>
        <v>-1486.0487741973081</v>
      </c>
      <c r="H1058" s="97">
        <f t="shared" si="324"/>
        <v>512.64992467916431</v>
      </c>
      <c r="I1058" s="94">
        <f t="shared" si="325"/>
        <v>-303.8876217553921</v>
      </c>
      <c r="J1058" s="95">
        <f t="shared" si="326"/>
        <v>-350.14447556144535</v>
      </c>
      <c r="K1058" s="94">
        <f t="shared" si="327"/>
        <v>-850.80036388221197</v>
      </c>
      <c r="L1058" s="94">
        <f t="shared" si="328"/>
        <v>88.369503182056818</v>
      </c>
      <c r="M1058" s="93">
        <f t="shared" si="329"/>
        <v>-331.36078855970408</v>
      </c>
      <c r="N1058" s="93">
        <f t="shared" si="330"/>
        <v>28996.831580032846</v>
      </c>
      <c r="O1058" s="93">
        <f t="shared" si="331"/>
        <v>13285.852467141385</v>
      </c>
      <c r="P1058" s="93">
        <f t="shared" si="332"/>
        <v>38589.23093206036</v>
      </c>
      <c r="Q1058" s="93">
        <f t="shared" si="333"/>
        <v>25476431299509.926</v>
      </c>
      <c r="R1058" s="93">
        <f t="shared" si="334"/>
        <v>2593452683159.5532</v>
      </c>
      <c r="S1058" s="93">
        <f t="shared" si="335"/>
        <v>58917485844487.039</v>
      </c>
      <c r="T1058">
        <f t="shared" si="340"/>
        <v>0.5</v>
      </c>
    </row>
    <row r="1059" spans="1:20" x14ac:dyDescent="0.25">
      <c r="A1059">
        <v>508</v>
      </c>
      <c r="B1059" s="95">
        <f t="shared" si="336"/>
        <v>-15200.966846504853</v>
      </c>
      <c r="C1059" s="95">
        <f t="shared" si="337"/>
        <v>23930.573545420757</v>
      </c>
      <c r="D1059" s="95">
        <f t="shared" si="338"/>
        <v>-514.5344267914769</v>
      </c>
      <c r="E1059" s="95">
        <f t="shared" si="339"/>
        <v>3288.9919246029626</v>
      </c>
      <c r="F1059" s="96">
        <f t="shared" si="322"/>
        <v>297.14254971019034</v>
      </c>
      <c r="G1059" s="94">
        <f t="shared" si="323"/>
        <v>-1329.2707100010398</v>
      </c>
      <c r="H1059" s="97">
        <f t="shared" si="324"/>
        <v>465.21600196573718</v>
      </c>
      <c r="I1059" s="94">
        <f t="shared" si="325"/>
        <v>-303.31239993138496</v>
      </c>
      <c r="J1059" s="95">
        <f t="shared" si="326"/>
        <v>-248.15454839353325</v>
      </c>
      <c r="K1059" s="94">
        <f t="shared" si="327"/>
        <v>-720.33992607637958</v>
      </c>
      <c r="L1059" s="94">
        <f t="shared" si="328"/>
        <v>80.081096137986421</v>
      </c>
      <c r="M1059" s="93">
        <f t="shared" si="329"/>
        <v>-305.61838399327536</v>
      </c>
      <c r="N1059" s="93">
        <f t="shared" si="330"/>
        <v>30084.090098092001</v>
      </c>
      <c r="O1059" s="93">
        <f t="shared" si="331"/>
        <v>14734.02859073927</v>
      </c>
      <c r="P1059" s="93">
        <f t="shared" si="332"/>
        <v>40244.866519581177</v>
      </c>
      <c r="Q1059" s="93">
        <f t="shared" si="333"/>
        <v>28363588803841.445</v>
      </c>
      <c r="R1059" s="93">
        <f t="shared" si="334"/>
        <v>3473155698841.4077</v>
      </c>
      <c r="S1059" s="93">
        <f t="shared" si="335"/>
        <v>66697560452287.297</v>
      </c>
      <c r="T1059">
        <f t="shared" si="340"/>
        <v>0.5</v>
      </c>
    </row>
    <row r="1060" spans="1:20" x14ac:dyDescent="0.25">
      <c r="A1060">
        <v>508.5</v>
      </c>
      <c r="B1060" s="95">
        <f t="shared" si="336"/>
        <v>-15383.948422473044</v>
      </c>
      <c r="C1060" s="95">
        <f t="shared" si="337"/>
        <v>25242.751830221976</v>
      </c>
      <c r="D1060" s="95">
        <f t="shared" si="338"/>
        <v>-365.96315193638173</v>
      </c>
      <c r="E1060" s="95">
        <f t="shared" si="339"/>
        <v>2624.3565696024425</v>
      </c>
      <c r="F1060" s="96">
        <f t="shared" si="322"/>
        <v>313.41483842887612</v>
      </c>
      <c r="G1060" s="94">
        <f t="shared" si="323"/>
        <v>-1219.5257179021141</v>
      </c>
      <c r="H1060" s="97">
        <f t="shared" si="324"/>
        <v>430.4927093067372</v>
      </c>
      <c r="I1060" s="94">
        <f t="shared" si="325"/>
        <v>-300.9037514111518</v>
      </c>
      <c r="J1060" s="95">
        <f t="shared" si="326"/>
        <v>-191.19975043116298</v>
      </c>
      <c r="K1060" s="94">
        <f t="shared" si="327"/>
        <v>-631.3643374374916</v>
      </c>
      <c r="L1060" s="94">
        <f t="shared" si="328"/>
        <v>74.121879553301937</v>
      </c>
      <c r="M1060" s="93">
        <f t="shared" si="329"/>
        <v>-287.25762905347074</v>
      </c>
      <c r="N1060" s="93">
        <f t="shared" si="330"/>
        <v>30970.148207969833</v>
      </c>
      <c r="O1060" s="93">
        <f t="shared" si="331"/>
        <v>15926.37483937021</v>
      </c>
      <c r="P1060" s="93">
        <f t="shared" si="332"/>
        <v>41560.864520717259</v>
      </c>
      <c r="Q1060" s="93">
        <f t="shared" si="333"/>
        <v>30873935903028.434</v>
      </c>
      <c r="R1060" s="93">
        <f t="shared" si="334"/>
        <v>4335868218363.208</v>
      </c>
      <c r="S1060" s="93">
        <f t="shared" si="335"/>
        <v>73352466405994.797</v>
      </c>
      <c r="T1060">
        <f t="shared" si="340"/>
        <v>0.5</v>
      </c>
    </row>
    <row r="1061" spans="1:20" x14ac:dyDescent="0.25">
      <c r="A1061">
        <v>509</v>
      </c>
      <c r="B1061" s="95">
        <f t="shared" si="336"/>
        <v>-15488.576288834016</v>
      </c>
      <c r="C1061" s="95">
        <f t="shared" si="337"/>
        <v>26250.04868554767</v>
      </c>
      <c r="D1061" s="95">
        <f t="shared" si="338"/>
        <v>-209.25573272194367</v>
      </c>
      <c r="E1061" s="95">
        <f t="shared" si="339"/>
        <v>2014.5937106513854</v>
      </c>
      <c r="F1061" s="96">
        <f t="shared" si="322"/>
        <v>317.16525661021831</v>
      </c>
      <c r="G1061" s="94">
        <f t="shared" si="323"/>
        <v>-1144.1867817858822</v>
      </c>
      <c r="H1061" s="97">
        <f t="shared" si="324"/>
        <v>405.95319912971496</v>
      </c>
      <c r="I1061" s="94">
        <f t="shared" si="325"/>
        <v>-298.62955708006632</v>
      </c>
      <c r="J1061" s="95">
        <f t="shared" si="326"/>
        <v>-158.56321495789865</v>
      </c>
      <c r="K1061" s="94">
        <f t="shared" si="327"/>
        <v>-571.14120237153963</v>
      </c>
      <c r="L1061" s="94">
        <f t="shared" si="328"/>
        <v>69.775272438401998</v>
      </c>
      <c r="M1061" s="93">
        <f t="shared" si="329"/>
        <v>-274.41602233427619</v>
      </c>
      <c r="N1061" s="93">
        <f t="shared" si="330"/>
        <v>31642.247817468968</v>
      </c>
      <c r="O1061" s="93">
        <f t="shared" si="331"/>
        <v>16864.6679832228</v>
      </c>
      <c r="P1061" s="93">
        <f t="shared" si="332"/>
        <v>42562.621502049711</v>
      </c>
      <c r="Q1061" s="93">
        <f t="shared" si="333"/>
        <v>32875187004778.156</v>
      </c>
      <c r="R1061" s="93">
        <f t="shared" si="334"/>
        <v>5109800180802.3564</v>
      </c>
      <c r="S1061" s="93">
        <f t="shared" si="335"/>
        <v>78707047793343.078</v>
      </c>
      <c r="T1061">
        <f t="shared" si="340"/>
        <v>0.5</v>
      </c>
    </row>
    <row r="1062" spans="1:20" x14ac:dyDescent="0.25">
      <c r="A1062">
        <v>509.5</v>
      </c>
      <c r="B1062" s="95">
        <f t="shared" si="336"/>
        <v>-15513.912841042433</v>
      </c>
      <c r="C1062" s="95">
        <f t="shared" si="337"/>
        <v>26971.298845426893</v>
      </c>
      <c r="D1062" s="95">
        <f t="shared" si="338"/>
        <v>-50.673104416834519</v>
      </c>
      <c r="E1062" s="95">
        <f t="shared" si="339"/>
        <v>1442.5003197584442</v>
      </c>
      <c r="F1062" s="96">
        <f t="shared" si="322"/>
        <v>315.93843787916467</v>
      </c>
      <c r="G1062" s="94">
        <f t="shared" si="323"/>
        <v>-1094.8915731685124</v>
      </c>
      <c r="H1062" s="97">
        <f t="shared" si="324"/>
        <v>389.79895624925348</v>
      </c>
      <c r="I1062" s="94">
        <f t="shared" si="325"/>
        <v>-297.48051637753395</v>
      </c>
      <c r="J1062" s="95">
        <f t="shared" si="326"/>
        <v>-140.48235034453461</v>
      </c>
      <c r="K1062" s="94">
        <f t="shared" si="327"/>
        <v>-531.45823202397742</v>
      </c>
      <c r="L1062" s="94">
        <f t="shared" si="328"/>
        <v>66.621831974445769</v>
      </c>
      <c r="M1062" s="93">
        <f t="shared" si="329"/>
        <v>-265.95282476700106</v>
      </c>
      <c r="N1062" s="93">
        <f t="shared" si="330"/>
        <v>32095.034307322876</v>
      </c>
      <c r="O1062" s="93">
        <f t="shared" si="331"/>
        <v>17554.200708051398</v>
      </c>
      <c r="P1062" s="93">
        <f t="shared" si="332"/>
        <v>43268.144055426848</v>
      </c>
      <c r="Q1062" s="93">
        <f t="shared" si="333"/>
        <v>34271650321580.652</v>
      </c>
      <c r="R1062" s="93">
        <f t="shared" si="334"/>
        <v>5735069495196.8682</v>
      </c>
      <c r="S1062" s="93">
        <f t="shared" si="335"/>
        <v>82631649823568.906</v>
      </c>
      <c r="T1062">
        <f t="shared" si="340"/>
        <v>0.5</v>
      </c>
    </row>
    <row r="1063" spans="1:20" x14ac:dyDescent="0.25">
      <c r="A1063">
        <v>510</v>
      </c>
      <c r="B1063" s="95">
        <f t="shared" si="336"/>
        <v>-15460.264783781058</v>
      </c>
      <c r="C1063" s="95">
        <f t="shared" si="337"/>
        <v>27418.826112013987</v>
      </c>
      <c r="D1063" s="95">
        <f t="shared" si="338"/>
        <v>107.29611452274781</v>
      </c>
      <c r="E1063" s="95">
        <f t="shared" si="339"/>
        <v>895.05453317418801</v>
      </c>
      <c r="F1063" s="96">
        <f t="shared" si="322"/>
        <v>313.0777180423828</v>
      </c>
      <c r="G1063" s="94">
        <f t="shared" si="323"/>
        <v>-1066.4777797789268</v>
      </c>
      <c r="H1063" s="97">
        <f t="shared" si="324"/>
        <v>380.88614636537551</v>
      </c>
      <c r="I1063" s="94">
        <f t="shared" si="325"/>
        <v>-297.98609646668098</v>
      </c>
      <c r="J1063" s="95">
        <f t="shared" si="326"/>
        <v>-132.21537968757619</v>
      </c>
      <c r="K1063" s="94">
        <f t="shared" si="327"/>
        <v>-507.30639529015315</v>
      </c>
      <c r="L1063" s="94">
        <f t="shared" si="328"/>
        <v>64.406951364583463</v>
      </c>
      <c r="M1063" s="93">
        <f t="shared" si="329"/>
        <v>-261.18528802209266</v>
      </c>
      <c r="N1063" s="93">
        <f t="shared" si="330"/>
        <v>32326.223357220249</v>
      </c>
      <c r="O1063" s="93">
        <f t="shared" si="331"/>
        <v>18000.68606897967</v>
      </c>
      <c r="P1063" s="93">
        <f t="shared" si="332"/>
        <v>43689.517599397797</v>
      </c>
      <c r="Q1063" s="93">
        <f t="shared" si="333"/>
        <v>34999864380491.684</v>
      </c>
      <c r="R1063" s="93">
        <f t="shared" si="334"/>
        <v>6166536250054.6807</v>
      </c>
      <c r="S1063" s="93">
        <f t="shared" si="335"/>
        <v>85037122813322.375</v>
      </c>
      <c r="T1063">
        <f t="shared" si="340"/>
        <v>0.5</v>
      </c>
    </row>
    <row r="1064" spans="1:20" x14ac:dyDescent="0.25">
      <c r="A1064">
        <v>510.5</v>
      </c>
      <c r="B1064" s="95">
        <f t="shared" si="336"/>
        <v>-15328.347297009088</v>
      </c>
      <c r="C1064" s="95">
        <f t="shared" si="337"/>
        <v>27599.733933656349</v>
      </c>
      <c r="D1064" s="95">
        <f t="shared" si="338"/>
        <v>263.83497354393921</v>
      </c>
      <c r="E1064" s="95">
        <f t="shared" si="339"/>
        <v>361.81564328472462</v>
      </c>
      <c r="F1064" s="96">
        <f t="shared" si="322"/>
        <v>310.00205063809909</v>
      </c>
      <c r="G1064" s="94">
        <f t="shared" si="323"/>
        <v>-1055.997996073753</v>
      </c>
      <c r="H1064" s="97">
        <f t="shared" si="324"/>
        <v>378.62611901949123</v>
      </c>
      <c r="I1064" s="94">
        <f t="shared" si="325"/>
        <v>-300.46509404596407</v>
      </c>
      <c r="J1064" s="95">
        <f t="shared" si="326"/>
        <v>-131.60038636007909</v>
      </c>
      <c r="K1064" s="94">
        <f t="shared" si="327"/>
        <v>-495.78424013003428</v>
      </c>
      <c r="L1064" s="94">
        <f t="shared" si="328"/>
        <v>62.976317978686943</v>
      </c>
      <c r="M1064" s="93">
        <f t="shared" si="329"/>
        <v>-259.74866189775469</v>
      </c>
      <c r="N1064" s="93">
        <f t="shared" si="330"/>
        <v>32334.57098836606</v>
      </c>
      <c r="O1064" s="93">
        <f t="shared" si="331"/>
        <v>18209.200243636653</v>
      </c>
      <c r="P1064" s="93">
        <f t="shared" si="332"/>
        <v>43833.91482751623</v>
      </c>
      <c r="Q1064" s="93">
        <f t="shared" si="333"/>
        <v>35026351766185.824</v>
      </c>
      <c r="R1064" s="93">
        <f t="shared" si="334"/>
        <v>6375380757731.9473</v>
      </c>
      <c r="S1064" s="93">
        <f t="shared" si="335"/>
        <v>85872121016953.625</v>
      </c>
      <c r="T1064">
        <f t="shared" si="340"/>
        <v>0.5</v>
      </c>
    </row>
    <row r="1065" spans="1:20" x14ac:dyDescent="0.25">
      <c r="A1065">
        <v>511</v>
      </c>
      <c r="B1065" s="95">
        <f t="shared" si="336"/>
        <v>-15118.929297577593</v>
      </c>
      <c r="C1065" s="95">
        <f t="shared" si="337"/>
        <v>27516.642256280273</v>
      </c>
      <c r="D1065" s="95">
        <f t="shared" si="338"/>
        <v>418.83599886298873</v>
      </c>
      <c r="E1065" s="95">
        <f t="shared" si="339"/>
        <v>-166.1833547521519</v>
      </c>
      <c r="F1065" s="96">
        <f t="shared" si="322"/>
        <v>307.11972207653025</v>
      </c>
      <c r="G1065" s="94">
        <f t="shared" si="323"/>
        <v>-1062.098039927946</v>
      </c>
      <c r="H1065" s="97">
        <f t="shared" si="324"/>
        <v>382.92828882344344</v>
      </c>
      <c r="I1065" s="94">
        <f t="shared" si="325"/>
        <v>-305.14591113274969</v>
      </c>
      <c r="J1065" s="95">
        <f t="shared" si="326"/>
        <v>-138.05182786718706</v>
      </c>
      <c r="K1065" s="94">
        <f t="shared" si="327"/>
        <v>-495.42500590597439</v>
      </c>
      <c r="L1065" s="94">
        <f t="shared" si="328"/>
        <v>62.243261120273878</v>
      </c>
      <c r="M1065" s="93">
        <f t="shared" si="329"/>
        <v>-261.52712288922191</v>
      </c>
      <c r="N1065" s="93">
        <f t="shared" si="330"/>
        <v>32118.944196106557</v>
      </c>
      <c r="O1065" s="93">
        <f t="shared" si="331"/>
        <v>18183.993157074987</v>
      </c>
      <c r="P1065" s="93">
        <f t="shared" si="332"/>
        <v>43704.205734435811</v>
      </c>
      <c r="Q1065" s="93">
        <f t="shared" si="333"/>
        <v>34346484729457.949</v>
      </c>
      <c r="R1065" s="93">
        <f t="shared" si="334"/>
        <v>6349882361054.6621</v>
      </c>
      <c r="S1065" s="93">
        <f t="shared" si="335"/>
        <v>85121809095758.203</v>
      </c>
      <c r="T1065">
        <f t="shared" si="340"/>
        <v>0.5</v>
      </c>
    </row>
    <row r="1066" spans="1:20" x14ac:dyDescent="0.25">
      <c r="A1066">
        <v>511.5</v>
      </c>
      <c r="B1066" s="95">
        <f t="shared" si="336"/>
        <v>-14832.731367626966</v>
      </c>
      <c r="C1066" s="95">
        <f t="shared" si="337"/>
        <v>27168.026068922209</v>
      </c>
      <c r="D1066" s="95">
        <f t="shared" si="338"/>
        <v>572.39585990125386</v>
      </c>
      <c r="E1066" s="95">
        <f t="shared" si="339"/>
        <v>-697.23237471612492</v>
      </c>
      <c r="F1066" s="96">
        <f t="shared" si="322"/>
        <v>304.13318064168305</v>
      </c>
      <c r="G1066" s="94">
        <f t="shared" si="323"/>
        <v>-1084.6664966624469</v>
      </c>
      <c r="H1066" s="97">
        <f t="shared" si="324"/>
        <v>394.2024609123892</v>
      </c>
      <c r="I1066" s="94">
        <f t="shared" si="325"/>
        <v>-312.21633105432568</v>
      </c>
      <c r="J1066" s="95">
        <f t="shared" si="326"/>
        <v>-152.24236125132478</v>
      </c>
      <c r="K1066" s="94">
        <f t="shared" si="327"/>
        <v>-505.81864669897982</v>
      </c>
      <c r="L1066" s="94">
        <f t="shared" si="328"/>
        <v>62.173080980618629</v>
      </c>
      <c r="M1066" s="93">
        <f t="shared" si="329"/>
        <v>-266.63151890914145</v>
      </c>
      <c r="N1066" s="93">
        <f t="shared" si="330"/>
        <v>31678.001777645757</v>
      </c>
      <c r="O1066" s="93">
        <f t="shared" si="331"/>
        <v>17928.797623440867</v>
      </c>
      <c r="P1066" s="93">
        <f t="shared" si="332"/>
        <v>43299.24974750969</v>
      </c>
      <c r="Q1066" s="93">
        <f t="shared" si="333"/>
        <v>32984034926511.293</v>
      </c>
      <c r="R1066" s="93">
        <f t="shared" si="334"/>
        <v>6095625414983.1406</v>
      </c>
      <c r="S1066" s="93">
        <f t="shared" si="335"/>
        <v>82807639957257.25</v>
      </c>
      <c r="T1066">
        <f t="shared" si="340"/>
        <v>0.5</v>
      </c>
    </row>
    <row r="1067" spans="1:20" x14ac:dyDescent="0.25">
      <c r="A1067">
        <v>512</v>
      </c>
      <c r="B1067" s="95">
        <f t="shared" si="336"/>
        <v>-14470.500142515917</v>
      </c>
      <c r="C1067" s="95">
        <f t="shared" si="337"/>
        <v>26548.243257398532</v>
      </c>
      <c r="D1067" s="95">
        <f t="shared" si="338"/>
        <v>724.46245022209541</v>
      </c>
      <c r="E1067" s="95">
        <f t="shared" si="339"/>
        <v>-1239.5656230473483</v>
      </c>
      <c r="F1067" s="96">
        <f t="shared" si="322"/>
        <v>299.98354215798935</v>
      </c>
      <c r="G1067" s="94">
        <f t="shared" si="323"/>
        <v>-1124.6310553958751</v>
      </c>
      <c r="H1067" s="97">
        <f t="shared" si="324"/>
        <v>413.4307394232527</v>
      </c>
      <c r="I1067" s="94">
        <f t="shared" si="325"/>
        <v>-321.82134605976989</v>
      </c>
      <c r="J1067" s="95">
        <f t="shared" si="326"/>
        <v>-176.22551121776945</v>
      </c>
      <c r="K1067" s="94">
        <f t="shared" si="327"/>
        <v>-527.39356233891669</v>
      </c>
      <c r="L1067" s="94">
        <f t="shared" si="328"/>
        <v>62.778313952506117</v>
      </c>
      <c r="M1067" s="93">
        <f t="shared" si="329"/>
        <v>-275.4161469971886</v>
      </c>
      <c r="N1067" s="93">
        <f t="shared" si="330"/>
        <v>31010.336154545312</v>
      </c>
      <c r="O1067" s="93">
        <f t="shared" si="331"/>
        <v>17447.628021595156</v>
      </c>
      <c r="P1067" s="93">
        <f t="shared" si="332"/>
        <v>42613.928365328589</v>
      </c>
      <c r="Q1067" s="93">
        <f t="shared" si="333"/>
        <v>30991222207553.883</v>
      </c>
      <c r="R1067" s="93">
        <f t="shared" si="334"/>
        <v>5635206230469.3711</v>
      </c>
      <c r="S1067" s="93">
        <f t="shared" si="335"/>
        <v>78988140437736.234</v>
      </c>
      <c r="T1067">
        <f t="shared" si="340"/>
        <v>0.5</v>
      </c>
    </row>
    <row r="1068" spans="1:20" x14ac:dyDescent="0.25">
      <c r="A1068">
        <v>512.5</v>
      </c>
      <c r="B1068" s="95">
        <f t="shared" si="336"/>
        <v>-14033.273031865372</v>
      </c>
      <c r="C1068" s="95">
        <f t="shared" si="337"/>
        <v>25647.302682025889</v>
      </c>
      <c r="D1068" s="95">
        <f t="shared" si="338"/>
        <v>874.45422130109012</v>
      </c>
      <c r="E1068" s="95">
        <f t="shared" si="339"/>
        <v>-1801.8811507452858</v>
      </c>
      <c r="F1068" s="96">
        <f t="shared" ref="F1068:F1131" si="341">SUM(H1068,J1068,L1068)</f>
        <v>292.44701891353117</v>
      </c>
      <c r="G1068" s="94">
        <f t="shared" ref="G1068:G1131" si="342">SUM(I1068,K1068,M1068)</f>
        <v>-1183.7383922099509</v>
      </c>
      <c r="H1068" s="97">
        <f t="shared" ref="H1068:H1131" si="343">$D$22*(($D$18-$B1068)/$Q1068)</f>
        <v>442.32514839724809</v>
      </c>
      <c r="I1068" s="94">
        <f t="shared" ref="I1068:I1131" si="344">$D$22*(($E$18-$C1068)/$Q1068)</f>
        <v>-333.99563768089286</v>
      </c>
      <c r="J1068" s="95">
        <f t="shared" ref="J1068:J1131" si="345">$D$30*(($D$26-$B1068)/$R1068)</f>
        <v>-214.00172632932225</v>
      </c>
      <c r="K1068" s="94">
        <f t="shared" ref="K1068:K1131" si="346">$D$30*(($E$26-$C1068)/$R1068)</f>
        <v>-561.20378965451937</v>
      </c>
      <c r="L1068" s="94">
        <f t="shared" ref="L1068:L1131" si="347">$D$38*(($D$34-$B1068)/$S1068)</f>
        <v>64.12359684560532</v>
      </c>
      <c r="M1068" s="93">
        <f t="shared" ref="M1068:M1131" si="348">$D$38*(($E$34-$C1068)/$S1068)</f>
        <v>-288.53896487453864</v>
      </c>
      <c r="N1068" s="93">
        <f t="shared" ref="N1068:N1131" si="349">SQRT(($D$18-$B1068)^2+($E$18-$C1068)^2)</f>
        <v>30115.159094005317</v>
      </c>
      <c r="O1068" s="93">
        <f t="shared" ref="O1068:O1131" si="350">SQRT(($D$26-$B1068)^2+($E$26-$C1068)^2)</f>
        <v>16746.340254969131</v>
      </c>
      <c r="P1068" s="93">
        <f t="shared" ref="P1068:P1131" si="351">SQRT(($D$34-$B1068)^2+($E$34-$C1068)^2)</f>
        <v>41638.962967303298</v>
      </c>
      <c r="Q1068" s="93">
        <f t="shared" ref="Q1068:Q1131" si="352">($N1068^2+$D$39^2)^(3/2)</f>
        <v>28449190326847.379</v>
      </c>
      <c r="R1068" s="93">
        <f t="shared" ref="R1068:R1131" si="353">($O1068^2+$D$31^2)^(3/2)</f>
        <v>5007392459080.7568</v>
      </c>
      <c r="S1068" s="93">
        <f t="shared" ref="S1068:S1131" si="354">($P1068^2+$D$23^2)^(3/2)</f>
        <v>73760845177136.953</v>
      </c>
      <c r="T1068">
        <f t="shared" si="340"/>
        <v>0.5</v>
      </c>
    </row>
    <row r="1069" spans="1:20" x14ac:dyDescent="0.25">
      <c r="A1069">
        <v>513</v>
      </c>
      <c r="B1069" s="95">
        <f t="shared" ref="B1069:B1132" si="355">B1068+(D1068*$T1068)+(F1068*($T1068)^2)</f>
        <v>-13522.934166486444</v>
      </c>
      <c r="C1069" s="95">
        <f t="shared" ref="C1069:C1132" si="356">C1068+(E1068*$T1068)+(G1068*($T1068)^2)</f>
        <v>24450.427508600758</v>
      </c>
      <c r="D1069" s="95">
        <f t="shared" ref="D1069:D1132" si="357">D1068+(F1068*$T1068)</f>
        <v>1020.6777307578557</v>
      </c>
      <c r="E1069" s="95">
        <f t="shared" ref="E1069:E1132" si="358">E1068+(G1068*$T1068)</f>
        <v>-2393.7503468502614</v>
      </c>
      <c r="F1069" s="96">
        <f t="shared" si="341"/>
        <v>277.22981660830897</v>
      </c>
      <c r="G1069" s="94">
        <f t="shared" si="342"/>
        <v>-1263.9675167462267</v>
      </c>
      <c r="H1069" s="97">
        <f t="shared" si="343"/>
        <v>483.59305881615921</v>
      </c>
      <c r="I1069" s="94">
        <f t="shared" si="344"/>
        <v>-348.47307011573332</v>
      </c>
      <c r="J1069" s="95">
        <f t="shared" si="345"/>
        <v>-272.70602738408957</v>
      </c>
      <c r="K1069" s="94">
        <f t="shared" si="346"/>
        <v>-608.41108939826734</v>
      </c>
      <c r="L1069" s="94">
        <f t="shared" si="347"/>
        <v>66.342785176239289</v>
      </c>
      <c r="M1069" s="93">
        <f t="shared" si="348"/>
        <v>-307.08335723222598</v>
      </c>
      <c r="N1069" s="93">
        <f t="shared" si="349"/>
        <v>28993.885985241519</v>
      </c>
      <c r="O1069" s="93">
        <f t="shared" si="350"/>
        <v>15835.631878551427</v>
      </c>
      <c r="P1069" s="93">
        <f t="shared" si="351"/>
        <v>40360.582719004757</v>
      </c>
      <c r="Q1069" s="93">
        <f t="shared" si="352"/>
        <v>25468892291801.719</v>
      </c>
      <c r="R1069" s="93">
        <f t="shared" si="353"/>
        <v>4265562569126.522</v>
      </c>
      <c r="S1069" s="93">
        <f t="shared" si="354"/>
        <v>67265760432311.359</v>
      </c>
      <c r="T1069">
        <f t="shared" si="340"/>
        <v>0.5</v>
      </c>
    </row>
    <row r="1070" spans="1:20" x14ac:dyDescent="0.25">
      <c r="A1070">
        <v>513.5</v>
      </c>
      <c r="B1070" s="95">
        <f t="shared" si="355"/>
        <v>-12943.28784695544</v>
      </c>
      <c r="C1070" s="95">
        <f t="shared" si="356"/>
        <v>22937.560455989071</v>
      </c>
      <c r="D1070" s="95">
        <f t="shared" si="357"/>
        <v>1159.29263906201</v>
      </c>
      <c r="E1070" s="95">
        <f t="shared" si="358"/>
        <v>-3025.7341052233746</v>
      </c>
      <c r="F1070" s="96">
        <f t="shared" si="341"/>
        <v>246.30038349135722</v>
      </c>
      <c r="G1070" s="94">
        <f t="shared" si="342"/>
        <v>-1365.624627038449</v>
      </c>
      <c r="H1070" s="97">
        <f t="shared" si="343"/>
        <v>541.31563092675287</v>
      </c>
      <c r="I1070" s="94">
        <f t="shared" si="344"/>
        <v>-364.2282149771541</v>
      </c>
      <c r="J1070" s="95">
        <f t="shared" si="345"/>
        <v>-364.69221296446665</v>
      </c>
      <c r="K1070" s="94">
        <f t="shared" si="346"/>
        <v>-668.61556072123312</v>
      </c>
      <c r="L1070" s="94">
        <f t="shared" si="347"/>
        <v>69.676965529070998</v>
      </c>
      <c r="M1070" s="93">
        <f t="shared" si="348"/>
        <v>-332.78085134006182</v>
      </c>
      <c r="N1070" s="93">
        <f t="shared" si="349"/>
        <v>27653.439750970778</v>
      </c>
      <c r="O1070" s="93">
        <f t="shared" si="350"/>
        <v>14736.948699215143</v>
      </c>
      <c r="P1070" s="93">
        <f t="shared" si="351"/>
        <v>38760.21562338651</v>
      </c>
      <c r="Q1070" s="93">
        <f t="shared" si="352"/>
        <v>22192371212888.047</v>
      </c>
      <c r="R1070" s="93">
        <f t="shared" si="353"/>
        <v>3475110789659.8125</v>
      </c>
      <c r="S1070" s="93">
        <f t="shared" si="354"/>
        <v>59691115411095.719</v>
      </c>
      <c r="T1070">
        <f t="shared" si="340"/>
        <v>0.5</v>
      </c>
    </row>
    <row r="1071" spans="1:20" x14ac:dyDescent="0.25">
      <c r="A1071">
        <v>514</v>
      </c>
      <c r="B1071" s="95">
        <f t="shared" si="355"/>
        <v>-12302.066431551597</v>
      </c>
      <c r="C1071" s="95">
        <f t="shared" si="356"/>
        <v>21083.287246617772</v>
      </c>
      <c r="D1071" s="95">
        <f t="shared" si="357"/>
        <v>1282.4428308076886</v>
      </c>
      <c r="E1071" s="95">
        <f t="shared" si="358"/>
        <v>-3708.5464187425991</v>
      </c>
      <c r="F1071" s="96">
        <f t="shared" si="341"/>
        <v>185.60967595145075</v>
      </c>
      <c r="G1071" s="94">
        <f t="shared" si="342"/>
        <v>-1481.5060888454989</v>
      </c>
      <c r="H1071" s="97">
        <f t="shared" si="343"/>
        <v>621.32373322598983</v>
      </c>
      <c r="I1071" s="94">
        <f t="shared" si="344"/>
        <v>-378.42317291323616</v>
      </c>
      <c r="J1071" s="95">
        <f t="shared" si="345"/>
        <v>-510.2683991753679</v>
      </c>
      <c r="K1071" s="94">
        <f t="shared" si="346"/>
        <v>-734.67134921928607</v>
      </c>
      <c r="L1071" s="94">
        <f t="shared" si="347"/>
        <v>74.554341900828831</v>
      </c>
      <c r="M1071" s="93">
        <f t="shared" si="348"/>
        <v>-368.41156671297659</v>
      </c>
      <c r="N1071" s="93">
        <f t="shared" si="349"/>
        <v>26112.982586090573</v>
      </c>
      <c r="O1071" s="93">
        <f t="shared" si="350"/>
        <v>13494.348350894345</v>
      </c>
      <c r="P1071" s="93">
        <f t="shared" si="351"/>
        <v>36814.722499194824</v>
      </c>
      <c r="Q1071" s="93">
        <f t="shared" si="352"/>
        <v>18794283965690.75</v>
      </c>
      <c r="R1071" s="93">
        <f t="shared" si="353"/>
        <v>2709369439639.0532</v>
      </c>
      <c r="S1071" s="93">
        <f t="shared" si="354"/>
        <v>51282768319296.914</v>
      </c>
      <c r="T1071">
        <f t="shared" si="340"/>
        <v>0.5</v>
      </c>
    </row>
    <row r="1072" spans="1:20" x14ac:dyDescent="0.25">
      <c r="A1072">
        <v>514.5</v>
      </c>
      <c r="B1072" s="95">
        <f t="shared" si="355"/>
        <v>-11614.44259715989</v>
      </c>
      <c r="C1072" s="95">
        <f t="shared" si="356"/>
        <v>18858.637515035098</v>
      </c>
      <c r="D1072" s="95">
        <f t="shared" si="357"/>
        <v>1375.2476687834139</v>
      </c>
      <c r="E1072" s="95">
        <f t="shared" si="358"/>
        <v>-4449.2994631653482</v>
      </c>
      <c r="F1072" s="96">
        <f t="shared" si="341"/>
        <v>75.813142160051228</v>
      </c>
      <c r="G1072" s="94">
        <f t="shared" si="342"/>
        <v>-1581.128275078257</v>
      </c>
      <c r="H1072" s="97">
        <f t="shared" si="343"/>
        <v>730.95826638792335</v>
      </c>
      <c r="I1072" s="94">
        <f t="shared" si="344"/>
        <v>-384.1269535032954</v>
      </c>
      <c r="J1072" s="95">
        <f t="shared" si="345"/>
        <v>-736.90545677114744</v>
      </c>
      <c r="K1072" s="94">
        <f t="shared" si="346"/>
        <v>-778.4787594651724</v>
      </c>
      <c r="L1072" s="94">
        <f t="shared" si="347"/>
        <v>81.760332543275325</v>
      </c>
      <c r="M1072" s="93">
        <f t="shared" si="348"/>
        <v>-418.52256210978942</v>
      </c>
      <c r="N1072" s="93">
        <f t="shared" si="349"/>
        <v>24417.263871774878</v>
      </c>
      <c r="O1072" s="93">
        <f t="shared" si="350"/>
        <v>12198.074912834147</v>
      </c>
      <c r="P1072" s="93">
        <f t="shared" si="351"/>
        <v>34498.669325724215</v>
      </c>
      <c r="Q1072" s="93">
        <f t="shared" si="352"/>
        <v>15482820565170.932</v>
      </c>
      <c r="R1072" s="93">
        <f t="shared" si="353"/>
        <v>2043680053028.2454</v>
      </c>
      <c r="S1072" s="93">
        <f t="shared" si="354"/>
        <v>42359343919070.234</v>
      </c>
      <c r="T1072">
        <f t="shared" si="340"/>
        <v>0.5</v>
      </c>
    </row>
    <row r="1073" spans="1:20" x14ac:dyDescent="0.25">
      <c r="A1073">
        <v>515</v>
      </c>
      <c r="B1073" s="95">
        <f t="shared" si="355"/>
        <v>-10907.865477228172</v>
      </c>
      <c r="C1073" s="95">
        <f t="shared" si="356"/>
        <v>16238.705714682859</v>
      </c>
      <c r="D1073" s="95">
        <f t="shared" si="357"/>
        <v>1413.1542398634394</v>
      </c>
      <c r="E1073" s="95">
        <f t="shared" si="358"/>
        <v>-5239.863600704477</v>
      </c>
      <c r="F1073" s="96">
        <f t="shared" si="341"/>
        <v>-85.758923185259675</v>
      </c>
      <c r="G1073" s="94">
        <f t="shared" si="342"/>
        <v>-1580.4680596314158</v>
      </c>
      <c r="H1073" s="97">
        <f t="shared" si="343"/>
        <v>876.04243008670596</v>
      </c>
      <c r="I1073" s="94">
        <f t="shared" si="344"/>
        <v>-366.15296757296096</v>
      </c>
      <c r="J1073" s="95">
        <f t="shared" si="345"/>
        <v>-1054.5998120536676</v>
      </c>
      <c r="K1073" s="94">
        <f t="shared" si="346"/>
        <v>-723.62962269028424</v>
      </c>
      <c r="L1073" s="94">
        <f t="shared" si="347"/>
        <v>92.798458781701981</v>
      </c>
      <c r="M1073" s="93">
        <f t="shared" si="348"/>
        <v>-490.68546936817046</v>
      </c>
      <c r="N1073" s="93">
        <f t="shared" si="349"/>
        <v>22660.622594750137</v>
      </c>
      <c r="O1073" s="93">
        <f t="shared" si="350"/>
        <v>11026.711167641775</v>
      </c>
      <c r="P1073" s="93">
        <f t="shared" si="351"/>
        <v>31792.445788670993</v>
      </c>
      <c r="Q1073" s="93">
        <f t="shared" si="352"/>
        <v>12496349934976.443</v>
      </c>
      <c r="R1073" s="93">
        <f t="shared" si="353"/>
        <v>1548356299806.9626</v>
      </c>
      <c r="S1073" s="93">
        <f t="shared" si="354"/>
        <v>33334078721640.121</v>
      </c>
      <c r="T1073">
        <f t="shared" si="340"/>
        <v>0.5</v>
      </c>
    </row>
    <row r="1074" spans="1:20" x14ac:dyDescent="0.25">
      <c r="A1074">
        <v>515.5</v>
      </c>
      <c r="B1074" s="95">
        <f t="shared" si="355"/>
        <v>-10222.728088092766</v>
      </c>
      <c r="C1074" s="95">
        <f t="shared" si="356"/>
        <v>13223.656899422767</v>
      </c>
      <c r="D1074" s="95">
        <f t="shared" si="357"/>
        <v>1370.2747782708095</v>
      </c>
      <c r="E1074" s="95">
        <f t="shared" si="358"/>
        <v>-6030.0976305201848</v>
      </c>
      <c r="F1074" s="96">
        <f t="shared" si="341"/>
        <v>-205.04644928531354</v>
      </c>
      <c r="G1074" s="94">
        <f t="shared" si="342"/>
        <v>-1345.0734573566128</v>
      </c>
      <c r="H1074" s="97">
        <f t="shared" si="343"/>
        <v>1050.1592723261733</v>
      </c>
      <c r="I1074" s="94">
        <f t="shared" si="344"/>
        <v>-297.22752233817818</v>
      </c>
      <c r="J1074" s="95">
        <f t="shared" si="345"/>
        <v>-1365.7785212451877</v>
      </c>
      <c r="K1074" s="94">
        <f t="shared" si="346"/>
        <v>-450.3097993759925</v>
      </c>
      <c r="L1074" s="94">
        <f t="shared" si="347"/>
        <v>110.57279963370082</v>
      </c>
      <c r="M1074" s="93">
        <f t="shared" si="348"/>
        <v>-597.53613564244199</v>
      </c>
      <c r="N1074" s="93">
        <f t="shared" si="349"/>
        <v>21017.111590969056</v>
      </c>
      <c r="O1074" s="93">
        <f t="shared" si="350"/>
        <v>10294.999263941991</v>
      </c>
      <c r="P1074" s="93">
        <f t="shared" si="351"/>
        <v>28702.816890655307</v>
      </c>
      <c r="Q1074" s="93">
        <f t="shared" si="352"/>
        <v>10082847378691.66</v>
      </c>
      <c r="R1074" s="93">
        <f t="shared" si="353"/>
        <v>1285671915388.541</v>
      </c>
      <c r="S1074" s="93">
        <f t="shared" si="354"/>
        <v>24731344790647.32</v>
      </c>
      <c r="T1074">
        <f t="shared" si="340"/>
        <v>0.5</v>
      </c>
    </row>
    <row r="1075" spans="1:20" x14ac:dyDescent="0.25">
      <c r="A1075">
        <v>516</v>
      </c>
      <c r="B1075" s="95">
        <f t="shared" si="355"/>
        <v>-9588.8523112786897</v>
      </c>
      <c r="C1075" s="95">
        <f t="shared" si="356"/>
        <v>9872.3397198235216</v>
      </c>
      <c r="D1075" s="95">
        <f t="shared" si="357"/>
        <v>1267.7515536281528</v>
      </c>
      <c r="E1075" s="95">
        <f t="shared" si="358"/>
        <v>-6702.6343591984914</v>
      </c>
      <c r="F1075" s="96">
        <f t="shared" si="341"/>
        <v>-54.500334753543399</v>
      </c>
      <c r="G1075" s="94">
        <f t="shared" si="342"/>
        <v>-889.92539964883292</v>
      </c>
      <c r="H1075" s="97">
        <f t="shared" si="343"/>
        <v>1216.0594917485835</v>
      </c>
      <c r="I1075" s="94">
        <f t="shared" si="344"/>
        <v>-147.27285642367744</v>
      </c>
      <c r="J1075" s="95">
        <f t="shared" si="345"/>
        <v>-1410.7679424459898</v>
      </c>
      <c r="K1075" s="94">
        <f t="shared" si="346"/>
        <v>17.29867217153738</v>
      </c>
      <c r="L1075" s="94">
        <f t="shared" si="347"/>
        <v>140.20811594386291</v>
      </c>
      <c r="M1075" s="93">
        <f t="shared" si="348"/>
        <v>-759.95121539669287</v>
      </c>
      <c r="N1075" s="93">
        <f t="shared" si="349"/>
        <v>19731.982430038315</v>
      </c>
      <c r="O1075" s="93">
        <f t="shared" si="350"/>
        <v>10411.930337046144</v>
      </c>
      <c r="P1075" s="93">
        <f t="shared" si="351"/>
        <v>25292.110403701758</v>
      </c>
      <c r="Q1075" s="93">
        <f t="shared" si="352"/>
        <v>8434372787809.2744</v>
      </c>
      <c r="R1075" s="93">
        <f t="shared" si="353"/>
        <v>1325365822615.0886</v>
      </c>
      <c r="S1075" s="93">
        <f t="shared" si="354"/>
        <v>17136792941065.945</v>
      </c>
      <c r="T1075">
        <f t="shared" si="340"/>
        <v>0.5</v>
      </c>
    </row>
    <row r="1076" spans="1:20" x14ac:dyDescent="0.25">
      <c r="A1076">
        <v>516.5</v>
      </c>
      <c r="B1076" s="95">
        <f t="shared" si="355"/>
        <v>-8968.6016181529994</v>
      </c>
      <c r="C1076" s="95">
        <f t="shared" si="356"/>
        <v>6298.5411903120676</v>
      </c>
      <c r="D1076" s="95">
        <f t="shared" si="357"/>
        <v>1240.5013862513811</v>
      </c>
      <c r="E1076" s="95">
        <f t="shared" si="358"/>
        <v>-7147.5970590229081</v>
      </c>
      <c r="F1076" s="96">
        <f t="shared" si="341"/>
        <v>393.05430258207252</v>
      </c>
      <c r="G1076" s="94">
        <f t="shared" si="342"/>
        <v>-561.09679902667131</v>
      </c>
      <c r="H1076" s="97">
        <f t="shared" si="343"/>
        <v>1308.3650102936683</v>
      </c>
      <c r="I1076" s="94">
        <f t="shared" si="344"/>
        <v>82.87098329907532</v>
      </c>
      <c r="J1076" s="95">
        <f t="shared" si="345"/>
        <v>-1104.3481692596281</v>
      </c>
      <c r="K1076" s="94">
        <f t="shared" si="346"/>
        <v>370.5513225590156</v>
      </c>
      <c r="L1076" s="94">
        <f t="shared" si="347"/>
        <v>189.0374615480323</v>
      </c>
      <c r="M1076" s="93">
        <f t="shared" si="348"/>
        <v>-1014.5191048847622</v>
      </c>
      <c r="N1076" s="93">
        <f t="shared" si="349"/>
        <v>19006.613339034739</v>
      </c>
      <c r="O1076" s="93">
        <f t="shared" si="350"/>
        <v>11635.83033473903</v>
      </c>
      <c r="P1076" s="93">
        <f t="shared" si="351"/>
        <v>21665.125331717481</v>
      </c>
      <c r="Q1076" s="93">
        <f t="shared" si="352"/>
        <v>7591105313835.5879</v>
      </c>
      <c r="R1076" s="93">
        <f t="shared" si="353"/>
        <v>1793978754528.4358</v>
      </c>
      <c r="S1076" s="93">
        <f t="shared" si="354"/>
        <v>10992291850969.195</v>
      </c>
      <c r="T1076">
        <f t="shared" si="340"/>
        <v>0.5</v>
      </c>
    </row>
    <row r="1077" spans="1:20" x14ac:dyDescent="0.25">
      <c r="A1077">
        <v>517</v>
      </c>
      <c r="B1077" s="95">
        <f t="shared" si="355"/>
        <v>-8250.0873493817908</v>
      </c>
      <c r="C1077" s="95">
        <f t="shared" si="356"/>
        <v>2584.4684610439458</v>
      </c>
      <c r="D1077" s="95">
        <f t="shared" si="357"/>
        <v>1437.0285375424173</v>
      </c>
      <c r="E1077" s="95">
        <f t="shared" si="358"/>
        <v>-7428.1454585362435</v>
      </c>
      <c r="F1077" s="96">
        <f t="shared" si="341"/>
        <v>827.18342550293573</v>
      </c>
      <c r="G1077" s="94">
        <f t="shared" si="342"/>
        <v>-641.04787858658005</v>
      </c>
      <c r="H1077" s="97">
        <f t="shared" si="343"/>
        <v>1278.7321564595049</v>
      </c>
      <c r="I1077" s="94">
        <f t="shared" si="344"/>
        <v>344.41743344132033</v>
      </c>
      <c r="J1077" s="95">
        <f t="shared" si="345"/>
        <v>-717.36832100493109</v>
      </c>
      <c r="K1077" s="94">
        <f t="shared" si="346"/>
        <v>452.74101754110734</v>
      </c>
      <c r="L1077" s="94">
        <f t="shared" si="347"/>
        <v>265.81959004836193</v>
      </c>
      <c r="M1077" s="93">
        <f t="shared" si="348"/>
        <v>-1438.2063295690077</v>
      </c>
      <c r="N1077" s="93">
        <f t="shared" si="349"/>
        <v>18900.479850271975</v>
      </c>
      <c r="O1077" s="93">
        <f t="shared" si="350"/>
        <v>13894.263395459644</v>
      </c>
      <c r="P1077" s="93">
        <f t="shared" si="351"/>
        <v>17882.29847743463</v>
      </c>
      <c r="Q1077" s="93">
        <f t="shared" si="352"/>
        <v>7472810738689.6084</v>
      </c>
      <c r="R1077" s="93">
        <f t="shared" si="353"/>
        <v>2941610628889.856</v>
      </c>
      <c r="S1077" s="93">
        <f t="shared" si="354"/>
        <v>6401867358286.9482</v>
      </c>
      <c r="T1077">
        <f t="shared" si="340"/>
        <v>0.5</v>
      </c>
    </row>
    <row r="1078" spans="1:20" x14ac:dyDescent="0.25">
      <c r="A1078">
        <v>517.5</v>
      </c>
      <c r="B1078" s="95">
        <f t="shared" si="355"/>
        <v>-7324.7772242348483</v>
      </c>
      <c r="C1078" s="95">
        <f t="shared" si="356"/>
        <v>-1289.8662378708209</v>
      </c>
      <c r="D1078" s="95">
        <f t="shared" si="357"/>
        <v>1850.6202502938852</v>
      </c>
      <c r="E1078" s="95">
        <f t="shared" si="358"/>
        <v>-7748.6693978295334</v>
      </c>
      <c r="F1078" s="96">
        <f t="shared" si="341"/>
        <v>1063.6658976390202</v>
      </c>
      <c r="G1078" s="94">
        <f t="shared" si="342"/>
        <v>-1264.9368886166567</v>
      </c>
      <c r="H1078" s="97">
        <f t="shared" si="343"/>
        <v>1123.7344468849765</v>
      </c>
      <c r="I1078" s="94">
        <f t="shared" si="344"/>
        <v>570.13578571097253</v>
      </c>
      <c r="J1078" s="95">
        <f t="shared" si="345"/>
        <v>-437.27878783212435</v>
      </c>
      <c r="K1078" s="94">
        <f t="shared" si="346"/>
        <v>389.48577951009327</v>
      </c>
      <c r="L1078" s="94">
        <f t="shared" si="347"/>
        <v>377.21023858616815</v>
      </c>
      <c r="M1078" s="93">
        <f t="shared" si="348"/>
        <v>-2224.5584538377225</v>
      </c>
      <c r="N1078" s="93">
        <f t="shared" si="349"/>
        <v>19427.034110976074</v>
      </c>
      <c r="O1078" s="93">
        <f t="shared" si="350"/>
        <v>16974.167198548832</v>
      </c>
      <c r="P1078" s="93">
        <f t="shared" si="351"/>
        <v>13905.838950519867</v>
      </c>
      <c r="Q1078" s="93">
        <f t="shared" si="352"/>
        <v>8072398392047.4912</v>
      </c>
      <c r="R1078" s="93">
        <f t="shared" si="353"/>
        <v>5205829414785.9619</v>
      </c>
      <c r="S1078" s="93">
        <f t="shared" si="354"/>
        <v>3226981623591.6284</v>
      </c>
      <c r="T1078">
        <f t="shared" si="340"/>
        <v>0.5</v>
      </c>
    </row>
    <row r="1079" spans="1:20" x14ac:dyDescent="0.25">
      <c r="A1079">
        <v>518</v>
      </c>
      <c r="B1079" s="95">
        <f t="shared" si="355"/>
        <v>-6133.5506246781506</v>
      </c>
      <c r="C1079" s="95">
        <f t="shared" si="356"/>
        <v>-5480.435158939752</v>
      </c>
      <c r="D1079" s="95">
        <f t="shared" si="357"/>
        <v>2382.4531991133954</v>
      </c>
      <c r="E1079" s="95">
        <f t="shared" si="358"/>
        <v>-8381.1378421378613</v>
      </c>
      <c r="F1079" s="96">
        <f t="shared" si="341"/>
        <v>1077.404741037089</v>
      </c>
      <c r="G1079" s="94">
        <f t="shared" si="342"/>
        <v>-2943.1612887215006</v>
      </c>
      <c r="H1079" s="97">
        <f t="shared" si="343"/>
        <v>873.88850427458271</v>
      </c>
      <c r="I1079" s="94">
        <f t="shared" si="344"/>
        <v>703.09712534870823</v>
      </c>
      <c r="J1079" s="95">
        <f t="shared" si="345"/>
        <v>-266.0301255461514</v>
      </c>
      <c r="K1079" s="94">
        <f t="shared" si="346"/>
        <v>296.99470984771909</v>
      </c>
      <c r="L1079" s="94">
        <f t="shared" si="347"/>
        <v>469.54636230865788</v>
      </c>
      <c r="M1079" s="93">
        <f t="shared" si="348"/>
        <v>-3943.253123917928</v>
      </c>
      <c r="N1079" s="93">
        <f t="shared" si="349"/>
        <v>20707.079771771103</v>
      </c>
      <c r="O1079" s="93">
        <f t="shared" si="350"/>
        <v>20782.740218472194</v>
      </c>
      <c r="P1079" s="93">
        <f t="shared" si="351"/>
        <v>9586.8165613961064</v>
      </c>
      <c r="Q1079" s="93">
        <f t="shared" si="352"/>
        <v>9666573380716.2832</v>
      </c>
      <c r="R1079" s="93">
        <f t="shared" si="353"/>
        <v>9361106655378.707</v>
      </c>
      <c r="S1079" s="93">
        <f t="shared" si="354"/>
        <v>1264040714194.7153</v>
      </c>
      <c r="T1079">
        <f t="shared" si="340"/>
        <v>0.5</v>
      </c>
    </row>
    <row r="1080" spans="1:20" x14ac:dyDescent="0.25">
      <c r="A1080">
        <v>518.5</v>
      </c>
      <c r="B1080" s="95">
        <f t="shared" si="355"/>
        <v>-4672.972839862181</v>
      </c>
      <c r="C1080" s="95">
        <f t="shared" si="356"/>
        <v>-10406.794402189058</v>
      </c>
      <c r="D1080" s="95">
        <f t="shared" si="357"/>
        <v>2921.1555696319401</v>
      </c>
      <c r="E1080" s="95">
        <f t="shared" si="358"/>
        <v>-9852.718486498612</v>
      </c>
      <c r="F1080" s="96">
        <f t="shared" si="341"/>
        <v>-127.95217027358035</v>
      </c>
      <c r="G1080" s="94">
        <f t="shared" si="342"/>
        <v>-6737.4162731510341</v>
      </c>
      <c r="H1080" s="97">
        <f t="shared" si="343"/>
        <v>578.2706943283182</v>
      </c>
      <c r="I1080" s="94">
        <f t="shared" si="344"/>
        <v>705.71754920835576</v>
      </c>
      <c r="J1080" s="95">
        <f t="shared" si="345"/>
        <v>-161.02235571075812</v>
      </c>
      <c r="K1080" s="94">
        <f t="shared" si="346"/>
        <v>214.3892662819583</v>
      </c>
      <c r="L1080" s="94">
        <f t="shared" si="347"/>
        <v>-545.20050889114043</v>
      </c>
      <c r="M1080" s="93">
        <f t="shared" si="348"/>
        <v>-7657.5230886413483</v>
      </c>
      <c r="N1080" s="93">
        <f t="shared" si="349"/>
        <v>23150.581368976516</v>
      </c>
      <c r="O1080" s="93">
        <f t="shared" si="350"/>
        <v>25521.6578485963</v>
      </c>
      <c r="P1080" s="93">
        <f t="shared" si="351"/>
        <v>4604.8327252170166</v>
      </c>
      <c r="Q1080" s="93">
        <f t="shared" si="352"/>
        <v>13285733980108.949</v>
      </c>
      <c r="R1080" s="93">
        <f t="shared" si="353"/>
        <v>17094818470273.652</v>
      </c>
      <c r="S1080" s="93">
        <f t="shared" si="354"/>
        <v>314069810726.71802</v>
      </c>
      <c r="T1080">
        <f t="shared" si="340"/>
        <v>0.5</v>
      </c>
    </row>
    <row r="1081" spans="1:20" x14ac:dyDescent="0.25">
      <c r="A1081">
        <v>519</v>
      </c>
      <c r="B1081" s="95">
        <f t="shared" si="355"/>
        <v>-3244.383097614606</v>
      </c>
      <c r="C1081" s="95">
        <f t="shared" si="356"/>
        <v>-17017.507713726121</v>
      </c>
      <c r="D1081" s="95">
        <f t="shared" si="357"/>
        <v>2857.1794844951501</v>
      </c>
      <c r="E1081" s="95">
        <f t="shared" si="358"/>
        <v>-13221.426623074129</v>
      </c>
      <c r="F1081" s="96">
        <f t="shared" si="341"/>
        <v>-4828.406110380417</v>
      </c>
      <c r="G1081" s="94">
        <f t="shared" si="342"/>
        <v>6508.1951572302332</v>
      </c>
      <c r="H1081" s="97">
        <f t="shared" si="343"/>
        <v>305.60277460521252</v>
      </c>
      <c r="I1081" s="94">
        <f t="shared" si="344"/>
        <v>565.72045134128359</v>
      </c>
      <c r="J1081" s="95">
        <f t="shared" si="345"/>
        <v>-91.97585502560176</v>
      </c>
      <c r="K1081" s="94">
        <f t="shared" si="346"/>
        <v>148.3059911853787</v>
      </c>
      <c r="L1081" s="94">
        <f t="shared" si="347"/>
        <v>-5042.0330299600273</v>
      </c>
      <c r="M1081" s="93">
        <f t="shared" si="348"/>
        <v>5794.1687147035709</v>
      </c>
      <c r="N1081" s="93">
        <f t="shared" si="349"/>
        <v>27866.141967071784</v>
      </c>
      <c r="O1081" s="93">
        <f t="shared" si="350"/>
        <v>31791.452009003198</v>
      </c>
      <c r="P1081" s="93">
        <f t="shared" si="351"/>
        <v>2674.4210743422</v>
      </c>
      <c r="Q1081" s="93">
        <f t="shared" si="352"/>
        <v>22692015091892.852</v>
      </c>
      <c r="R1081" s="93">
        <f t="shared" si="353"/>
        <v>32717441210740.559</v>
      </c>
      <c r="S1081" s="93">
        <f t="shared" si="354"/>
        <v>182315120715.49402</v>
      </c>
      <c r="T1081">
        <f t="shared" si="340"/>
        <v>0.5</v>
      </c>
    </row>
    <row r="1082" spans="1:20" x14ac:dyDescent="0.25">
      <c r="A1082">
        <v>519.5</v>
      </c>
      <c r="B1082" s="95">
        <f t="shared" si="355"/>
        <v>-3022.8948829621349</v>
      </c>
      <c r="C1082" s="95">
        <f t="shared" si="356"/>
        <v>-22001.172235955626</v>
      </c>
      <c r="D1082" s="95">
        <f t="shared" si="357"/>
        <v>442.97642930494158</v>
      </c>
      <c r="E1082" s="95">
        <f t="shared" si="358"/>
        <v>-9967.3290444590129</v>
      </c>
      <c r="F1082" s="96">
        <f t="shared" si="341"/>
        <v>-1371.9423158653117</v>
      </c>
      <c r="G1082" s="94">
        <f t="shared" si="342"/>
        <v>5892.7828998085588</v>
      </c>
      <c r="H1082" s="97">
        <f t="shared" si="343"/>
        <v>196.21570660052666</v>
      </c>
      <c r="I1082" s="94">
        <f t="shared" si="344"/>
        <v>444.49359438469355</v>
      </c>
      <c r="J1082" s="95">
        <f t="shared" si="345"/>
        <v>-63.249232470478859</v>
      </c>
      <c r="K1082" s="94">
        <f t="shared" si="346"/>
        <v>119.22230369231193</v>
      </c>
      <c r="L1082" s="94">
        <f t="shared" si="347"/>
        <v>-1504.9087899953595</v>
      </c>
      <c r="M1082" s="93">
        <f t="shared" si="348"/>
        <v>5329.0670017315533</v>
      </c>
      <c r="N1082" s="93">
        <f t="shared" si="349"/>
        <v>32247.712390620833</v>
      </c>
      <c r="O1082" s="93">
        <f t="shared" si="350"/>
        <v>36225.641783552303</v>
      </c>
      <c r="P1082" s="93">
        <f t="shared" si="351"/>
        <v>7274.9816028175092</v>
      </c>
      <c r="Q1082" s="93">
        <f t="shared" si="352"/>
        <v>34751406671773.66</v>
      </c>
      <c r="R1082" s="93">
        <f t="shared" si="353"/>
        <v>48206002651895.07</v>
      </c>
      <c r="S1082" s="93">
        <f t="shared" si="354"/>
        <v>687888744748.01196</v>
      </c>
      <c r="T1082">
        <f t="shared" si="340"/>
        <v>0.5</v>
      </c>
    </row>
    <row r="1083" spans="1:20" x14ac:dyDescent="0.25">
      <c r="A1083">
        <v>520</v>
      </c>
      <c r="B1083" s="95">
        <f t="shared" si="355"/>
        <v>-3144.3922472759923</v>
      </c>
      <c r="C1083" s="95">
        <f t="shared" si="356"/>
        <v>-25511.641033232994</v>
      </c>
      <c r="D1083" s="95">
        <f t="shared" si="357"/>
        <v>-242.99472862771427</v>
      </c>
      <c r="E1083" s="95">
        <f t="shared" si="358"/>
        <v>-7020.9375945547336</v>
      </c>
      <c r="F1083" s="96">
        <f t="shared" si="341"/>
        <v>-493.55448575405694</v>
      </c>
      <c r="G1083" s="94">
        <f t="shared" si="342"/>
        <v>3838.659496130454</v>
      </c>
      <c r="H1083" s="97">
        <f t="shared" si="343"/>
        <v>148.96912650404187</v>
      </c>
      <c r="I1083" s="94">
        <f t="shared" si="344"/>
        <v>374.13029348731129</v>
      </c>
      <c r="J1083" s="95">
        <f t="shared" si="345"/>
        <v>-49.251667709205293</v>
      </c>
      <c r="K1083" s="94">
        <f t="shared" si="346"/>
        <v>103.76413414667394</v>
      </c>
      <c r="L1083" s="94">
        <f t="shared" si="347"/>
        <v>-593.27194454889354</v>
      </c>
      <c r="M1083" s="93">
        <f t="shared" si="348"/>
        <v>3360.7650684964688</v>
      </c>
      <c r="N1083" s="93">
        <f t="shared" si="349"/>
        <v>35532.288010445962</v>
      </c>
      <c r="O1083" s="93">
        <f t="shared" si="350"/>
        <v>39308.881459371078</v>
      </c>
      <c r="P1083" s="93">
        <f t="shared" si="351"/>
        <v>10674.168695665112</v>
      </c>
      <c r="Q1083" s="93">
        <f t="shared" si="352"/>
        <v>46200094262288.273</v>
      </c>
      <c r="R1083" s="93">
        <f t="shared" si="353"/>
        <v>61463348657677.867</v>
      </c>
      <c r="S1083" s="93">
        <f t="shared" si="354"/>
        <v>1637687330817.1899</v>
      </c>
      <c r="T1083">
        <f t="shared" si="340"/>
        <v>0.5</v>
      </c>
    </row>
    <row r="1084" spans="1:20" x14ac:dyDescent="0.25">
      <c r="A1084">
        <v>520.5</v>
      </c>
      <c r="B1084" s="95">
        <f t="shared" si="355"/>
        <v>-3389.278233028364</v>
      </c>
      <c r="C1084" s="95">
        <f t="shared" si="356"/>
        <v>-28062.44495647775</v>
      </c>
      <c r="D1084" s="95">
        <f t="shared" si="357"/>
        <v>-489.77197150474274</v>
      </c>
      <c r="E1084" s="95">
        <f t="shared" si="358"/>
        <v>-5101.6078464895063</v>
      </c>
      <c r="F1084" s="96">
        <f t="shared" si="341"/>
        <v>-218.88862923434459</v>
      </c>
      <c r="G1084" s="94">
        <f t="shared" si="342"/>
        <v>2875.8947804774411</v>
      </c>
      <c r="H1084" s="97">
        <f t="shared" si="343"/>
        <v>124.5204602015249</v>
      </c>
      <c r="I1084" s="94">
        <f t="shared" si="344"/>
        <v>330.73119661883618</v>
      </c>
      <c r="J1084" s="95">
        <f t="shared" si="345"/>
        <v>-41.21099495687794</v>
      </c>
      <c r="K1084" s="94">
        <f t="shared" si="346"/>
        <v>94.432454480502955</v>
      </c>
      <c r="L1084" s="94">
        <f t="shared" si="347"/>
        <v>-302.19809447899155</v>
      </c>
      <c r="M1084" s="93">
        <f t="shared" si="348"/>
        <v>2450.7311293781022</v>
      </c>
      <c r="N1084" s="93">
        <f t="shared" si="349"/>
        <v>37999.477139612813</v>
      </c>
      <c r="O1084" s="93">
        <f t="shared" si="350"/>
        <v>41529.095748458618</v>
      </c>
      <c r="P1084" s="93">
        <f t="shared" si="351"/>
        <v>13161.378835502275</v>
      </c>
      <c r="Q1084" s="93">
        <f t="shared" si="352"/>
        <v>56300865557456.008</v>
      </c>
      <c r="R1084" s="93">
        <f t="shared" si="353"/>
        <v>72388261450984.734</v>
      </c>
      <c r="S1084" s="93">
        <f t="shared" si="354"/>
        <v>2790791737022.3765</v>
      </c>
      <c r="T1084">
        <f t="shared" si="340"/>
        <v>0.5</v>
      </c>
    </row>
    <row r="1085" spans="1:20" x14ac:dyDescent="0.25">
      <c r="A1085">
        <v>521</v>
      </c>
      <c r="B1085" s="95">
        <f t="shared" si="355"/>
        <v>-3688.8863760893214</v>
      </c>
      <c r="C1085" s="95">
        <f t="shared" si="356"/>
        <v>-29894.275184603142</v>
      </c>
      <c r="D1085" s="95">
        <f t="shared" si="357"/>
        <v>-599.216286121915</v>
      </c>
      <c r="E1085" s="95">
        <f t="shared" si="358"/>
        <v>-3663.6604562507855</v>
      </c>
      <c r="F1085" s="96">
        <f t="shared" si="341"/>
        <v>-100.53830914975072</v>
      </c>
      <c r="G1085" s="94">
        <f t="shared" si="342"/>
        <v>2381.5959343533236</v>
      </c>
      <c r="H1085" s="97">
        <f t="shared" si="343"/>
        <v>110.87603956939496</v>
      </c>
      <c r="I1085" s="94">
        <f t="shared" si="344"/>
        <v>302.88286578804815</v>
      </c>
      <c r="J1085" s="95">
        <f t="shared" si="345"/>
        <v>-36.22965882976677</v>
      </c>
      <c r="K1085" s="94">
        <f t="shared" si="346"/>
        <v>88.611728942911441</v>
      </c>
      <c r="L1085" s="94">
        <f t="shared" si="347"/>
        <v>-175.18468988937892</v>
      </c>
      <c r="M1085" s="93">
        <f t="shared" si="348"/>
        <v>1990.1013396223639</v>
      </c>
      <c r="N1085" s="93">
        <f t="shared" si="349"/>
        <v>39821.067625056341</v>
      </c>
      <c r="O1085" s="93">
        <f t="shared" si="350"/>
        <v>43099.949189726045</v>
      </c>
      <c r="P1085" s="93">
        <f t="shared" si="351"/>
        <v>14951.871194251546</v>
      </c>
      <c r="Q1085" s="93">
        <f t="shared" si="352"/>
        <v>64644121251630.984</v>
      </c>
      <c r="R1085" s="93">
        <f t="shared" si="353"/>
        <v>80855973627933.672</v>
      </c>
      <c r="S1085" s="93">
        <f t="shared" si="354"/>
        <v>3918707100394.2832</v>
      </c>
      <c r="T1085">
        <f t="shared" si="340"/>
        <v>0.5</v>
      </c>
    </row>
    <row r="1086" spans="1:20" x14ac:dyDescent="0.25">
      <c r="A1086">
        <v>521.5</v>
      </c>
      <c r="B1086" s="95">
        <f t="shared" si="355"/>
        <v>-4013.6290964377167</v>
      </c>
      <c r="C1086" s="95">
        <f t="shared" si="356"/>
        <v>-31130.706429140206</v>
      </c>
      <c r="D1086" s="95">
        <f t="shared" si="357"/>
        <v>-649.48544069679042</v>
      </c>
      <c r="E1086" s="95">
        <f t="shared" si="358"/>
        <v>-2472.8624890741239</v>
      </c>
      <c r="F1086" s="96">
        <f t="shared" si="341"/>
        <v>-36.352964491740678</v>
      </c>
      <c r="G1086" s="94">
        <f t="shared" si="342"/>
        <v>2114.9318054188047</v>
      </c>
      <c r="H1086" s="97">
        <f t="shared" si="343"/>
        <v>103.42892190445021</v>
      </c>
      <c r="I1086" s="94">
        <f t="shared" si="344"/>
        <v>285.11760164888011</v>
      </c>
      <c r="J1086" s="95">
        <f t="shared" si="345"/>
        <v>-33.098507719939377</v>
      </c>
      <c r="K1086" s="94">
        <f t="shared" si="346"/>
        <v>85.157851802881723</v>
      </c>
      <c r="L1086" s="94">
        <f t="shared" si="347"/>
        <v>-106.68337867625151</v>
      </c>
      <c r="M1086" s="93">
        <f t="shared" si="348"/>
        <v>1744.6563519670431</v>
      </c>
      <c r="N1086" s="93">
        <f t="shared" si="349"/>
        <v>41093.956729267869</v>
      </c>
      <c r="O1086" s="93">
        <f t="shared" si="350"/>
        <v>44128.211679450353</v>
      </c>
      <c r="P1086" s="93">
        <f t="shared" si="351"/>
        <v>16160.835914719864</v>
      </c>
      <c r="Q1086" s="93">
        <f t="shared" si="352"/>
        <v>70942623218697.344</v>
      </c>
      <c r="R1086" s="93">
        <f t="shared" si="353"/>
        <v>86742955170415.734</v>
      </c>
      <c r="S1086" s="93">
        <f t="shared" si="354"/>
        <v>4841078374151.3389</v>
      </c>
      <c r="T1086">
        <f t="shared" si="340"/>
        <v>0.5</v>
      </c>
    </row>
    <row r="1087" spans="1:20" x14ac:dyDescent="0.25">
      <c r="A1087">
        <v>522</v>
      </c>
      <c r="B1087" s="95">
        <f t="shared" si="355"/>
        <v>-4347.4600579090466</v>
      </c>
      <c r="C1087" s="95">
        <f t="shared" si="356"/>
        <v>-31838.404722322568</v>
      </c>
      <c r="D1087" s="95">
        <f t="shared" si="357"/>
        <v>-667.66192294266079</v>
      </c>
      <c r="E1087" s="95">
        <f t="shared" si="358"/>
        <v>-1415.3965863647215</v>
      </c>
      <c r="F1087" s="96">
        <f t="shared" si="341"/>
        <v>6.0076600601311725</v>
      </c>
      <c r="G1087" s="94">
        <f t="shared" si="342"/>
        <v>1981.6747904361646</v>
      </c>
      <c r="H1087" s="97">
        <f t="shared" si="343"/>
        <v>100.1715135688173</v>
      </c>
      <c r="I1087" s="94">
        <f t="shared" si="344"/>
        <v>274.65401726248473</v>
      </c>
      <c r="J1087" s="95">
        <f t="shared" si="345"/>
        <v>-31.248415375091767</v>
      </c>
      <c r="K1087" s="94">
        <f t="shared" si="346"/>
        <v>83.525348233015848</v>
      </c>
      <c r="L1087" s="94">
        <f t="shared" si="347"/>
        <v>-62.915438133594364</v>
      </c>
      <c r="M1087" s="93">
        <f t="shared" si="348"/>
        <v>1623.495424940664</v>
      </c>
      <c r="N1087" s="93">
        <f t="shared" si="349"/>
        <v>41873.138122315904</v>
      </c>
      <c r="O1087" s="93">
        <f t="shared" si="350"/>
        <v>44670.50611250801</v>
      </c>
      <c r="P1087" s="93">
        <f t="shared" si="351"/>
        <v>16851.043942995311</v>
      </c>
      <c r="Q1087" s="93">
        <f t="shared" si="352"/>
        <v>74994499450242.969</v>
      </c>
      <c r="R1087" s="93">
        <f t="shared" si="353"/>
        <v>89960024310185.375</v>
      </c>
      <c r="S1087" s="93">
        <f t="shared" si="354"/>
        <v>5430608525403.7227</v>
      </c>
      <c r="T1087">
        <f t="shared" si="340"/>
        <v>0.5</v>
      </c>
    </row>
    <row r="1088" spans="1:20" x14ac:dyDescent="0.25">
      <c r="A1088">
        <v>522.5</v>
      </c>
      <c r="B1088" s="95">
        <f t="shared" si="355"/>
        <v>-4679.7891043653444</v>
      </c>
      <c r="C1088" s="95">
        <f t="shared" si="356"/>
        <v>-32050.684317895888</v>
      </c>
      <c r="D1088" s="95">
        <f t="shared" si="357"/>
        <v>-664.65809291259518</v>
      </c>
      <c r="E1088" s="95">
        <f t="shared" si="358"/>
        <v>-424.55919114663925</v>
      </c>
      <c r="F1088" s="96">
        <f t="shared" si="341"/>
        <v>39.966111609645623</v>
      </c>
      <c r="G1088" s="94">
        <f t="shared" si="342"/>
        <v>1944.1909652851573</v>
      </c>
      <c r="H1088" s="97">
        <f t="shared" si="343"/>
        <v>100.25172139318312</v>
      </c>
      <c r="I1088" s="94">
        <f t="shared" si="344"/>
        <v>270.10089565716936</v>
      </c>
      <c r="J1088" s="95">
        <f t="shared" si="345"/>
        <v>-30.414041931418378</v>
      </c>
      <c r="K1088" s="94">
        <f t="shared" si="346"/>
        <v>83.480004603183488</v>
      </c>
      <c r="L1088" s="94">
        <f t="shared" si="347"/>
        <v>-29.871567852119117</v>
      </c>
      <c r="M1088" s="93">
        <f t="shared" si="348"/>
        <v>1590.6100650248045</v>
      </c>
      <c r="N1088" s="93">
        <f t="shared" si="349"/>
        <v>42187.116969075985</v>
      </c>
      <c r="O1088" s="93">
        <f t="shared" si="350"/>
        <v>44754.540702481332</v>
      </c>
      <c r="P1088" s="93">
        <f t="shared" si="351"/>
        <v>17053.69082416542</v>
      </c>
      <c r="Q1088" s="93">
        <f t="shared" si="352"/>
        <v>76670200713477.156</v>
      </c>
      <c r="R1088" s="93">
        <f t="shared" si="353"/>
        <v>90465574550661.5</v>
      </c>
      <c r="S1088" s="93">
        <f t="shared" si="354"/>
        <v>5612763070139.4941</v>
      </c>
      <c r="T1088">
        <f t="shared" si="340"/>
        <v>0.5</v>
      </c>
    </row>
    <row r="1089" spans="1:20" x14ac:dyDescent="0.25">
      <c r="A1089">
        <v>523</v>
      </c>
      <c r="B1089" s="95">
        <f t="shared" si="355"/>
        <v>-5002.1266229192306</v>
      </c>
      <c r="C1089" s="95">
        <f t="shared" si="356"/>
        <v>-31776.916172147918</v>
      </c>
      <c r="D1089" s="95">
        <f t="shared" si="357"/>
        <v>-644.67503710777237</v>
      </c>
      <c r="E1089" s="95">
        <f t="shared" si="358"/>
        <v>547.53629149593939</v>
      </c>
      <c r="F1089" s="96">
        <f t="shared" si="341"/>
        <v>73.17777925749165</v>
      </c>
      <c r="G1089" s="94">
        <f t="shared" si="342"/>
        <v>1993.2729168504218</v>
      </c>
      <c r="H1089" s="97">
        <f t="shared" si="343"/>
        <v>103.48454755647924</v>
      </c>
      <c r="I1089" s="94">
        <f t="shared" si="344"/>
        <v>270.93184864064142</v>
      </c>
      <c r="J1089" s="95">
        <f t="shared" si="345"/>
        <v>-30.514316014066271</v>
      </c>
      <c r="K1089" s="94">
        <f t="shared" si="346"/>
        <v>84.998318769524587</v>
      </c>
      <c r="L1089" s="94">
        <f t="shared" si="347"/>
        <v>0.20754771507867165</v>
      </c>
      <c r="M1089" s="93">
        <f t="shared" si="348"/>
        <v>1637.3427494402558</v>
      </c>
      <c r="N1089" s="93">
        <f t="shared" si="349"/>
        <v>42044.499607012054</v>
      </c>
      <c r="O1089" s="93">
        <f t="shared" si="350"/>
        <v>44387.463665877804</v>
      </c>
      <c r="P1089" s="93">
        <f t="shared" si="351"/>
        <v>16776.916306932075</v>
      </c>
      <c r="Q1089" s="93">
        <f t="shared" si="352"/>
        <v>75905971631600.734</v>
      </c>
      <c r="R1089" s="93">
        <f t="shared" si="353"/>
        <v>88271150160693.906</v>
      </c>
      <c r="S1089" s="93">
        <f t="shared" si="354"/>
        <v>5365017659897.4072</v>
      </c>
      <c r="T1089">
        <f t="shared" si="340"/>
        <v>0.5</v>
      </c>
    </row>
    <row r="1090" spans="1:20" x14ac:dyDescent="0.25">
      <c r="A1090">
        <v>523.5</v>
      </c>
      <c r="B1090" s="95">
        <f t="shared" si="355"/>
        <v>-5306.1696966587442</v>
      </c>
      <c r="C1090" s="95">
        <f t="shared" si="356"/>
        <v>-31004.829797187344</v>
      </c>
      <c r="D1090" s="95">
        <f t="shared" si="357"/>
        <v>-608.08614747902652</v>
      </c>
      <c r="E1090" s="95">
        <f t="shared" si="358"/>
        <v>1544.1727499211502</v>
      </c>
      <c r="F1090" s="96">
        <f t="shared" si="341"/>
        <v>112.60076596241103</v>
      </c>
      <c r="G1090" s="94">
        <f t="shared" si="342"/>
        <v>2142.2742376988094</v>
      </c>
      <c r="H1090" s="97">
        <f t="shared" si="343"/>
        <v>110.23767311276958</v>
      </c>
      <c r="I1090" s="94">
        <f t="shared" si="344"/>
        <v>277.3184228691623</v>
      </c>
      <c r="J1090" s="95">
        <f t="shared" si="345"/>
        <v>-31.624932103905035</v>
      </c>
      <c r="K1090" s="94">
        <f t="shared" si="346"/>
        <v>88.253023990167875</v>
      </c>
      <c r="L1090" s="94">
        <f t="shared" si="347"/>
        <v>33.988024953546478</v>
      </c>
      <c r="M1090" s="93">
        <f t="shared" si="348"/>
        <v>1776.7027908394791</v>
      </c>
      <c r="N1090" s="93">
        <f t="shared" si="349"/>
        <v>41435.501064827011</v>
      </c>
      <c r="O1090" s="93">
        <f t="shared" si="350"/>
        <v>43558.061431607493</v>
      </c>
      <c r="P1090" s="93">
        <f t="shared" si="351"/>
        <v>16007.758016664544</v>
      </c>
      <c r="Q1090" s="93">
        <f t="shared" si="352"/>
        <v>72700116810992.031</v>
      </c>
      <c r="R1090" s="93">
        <f t="shared" si="353"/>
        <v>83444585269858.25</v>
      </c>
      <c r="S1090" s="93">
        <f t="shared" si="354"/>
        <v>4716663545908.498</v>
      </c>
      <c r="T1090">
        <f t="shared" si="340"/>
        <v>0.5</v>
      </c>
    </row>
    <row r="1091" spans="1:20" x14ac:dyDescent="0.25">
      <c r="A1091">
        <v>524</v>
      </c>
      <c r="B1091" s="95">
        <f t="shared" si="355"/>
        <v>-5582.0625789076548</v>
      </c>
      <c r="C1091" s="95">
        <f t="shared" si="356"/>
        <v>-29697.174862802069</v>
      </c>
      <c r="D1091" s="95">
        <f t="shared" si="357"/>
        <v>-551.78576449782099</v>
      </c>
      <c r="E1091" s="95">
        <f t="shared" si="358"/>
        <v>2615.3098687705551</v>
      </c>
      <c r="F1091" s="96">
        <f t="shared" si="341"/>
        <v>168.83620786994317</v>
      </c>
      <c r="G1091" s="94">
        <f t="shared" si="342"/>
        <v>2436.3347813975465</v>
      </c>
      <c r="H1091" s="97">
        <f t="shared" si="343"/>
        <v>121.57187581691298</v>
      </c>
      <c r="I1091" s="94">
        <f t="shared" si="344"/>
        <v>290.21384686786337</v>
      </c>
      <c r="J1091" s="95">
        <f t="shared" si="345"/>
        <v>-34.020372143509775</v>
      </c>
      <c r="K1091" s="94">
        <f t="shared" si="346"/>
        <v>93.668922428724855</v>
      </c>
      <c r="L1091" s="94">
        <f t="shared" si="347"/>
        <v>81.284704196539963</v>
      </c>
      <c r="M1091" s="93">
        <f t="shared" si="348"/>
        <v>2052.4520121009582</v>
      </c>
      <c r="N1091" s="93">
        <f t="shared" si="349"/>
        <v>40329.027907784592</v>
      </c>
      <c r="O1091" s="93">
        <f t="shared" si="350"/>
        <v>42234.377130087043</v>
      </c>
      <c r="P1091" s="93">
        <f t="shared" si="351"/>
        <v>14708.69626423585</v>
      </c>
      <c r="Q1091" s="93">
        <f t="shared" si="352"/>
        <v>67110496015535.531</v>
      </c>
      <c r="R1091" s="93">
        <f t="shared" si="353"/>
        <v>76112645726878.875</v>
      </c>
      <c r="S1091" s="93">
        <f t="shared" si="354"/>
        <v>3749380115854.6782</v>
      </c>
      <c r="T1091">
        <f t="shared" si="340"/>
        <v>0.5</v>
      </c>
    </row>
    <row r="1092" spans="1:20" x14ac:dyDescent="0.25">
      <c r="A1092">
        <v>524.5</v>
      </c>
      <c r="B1092" s="95">
        <f t="shared" si="355"/>
        <v>-5815.7464091890797</v>
      </c>
      <c r="C1092" s="95">
        <f t="shared" si="356"/>
        <v>-27780.436233067405</v>
      </c>
      <c r="D1092" s="95">
        <f t="shared" si="357"/>
        <v>-467.36766056284944</v>
      </c>
      <c r="E1092" s="95">
        <f t="shared" si="358"/>
        <v>3833.4772594693286</v>
      </c>
      <c r="F1092" s="96">
        <f t="shared" si="341"/>
        <v>265.81206618481116</v>
      </c>
      <c r="G1092" s="94">
        <f t="shared" si="342"/>
        <v>2989.1957155129157</v>
      </c>
      <c r="H1092" s="97">
        <f t="shared" si="343"/>
        <v>139.76180561168195</v>
      </c>
      <c r="I1092" s="94">
        <f t="shared" si="344"/>
        <v>311.76887534289489</v>
      </c>
      <c r="J1092" s="95">
        <f t="shared" si="345"/>
        <v>-38.327810162824321</v>
      </c>
      <c r="K1092" s="94">
        <f t="shared" si="346"/>
        <v>102.08795115929055</v>
      </c>
      <c r="L1092" s="94">
        <f t="shared" si="347"/>
        <v>164.37807073595351</v>
      </c>
      <c r="M1092" s="93">
        <f t="shared" si="348"/>
        <v>2575.3388890107303</v>
      </c>
      <c r="N1092" s="93">
        <f t="shared" si="349"/>
        <v>38663.25148348639</v>
      </c>
      <c r="O1092" s="93">
        <f t="shared" si="350"/>
        <v>40355.351713116128</v>
      </c>
      <c r="P1092" s="93">
        <f t="shared" si="351"/>
        <v>12806.443398211974</v>
      </c>
      <c r="Q1092" s="93">
        <f t="shared" si="352"/>
        <v>59251563177661.32</v>
      </c>
      <c r="R1092" s="93">
        <f t="shared" si="353"/>
        <v>66463808368157.102</v>
      </c>
      <c r="S1092" s="93">
        <f t="shared" si="354"/>
        <v>2598423373250.4111</v>
      </c>
      <c r="T1092">
        <f t="shared" si="340"/>
        <v>0.5</v>
      </c>
    </row>
    <row r="1093" spans="1:20" x14ac:dyDescent="0.25">
      <c r="A1093">
        <v>525</v>
      </c>
      <c r="B1093" s="95">
        <f t="shared" si="355"/>
        <v>-5982.9772229243017</v>
      </c>
      <c r="C1093" s="95">
        <f t="shared" si="356"/>
        <v>-25116.398674454511</v>
      </c>
      <c r="D1093" s="95">
        <f t="shared" si="357"/>
        <v>-334.46162747044389</v>
      </c>
      <c r="E1093" s="95">
        <f t="shared" si="358"/>
        <v>5328.075117225786</v>
      </c>
      <c r="F1093" s="96">
        <f t="shared" si="341"/>
        <v>477.94464470590265</v>
      </c>
      <c r="G1093" s="94">
        <f t="shared" si="342"/>
        <v>4106.243274930609</v>
      </c>
      <c r="H1093" s="97">
        <f t="shared" si="343"/>
        <v>169.79279700602797</v>
      </c>
      <c r="I1093" s="94">
        <f t="shared" si="344"/>
        <v>346.49549217001743</v>
      </c>
      <c r="J1093" s="95">
        <f t="shared" si="345"/>
        <v>-45.978103862446332</v>
      </c>
      <c r="K1093" s="94">
        <f t="shared" si="346"/>
        <v>115.18747249021629</v>
      </c>
      <c r="L1093" s="94">
        <f t="shared" si="347"/>
        <v>354.12995156232103</v>
      </c>
      <c r="M1093" s="93">
        <f t="shared" si="348"/>
        <v>3644.5603102703749</v>
      </c>
      <c r="N1093" s="93">
        <f t="shared" si="349"/>
        <v>36321.963374788473</v>
      </c>
      <c r="O1093" s="93">
        <f t="shared" si="350"/>
        <v>37810.559152124282</v>
      </c>
      <c r="P1093" s="93">
        <f t="shared" si="351"/>
        <v>10164.042815793968</v>
      </c>
      <c r="Q1093" s="93">
        <f t="shared" si="352"/>
        <v>49287528398755.094</v>
      </c>
      <c r="R1093" s="93">
        <f t="shared" si="353"/>
        <v>54751681866864.898</v>
      </c>
      <c r="S1093" s="93">
        <f t="shared" si="354"/>
        <v>1453380794517.7556</v>
      </c>
      <c r="T1093">
        <f t="shared" si="340"/>
        <v>0.5</v>
      </c>
    </row>
    <row r="1094" spans="1:20" x14ac:dyDescent="0.25">
      <c r="A1094">
        <v>525.5</v>
      </c>
      <c r="B1094" s="95">
        <f t="shared" si="355"/>
        <v>-6030.7218754830483</v>
      </c>
      <c r="C1094" s="95">
        <f t="shared" si="356"/>
        <v>-21425.800297108966</v>
      </c>
      <c r="D1094" s="95">
        <f t="shared" si="357"/>
        <v>-95.489305117492563</v>
      </c>
      <c r="E1094" s="95">
        <f t="shared" si="358"/>
        <v>7381.196754691091</v>
      </c>
      <c r="F1094" s="96">
        <f t="shared" si="341"/>
        <v>1139.9389569307243</v>
      </c>
      <c r="G1094" s="94">
        <f t="shared" si="342"/>
        <v>6628.1907516862811</v>
      </c>
      <c r="H1094" s="97">
        <f t="shared" si="343"/>
        <v>224.33106416952589</v>
      </c>
      <c r="I1094" s="94">
        <f t="shared" si="344"/>
        <v>404.78249282895206</v>
      </c>
      <c r="J1094" s="95">
        <f t="shared" si="345"/>
        <v>-60.733778380224187</v>
      </c>
      <c r="K1094" s="94">
        <f t="shared" si="346"/>
        <v>136.62893484209999</v>
      </c>
      <c r="L1094" s="94">
        <f t="shared" si="347"/>
        <v>976.34167114142258</v>
      </c>
      <c r="M1094" s="93">
        <f t="shared" si="348"/>
        <v>6086.7793240152296</v>
      </c>
      <c r="N1094" s="93">
        <f t="shared" si="349"/>
        <v>33070.923281295305</v>
      </c>
      <c r="O1094" s="93">
        <f t="shared" si="350"/>
        <v>34390.720487275081</v>
      </c>
      <c r="P1094" s="93">
        <f t="shared" si="351"/>
        <v>6507.941075557228</v>
      </c>
      <c r="Q1094" s="93">
        <f t="shared" si="352"/>
        <v>37416424591186.961</v>
      </c>
      <c r="R1094" s="93">
        <f t="shared" si="353"/>
        <v>41308212845509.234</v>
      </c>
      <c r="S1094" s="93">
        <f t="shared" si="354"/>
        <v>552762140485.48303</v>
      </c>
      <c r="T1094">
        <f t="shared" si="340"/>
        <v>0.5</v>
      </c>
    </row>
    <row r="1095" spans="1:20" x14ac:dyDescent="0.25">
      <c r="A1095">
        <v>526</v>
      </c>
      <c r="B1095" s="95">
        <f t="shared" si="355"/>
        <v>-5793.4817888091138</v>
      </c>
      <c r="C1095" s="95">
        <f t="shared" si="356"/>
        <v>-16078.154231841851</v>
      </c>
      <c r="D1095" s="95">
        <f t="shared" si="357"/>
        <v>474.4801733478696</v>
      </c>
      <c r="E1095" s="95">
        <f t="shared" si="358"/>
        <v>10695.292130534232</v>
      </c>
      <c r="F1095" s="96">
        <f t="shared" si="341"/>
        <v>3246.072951213077</v>
      </c>
      <c r="G1095" s="94">
        <f t="shared" si="342"/>
        <v>4761.835928108645</v>
      </c>
      <c r="H1095" s="97">
        <f t="shared" si="343"/>
        <v>345.60036280041555</v>
      </c>
      <c r="I1095" s="94">
        <f t="shared" si="344"/>
        <v>515.94820987874982</v>
      </c>
      <c r="J1095" s="95">
        <f t="shared" si="345"/>
        <v>-95.426337668324749</v>
      </c>
      <c r="K1095" s="94">
        <f t="shared" si="346"/>
        <v>175.16908186089503</v>
      </c>
      <c r="L1095" s="94">
        <f t="shared" si="347"/>
        <v>2995.8989260809863</v>
      </c>
      <c r="M1095" s="93">
        <f t="shared" si="348"/>
        <v>4070.7186363689998</v>
      </c>
      <c r="N1095" s="93">
        <f t="shared" si="349"/>
        <v>28378.925701900116</v>
      </c>
      <c r="O1095" s="93">
        <f t="shared" si="350"/>
        <v>29696.721836334549</v>
      </c>
      <c r="P1095" s="93">
        <f t="shared" si="351"/>
        <v>1338.6672091338467</v>
      </c>
      <c r="Q1095" s="93">
        <f t="shared" si="352"/>
        <v>23927775017499.313</v>
      </c>
      <c r="R1095" s="93">
        <f t="shared" si="353"/>
        <v>26736966888478.926</v>
      </c>
      <c r="S1095" s="93">
        <f t="shared" si="354"/>
        <v>138678274311.30396</v>
      </c>
      <c r="T1095">
        <f t="shared" si="340"/>
        <v>0.5</v>
      </c>
    </row>
    <row r="1096" spans="1:20" x14ac:dyDescent="0.25">
      <c r="A1096">
        <v>526.5</v>
      </c>
      <c r="B1096" s="95">
        <f t="shared" si="355"/>
        <v>-4744.7234643319098</v>
      </c>
      <c r="C1096" s="95">
        <f t="shared" si="356"/>
        <v>-9540.0491845475735</v>
      </c>
      <c r="D1096" s="95">
        <f t="shared" si="357"/>
        <v>2097.5166489544081</v>
      </c>
      <c r="E1096" s="95">
        <f t="shared" si="358"/>
        <v>13076.210094588554</v>
      </c>
      <c r="F1096" s="96">
        <f t="shared" si="341"/>
        <v>124.40952669547943</v>
      </c>
      <c r="G1096" s="94">
        <f t="shared" si="342"/>
        <v>-6083.3483434298605</v>
      </c>
      <c r="H1096" s="97">
        <f t="shared" si="343"/>
        <v>627.8059571985242</v>
      </c>
      <c r="I1096" s="94">
        <f t="shared" si="344"/>
        <v>725.53713298817343</v>
      </c>
      <c r="J1096" s="95">
        <f t="shared" si="345"/>
        <v>-174.59543033284555</v>
      </c>
      <c r="K1096" s="94">
        <f t="shared" si="346"/>
        <v>223.63431355206458</v>
      </c>
      <c r="L1096" s="94">
        <f t="shared" si="347"/>
        <v>-328.80100017019919</v>
      </c>
      <c r="M1096" s="93">
        <f t="shared" si="348"/>
        <v>-7032.5197899700988</v>
      </c>
      <c r="N1096" s="93">
        <f t="shared" si="349"/>
        <v>22533.755706748496</v>
      </c>
      <c r="O1096" s="93">
        <f t="shared" si="350"/>
        <v>24789.856480307499</v>
      </c>
      <c r="P1096" s="93">
        <f t="shared" si="351"/>
        <v>5465.9152039546234</v>
      </c>
      <c r="Q1096" s="93">
        <f t="shared" si="352"/>
        <v>12297301521174.293</v>
      </c>
      <c r="R1096" s="93">
        <f t="shared" si="353"/>
        <v>15692059788677.102</v>
      </c>
      <c r="S1096" s="93">
        <f t="shared" si="354"/>
        <v>406514826431.7901</v>
      </c>
      <c r="T1096">
        <f t="shared" si="340"/>
        <v>0.5</v>
      </c>
    </row>
    <row r="1097" spans="1:20" x14ac:dyDescent="0.25">
      <c r="A1097">
        <v>527</v>
      </c>
      <c r="B1097" s="95">
        <f t="shared" si="355"/>
        <v>-3664.862758180836</v>
      </c>
      <c r="C1097" s="95">
        <f t="shared" si="356"/>
        <v>-4522.7812231107619</v>
      </c>
      <c r="D1097" s="95">
        <f t="shared" si="357"/>
        <v>2159.7214123021477</v>
      </c>
      <c r="E1097" s="95">
        <f t="shared" si="358"/>
        <v>10034.535922873623</v>
      </c>
      <c r="F1097" s="96">
        <f t="shared" si="341"/>
        <v>355.39368452048654</v>
      </c>
      <c r="G1097" s="94">
        <f t="shared" si="342"/>
        <v>-2261.2630437591815</v>
      </c>
      <c r="H1097" s="97">
        <f t="shared" si="343"/>
        <v>1063.9580766824388</v>
      </c>
      <c r="I1097" s="94">
        <f t="shared" si="344"/>
        <v>936.10418288735093</v>
      </c>
      <c r="J1097" s="95">
        <f t="shared" si="345"/>
        <v>-270.47319063259079</v>
      </c>
      <c r="K1097" s="94">
        <f t="shared" si="346"/>
        <v>240.46464477921964</v>
      </c>
      <c r="L1097" s="94">
        <f t="shared" si="347"/>
        <v>-438.09120152936146</v>
      </c>
      <c r="M1097" s="93">
        <f t="shared" si="348"/>
        <v>-3437.8318714257521</v>
      </c>
      <c r="N1097" s="93">
        <f t="shared" si="349"/>
        <v>18200.981911388797</v>
      </c>
      <c r="O1097" s="93">
        <f t="shared" si="350"/>
        <v>21857.444570749936</v>
      </c>
      <c r="P1097" s="93">
        <f t="shared" si="351"/>
        <v>10561.946068471138</v>
      </c>
      <c r="Q1097" s="93">
        <f t="shared" si="352"/>
        <v>6724800126723.2402</v>
      </c>
      <c r="R1097" s="93">
        <f t="shared" si="353"/>
        <v>10846542087190.199</v>
      </c>
      <c r="S1097" s="93">
        <f t="shared" si="354"/>
        <v>1595732173190.7712</v>
      </c>
      <c r="T1097">
        <f t="shared" si="340"/>
        <v>0.5</v>
      </c>
    </row>
    <row r="1098" spans="1:20" x14ac:dyDescent="0.25">
      <c r="A1098">
        <v>527.5</v>
      </c>
      <c r="B1098" s="95">
        <f t="shared" si="355"/>
        <v>-2496.1536308996406</v>
      </c>
      <c r="C1098" s="95">
        <f t="shared" si="356"/>
        <v>-70.829022613745565</v>
      </c>
      <c r="D1098" s="95">
        <f t="shared" si="357"/>
        <v>2337.4182545623908</v>
      </c>
      <c r="E1098" s="95">
        <f t="shared" si="358"/>
        <v>8903.9044009940335</v>
      </c>
      <c r="F1098" s="96">
        <f t="shared" si="341"/>
        <v>1088.009238510268</v>
      </c>
      <c r="G1098" s="94">
        <f t="shared" si="342"/>
        <v>-642.78317527148829</v>
      </c>
      <c r="H1098" s="97">
        <f t="shared" si="343"/>
        <v>1776.727312217919</v>
      </c>
      <c r="I1098" s="94">
        <f t="shared" si="344"/>
        <v>1076.4351253931832</v>
      </c>
      <c r="J1098" s="95">
        <f t="shared" si="345"/>
        <v>-365.14476800218137</v>
      </c>
      <c r="K1098" s="94">
        <f t="shared" si="346"/>
        <v>210.08585481780213</v>
      </c>
      <c r="L1098" s="94">
        <f t="shared" si="347"/>
        <v>-323.57330570546958</v>
      </c>
      <c r="M1098" s="93">
        <f t="shared" si="348"/>
        <v>-1929.3041554824736</v>
      </c>
      <c r="N1098" s="93">
        <f t="shared" si="349"/>
        <v>14610.657331437791</v>
      </c>
      <c r="O1098" s="93">
        <f t="shared" si="350"/>
        <v>20194.21290656774</v>
      </c>
      <c r="P1098" s="93">
        <f t="shared" si="351"/>
        <v>15137.681219793511</v>
      </c>
      <c r="Q1098" s="93">
        <f t="shared" si="352"/>
        <v>3682597039981.1021</v>
      </c>
      <c r="R1098" s="93">
        <f t="shared" si="353"/>
        <v>8609167410510.332</v>
      </c>
      <c r="S1098" s="93">
        <f t="shared" si="354"/>
        <v>4051665789577.0093</v>
      </c>
      <c r="T1098">
        <f t="shared" si="340"/>
        <v>0.5</v>
      </c>
    </row>
    <row r="1099" spans="1:20" x14ac:dyDescent="0.25">
      <c r="A1099">
        <v>528</v>
      </c>
      <c r="B1099" s="95">
        <f t="shared" si="355"/>
        <v>-1055.4421939908782</v>
      </c>
      <c r="C1099" s="95">
        <f t="shared" si="356"/>
        <v>4220.4273840653996</v>
      </c>
      <c r="D1099" s="95">
        <f t="shared" si="357"/>
        <v>2881.4228738175248</v>
      </c>
      <c r="E1099" s="95">
        <f t="shared" si="358"/>
        <v>8582.5128133582893</v>
      </c>
      <c r="F1099" s="96">
        <f t="shared" si="341"/>
        <v>2248.3307353045666</v>
      </c>
      <c r="G1099" s="94">
        <f t="shared" si="342"/>
        <v>-219.9297604637211</v>
      </c>
      <c r="H1099" s="97">
        <f t="shared" si="343"/>
        <v>2915.2659457571449</v>
      </c>
      <c r="I1099" s="94">
        <f t="shared" si="344"/>
        <v>864.80723214025295</v>
      </c>
      <c r="J1099" s="95">
        <f t="shared" si="345"/>
        <v>-418.13771477104558</v>
      </c>
      <c r="K1099" s="94">
        <f t="shared" si="346"/>
        <v>127.56472390258989</v>
      </c>
      <c r="L1099" s="94">
        <f t="shared" si="347"/>
        <v>-248.79749568153269</v>
      </c>
      <c r="M1099" s="93">
        <f t="shared" si="348"/>
        <v>-1212.3017165065639</v>
      </c>
      <c r="N1099" s="93">
        <f t="shared" si="349"/>
        <v>11531.626019250798</v>
      </c>
      <c r="O1099" s="93">
        <f t="shared" si="350"/>
        <v>19806.557754644855</v>
      </c>
      <c r="P1099" s="93">
        <f t="shared" si="351"/>
        <v>19621.018452442233</v>
      </c>
      <c r="Q1099" s="93">
        <f t="shared" si="352"/>
        <v>1985621930958.3403</v>
      </c>
      <c r="R1099" s="93">
        <f t="shared" si="353"/>
        <v>8136879295807.5586</v>
      </c>
      <c r="S1099" s="93">
        <f t="shared" si="354"/>
        <v>8301392390809.3115</v>
      </c>
      <c r="T1099">
        <f t="shared" si="340"/>
        <v>0.5</v>
      </c>
    </row>
    <row r="1100" spans="1:20" x14ac:dyDescent="0.25">
      <c r="A1100">
        <v>528.5</v>
      </c>
      <c r="B1100" s="95">
        <f t="shared" si="355"/>
        <v>947.35192674402583</v>
      </c>
      <c r="C1100" s="95">
        <f t="shared" si="356"/>
        <v>8456.7013506286148</v>
      </c>
      <c r="D1100" s="95">
        <f t="shared" si="357"/>
        <v>4005.5882414698081</v>
      </c>
      <c r="E1100" s="95">
        <f t="shared" si="358"/>
        <v>8472.5479331264287</v>
      </c>
      <c r="F1100" s="96">
        <f t="shared" si="341"/>
        <v>3635.0216923307185</v>
      </c>
      <c r="G1100" s="94">
        <f t="shared" si="342"/>
        <v>-1232.4750889397337</v>
      </c>
      <c r="H1100" s="97">
        <f t="shared" si="343"/>
        <v>4231.0593958710615</v>
      </c>
      <c r="I1100" s="94">
        <f t="shared" si="344"/>
        <v>-447.14653721911878</v>
      </c>
      <c r="J1100" s="95">
        <f t="shared" si="345"/>
        <v>-389.64229052996416</v>
      </c>
      <c r="K1100" s="94">
        <f t="shared" si="346"/>
        <v>28.706942186096914</v>
      </c>
      <c r="L1100" s="94">
        <f t="shared" si="347"/>
        <v>-206.39541301037903</v>
      </c>
      <c r="M1100" s="93">
        <f t="shared" si="348"/>
        <v>-814.03549390671196</v>
      </c>
      <c r="N1100" s="93">
        <f t="shared" si="349"/>
        <v>9103.0607277178879</v>
      </c>
      <c r="O1100" s="93">
        <f t="shared" si="350"/>
        <v>21004.126343745367</v>
      </c>
      <c r="P1100" s="93">
        <f t="shared" si="351"/>
        <v>24198.922149408394</v>
      </c>
      <c r="Q1100" s="93">
        <f t="shared" si="352"/>
        <v>1120276272109.2212</v>
      </c>
      <c r="R1100" s="93">
        <f t="shared" si="353"/>
        <v>9655077936846.9199</v>
      </c>
      <c r="S1100" s="93">
        <f t="shared" si="354"/>
        <v>15087671482014.77</v>
      </c>
      <c r="T1100">
        <f t="shared" si="340"/>
        <v>0.5</v>
      </c>
    </row>
    <row r="1101" spans="1:20" x14ac:dyDescent="0.25">
      <c r="A1101">
        <v>529</v>
      </c>
      <c r="B1101" s="95">
        <f t="shared" si="355"/>
        <v>3858.9014705616096</v>
      </c>
      <c r="C1101" s="95">
        <f t="shared" si="356"/>
        <v>12384.856544956896</v>
      </c>
      <c r="D1101" s="95">
        <f t="shared" si="357"/>
        <v>5823.0990876351671</v>
      </c>
      <c r="E1101" s="95">
        <f t="shared" si="358"/>
        <v>7856.3103886565623</v>
      </c>
      <c r="F1101" s="96">
        <f t="shared" si="341"/>
        <v>3504.4840953646462</v>
      </c>
      <c r="G1101" s="94">
        <f t="shared" si="342"/>
        <v>-3780.3758759346065</v>
      </c>
      <c r="H1101" s="97">
        <f t="shared" si="343"/>
        <v>3991.6879211634518</v>
      </c>
      <c r="I1101" s="94">
        <f t="shared" si="344"/>
        <v>-3175.1359750457968</v>
      </c>
      <c r="J1101" s="95">
        <f t="shared" si="345"/>
        <v>-301.14875179684941</v>
      </c>
      <c r="K1101" s="94">
        <f t="shared" si="346"/>
        <v>-30.101828980452662</v>
      </c>
      <c r="L1101" s="94">
        <f t="shared" si="347"/>
        <v>-186.05507400195617</v>
      </c>
      <c r="M1101" s="93">
        <f t="shared" si="348"/>
        <v>-575.13807190835666</v>
      </c>
      <c r="N1101" s="93">
        <f t="shared" si="349"/>
        <v>7846.9684982850913</v>
      </c>
      <c r="O1101" s="93">
        <f t="shared" si="350"/>
        <v>23977.796398376366</v>
      </c>
      <c r="P1101" s="93">
        <f t="shared" si="351"/>
        <v>28782.121243108319</v>
      </c>
      <c r="Q1101" s="93">
        <f t="shared" si="352"/>
        <v>805541849550.5144</v>
      </c>
      <c r="R1101" s="93">
        <f t="shared" si="353"/>
        <v>14228598299813.248</v>
      </c>
      <c r="S1101" s="93">
        <f t="shared" si="354"/>
        <v>24930843665587.203</v>
      </c>
      <c r="T1101">
        <f t="shared" si="340"/>
        <v>0.5</v>
      </c>
    </row>
    <row r="1102" spans="1:20" x14ac:dyDescent="0.25">
      <c r="A1102">
        <v>529.5</v>
      </c>
      <c r="B1102" s="95">
        <f t="shared" si="355"/>
        <v>7646.5720382203544</v>
      </c>
      <c r="C1102" s="95">
        <f t="shared" si="356"/>
        <v>15367.917770301525</v>
      </c>
      <c r="D1102" s="95">
        <f t="shared" si="357"/>
        <v>7575.3411353174906</v>
      </c>
      <c r="E1102" s="95">
        <f t="shared" si="358"/>
        <v>5966.1224506892595</v>
      </c>
      <c r="F1102" s="96">
        <f t="shared" si="341"/>
        <v>989.42797077491514</v>
      </c>
      <c r="G1102" s="94">
        <f t="shared" si="342"/>
        <v>-5108.7957860343358</v>
      </c>
      <c r="H1102" s="97">
        <f t="shared" si="343"/>
        <v>1386.4053452822091</v>
      </c>
      <c r="I1102" s="94">
        <f t="shared" si="344"/>
        <v>-4634.9934776581258</v>
      </c>
      <c r="J1102" s="95">
        <f t="shared" si="345"/>
        <v>-217.22941225797814</v>
      </c>
      <c r="K1102" s="94">
        <f t="shared" si="346"/>
        <v>-42.177728966893575</v>
      </c>
      <c r="L1102" s="94">
        <f t="shared" si="347"/>
        <v>-179.74796224931589</v>
      </c>
      <c r="M1102" s="93">
        <f t="shared" si="348"/>
        <v>-431.62457940931688</v>
      </c>
      <c r="N1102" s="93">
        <f t="shared" si="349"/>
        <v>8212.3536949837235</v>
      </c>
      <c r="O1102" s="93">
        <f t="shared" si="350"/>
        <v>28162.874261218909</v>
      </c>
      <c r="P1102" s="93">
        <f t="shared" si="351"/>
        <v>32895.990850279799</v>
      </c>
      <c r="Q1102" s="93">
        <f t="shared" si="352"/>
        <v>888810767673.28235</v>
      </c>
      <c r="R1102" s="93">
        <f t="shared" si="353"/>
        <v>22856798780398.805</v>
      </c>
      <c r="S1102" s="93">
        <f t="shared" si="354"/>
        <v>36838969142489.188</v>
      </c>
      <c r="T1102">
        <f t="shared" si="340"/>
        <v>0.5</v>
      </c>
    </row>
    <row r="1103" spans="1:20" x14ac:dyDescent="0.25">
      <c r="A1103">
        <v>530</v>
      </c>
      <c r="B1103" s="95">
        <f t="shared" si="355"/>
        <v>11681.599598572828</v>
      </c>
      <c r="C1103" s="95">
        <f t="shared" si="356"/>
        <v>17073.780049137571</v>
      </c>
      <c r="D1103" s="95">
        <f t="shared" si="357"/>
        <v>8070.0551207049484</v>
      </c>
      <c r="E1103" s="95">
        <f t="shared" si="358"/>
        <v>3411.7245576720916</v>
      </c>
      <c r="F1103" s="96">
        <f t="shared" si="341"/>
        <v>-1017.2894402907746</v>
      </c>
      <c r="G1103" s="94">
        <f t="shared" si="342"/>
        <v>-4220.0152211920768</v>
      </c>
      <c r="H1103" s="97">
        <f t="shared" si="343"/>
        <v>-674.14126002215005</v>
      </c>
      <c r="I1103" s="94">
        <f t="shared" si="344"/>
        <v>-3838.0599941734622</v>
      </c>
      <c r="J1103" s="95">
        <f t="shared" si="345"/>
        <v>-163.47698946365432</v>
      </c>
      <c r="K1103" s="94">
        <f t="shared" si="346"/>
        <v>-36.500690659986866</v>
      </c>
      <c r="L1103" s="94">
        <f t="shared" si="347"/>
        <v>-179.67119080497014</v>
      </c>
      <c r="M1103" s="93">
        <f t="shared" si="348"/>
        <v>-345.45453635862731</v>
      </c>
      <c r="N1103" s="93">
        <f t="shared" si="349"/>
        <v>9720.3416421021375</v>
      </c>
      <c r="O1103" s="93">
        <f t="shared" si="350"/>
        <v>32461.702316851264</v>
      </c>
      <c r="P1103" s="93">
        <f t="shared" si="351"/>
        <v>36152.498278923413</v>
      </c>
      <c r="Q1103" s="93">
        <f t="shared" si="352"/>
        <v>1306081593092.8091</v>
      </c>
      <c r="R1103" s="93">
        <f t="shared" si="353"/>
        <v>34805126133890.91</v>
      </c>
      <c r="S1103" s="93">
        <f t="shared" si="354"/>
        <v>48613609592619.18</v>
      </c>
      <c r="T1103">
        <f t="shared" si="340"/>
        <v>0.5</v>
      </c>
    </row>
    <row r="1104" spans="1:20" x14ac:dyDescent="0.25">
      <c r="A1104">
        <v>530.5</v>
      </c>
      <c r="B1104" s="95">
        <f t="shared" si="355"/>
        <v>15462.304798852607</v>
      </c>
      <c r="C1104" s="95">
        <f t="shared" si="356"/>
        <v>17724.638522675596</v>
      </c>
      <c r="D1104" s="95">
        <f t="shared" si="357"/>
        <v>7561.4104005595609</v>
      </c>
      <c r="E1104" s="95">
        <f t="shared" si="358"/>
        <v>1301.7169470760532</v>
      </c>
      <c r="F1104" s="96">
        <f t="shared" si="341"/>
        <v>-1734.5664828050187</v>
      </c>
      <c r="G1104" s="94">
        <f t="shared" si="342"/>
        <v>-2980.0029394026351</v>
      </c>
      <c r="H1104" s="97">
        <f t="shared" si="343"/>
        <v>-1421.4244835603092</v>
      </c>
      <c r="I1104" s="94">
        <f t="shared" si="344"/>
        <v>-2660.6994788606207</v>
      </c>
      <c r="J1104" s="95">
        <f t="shared" si="345"/>
        <v>-131.38010000163922</v>
      </c>
      <c r="K1104" s="94">
        <f t="shared" si="346"/>
        <v>-28.618099904732379</v>
      </c>
      <c r="L1104" s="94">
        <f t="shared" si="347"/>
        <v>-181.76189924307019</v>
      </c>
      <c r="M1104" s="93">
        <f t="shared" si="348"/>
        <v>-290.68536063728186</v>
      </c>
      <c r="N1104" s="93">
        <f t="shared" si="349"/>
        <v>11592.23906909058</v>
      </c>
      <c r="O1104" s="93">
        <f t="shared" si="350"/>
        <v>36293.871410373526</v>
      </c>
      <c r="P1104" s="93">
        <f t="shared" si="351"/>
        <v>38595.438643976187</v>
      </c>
      <c r="Q1104" s="93">
        <f t="shared" si="352"/>
        <v>2012105558685.9031</v>
      </c>
      <c r="R1104" s="93">
        <f t="shared" si="353"/>
        <v>48476372332743.266</v>
      </c>
      <c r="S1104" s="93">
        <f t="shared" si="354"/>
        <v>58945454373089.148</v>
      </c>
      <c r="T1104">
        <f t="shared" si="340"/>
        <v>0.5</v>
      </c>
    </row>
    <row r="1105" spans="1:20" x14ac:dyDescent="0.25">
      <c r="A1105">
        <v>531</v>
      </c>
      <c r="B1105" s="95">
        <f t="shared" si="355"/>
        <v>18809.368378431132</v>
      </c>
      <c r="C1105" s="95">
        <f t="shared" si="356"/>
        <v>17630.496261362965</v>
      </c>
      <c r="D1105" s="95">
        <f t="shared" si="357"/>
        <v>6694.1271591570512</v>
      </c>
      <c r="E1105" s="95">
        <f t="shared" si="358"/>
        <v>-188.28452262526434</v>
      </c>
      <c r="F1105" s="96">
        <f t="shared" si="341"/>
        <v>-1865.0518812927826</v>
      </c>
      <c r="G1105" s="94">
        <f t="shared" si="342"/>
        <v>-2079.3812495378716</v>
      </c>
      <c r="H1105" s="97">
        <f t="shared" si="343"/>
        <v>-1568.8304607026485</v>
      </c>
      <c r="I1105" s="94">
        <f t="shared" si="344"/>
        <v>-1804.1056332452883</v>
      </c>
      <c r="J1105" s="95">
        <f t="shared" si="345"/>
        <v>-111.33452661513681</v>
      </c>
      <c r="K1105" s="94">
        <f t="shared" si="346"/>
        <v>-21.890015854253374</v>
      </c>
      <c r="L1105" s="94">
        <f t="shared" si="347"/>
        <v>-184.88689397499729</v>
      </c>
      <c r="M1105" s="93">
        <f t="shared" si="348"/>
        <v>-253.38560043832999</v>
      </c>
      <c r="N1105" s="93">
        <f t="shared" si="349"/>
        <v>13425.04844417298</v>
      </c>
      <c r="O1105" s="93">
        <f t="shared" si="350"/>
        <v>39552.389904118871</v>
      </c>
      <c r="P1105" s="93">
        <f t="shared" si="351"/>
        <v>40393.505775590449</v>
      </c>
      <c r="Q1105" s="93">
        <f t="shared" si="352"/>
        <v>2940135733133.9873</v>
      </c>
      <c r="R1105" s="93">
        <f t="shared" si="353"/>
        <v>62603620504737.555</v>
      </c>
      <c r="S1105" s="93">
        <f t="shared" si="354"/>
        <v>67428014299387.156</v>
      </c>
      <c r="T1105">
        <f t="shared" ref="T1105:T1144" si="359">A1106-A1105</f>
        <v>0.5</v>
      </c>
    </row>
    <row r="1106" spans="1:20" x14ac:dyDescent="0.25">
      <c r="A1106">
        <v>531.5</v>
      </c>
      <c r="B1106" s="95">
        <f t="shared" si="355"/>
        <v>21690.168987686462</v>
      </c>
      <c r="C1106" s="95">
        <f t="shared" si="356"/>
        <v>17016.508687665868</v>
      </c>
      <c r="D1106" s="95">
        <f t="shared" si="357"/>
        <v>5761.6012185106601</v>
      </c>
      <c r="E1106" s="95">
        <f t="shared" si="358"/>
        <v>-1227.9751473942001</v>
      </c>
      <c r="F1106" s="96">
        <f t="shared" si="341"/>
        <v>-1815.0174682302277</v>
      </c>
      <c r="G1106" s="94">
        <f t="shared" si="342"/>
        <v>-1487.0118951184941</v>
      </c>
      <c r="H1106" s="97">
        <f t="shared" si="343"/>
        <v>-1528.0579606506726</v>
      </c>
      <c r="I1106" s="94">
        <f t="shared" si="344"/>
        <v>-1243.9321341809789</v>
      </c>
      <c r="J1106" s="95">
        <f t="shared" si="345"/>
        <v>-98.079884884139645</v>
      </c>
      <c r="K1106" s="94">
        <f t="shared" si="346"/>
        <v>-16.506969894463445</v>
      </c>
      <c r="L1106" s="94">
        <f t="shared" si="347"/>
        <v>-188.87962269541541</v>
      </c>
      <c r="M1106" s="93">
        <f t="shared" si="348"/>
        <v>-226.57279104305155</v>
      </c>
      <c r="N1106" s="93">
        <f t="shared" si="349"/>
        <v>15073.950662088764</v>
      </c>
      <c r="O1106" s="93">
        <f t="shared" si="350"/>
        <v>42276.489735856085</v>
      </c>
      <c r="P1106" s="93">
        <f t="shared" si="351"/>
        <v>41682.393754901415</v>
      </c>
      <c r="Q1106" s="93">
        <f t="shared" si="352"/>
        <v>4005710729639.751</v>
      </c>
      <c r="R1106" s="93">
        <f t="shared" si="353"/>
        <v>76338997150569.391</v>
      </c>
      <c r="S1106" s="93">
        <f t="shared" si="354"/>
        <v>73988605033376.766</v>
      </c>
      <c r="T1106">
        <f t="shared" si="359"/>
        <v>0.5</v>
      </c>
    </row>
    <row r="1107" spans="1:20" x14ac:dyDescent="0.25">
      <c r="A1107">
        <v>532</v>
      </c>
      <c r="B1107" s="95">
        <f t="shared" si="355"/>
        <v>24117.215229884234</v>
      </c>
      <c r="C1107" s="95">
        <f t="shared" si="356"/>
        <v>16030.768140189144</v>
      </c>
      <c r="D1107" s="95">
        <f t="shared" si="357"/>
        <v>4854.0924843955463</v>
      </c>
      <c r="E1107" s="95">
        <f t="shared" si="358"/>
        <v>-1971.4810949534472</v>
      </c>
      <c r="F1107" s="96">
        <f t="shared" si="341"/>
        <v>-1726.4021067105921</v>
      </c>
      <c r="G1107" s="94">
        <f t="shared" si="342"/>
        <v>-1091.0986750292725</v>
      </c>
      <c r="H1107" s="97">
        <f t="shared" si="343"/>
        <v>-1443.6435217391977</v>
      </c>
      <c r="I1107" s="94">
        <f t="shared" si="344"/>
        <v>-872.36667859063266</v>
      </c>
      <c r="J1107" s="95">
        <f t="shared" si="345"/>
        <v>-88.920764505581261</v>
      </c>
      <c r="K1107" s="94">
        <f t="shared" si="346"/>
        <v>-12.155357285975466</v>
      </c>
      <c r="L1107" s="94">
        <f t="shared" si="347"/>
        <v>-193.83782046581314</v>
      </c>
      <c r="M1107" s="93">
        <f t="shared" si="348"/>
        <v>-206.57663915266434</v>
      </c>
      <c r="N1107" s="93">
        <f t="shared" si="349"/>
        <v>16494.537608206589</v>
      </c>
      <c r="O1107" s="93">
        <f t="shared" si="350"/>
        <v>44527.506599860826</v>
      </c>
      <c r="P1107" s="93">
        <f t="shared" si="351"/>
        <v>42552.565070904719</v>
      </c>
      <c r="Q1107" s="93">
        <f t="shared" si="352"/>
        <v>5120209039084.6523</v>
      </c>
      <c r="R1107" s="93">
        <f t="shared" si="353"/>
        <v>89104091287624.641</v>
      </c>
      <c r="S1107" s="93">
        <f t="shared" si="354"/>
        <v>78652030891403.828</v>
      </c>
      <c r="T1107">
        <f t="shared" si="359"/>
        <v>0.5</v>
      </c>
    </row>
    <row r="1108" spans="1:20" x14ac:dyDescent="0.25">
      <c r="A1108">
        <v>532.5</v>
      </c>
      <c r="B1108" s="95">
        <f t="shared" si="355"/>
        <v>26112.660945404357</v>
      </c>
      <c r="C1108" s="95">
        <f t="shared" si="356"/>
        <v>14772.252923955102</v>
      </c>
      <c r="D1108" s="95">
        <f t="shared" si="357"/>
        <v>3990.8914310402502</v>
      </c>
      <c r="E1108" s="95">
        <f t="shared" si="358"/>
        <v>-2517.0304324680833</v>
      </c>
      <c r="F1108" s="96">
        <f t="shared" si="341"/>
        <v>-1643.0177894409906</v>
      </c>
      <c r="G1108" s="94">
        <f t="shared" si="342"/>
        <v>-813.97657781454586</v>
      </c>
      <c r="H1108" s="97">
        <f t="shared" si="343"/>
        <v>-1360.6563696072342</v>
      </c>
      <c r="I1108" s="94">
        <f t="shared" si="344"/>
        <v>-614.11565078557669</v>
      </c>
      <c r="J1108" s="95">
        <f t="shared" si="345"/>
        <v>-82.415639680227571</v>
      </c>
      <c r="K1108" s="94">
        <f t="shared" si="346"/>
        <v>-8.5292904243643264</v>
      </c>
      <c r="L1108" s="94">
        <f t="shared" si="347"/>
        <v>-199.94578015352894</v>
      </c>
      <c r="M1108" s="93">
        <f t="shared" si="348"/>
        <v>-191.33163660460477</v>
      </c>
      <c r="N1108" s="93">
        <f t="shared" si="349"/>
        <v>17677.768675133531</v>
      </c>
      <c r="O1108" s="93">
        <f t="shared" si="350"/>
        <v>46358.946250276422</v>
      </c>
      <c r="P1108" s="93">
        <f t="shared" si="351"/>
        <v>43062.567448674527</v>
      </c>
      <c r="Q1108" s="93">
        <f t="shared" si="352"/>
        <v>6200367507249.125</v>
      </c>
      <c r="R1108" s="93">
        <f t="shared" si="353"/>
        <v>100485475647170.34</v>
      </c>
      <c r="S1108" s="93">
        <f t="shared" si="354"/>
        <v>81474843650663.625</v>
      </c>
      <c r="T1108">
        <f t="shared" si="359"/>
        <v>0.5</v>
      </c>
    </row>
    <row r="1109" spans="1:20" x14ac:dyDescent="0.25">
      <c r="A1109">
        <v>533</v>
      </c>
      <c r="B1109" s="95">
        <f t="shared" si="355"/>
        <v>27697.352213564234</v>
      </c>
      <c r="C1109" s="95">
        <f t="shared" si="356"/>
        <v>13310.243563267424</v>
      </c>
      <c r="D1109" s="95">
        <f t="shared" si="357"/>
        <v>3169.3825363197548</v>
      </c>
      <c r="E1109" s="95">
        <f t="shared" si="358"/>
        <v>-2924.0187213753561</v>
      </c>
      <c r="F1109" s="96">
        <f t="shared" si="341"/>
        <v>-1576.9177666801793</v>
      </c>
      <c r="G1109" s="94">
        <f t="shared" si="342"/>
        <v>-609.09325870192185</v>
      </c>
      <c r="H1109" s="97">
        <f t="shared" si="343"/>
        <v>-1291.7276467926379</v>
      </c>
      <c r="I1109" s="94">
        <f t="shared" si="344"/>
        <v>-424.08899109320191</v>
      </c>
      <c r="J1109" s="95">
        <f t="shared" si="345"/>
        <v>-77.748584917833227</v>
      </c>
      <c r="K1109" s="94">
        <f t="shared" si="346"/>
        <v>-5.3958289262064714</v>
      </c>
      <c r="L1109" s="94">
        <f t="shared" si="347"/>
        <v>-207.4415349697083</v>
      </c>
      <c r="M1109" s="93">
        <f t="shared" si="348"/>
        <v>-179.60843868251348</v>
      </c>
      <c r="N1109" s="93">
        <f t="shared" si="349"/>
        <v>18626.733627650272</v>
      </c>
      <c r="O1109" s="93">
        <f t="shared" si="350"/>
        <v>47812.081325047489</v>
      </c>
      <c r="P1109" s="93">
        <f t="shared" si="351"/>
        <v>43250.280142322765</v>
      </c>
      <c r="Q1109" s="93">
        <f t="shared" si="352"/>
        <v>7173580261568.5645</v>
      </c>
      <c r="R1109" s="93">
        <f t="shared" si="353"/>
        <v>110177907532733.97</v>
      </c>
      <c r="S1109" s="93">
        <f t="shared" si="354"/>
        <v>82530692741106.813</v>
      </c>
      <c r="T1109">
        <f t="shared" si="359"/>
        <v>0.5</v>
      </c>
    </row>
    <row r="1110" spans="1:20" x14ac:dyDescent="0.25">
      <c r="A1110">
        <v>533.5</v>
      </c>
      <c r="B1110" s="95">
        <f t="shared" si="355"/>
        <v>28887.814040054065</v>
      </c>
      <c r="C1110" s="95">
        <f t="shared" si="356"/>
        <v>11695.960887904266</v>
      </c>
      <c r="D1110" s="95">
        <f t="shared" si="357"/>
        <v>2380.9236529796653</v>
      </c>
      <c r="E1110" s="95">
        <f t="shared" si="358"/>
        <v>-3228.5653507263169</v>
      </c>
      <c r="F1110" s="96">
        <f t="shared" si="341"/>
        <v>-1530.2590400753065</v>
      </c>
      <c r="G1110" s="94">
        <f t="shared" si="342"/>
        <v>-448.5242563715629</v>
      </c>
      <c r="H1110" s="97">
        <f t="shared" si="343"/>
        <v>-1239.1978208734688</v>
      </c>
      <c r="I1110" s="94">
        <f t="shared" si="344"/>
        <v>-275.28996090997032</v>
      </c>
      <c r="J1110" s="95">
        <f t="shared" si="345"/>
        <v>-74.43574874461649</v>
      </c>
      <c r="K1110" s="94">
        <f t="shared" si="346"/>
        <v>-2.5822410146894561</v>
      </c>
      <c r="L1110" s="94">
        <f t="shared" si="347"/>
        <v>-216.6254704572211</v>
      </c>
      <c r="M1110" s="93">
        <f t="shared" si="348"/>
        <v>-170.65205444690315</v>
      </c>
      <c r="N1110" s="93">
        <f t="shared" si="349"/>
        <v>19348.271421098212</v>
      </c>
      <c r="O1110" s="93">
        <f t="shared" si="350"/>
        <v>48917.222375644022</v>
      </c>
      <c r="P1110" s="93">
        <f t="shared" si="351"/>
        <v>43139.984563532234</v>
      </c>
      <c r="Q1110" s="93">
        <f t="shared" si="352"/>
        <v>7980675997420.4893</v>
      </c>
      <c r="R1110" s="93">
        <f t="shared" si="353"/>
        <v>117953762830806.89</v>
      </c>
      <c r="S1110" s="93">
        <f t="shared" si="354"/>
        <v>81909195172776.953</v>
      </c>
      <c r="T1110">
        <f t="shared" si="359"/>
        <v>0.5</v>
      </c>
    </row>
    <row r="1111" spans="1:20" x14ac:dyDescent="0.25">
      <c r="A1111">
        <v>534</v>
      </c>
      <c r="B1111" s="95">
        <f t="shared" si="355"/>
        <v>29695.711106525068</v>
      </c>
      <c r="C1111" s="95">
        <f t="shared" si="356"/>
        <v>9969.5471484482168</v>
      </c>
      <c r="D1111" s="95">
        <f t="shared" si="357"/>
        <v>1615.7941329420121</v>
      </c>
      <c r="E1111" s="95">
        <f t="shared" si="358"/>
        <v>-3452.8274789120983</v>
      </c>
      <c r="F1111" s="96">
        <f t="shared" si="341"/>
        <v>-1502.384465916967</v>
      </c>
      <c r="G1111" s="94">
        <f t="shared" si="342"/>
        <v>-314.71149663950609</v>
      </c>
      <c r="H1111" s="97">
        <f t="shared" si="343"/>
        <v>-1202.3160005773645</v>
      </c>
      <c r="I1111" s="94">
        <f t="shared" si="344"/>
        <v>-150.75241684347336</v>
      </c>
      <c r="J1111" s="95">
        <f t="shared" si="345"/>
        <v>-72.182412523229175</v>
      </c>
      <c r="K1111" s="94">
        <f t="shared" si="346"/>
        <v>4.4232394391290904E-2</v>
      </c>
      <c r="L1111" s="94">
        <f t="shared" si="347"/>
        <v>-227.88605281637322</v>
      </c>
      <c r="M1111" s="93">
        <f t="shared" si="348"/>
        <v>-164.00331219042403</v>
      </c>
      <c r="N1111" s="93">
        <f t="shared" si="349"/>
        <v>19849.929448491843</v>
      </c>
      <c r="O1111" s="93">
        <f t="shared" si="350"/>
        <v>49695.720437069496</v>
      </c>
      <c r="P1111" s="93">
        <f t="shared" si="351"/>
        <v>42746.586460044098</v>
      </c>
      <c r="Q1111" s="93">
        <f t="shared" si="352"/>
        <v>8577320949702.1582</v>
      </c>
      <c r="R1111" s="93">
        <f t="shared" si="353"/>
        <v>123646053302318.2</v>
      </c>
      <c r="S1111" s="93">
        <f t="shared" si="354"/>
        <v>79718050443952.313</v>
      </c>
      <c r="T1111">
        <f t="shared" si="359"/>
        <v>0.5</v>
      </c>
    </row>
    <row r="1112" spans="1:20" x14ac:dyDescent="0.25">
      <c r="A1112">
        <v>534.5</v>
      </c>
      <c r="B1112" s="95">
        <f t="shared" si="355"/>
        <v>30128.012056516833</v>
      </c>
      <c r="C1112" s="95">
        <f t="shared" si="356"/>
        <v>8164.4555348322911</v>
      </c>
      <c r="D1112" s="95">
        <f t="shared" si="357"/>
        <v>864.6018999835286</v>
      </c>
      <c r="E1112" s="95">
        <f t="shared" si="358"/>
        <v>-3610.1832272318516</v>
      </c>
      <c r="F1112" s="96">
        <f t="shared" si="341"/>
        <v>-1492.1134609460055</v>
      </c>
      <c r="G1112" s="94">
        <f t="shared" si="342"/>
        <v>-195.75697295319088</v>
      </c>
      <c r="H1112" s="97">
        <f t="shared" si="343"/>
        <v>-1179.5631360040068</v>
      </c>
      <c r="I1112" s="94">
        <f t="shared" si="344"/>
        <v>-38.939128822125134</v>
      </c>
      <c r="J1112" s="95">
        <f t="shared" si="345"/>
        <v>-70.810076933658323</v>
      </c>
      <c r="K1112" s="94">
        <f t="shared" si="346"/>
        <v>2.5928625425467859</v>
      </c>
      <c r="L1112" s="94">
        <f t="shared" si="347"/>
        <v>-241.74024800834033</v>
      </c>
      <c r="M1112" s="93">
        <f t="shared" si="348"/>
        <v>-159.41070667361254</v>
      </c>
      <c r="N1112" s="93">
        <f t="shared" si="349"/>
        <v>20138.976401621218</v>
      </c>
      <c r="O1112" s="93">
        <f t="shared" si="350"/>
        <v>50161.606994013906</v>
      </c>
      <c r="P1112" s="93">
        <f t="shared" si="351"/>
        <v>42078.132459366752</v>
      </c>
      <c r="Q1112" s="93">
        <f t="shared" si="352"/>
        <v>8934665849021.7617</v>
      </c>
      <c r="R1112" s="93">
        <f t="shared" si="353"/>
        <v>127138814661534.16</v>
      </c>
      <c r="S1112" s="93">
        <f t="shared" si="354"/>
        <v>76085733565392.516</v>
      </c>
      <c r="T1112">
        <f t="shared" si="359"/>
        <v>0.5</v>
      </c>
    </row>
    <row r="1113" spans="1:20" x14ac:dyDescent="0.25">
      <c r="A1113">
        <v>535</v>
      </c>
      <c r="B1113" s="95">
        <f t="shared" si="355"/>
        <v>30187.284641272097</v>
      </c>
      <c r="C1113" s="95">
        <f t="shared" si="356"/>
        <v>6310.4246779780678</v>
      </c>
      <c r="D1113" s="95">
        <f t="shared" si="357"/>
        <v>118.54516951052585</v>
      </c>
      <c r="E1113" s="95">
        <f t="shared" si="358"/>
        <v>-3708.0617137084469</v>
      </c>
      <c r="F1113" s="96">
        <f t="shared" si="341"/>
        <v>-1498.4229493108187</v>
      </c>
      <c r="G1113" s="94">
        <f t="shared" si="342"/>
        <v>-82.727907431166713</v>
      </c>
      <c r="H1113" s="97">
        <f t="shared" si="343"/>
        <v>-1169.3100277617066</v>
      </c>
      <c r="I1113" s="94">
        <f t="shared" si="344"/>
        <v>68.903885665449963</v>
      </c>
      <c r="J1113" s="95">
        <f t="shared" si="345"/>
        <v>-70.218309788024982</v>
      </c>
      <c r="K1113" s="94">
        <f t="shared" si="346"/>
        <v>5.162178922406456</v>
      </c>
      <c r="L1113" s="94">
        <f t="shared" si="347"/>
        <v>-258.89461176108705</v>
      </c>
      <c r="M1113" s="93">
        <f t="shared" si="348"/>
        <v>-156.79397201902313</v>
      </c>
      <c r="N1113" s="93">
        <f t="shared" si="349"/>
        <v>20222.303296966544</v>
      </c>
      <c r="O1113" s="93">
        <f t="shared" si="350"/>
        <v>50322.723552297321</v>
      </c>
      <c r="P1113" s="93">
        <f t="shared" si="351"/>
        <v>41137.321259188473</v>
      </c>
      <c r="Q1113" s="93">
        <f t="shared" si="352"/>
        <v>9039550905979.6406</v>
      </c>
      <c r="R1113" s="93">
        <f t="shared" si="353"/>
        <v>128361880224100.83</v>
      </c>
      <c r="S1113" s="93">
        <f t="shared" si="354"/>
        <v>71164166104008.906</v>
      </c>
      <c r="T1113">
        <f t="shared" si="359"/>
        <v>0.5</v>
      </c>
    </row>
    <row r="1114" spans="1:20" x14ac:dyDescent="0.25">
      <c r="A1114">
        <v>535.5</v>
      </c>
      <c r="B1114" s="95">
        <f t="shared" si="355"/>
        <v>29871.951488699659</v>
      </c>
      <c r="C1114" s="95">
        <f t="shared" si="356"/>
        <v>4435.711844266053</v>
      </c>
      <c r="D1114" s="95">
        <f t="shared" si="357"/>
        <v>-630.66630514488349</v>
      </c>
      <c r="E1114" s="95">
        <f t="shared" si="358"/>
        <v>-3749.4256674240301</v>
      </c>
      <c r="F1114" s="96">
        <f t="shared" si="341"/>
        <v>-1520.5323862435375</v>
      </c>
      <c r="G1114" s="94">
        <f t="shared" si="342"/>
        <v>31.993894216607032</v>
      </c>
      <c r="H1114" s="97">
        <f t="shared" si="343"/>
        <v>-1169.8269040643863</v>
      </c>
      <c r="I1114" s="94">
        <f t="shared" si="344"/>
        <v>180.38926516209901</v>
      </c>
      <c r="J1114" s="95">
        <f t="shared" si="345"/>
        <v>-70.365447566208019</v>
      </c>
      <c r="K1114" s="94">
        <f t="shared" si="346"/>
        <v>7.850778138374749</v>
      </c>
      <c r="L1114" s="94">
        <f t="shared" si="347"/>
        <v>-280.34003461294321</v>
      </c>
      <c r="M1114" s="93">
        <f t="shared" si="348"/>
        <v>-156.24614908386673</v>
      </c>
      <c r="N1114" s="93">
        <f t="shared" si="349"/>
        <v>20106.822669696074</v>
      </c>
      <c r="O1114" s="93">
        <f t="shared" si="350"/>
        <v>50181.399422208764</v>
      </c>
      <c r="P1114" s="93">
        <f t="shared" si="351"/>
        <v>39922.423467564768</v>
      </c>
      <c r="Q1114" s="93">
        <f t="shared" si="352"/>
        <v>8894417996441.6816</v>
      </c>
      <c r="R1114" s="93">
        <f t="shared" si="353"/>
        <v>127288641205366.05</v>
      </c>
      <c r="S1114" s="93">
        <f t="shared" si="354"/>
        <v>65131300734181.367</v>
      </c>
      <c r="T1114">
        <f t="shared" si="359"/>
        <v>0.5</v>
      </c>
    </row>
    <row r="1115" spans="1:20" x14ac:dyDescent="0.25">
      <c r="A1115">
        <v>536</v>
      </c>
      <c r="B1115" s="95">
        <f t="shared" si="355"/>
        <v>29176.485239566333</v>
      </c>
      <c r="C1115" s="95">
        <f t="shared" si="356"/>
        <v>2568.9974841081898</v>
      </c>
      <c r="D1115" s="95">
        <f t="shared" si="357"/>
        <v>-1390.9324982666521</v>
      </c>
      <c r="E1115" s="95">
        <f t="shared" si="358"/>
        <v>-3733.4287203157264</v>
      </c>
      <c r="F1115" s="96">
        <f t="shared" si="341"/>
        <v>-1557.6777274759957</v>
      </c>
      <c r="G1115" s="94">
        <f t="shared" si="342"/>
        <v>155.83395807192795</v>
      </c>
      <c r="H1115" s="97">
        <f t="shared" si="343"/>
        <v>-1178.9129531495505</v>
      </c>
      <c r="I1115" s="94">
        <f t="shared" si="344"/>
        <v>303.14328540266644</v>
      </c>
      <c r="J1115" s="95">
        <f t="shared" si="345"/>
        <v>-71.260992996711991</v>
      </c>
      <c r="K1115" s="94">
        <f t="shared" si="346"/>
        <v>10.768167258473746</v>
      </c>
      <c r="L1115" s="94">
        <f t="shared" si="347"/>
        <v>-307.50378132973321</v>
      </c>
      <c r="M1115" s="93">
        <f t="shared" si="348"/>
        <v>-158.07749458921222</v>
      </c>
      <c r="N1115" s="93">
        <f t="shared" si="349"/>
        <v>19800.312420642174</v>
      </c>
      <c r="O1115" s="93">
        <f t="shared" si="350"/>
        <v>49734.76147432976</v>
      </c>
      <c r="P1115" s="93">
        <f t="shared" si="351"/>
        <v>38427.878108567158</v>
      </c>
      <c r="Q1115" s="93">
        <f t="shared" si="352"/>
        <v>8516985214973.7676</v>
      </c>
      <c r="R1115" s="93">
        <f t="shared" si="353"/>
        <v>123936251899724.61</v>
      </c>
      <c r="S1115" s="93">
        <f t="shared" si="354"/>
        <v>58193644801076.078</v>
      </c>
      <c r="T1115">
        <f t="shared" si="359"/>
        <v>0.5</v>
      </c>
    </row>
    <row r="1116" spans="1:20" x14ac:dyDescent="0.25">
      <c r="A1116">
        <v>536.5</v>
      </c>
      <c r="B1116" s="95">
        <f t="shared" si="355"/>
        <v>28091.599558564008</v>
      </c>
      <c r="C1116" s="95">
        <f t="shared" si="356"/>
        <v>741.24161346830863</v>
      </c>
      <c r="D1116" s="95">
        <f t="shared" si="357"/>
        <v>-2169.7713620046497</v>
      </c>
      <c r="E1116" s="95">
        <f t="shared" si="358"/>
        <v>-3655.5117412797626</v>
      </c>
      <c r="F1116" s="96">
        <f t="shared" si="341"/>
        <v>-1608.5573620037981</v>
      </c>
      <c r="G1116" s="94">
        <f t="shared" si="342"/>
        <v>296.84457307404534</v>
      </c>
      <c r="H1116" s="97">
        <f t="shared" si="343"/>
        <v>-1193.0883465902907</v>
      </c>
      <c r="I1116" s="94">
        <f t="shared" si="344"/>
        <v>445.72044844830776</v>
      </c>
      <c r="J1116" s="95">
        <f t="shared" si="345"/>
        <v>-72.967005858767664</v>
      </c>
      <c r="K1116" s="94">
        <f t="shared" si="346"/>
        <v>14.047856250076972</v>
      </c>
      <c r="L1116" s="94">
        <f t="shared" si="347"/>
        <v>-342.50200955473986</v>
      </c>
      <c r="M1116" s="93">
        <f t="shared" si="348"/>
        <v>-162.92373162433941</v>
      </c>
      <c r="N1116" s="93">
        <f t="shared" si="349"/>
        <v>19312.86590630572</v>
      </c>
      <c r="O1116" s="93">
        <f t="shared" si="350"/>
        <v>48974.754261368624</v>
      </c>
      <c r="P1116" s="93">
        <f t="shared" si="351"/>
        <v>36644.790201035939</v>
      </c>
      <c r="Q1116" s="93">
        <f t="shared" si="352"/>
        <v>7939679743374.2754</v>
      </c>
      <c r="R1116" s="93">
        <f t="shared" si="353"/>
        <v>118368307781453.56</v>
      </c>
      <c r="S1116" s="93">
        <f t="shared" si="354"/>
        <v>50588669637233.484</v>
      </c>
      <c r="T1116">
        <f t="shared" si="359"/>
        <v>0.5</v>
      </c>
    </row>
    <row r="1117" spans="1:20" x14ac:dyDescent="0.25">
      <c r="A1117">
        <v>537</v>
      </c>
      <c r="B1117" s="95">
        <f t="shared" si="355"/>
        <v>26604.574537060733</v>
      </c>
      <c r="C1117" s="95">
        <f t="shared" si="356"/>
        <v>-1012.3031139030614</v>
      </c>
      <c r="D1117" s="95">
        <f t="shared" si="357"/>
        <v>-2974.0500430065485</v>
      </c>
      <c r="E1117" s="95">
        <f t="shared" si="358"/>
        <v>-3507.0894547427401</v>
      </c>
      <c r="F1117" s="96">
        <f t="shared" si="341"/>
        <v>-1670.2291723759677</v>
      </c>
      <c r="G1117" s="94">
        <f t="shared" si="342"/>
        <v>464.16668115032223</v>
      </c>
      <c r="H1117" s="97">
        <f t="shared" si="343"/>
        <v>-1206.0468979302784</v>
      </c>
      <c r="I1117" s="94">
        <f t="shared" si="344"/>
        <v>618.27761631899784</v>
      </c>
      <c r="J1117" s="95">
        <f t="shared" si="345"/>
        <v>-75.608664865031187</v>
      </c>
      <c r="K1117" s="94">
        <f t="shared" si="346"/>
        <v>17.865746952997462</v>
      </c>
      <c r="L1117" s="94">
        <f t="shared" si="347"/>
        <v>-388.573609580658</v>
      </c>
      <c r="M1117" s="93">
        <f t="shared" si="348"/>
        <v>-171.97668212167309</v>
      </c>
      <c r="N1117" s="93">
        <f t="shared" si="349"/>
        <v>18659.346179857679</v>
      </c>
      <c r="O1117" s="93">
        <f t="shared" si="350"/>
        <v>47887.96495626984</v>
      </c>
      <c r="P1117" s="93">
        <f t="shared" si="351"/>
        <v>34561.608698756398</v>
      </c>
      <c r="Q1117" s="93">
        <f t="shared" si="352"/>
        <v>7208786749384.1826</v>
      </c>
      <c r="R1117" s="93">
        <f t="shared" si="353"/>
        <v>110700535256065.66</v>
      </c>
      <c r="S1117" s="93">
        <f t="shared" si="354"/>
        <v>42586825566380.117</v>
      </c>
      <c r="T1117">
        <f t="shared" si="359"/>
        <v>0.5</v>
      </c>
    </row>
    <row r="1118" spans="1:20" x14ac:dyDescent="0.25">
      <c r="A1118">
        <v>537.5</v>
      </c>
      <c r="B1118" s="95">
        <f t="shared" si="355"/>
        <v>24699.992222463465</v>
      </c>
      <c r="C1118" s="95">
        <f t="shared" si="356"/>
        <v>-2649.8061709868512</v>
      </c>
      <c r="D1118" s="95">
        <f t="shared" si="357"/>
        <v>-3809.1646291945326</v>
      </c>
      <c r="E1118" s="95">
        <f t="shared" si="358"/>
        <v>-3275.0061141675792</v>
      </c>
      <c r="F1118" s="96">
        <f t="shared" si="341"/>
        <v>-1736.0399765932375</v>
      </c>
      <c r="G1118" s="94">
        <f t="shared" si="342"/>
        <v>667.5475500924282</v>
      </c>
      <c r="H1118" s="97">
        <f t="shared" si="343"/>
        <v>-1205.7934927521158</v>
      </c>
      <c r="I1118" s="94">
        <f t="shared" si="344"/>
        <v>832.55623870120917</v>
      </c>
      <c r="J1118" s="95">
        <f t="shared" si="345"/>
        <v>-79.396883370404254</v>
      </c>
      <c r="K1118" s="94">
        <f t="shared" si="346"/>
        <v>22.468799999283579</v>
      </c>
      <c r="L1118" s="94">
        <f t="shared" si="347"/>
        <v>-450.84960047071735</v>
      </c>
      <c r="M1118" s="93">
        <f t="shared" si="348"/>
        <v>-187.47748860806448</v>
      </c>
      <c r="N1118" s="93">
        <f t="shared" si="349"/>
        <v>17863.603685961272</v>
      </c>
      <c r="O1118" s="93">
        <f t="shared" si="350"/>
        <v>46455.429185960937</v>
      </c>
      <c r="P1118" s="93">
        <f t="shared" si="351"/>
        <v>32165.460133947796</v>
      </c>
      <c r="Q1118" s="93">
        <f t="shared" si="352"/>
        <v>6383263780449.5908</v>
      </c>
      <c r="R1118" s="93">
        <f t="shared" si="353"/>
        <v>101110611018533.63</v>
      </c>
      <c r="S1118" s="93">
        <f t="shared" si="354"/>
        <v>34492388474393.02</v>
      </c>
      <c r="T1118">
        <f t="shared" si="359"/>
        <v>0.5</v>
      </c>
    </row>
    <row r="1119" spans="1:20" x14ac:dyDescent="0.25">
      <c r="A1119">
        <v>538</v>
      </c>
      <c r="B1119" s="95">
        <f t="shared" si="355"/>
        <v>22361.399913717887</v>
      </c>
      <c r="C1119" s="95">
        <f t="shared" si="356"/>
        <v>-4120.4223405475332</v>
      </c>
      <c r="D1119" s="95">
        <f t="shared" si="357"/>
        <v>-4677.1846174911516</v>
      </c>
      <c r="E1119" s="95">
        <f t="shared" si="358"/>
        <v>-2941.2323391213649</v>
      </c>
      <c r="F1119" s="96">
        <f t="shared" si="341"/>
        <v>-1792.1518568642068</v>
      </c>
      <c r="G1119" s="94">
        <f t="shared" si="342"/>
        <v>914.01408073194852</v>
      </c>
      <c r="H1119" s="97">
        <f t="shared" si="343"/>
        <v>-1169.7313963482479</v>
      </c>
      <c r="I1119" s="94">
        <f t="shared" si="344"/>
        <v>1099.6143596552242</v>
      </c>
      <c r="J1119" s="95">
        <f t="shared" si="345"/>
        <v>-84.669347660794116</v>
      </c>
      <c r="K1119" s="94">
        <f t="shared" si="346"/>
        <v>28.223027348109493</v>
      </c>
      <c r="L1119" s="94">
        <f t="shared" si="347"/>
        <v>-537.75111285516482</v>
      </c>
      <c r="M1119" s="93">
        <f t="shared" si="348"/>
        <v>-213.82330627138523</v>
      </c>
      <c r="N1119" s="93">
        <f t="shared" si="349"/>
        <v>16965.801578456612</v>
      </c>
      <c r="O1119" s="93">
        <f t="shared" si="350"/>
        <v>44652.822192168009</v>
      </c>
      <c r="P1119" s="93">
        <f t="shared" si="351"/>
        <v>29445.057569759621</v>
      </c>
      <c r="Q1119" s="93">
        <f t="shared" si="352"/>
        <v>5533247957359.8291</v>
      </c>
      <c r="R1119" s="93">
        <f t="shared" si="353"/>
        <v>89853879413305.469</v>
      </c>
      <c r="S1119" s="93">
        <f t="shared" si="354"/>
        <v>26641312590526.773</v>
      </c>
      <c r="T1119">
        <f t="shared" si="359"/>
        <v>0.5</v>
      </c>
    </row>
    <row r="1120" spans="1:20" x14ac:dyDescent="0.25">
      <c r="A1120">
        <v>538.5</v>
      </c>
      <c r="B1120" s="95">
        <f t="shared" si="355"/>
        <v>19574.769640756258</v>
      </c>
      <c r="C1120" s="95">
        <f t="shared" si="356"/>
        <v>-5362.5349899252287</v>
      </c>
      <c r="D1120" s="95">
        <f t="shared" si="357"/>
        <v>-5573.2605459232545</v>
      </c>
      <c r="E1120" s="95">
        <f t="shared" si="358"/>
        <v>-2484.2252987553907</v>
      </c>
      <c r="F1120" s="96">
        <f t="shared" si="341"/>
        <v>-1813.4655320336637</v>
      </c>
      <c r="G1120" s="94">
        <f t="shared" si="342"/>
        <v>1196.7362200071402</v>
      </c>
      <c r="H1120" s="97">
        <f t="shared" si="343"/>
        <v>-1057.9710604963116</v>
      </c>
      <c r="I1120" s="94">
        <f t="shared" si="344"/>
        <v>1421.2550582979115</v>
      </c>
      <c r="J1120" s="95">
        <f t="shared" si="345"/>
        <v>-91.961161262464387</v>
      </c>
      <c r="K1120" s="94">
        <f t="shared" si="346"/>
        <v>35.698415188090735</v>
      </c>
      <c r="L1120" s="94">
        <f t="shared" si="347"/>
        <v>-663.53331027488764</v>
      </c>
      <c r="M1120" s="93">
        <f t="shared" si="348"/>
        <v>-260.21725347886206</v>
      </c>
      <c r="N1120" s="93">
        <f t="shared" si="349"/>
        <v>16034.993608997744</v>
      </c>
      <c r="O1120" s="93">
        <f t="shared" si="350"/>
        <v>42451.971372783155</v>
      </c>
      <c r="P1120" s="93">
        <f t="shared" si="351"/>
        <v>26396.970180622073</v>
      </c>
      <c r="Q1120" s="93">
        <f t="shared" si="352"/>
        <v>4738634021032.5801</v>
      </c>
      <c r="R1120" s="93">
        <f t="shared" si="353"/>
        <v>77287042930929.938</v>
      </c>
      <c r="S1120" s="93">
        <f t="shared" si="354"/>
        <v>19392122588660.348</v>
      </c>
      <c r="T1120">
        <f t="shared" si="359"/>
        <v>0.5</v>
      </c>
    </row>
    <row r="1121" spans="1:20" x14ac:dyDescent="0.25">
      <c r="A1121">
        <v>539</v>
      </c>
      <c r="B1121" s="95">
        <f t="shared" si="355"/>
        <v>16334.772984786217</v>
      </c>
      <c r="C1121" s="95">
        <f t="shared" si="356"/>
        <v>-6305.4635843011392</v>
      </c>
      <c r="D1121" s="95">
        <f t="shared" si="357"/>
        <v>-6479.9933119400866</v>
      </c>
      <c r="E1121" s="95">
        <f t="shared" si="358"/>
        <v>-1885.8571887518206</v>
      </c>
      <c r="F1121" s="96">
        <f t="shared" si="341"/>
        <v>-1765.8384249293908</v>
      </c>
      <c r="G1121" s="94">
        <f t="shared" si="342"/>
        <v>1466.0407519969822</v>
      </c>
      <c r="H1121" s="97">
        <f t="shared" si="343"/>
        <v>-811.11455104536162</v>
      </c>
      <c r="I1121" s="94">
        <f t="shared" si="344"/>
        <v>1767.673825730853</v>
      </c>
      <c r="J1121" s="95">
        <f t="shared" si="345"/>
        <v>-102.12073674353697</v>
      </c>
      <c r="K1121" s="94">
        <f t="shared" si="346"/>
        <v>45.827338865470615</v>
      </c>
      <c r="L1121" s="94">
        <f t="shared" si="347"/>
        <v>-852.60313714049221</v>
      </c>
      <c r="M1121" s="93">
        <f t="shared" si="348"/>
        <v>-347.4604125993414</v>
      </c>
      <c r="N1121" s="93">
        <f t="shared" si="349"/>
        <v>15189.475749552455</v>
      </c>
      <c r="O1121" s="93">
        <f t="shared" si="350"/>
        <v>39825.668488487689</v>
      </c>
      <c r="P1121" s="93">
        <f t="shared" si="351"/>
        <v>23038.391909946262</v>
      </c>
      <c r="Q1121" s="93">
        <f t="shared" si="352"/>
        <v>4089286000667.1826</v>
      </c>
      <c r="R1121" s="93">
        <f t="shared" si="353"/>
        <v>63900058262694.914</v>
      </c>
      <c r="S1121" s="93">
        <f t="shared" si="354"/>
        <v>13102064167822.77</v>
      </c>
      <c r="T1121">
        <f t="shared" si="359"/>
        <v>0.5</v>
      </c>
    </row>
    <row r="1122" spans="1:20" x14ac:dyDescent="0.25">
      <c r="A1122">
        <v>539.5</v>
      </c>
      <c r="B1122" s="95">
        <f t="shared" si="355"/>
        <v>12653.316722583826</v>
      </c>
      <c r="C1122" s="95">
        <f t="shared" si="356"/>
        <v>-6881.8819906778044</v>
      </c>
      <c r="D1122" s="95">
        <f t="shared" si="357"/>
        <v>-7362.9125244047818</v>
      </c>
      <c r="E1122" s="95">
        <f t="shared" si="358"/>
        <v>-1152.8368127533295</v>
      </c>
      <c r="F1122" s="96">
        <f t="shared" si="341"/>
        <v>-1637.2408403831437</v>
      </c>
      <c r="G1122" s="94">
        <f t="shared" si="342"/>
        <v>1573.5337391336516</v>
      </c>
      <c r="H1122" s="97">
        <f t="shared" si="343"/>
        <v>-376.28923702244515</v>
      </c>
      <c r="I1122" s="94">
        <f t="shared" si="344"/>
        <v>2039.6160605918853</v>
      </c>
      <c r="J1122" s="95">
        <f t="shared" si="345"/>
        <v>-116.47789817428132</v>
      </c>
      <c r="K1122" s="94">
        <f t="shared" si="346"/>
        <v>60.219491582011834</v>
      </c>
      <c r="L1122" s="94">
        <f t="shared" si="347"/>
        <v>-1144.4737051864172</v>
      </c>
      <c r="M1122" s="93">
        <f t="shared" si="348"/>
        <v>-526.30181304024575</v>
      </c>
      <c r="N1122" s="93">
        <f t="shared" si="349"/>
        <v>14624.58954036405</v>
      </c>
      <c r="O1122" s="93">
        <f t="shared" si="350"/>
        <v>36759.176167761761</v>
      </c>
      <c r="P1122" s="93">
        <f t="shared" si="351"/>
        <v>19430.476868083788</v>
      </c>
      <c r="Q1122" s="93">
        <f t="shared" si="352"/>
        <v>3692035940790.1802</v>
      </c>
      <c r="R1122" s="93">
        <f t="shared" si="353"/>
        <v>50347338547851.742</v>
      </c>
      <c r="S1122" s="93">
        <f t="shared" si="354"/>
        <v>8076424105950.3232</v>
      </c>
      <c r="T1122">
        <f t="shared" si="359"/>
        <v>0.5</v>
      </c>
    </row>
    <row r="1123" spans="1:20" x14ac:dyDescent="0.25">
      <c r="A1123">
        <v>540</v>
      </c>
      <c r="B1123" s="95">
        <f t="shared" si="355"/>
        <v>8562.5502502856489</v>
      </c>
      <c r="C1123" s="95">
        <f t="shared" si="356"/>
        <v>-7064.916962271056</v>
      </c>
      <c r="D1123" s="95">
        <f t="shared" si="357"/>
        <v>-8181.5329445963534</v>
      </c>
      <c r="E1123" s="95">
        <f t="shared" si="358"/>
        <v>-366.06994318650368</v>
      </c>
      <c r="F1123" s="96">
        <f t="shared" si="341"/>
        <v>-1517.3669085520662</v>
      </c>
      <c r="G1123" s="94">
        <f t="shared" si="342"/>
        <v>1216.5656119477769</v>
      </c>
      <c r="H1123" s="97">
        <f t="shared" si="343"/>
        <v>203.44226192561703</v>
      </c>
      <c r="I1123" s="94">
        <f t="shared" si="344"/>
        <v>2061.3726860031384</v>
      </c>
      <c r="J1123" s="95">
        <f t="shared" si="345"/>
        <v>-136.9875882815837</v>
      </c>
      <c r="K1123" s="94">
        <f t="shared" si="346"/>
        <v>81.844296059089572</v>
      </c>
      <c r="L1123" s="94">
        <f t="shared" si="347"/>
        <v>-1583.8215821960996</v>
      </c>
      <c r="M1123" s="93">
        <f t="shared" si="348"/>
        <v>-926.65137011445108</v>
      </c>
      <c r="N1123" s="93">
        <f t="shared" si="349"/>
        <v>14635.677910530998</v>
      </c>
      <c r="O1123" s="93">
        <f t="shared" si="350"/>
        <v>33272.07038537426</v>
      </c>
      <c r="P1123" s="93">
        <f t="shared" si="351"/>
        <v>15713.316394293628</v>
      </c>
      <c r="Q1123" s="93">
        <f t="shared" si="352"/>
        <v>3699560365730.2021</v>
      </c>
      <c r="R1123" s="93">
        <f t="shared" si="353"/>
        <v>37446264793987.75</v>
      </c>
      <c r="S1123" s="93">
        <f t="shared" si="354"/>
        <v>4483670878631.0254</v>
      </c>
      <c r="T1123">
        <f t="shared" si="359"/>
        <v>0.5</v>
      </c>
    </row>
    <row r="1124" spans="1:20" x14ac:dyDescent="0.25">
      <c r="A1124">
        <v>540.5</v>
      </c>
      <c r="B1124" s="95">
        <f t="shared" si="355"/>
        <v>4092.442050849455</v>
      </c>
      <c r="C1124" s="95">
        <f t="shared" si="356"/>
        <v>-6943.8105308773638</v>
      </c>
      <c r="D1124" s="95">
        <f t="shared" si="357"/>
        <v>-8940.216398872386</v>
      </c>
      <c r="E1124" s="95">
        <f t="shared" si="358"/>
        <v>242.21286278738478</v>
      </c>
      <c r="F1124" s="96">
        <f t="shared" si="341"/>
        <v>-1562.8138011769836</v>
      </c>
      <c r="G1124" s="94">
        <f t="shared" si="342"/>
        <v>-25.29809402941487</v>
      </c>
      <c r="H1124" s="97">
        <f t="shared" si="343"/>
        <v>702.96647039196898</v>
      </c>
      <c r="I1124" s="94">
        <f t="shared" si="344"/>
        <v>1718.7329511276646</v>
      </c>
      <c r="J1124" s="95">
        <f t="shared" si="345"/>
        <v>-165.80825909217936</v>
      </c>
      <c r="K1124" s="94">
        <f t="shared" si="346"/>
        <v>116.61016847453433</v>
      </c>
      <c r="L1124" s="94">
        <f t="shared" si="347"/>
        <v>-2099.9720124767732</v>
      </c>
      <c r="M1124" s="93">
        <f t="shared" si="348"/>
        <v>-1860.6412136316137</v>
      </c>
      <c r="N1124" s="93">
        <f t="shared" si="349"/>
        <v>15605.220394933729</v>
      </c>
      <c r="O1124" s="93">
        <f t="shared" si="350"/>
        <v>29454.00616690045</v>
      </c>
      <c r="P1124" s="93">
        <f t="shared" si="351"/>
        <v>12148.032400782355</v>
      </c>
      <c r="Q1124" s="93">
        <f t="shared" si="352"/>
        <v>4400195797712.0625</v>
      </c>
      <c r="R1124" s="93">
        <f t="shared" si="353"/>
        <v>26095607162311.199</v>
      </c>
      <c r="S1124" s="93">
        <f t="shared" si="354"/>
        <v>2267073797525.6309</v>
      </c>
      <c r="T1124">
        <f t="shared" si="359"/>
        <v>0.5</v>
      </c>
    </row>
    <row r="1125" spans="1:20" x14ac:dyDescent="0.25">
      <c r="A1125">
        <v>541</v>
      </c>
      <c r="B1125" s="95">
        <f t="shared" si="355"/>
        <v>-768.36959888098386</v>
      </c>
      <c r="C1125" s="95">
        <f t="shared" si="356"/>
        <v>-6829.0286229910253</v>
      </c>
      <c r="D1125" s="95">
        <f t="shared" si="357"/>
        <v>-9721.6232994608781</v>
      </c>
      <c r="E1125" s="95">
        <f t="shared" si="358"/>
        <v>229.56381577267734</v>
      </c>
      <c r="F1125" s="96">
        <f t="shared" si="341"/>
        <v>-1255.4079306143276</v>
      </c>
      <c r="G1125" s="94">
        <f t="shared" si="342"/>
        <v>-2384.598454663781</v>
      </c>
      <c r="H1125" s="97">
        <f t="shared" si="343"/>
        <v>875.00318728544289</v>
      </c>
      <c r="I1125" s="94">
        <f t="shared" si="344"/>
        <v>1164.3309231440564</v>
      </c>
      <c r="J1125" s="95">
        <f t="shared" si="345"/>
        <v>-201.26173099680852</v>
      </c>
      <c r="K1125" s="94">
        <f t="shared" si="346"/>
        <v>176.11816372370239</v>
      </c>
      <c r="L1125" s="94">
        <f t="shared" si="347"/>
        <v>-1929.1493869029621</v>
      </c>
      <c r="M1125" s="93">
        <f t="shared" si="348"/>
        <v>-3725.04754153154</v>
      </c>
      <c r="N1125" s="93">
        <f t="shared" si="349"/>
        <v>17924.252985734169</v>
      </c>
      <c r="O1125" s="93">
        <f t="shared" si="350"/>
        <v>25555.269755545458</v>
      </c>
      <c r="P1125" s="93">
        <f t="shared" si="351"/>
        <v>9201.7101179929923</v>
      </c>
      <c r="Q1125" s="93">
        <f t="shared" si="352"/>
        <v>6443753827521.4346</v>
      </c>
      <c r="R1125" s="93">
        <f t="shared" si="353"/>
        <v>17161199606864.174</v>
      </c>
      <c r="S1125" s="93">
        <f t="shared" si="354"/>
        <v>1148525102230.4087</v>
      </c>
      <c r="T1125">
        <f t="shared" si="359"/>
        <v>0.5</v>
      </c>
    </row>
    <row r="1126" spans="1:20" x14ac:dyDescent="0.25">
      <c r="A1126">
        <v>541.5</v>
      </c>
      <c r="B1126" s="95">
        <f t="shared" si="355"/>
        <v>-5943.0332312650053</v>
      </c>
      <c r="C1126" s="95">
        <f t="shared" si="356"/>
        <v>-7310.396328770632</v>
      </c>
      <c r="D1126" s="95">
        <f t="shared" si="357"/>
        <v>-10349.327264768042</v>
      </c>
      <c r="E1126" s="95">
        <f t="shared" si="358"/>
        <v>-962.73541155921316</v>
      </c>
      <c r="F1126" s="96">
        <f t="shared" si="341"/>
        <v>1160.3040729591496</v>
      </c>
      <c r="G1126" s="94">
        <f t="shared" si="342"/>
        <v>-4169.012958010635</v>
      </c>
      <c r="H1126" s="97">
        <f t="shared" si="343"/>
        <v>749.95472684123899</v>
      </c>
      <c r="I1126" s="94">
        <f t="shared" si="344"/>
        <v>696.6758816868105</v>
      </c>
      <c r="J1126" s="95">
        <f t="shared" si="345"/>
        <v>-219.51816391829698</v>
      </c>
      <c r="K1126" s="94">
        <f t="shared" si="346"/>
        <v>270.32477783482159</v>
      </c>
      <c r="L1126" s="94">
        <f t="shared" si="347"/>
        <v>629.86751003620759</v>
      </c>
      <c r="M1126" s="93">
        <f t="shared" si="348"/>
        <v>-5136.0136175322668</v>
      </c>
      <c r="N1126" s="93">
        <f t="shared" si="349"/>
        <v>21760.701919480514</v>
      </c>
      <c r="O1126" s="93">
        <f t="shared" si="350"/>
        <v>22299.061320971243</v>
      </c>
      <c r="P1126" s="93">
        <f t="shared" si="351"/>
        <v>7747.2134536137764</v>
      </c>
      <c r="Q1126" s="93">
        <f t="shared" si="352"/>
        <v>11131008820190.445</v>
      </c>
      <c r="R1126" s="93">
        <f t="shared" si="353"/>
        <v>11500425235316.459</v>
      </c>
      <c r="S1126" s="93">
        <f t="shared" si="354"/>
        <v>783928425218.31299</v>
      </c>
      <c r="T1126">
        <f t="shared" si="359"/>
        <v>0.5</v>
      </c>
    </row>
    <row r="1127" spans="1:20" x14ac:dyDescent="0.25">
      <c r="A1127">
        <v>542</v>
      </c>
      <c r="B1127" s="95">
        <f t="shared" si="355"/>
        <v>-10827.620845409239</v>
      </c>
      <c r="C1127" s="95">
        <f t="shared" si="356"/>
        <v>-8834.0172740528978</v>
      </c>
      <c r="D1127" s="95">
        <f t="shared" si="357"/>
        <v>-9769.1752282884681</v>
      </c>
      <c r="E1127" s="95">
        <f t="shared" si="358"/>
        <v>-3047.2418905645309</v>
      </c>
      <c r="F1127" s="96">
        <f t="shared" si="341"/>
        <v>3580.967847330779</v>
      </c>
      <c r="G1127" s="94">
        <f t="shared" si="342"/>
        <v>-2589.8317465708287</v>
      </c>
      <c r="H1127" s="97">
        <f t="shared" si="343"/>
        <v>557.95790216071885</v>
      </c>
      <c r="I1127" s="94">
        <f t="shared" si="344"/>
        <v>437.57729602113005</v>
      </c>
      <c r="J1127" s="95">
        <f t="shared" si="345"/>
        <v>-171.93390805177856</v>
      </c>
      <c r="K1127" s="94">
        <f t="shared" si="346"/>
        <v>353.03885062600182</v>
      </c>
      <c r="L1127" s="94">
        <f t="shared" si="347"/>
        <v>3194.9438532218387</v>
      </c>
      <c r="M1127" s="93">
        <f t="shared" si="348"/>
        <v>-3380.4478932179604</v>
      </c>
      <c r="N1127" s="93">
        <f t="shared" si="349"/>
        <v>26468.659021363059</v>
      </c>
      <c r="O1127" s="93">
        <f t="shared" si="350"/>
        <v>20948.812520877982</v>
      </c>
      <c r="P1127" s="93">
        <f t="shared" si="351"/>
        <v>8484.1327013741575</v>
      </c>
      <c r="Q1127" s="93">
        <f t="shared" si="352"/>
        <v>19545053006777.965</v>
      </c>
      <c r="R1127" s="93">
        <f t="shared" si="353"/>
        <v>9581052198119.7344</v>
      </c>
      <c r="S1127" s="93">
        <f t="shared" si="354"/>
        <v>955051255824.22351</v>
      </c>
      <c r="T1127">
        <f t="shared" si="359"/>
        <v>0.5</v>
      </c>
    </row>
    <row r="1128" spans="1:20" x14ac:dyDescent="0.25">
      <c r="A1128">
        <v>542.5</v>
      </c>
      <c r="B1128" s="95">
        <f t="shared" si="355"/>
        <v>-14816.966497720778</v>
      </c>
      <c r="C1128" s="95">
        <f t="shared" si="356"/>
        <v>-11005.096155977872</v>
      </c>
      <c r="D1128" s="95">
        <f t="shared" si="357"/>
        <v>-7978.6913046230784</v>
      </c>
      <c r="E1128" s="95">
        <f t="shared" si="358"/>
        <v>-4342.1577638499457</v>
      </c>
      <c r="F1128" s="96">
        <f t="shared" si="341"/>
        <v>3526.8607929454747</v>
      </c>
      <c r="G1128" s="94">
        <f t="shared" si="342"/>
        <v>-627.1288450612069</v>
      </c>
      <c r="H1128" s="97">
        <f t="shared" si="343"/>
        <v>421.40990230136498</v>
      </c>
      <c r="I1128" s="94">
        <f t="shared" si="344"/>
        <v>314.22981386077947</v>
      </c>
      <c r="J1128" s="95">
        <f t="shared" si="345"/>
        <v>-88.423975576044128</v>
      </c>
      <c r="K1128" s="94">
        <f t="shared" si="346"/>
        <v>358.35271152537996</v>
      </c>
      <c r="L1128" s="94">
        <f t="shared" si="347"/>
        <v>3193.8748662201538</v>
      </c>
      <c r="M1128" s="93">
        <f t="shared" si="348"/>
        <v>-1299.7113704473663</v>
      </c>
      <c r="N1128" s="93">
        <f t="shared" si="349"/>
        <v>30956.750635216587</v>
      </c>
      <c r="O1128" s="93">
        <f t="shared" si="350"/>
        <v>21635.108060918606</v>
      </c>
      <c r="P1128" s="93">
        <f t="shared" si="351"/>
        <v>10598.683311636165</v>
      </c>
      <c r="Q1128" s="93">
        <f t="shared" si="352"/>
        <v>30834902552854.684</v>
      </c>
      <c r="R1128" s="93">
        <f t="shared" si="353"/>
        <v>10527050864357.014</v>
      </c>
      <c r="S1128" s="93">
        <f t="shared" si="354"/>
        <v>1609377904144.1658</v>
      </c>
      <c r="T1128">
        <f t="shared" si="359"/>
        <v>0.5</v>
      </c>
    </row>
    <row r="1129" spans="1:20" x14ac:dyDescent="0.25">
      <c r="A1129">
        <v>543</v>
      </c>
      <c r="B1129" s="95">
        <f t="shared" si="355"/>
        <v>-17924.596951795949</v>
      </c>
      <c r="C1129" s="95">
        <f t="shared" si="356"/>
        <v>-13332.957249168147</v>
      </c>
      <c r="D1129" s="95">
        <f t="shared" si="357"/>
        <v>-6215.2609081503415</v>
      </c>
      <c r="E1129" s="95">
        <f t="shared" si="358"/>
        <v>-4655.7221863805489</v>
      </c>
      <c r="F1129" s="96">
        <f t="shared" si="341"/>
        <v>2795.8657339340225</v>
      </c>
      <c r="G1129" s="94">
        <f t="shared" si="342"/>
        <v>244.57828571636361</v>
      </c>
      <c r="H1129" s="97">
        <f t="shared" si="343"/>
        <v>335.3406895206665</v>
      </c>
      <c r="I1129" s="94">
        <f t="shared" si="344"/>
        <v>250.17866008058198</v>
      </c>
      <c r="J1129" s="95">
        <f t="shared" si="345"/>
        <v>-28.052350574453452</v>
      </c>
      <c r="K1129" s="94">
        <f t="shared" si="346"/>
        <v>315.38177476361017</v>
      </c>
      <c r="L1129" s="94">
        <f t="shared" si="347"/>
        <v>2488.5773949878094</v>
      </c>
      <c r="M1129" s="93">
        <f t="shared" si="348"/>
        <v>-320.98214912782856</v>
      </c>
      <c r="N1129" s="93">
        <f t="shared" si="349"/>
        <v>34839.564042420498</v>
      </c>
      <c r="O1129" s="93">
        <f t="shared" si="350"/>
        <v>23425.076132298971</v>
      </c>
      <c r="P1129" s="93">
        <f t="shared" si="351"/>
        <v>13031.662898474398</v>
      </c>
      <c r="Q1129" s="93">
        <f t="shared" si="352"/>
        <v>43601284395090.563</v>
      </c>
      <c r="R1129" s="93">
        <f t="shared" si="353"/>
        <v>13286969402644.791</v>
      </c>
      <c r="S1129" s="93">
        <f t="shared" si="354"/>
        <v>2719346062007.8545</v>
      </c>
      <c r="T1129">
        <f t="shared" si="359"/>
        <v>0.5</v>
      </c>
    </row>
    <row r="1130" spans="1:20" x14ac:dyDescent="0.25">
      <c r="A1130">
        <v>543.5</v>
      </c>
      <c r="B1130" s="95">
        <f t="shared" si="355"/>
        <v>-20333.260972387612</v>
      </c>
      <c r="C1130" s="95">
        <f t="shared" si="356"/>
        <v>-15599.67377092933</v>
      </c>
      <c r="D1130" s="95">
        <f t="shared" si="357"/>
        <v>-4817.3280411833302</v>
      </c>
      <c r="E1130" s="95">
        <f t="shared" si="358"/>
        <v>-4533.4330435223674</v>
      </c>
      <c r="F1130" s="96">
        <f t="shared" si="341"/>
        <v>2192.640393101899</v>
      </c>
      <c r="G1130" s="94">
        <f t="shared" si="342"/>
        <v>553.87262529243333</v>
      </c>
      <c r="H1130" s="97">
        <f t="shared" si="343"/>
        <v>279.31669065203448</v>
      </c>
      <c r="I1130" s="94">
        <f t="shared" si="344"/>
        <v>212.70790630492897</v>
      </c>
      <c r="J1130" s="95">
        <f t="shared" si="345"/>
        <v>3.4689726939023058</v>
      </c>
      <c r="K1130" s="94">
        <f t="shared" si="346"/>
        <v>266.47155425350348</v>
      </c>
      <c r="L1130" s="94">
        <f t="shared" si="347"/>
        <v>1909.8547297559621</v>
      </c>
      <c r="M1130" s="93">
        <f t="shared" si="348"/>
        <v>74.693164734000902</v>
      </c>
      <c r="N1130" s="93">
        <f t="shared" si="349"/>
        <v>38127.439588075329</v>
      </c>
      <c r="O1130" s="93">
        <f t="shared" si="350"/>
        <v>25601.842903465444</v>
      </c>
      <c r="P1130" s="93">
        <f t="shared" si="351"/>
        <v>15344.982915561872</v>
      </c>
      <c r="Q1130" s="93">
        <f t="shared" si="352"/>
        <v>56861830447618.227</v>
      </c>
      <c r="R1130" s="93">
        <f t="shared" si="353"/>
        <v>17253464643704.65</v>
      </c>
      <c r="S1130" s="93">
        <f t="shared" si="354"/>
        <v>4203710651907.6445</v>
      </c>
      <c r="T1130">
        <f t="shared" si="359"/>
        <v>0.5</v>
      </c>
    </row>
    <row r="1131" spans="1:20" x14ac:dyDescent="0.25">
      <c r="A1131">
        <v>544</v>
      </c>
      <c r="B1131" s="95">
        <f t="shared" si="355"/>
        <v>-22193.764894703803</v>
      </c>
      <c r="C1131" s="95">
        <f t="shared" si="356"/>
        <v>-17727.922136367404</v>
      </c>
      <c r="D1131" s="95">
        <f t="shared" si="357"/>
        <v>-3721.0078446323805</v>
      </c>
      <c r="E1131" s="95">
        <f t="shared" si="358"/>
        <v>-4256.4967308761507</v>
      </c>
      <c r="F1131" s="96">
        <f t="shared" si="341"/>
        <v>1773.8669160302418</v>
      </c>
      <c r="G1131" s="94">
        <f t="shared" si="342"/>
        <v>655.2063161004221</v>
      </c>
      <c r="H1131" s="97">
        <f t="shared" si="343"/>
        <v>240.93915734032007</v>
      </c>
      <c r="I1131" s="94">
        <f t="shared" si="344"/>
        <v>188.80656924917551</v>
      </c>
      <c r="J1131" s="95">
        <f t="shared" si="345"/>
        <v>17.882641391337621</v>
      </c>
      <c r="K1131" s="94">
        <f t="shared" si="346"/>
        <v>226.02626620959705</v>
      </c>
      <c r="L1131" s="94">
        <f t="shared" si="347"/>
        <v>1515.045117298584</v>
      </c>
      <c r="M1131" s="93">
        <f t="shared" si="348"/>
        <v>240.37348064164954</v>
      </c>
      <c r="N1131" s="93">
        <f t="shared" si="349"/>
        <v>40900.935850101028</v>
      </c>
      <c r="O1131" s="93">
        <f t="shared" si="350"/>
        <v>27814.569391124649</v>
      </c>
      <c r="P1131" s="93">
        <f t="shared" si="351"/>
        <v>17408.822775720138</v>
      </c>
      <c r="Q1131" s="93">
        <f t="shared" si="352"/>
        <v>69962126815928.438</v>
      </c>
      <c r="R1131" s="93">
        <f t="shared" si="353"/>
        <v>22031859699833.328</v>
      </c>
      <c r="S1131" s="93">
        <f t="shared" si="354"/>
        <v>5942155876416.5117</v>
      </c>
      <c r="T1131">
        <f t="shared" si="359"/>
        <v>0.5</v>
      </c>
    </row>
    <row r="1132" spans="1:20" x14ac:dyDescent="0.25">
      <c r="A1132">
        <v>544.5</v>
      </c>
      <c r="B1132" s="95">
        <f t="shared" si="355"/>
        <v>-23610.802088012435</v>
      </c>
      <c r="C1132" s="95">
        <f t="shared" si="356"/>
        <v>-19692.368922780373</v>
      </c>
      <c r="D1132" s="95">
        <f t="shared" si="357"/>
        <v>-2834.0743866172597</v>
      </c>
      <c r="E1132" s="95">
        <f t="shared" si="358"/>
        <v>-3928.8935728259394</v>
      </c>
      <c r="F1132" s="96">
        <f t="shared" ref="F1132:F1144" si="360">SUM(H1132,J1132,L1132)</f>
        <v>1486.1785828267691</v>
      </c>
      <c r="G1132" s="94">
        <f t="shared" ref="G1132:G1144" si="361">SUM(I1132,K1132,M1132)</f>
        <v>682.86280440244514</v>
      </c>
      <c r="H1132" s="97">
        <f t="shared" ref="H1132:H1144" si="362">$D$22*(($D$18-$B1132)/$Q1132)</f>
        <v>213.48598942637557</v>
      </c>
      <c r="I1132" s="94">
        <f t="shared" ref="I1132:I1144" si="363">$D$22*(($E$18-$C1132)/$Q1132)</f>
        <v>172.71797825965189</v>
      </c>
      <c r="J1132" s="95">
        <f t="shared" ref="J1132:J1144" si="364">$D$30*(($D$26-$B1132)/$R1132)</f>
        <v>23.743219535990917</v>
      </c>
      <c r="K1132" s="94">
        <f t="shared" ref="K1132:K1144" si="365">$D$30*(($E$26-$C1132)/$R1132)</f>
        <v>195.24538224283336</v>
      </c>
      <c r="L1132" s="94">
        <f t="shared" ref="L1132:L1144" si="366">$D$38*(($D$34-$B1132)/$S1132)</f>
        <v>1248.9493738644026</v>
      </c>
      <c r="M1132" s="93">
        <f t="shared" ref="M1132:M1144" si="367">$D$38*(($E$34-$C1132)/$S1132)</f>
        <v>314.89944389995986</v>
      </c>
      <c r="N1132" s="93">
        <f t="shared" ref="N1132:N1144" si="368">SQRT(($D$18-$B1132)^2+($E$18-$C1132)^2)</f>
        <v>43233.215756315571</v>
      </c>
      <c r="O1132" s="93">
        <f t="shared" ref="O1132:O1144" si="369">SQRT(($D$26-$B1132)^2+($E$26-$C1132)^2)</f>
        <v>29911.112716936637</v>
      </c>
      <c r="P1132" s="93">
        <f t="shared" ref="P1132:P1144" si="370">SQRT(($D$34-$B1132)^2+($E$34-$C1132)^2)</f>
        <v>19193.235278780987</v>
      </c>
      <c r="Q1132" s="93">
        <f t="shared" ref="Q1132:Q1144" si="371">($N1132^2+$D$39^2)^(3/2)</f>
        <v>82434331486794.078</v>
      </c>
      <c r="R1132" s="93">
        <f t="shared" ref="R1132:R1144" si="372">($O1132^2+$D$31^2)^(3/2)</f>
        <v>27312208499163.859</v>
      </c>
      <c r="S1132" s="93">
        <f t="shared" ref="S1132:S1144" si="373">($P1132^2+$D$23^2)^(3/2)</f>
        <v>7802232332311.9238</v>
      </c>
      <c r="T1132">
        <f t="shared" si="359"/>
        <v>0.5</v>
      </c>
    </row>
    <row r="1133" spans="1:20" x14ac:dyDescent="0.25">
      <c r="A1133">
        <v>545</v>
      </c>
      <c r="B1133" s="95">
        <f t="shared" ref="B1133:B1144" si="374">B1132+(D1132*$T1132)+(F1132*($T1132)^2)</f>
        <v>-24656.294635614373</v>
      </c>
      <c r="C1133" s="95">
        <f t="shared" ref="C1133:C1144" si="375">C1132+(E1132*$T1132)+(G1132*($T1132)^2)</f>
        <v>-21486.10000809273</v>
      </c>
      <c r="D1133" s="95">
        <f t="shared" ref="D1133:D1144" si="376">D1132+(F1132*$T1132)</f>
        <v>-2090.9850952038751</v>
      </c>
      <c r="E1133" s="95">
        <f t="shared" ref="E1133:E1144" si="377">E1132+(G1132*$T1132)</f>
        <v>-3587.4621706247167</v>
      </c>
      <c r="F1133" s="96">
        <f t="shared" si="360"/>
        <v>1284.5828020239942</v>
      </c>
      <c r="G1133" s="94">
        <f t="shared" si="361"/>
        <v>685.55369677799467</v>
      </c>
      <c r="H1133" s="97">
        <f t="shared" si="362"/>
        <v>193.19931493586077</v>
      </c>
      <c r="I1133" s="94">
        <f t="shared" si="363"/>
        <v>161.5895387290179</v>
      </c>
      <c r="J1133" s="95">
        <f t="shared" si="364"/>
        <v>25.471423600658419</v>
      </c>
      <c r="K1133" s="94">
        <f t="shared" si="365"/>
        <v>172.23905564408199</v>
      </c>
      <c r="L1133" s="94">
        <f t="shared" si="366"/>
        <v>1065.9120634874751</v>
      </c>
      <c r="M1133" s="93">
        <f t="shared" si="367"/>
        <v>351.72510240489481</v>
      </c>
      <c r="N1133" s="93">
        <f t="shared" si="368"/>
        <v>45180.225226858565</v>
      </c>
      <c r="O1133" s="93">
        <f t="shared" si="369"/>
        <v>31828.53395073779</v>
      </c>
      <c r="P1133" s="93">
        <f t="shared" si="370"/>
        <v>20698.778034392824</v>
      </c>
      <c r="Q1133" s="93">
        <f t="shared" si="371"/>
        <v>93923694522445.75</v>
      </c>
      <c r="R1133" s="93">
        <f t="shared" si="372"/>
        <v>32830687496382.02</v>
      </c>
      <c r="S1133" s="93">
        <f t="shared" si="373"/>
        <v>9655591822775.1914</v>
      </c>
      <c r="T1133">
        <f t="shared" si="359"/>
        <v>0.5</v>
      </c>
    </row>
    <row r="1134" spans="1:20" x14ac:dyDescent="0.25">
      <c r="A1134">
        <v>545.5</v>
      </c>
      <c r="B1134" s="95">
        <f t="shared" si="374"/>
        <v>-25380.641482710311</v>
      </c>
      <c r="C1134" s="95">
        <f t="shared" si="375"/>
        <v>-23108.442669210592</v>
      </c>
      <c r="D1134" s="95">
        <f t="shared" si="376"/>
        <v>-1448.693694191878</v>
      </c>
      <c r="E1134" s="95">
        <f t="shared" si="377"/>
        <v>-3244.6853222357195</v>
      </c>
      <c r="F1134" s="96">
        <f t="shared" si="360"/>
        <v>1140.2756782603699</v>
      </c>
      <c r="G1134" s="94">
        <f t="shared" si="361"/>
        <v>681.76449882780662</v>
      </c>
      <c r="H1134" s="97">
        <f t="shared" si="362"/>
        <v>177.86726202886859</v>
      </c>
      <c r="I1134" s="94">
        <f t="shared" si="363"/>
        <v>153.87623469745606</v>
      </c>
      <c r="J1134" s="95">
        <f t="shared" si="364"/>
        <v>25.192657652105378</v>
      </c>
      <c r="K1134" s="94">
        <f t="shared" si="365"/>
        <v>155.01676969929557</v>
      </c>
      <c r="L1134" s="94">
        <f t="shared" si="366"/>
        <v>937.21575857939592</v>
      </c>
      <c r="M1134" s="93">
        <f t="shared" si="367"/>
        <v>372.871494431055</v>
      </c>
      <c r="N1134" s="93">
        <f t="shared" si="368"/>
        <v>46783.186663185239</v>
      </c>
      <c r="O1134" s="93">
        <f t="shared" si="369"/>
        <v>33542.81262425481</v>
      </c>
      <c r="P1134" s="93">
        <f t="shared" si="370"/>
        <v>21934.388292511085</v>
      </c>
      <c r="Q1134" s="93">
        <f t="shared" si="371"/>
        <v>104152165771927.02</v>
      </c>
      <c r="R1134" s="93">
        <f t="shared" si="372"/>
        <v>38357722499811.992</v>
      </c>
      <c r="S1134" s="93">
        <f t="shared" si="373"/>
        <v>11386149697728.33</v>
      </c>
      <c r="T1134">
        <f t="shared" si="359"/>
        <v>0.5</v>
      </c>
    </row>
    <row r="1135" spans="1:20" x14ac:dyDescent="0.25">
      <c r="A1135">
        <v>546</v>
      </c>
      <c r="B1135" s="95">
        <f t="shared" si="374"/>
        <v>-25819.919410241157</v>
      </c>
      <c r="C1135" s="95">
        <f t="shared" si="375"/>
        <v>-24560.344205621499</v>
      </c>
      <c r="D1135" s="95">
        <f t="shared" si="376"/>
        <v>-878.55585506169302</v>
      </c>
      <c r="E1135" s="95">
        <f t="shared" si="377"/>
        <v>-2903.8030728218164</v>
      </c>
      <c r="F1135" s="96">
        <f t="shared" si="360"/>
        <v>1035.4971965864756</v>
      </c>
      <c r="G1135" s="94">
        <f t="shared" si="361"/>
        <v>678.9673355443897</v>
      </c>
      <c r="H1135" s="97">
        <f t="shared" si="362"/>
        <v>166.12417977977381</v>
      </c>
      <c r="I1135" s="94">
        <f t="shared" si="363"/>
        <v>148.6881732931358</v>
      </c>
      <c r="J1135" s="95">
        <f t="shared" si="364"/>
        <v>23.921816625861716</v>
      </c>
      <c r="K1135" s="94">
        <f t="shared" si="365"/>
        <v>142.0545815735415</v>
      </c>
      <c r="L1135" s="94">
        <f t="shared" si="366"/>
        <v>845.45120018084015</v>
      </c>
      <c r="M1135" s="93">
        <f t="shared" si="367"/>
        <v>388.22458067771237</v>
      </c>
      <c r="N1135" s="93">
        <f t="shared" si="368"/>
        <v>48072.157192486164</v>
      </c>
      <c r="O1135" s="93">
        <f t="shared" si="369"/>
        <v>35046.952129289893</v>
      </c>
      <c r="P1135" s="93">
        <f t="shared" si="370"/>
        <v>22910.024565218107</v>
      </c>
      <c r="Q1135" s="93">
        <f t="shared" si="371"/>
        <v>112899073272147.02</v>
      </c>
      <c r="R1135" s="93">
        <f t="shared" si="372"/>
        <v>43693371396305.18</v>
      </c>
      <c r="S1135" s="93">
        <f t="shared" si="373"/>
        <v>12894043214943.41</v>
      </c>
      <c r="T1135">
        <f t="shared" si="359"/>
        <v>0.5</v>
      </c>
    </row>
    <row r="1136" spans="1:20" x14ac:dyDescent="0.25">
      <c r="A1136">
        <v>546.5</v>
      </c>
      <c r="B1136" s="95">
        <f t="shared" si="374"/>
        <v>-26000.323038625382</v>
      </c>
      <c r="C1136" s="95">
        <f t="shared" si="375"/>
        <v>-25842.503908146307</v>
      </c>
      <c r="D1136" s="95">
        <f t="shared" si="376"/>
        <v>-360.8072567684552</v>
      </c>
      <c r="E1136" s="95">
        <f t="shared" si="377"/>
        <v>-2564.3194050496213</v>
      </c>
      <c r="F1136" s="96">
        <f t="shared" si="360"/>
        <v>959.21401506597454</v>
      </c>
      <c r="G1136" s="94">
        <f t="shared" si="361"/>
        <v>680.47363611772198</v>
      </c>
      <c r="H1136" s="97">
        <f t="shared" si="362"/>
        <v>157.09411502936169</v>
      </c>
      <c r="I1136" s="94">
        <f t="shared" si="363"/>
        <v>145.49622620589901</v>
      </c>
      <c r="J1136" s="95">
        <f t="shared" si="364"/>
        <v>22.143791316242428</v>
      </c>
      <c r="K1136" s="94">
        <f t="shared" si="365"/>
        <v>132.27436617736203</v>
      </c>
      <c r="L1136" s="94">
        <f t="shared" si="366"/>
        <v>779.97610872037035</v>
      </c>
      <c r="M1136" s="93">
        <f t="shared" si="367"/>
        <v>402.70304373446095</v>
      </c>
      <c r="N1136" s="93">
        <f t="shared" si="368"/>
        <v>49068.786674933523</v>
      </c>
      <c r="O1136" s="93">
        <f t="shared" si="369"/>
        <v>36341.284553154437</v>
      </c>
      <c r="P1136" s="93">
        <f t="shared" si="370"/>
        <v>23634.158726825626</v>
      </c>
      <c r="Q1136" s="93">
        <f t="shared" si="371"/>
        <v>119990014015766.11</v>
      </c>
      <c r="R1136" s="93">
        <f t="shared" si="372"/>
        <v>48664850599116.477</v>
      </c>
      <c r="S1136" s="93">
        <f t="shared" si="373"/>
        <v>14097538767222.787</v>
      </c>
      <c r="T1136">
        <f t="shared" si="359"/>
        <v>0.5</v>
      </c>
    </row>
    <row r="1137" spans="1:20" x14ac:dyDescent="0.25">
      <c r="A1137">
        <v>547</v>
      </c>
      <c r="B1137" s="95">
        <f t="shared" si="374"/>
        <v>-25940.923163243118</v>
      </c>
      <c r="C1137" s="95">
        <f t="shared" si="375"/>
        <v>-26954.545201641689</v>
      </c>
      <c r="D1137" s="95">
        <f t="shared" si="376"/>
        <v>118.79975076453206</v>
      </c>
      <c r="E1137" s="95">
        <f t="shared" si="377"/>
        <v>-2224.0825869907603</v>
      </c>
      <c r="F1137" s="96">
        <f t="shared" si="360"/>
        <v>904.49352515859403</v>
      </c>
      <c r="G1137" s="94">
        <f t="shared" si="361"/>
        <v>688.05565480207247</v>
      </c>
      <c r="H1137" s="97">
        <f t="shared" si="362"/>
        <v>150.20047941523237</v>
      </c>
      <c r="I1137" s="94">
        <f t="shared" si="363"/>
        <v>143.98876689436165</v>
      </c>
      <c r="J1137" s="95">
        <f t="shared" si="364"/>
        <v>20.08394765739224</v>
      </c>
      <c r="K1137" s="94">
        <f t="shared" si="365"/>
        <v>124.92892621882488</v>
      </c>
      <c r="L1137" s="94">
        <f t="shared" si="366"/>
        <v>734.20909808596946</v>
      </c>
      <c r="M1137" s="93">
        <f t="shared" si="367"/>
        <v>419.13796168888592</v>
      </c>
      <c r="N1137" s="93">
        <f t="shared" si="368"/>
        <v>49788.207869716658</v>
      </c>
      <c r="O1137" s="93">
        <f t="shared" si="369"/>
        <v>37429.039248847104</v>
      </c>
      <c r="P1137" s="93">
        <f t="shared" si="370"/>
        <v>24112.93042968744</v>
      </c>
      <c r="Q1137" s="93">
        <f t="shared" si="371"/>
        <v>125290035260953.83</v>
      </c>
      <c r="R1137" s="93">
        <f t="shared" si="372"/>
        <v>53124835341675.922</v>
      </c>
      <c r="S1137" s="93">
        <f t="shared" si="373"/>
        <v>14933949683756.559</v>
      </c>
      <c r="T1137">
        <f t="shared" si="359"/>
        <v>0.5</v>
      </c>
    </row>
    <row r="1138" spans="1:20" x14ac:dyDescent="0.25">
      <c r="A1138">
        <v>547.5</v>
      </c>
      <c r="B1138" s="95">
        <f t="shared" si="374"/>
        <v>-25655.399906571201</v>
      </c>
      <c r="C1138" s="95">
        <f t="shared" si="375"/>
        <v>-27894.572581436551</v>
      </c>
      <c r="D1138" s="95">
        <f t="shared" si="376"/>
        <v>571.04651334382902</v>
      </c>
      <c r="E1138" s="95">
        <f t="shared" si="377"/>
        <v>-1880.0547595897242</v>
      </c>
      <c r="F1138" s="96">
        <f t="shared" si="360"/>
        <v>867.00139939646351</v>
      </c>
      <c r="G1138" s="94">
        <f t="shared" si="361"/>
        <v>703.05452416327182</v>
      </c>
      <c r="H1138" s="97">
        <f t="shared" si="362"/>
        <v>145.06007235240895</v>
      </c>
      <c r="I1138" s="94">
        <f t="shared" si="363"/>
        <v>143.99892507164196</v>
      </c>
      <c r="J1138" s="95">
        <f t="shared" si="364"/>
        <v>17.834514892765885</v>
      </c>
      <c r="K1138" s="94">
        <f t="shared" si="365"/>
        <v>119.50195038786853</v>
      </c>
      <c r="L1138" s="94">
        <f t="shared" si="366"/>
        <v>704.10681215128864</v>
      </c>
      <c r="M1138" s="93">
        <f t="shared" si="367"/>
        <v>439.55364870376133</v>
      </c>
      <c r="N1138" s="93">
        <f t="shared" si="368"/>
        <v>50240.255878330252</v>
      </c>
      <c r="O1138" s="93">
        <f t="shared" si="369"/>
        <v>38314.255561514023</v>
      </c>
      <c r="P1138" s="93">
        <f t="shared" si="370"/>
        <v>24349.857234865194</v>
      </c>
      <c r="Q1138" s="93">
        <f t="shared" si="371"/>
        <v>128699258395470.86</v>
      </c>
      <c r="R1138" s="93">
        <f t="shared" si="372"/>
        <v>56950135518156.602</v>
      </c>
      <c r="S1138" s="93">
        <f t="shared" si="373"/>
        <v>15360087296315.053</v>
      </c>
      <c r="T1138">
        <f t="shared" si="359"/>
        <v>0.5</v>
      </c>
    </row>
    <row r="1139" spans="1:20" x14ac:dyDescent="0.25">
      <c r="A1139">
        <v>548</v>
      </c>
      <c r="B1139" s="95">
        <f t="shared" si="374"/>
        <v>-25153.126300050171</v>
      </c>
      <c r="C1139" s="95">
        <f t="shared" si="375"/>
        <v>-28658.836330190592</v>
      </c>
      <c r="D1139" s="95">
        <f t="shared" si="376"/>
        <v>1004.5472130420608</v>
      </c>
      <c r="E1139" s="95">
        <f t="shared" si="377"/>
        <v>-1528.5274975080883</v>
      </c>
      <c r="F1139" s="96">
        <f t="shared" si="360"/>
        <v>844.16081000133761</v>
      </c>
      <c r="G1139" s="94">
        <f t="shared" si="361"/>
        <v>726.94124505458217</v>
      </c>
      <c r="H1139" s="97">
        <f t="shared" si="362"/>
        <v>141.42245347871796</v>
      </c>
      <c r="I1139" s="94">
        <f t="shared" si="363"/>
        <v>145.46846573767345</v>
      </c>
      <c r="J1139" s="95">
        <f t="shared" si="364"/>
        <v>15.414109289718962</v>
      </c>
      <c r="K1139" s="94">
        <f t="shared" si="365"/>
        <v>115.63689564548692</v>
      </c>
      <c r="L1139" s="94">
        <f t="shared" si="366"/>
        <v>687.32424723290069</v>
      </c>
      <c r="M1139" s="93">
        <f t="shared" si="367"/>
        <v>465.83588367142187</v>
      </c>
      <c r="N1139" s="93">
        <f t="shared" si="368"/>
        <v>50430.186727998436</v>
      </c>
      <c r="O1139" s="93">
        <f t="shared" si="369"/>
        <v>39000.773544491814</v>
      </c>
      <c r="P1139" s="93">
        <f t="shared" si="370"/>
        <v>24345.683591978031</v>
      </c>
      <c r="Q1139" s="93">
        <f t="shared" si="371"/>
        <v>130150011093736.84</v>
      </c>
      <c r="R1139" s="93">
        <f t="shared" si="372"/>
        <v>60040609916538.859</v>
      </c>
      <c r="S1139" s="93">
        <f t="shared" si="373"/>
        <v>15352509820024.629</v>
      </c>
      <c r="T1139">
        <f t="shared" si="359"/>
        <v>0.5</v>
      </c>
    </row>
    <row r="1140" spans="1:20" x14ac:dyDescent="0.25">
      <c r="A1140">
        <v>548.5</v>
      </c>
      <c r="B1140" s="95">
        <f t="shared" si="374"/>
        <v>-24439.812491028806</v>
      </c>
      <c r="C1140" s="95">
        <f t="shared" si="375"/>
        <v>-29241.364767680992</v>
      </c>
      <c r="D1140" s="95">
        <f t="shared" si="376"/>
        <v>1426.6276180427296</v>
      </c>
      <c r="E1140" s="95">
        <f t="shared" si="377"/>
        <v>-1165.0568749807971</v>
      </c>
      <c r="F1140" s="96">
        <f t="shared" si="360"/>
        <v>834.70898773828753</v>
      </c>
      <c r="G1140" s="94">
        <f t="shared" si="361"/>
        <v>761.71796593658974</v>
      </c>
      <c r="H1140" s="97">
        <f t="shared" si="362"/>
        <v>139.13543997910256</v>
      </c>
      <c r="I1140" s="94">
        <f t="shared" si="363"/>
        <v>148.43361745118733</v>
      </c>
      <c r="J1140" s="95">
        <f t="shared" si="364"/>
        <v>12.795053699189182</v>
      </c>
      <c r="K1140" s="94">
        <f t="shared" si="365"/>
        <v>113.08931862471556</v>
      </c>
      <c r="L1140" s="94">
        <f t="shared" si="366"/>
        <v>682.77849405999575</v>
      </c>
      <c r="M1140" s="93">
        <f t="shared" si="367"/>
        <v>500.19502986068693</v>
      </c>
      <c r="N1140" s="93">
        <f t="shared" si="368"/>
        <v>50358.996906302789</v>
      </c>
      <c r="O1140" s="93">
        <f t="shared" si="369"/>
        <v>39491.728802189587</v>
      </c>
      <c r="P1140" s="93">
        <f t="shared" si="370"/>
        <v>24098.190391241103</v>
      </c>
      <c r="Q1140" s="93">
        <f t="shared" si="371"/>
        <v>129604963730636.08</v>
      </c>
      <c r="R1140" s="93">
        <f t="shared" si="372"/>
        <v>62318251296378.57</v>
      </c>
      <c r="S1140" s="93">
        <f t="shared" si="373"/>
        <v>14907707414212.727</v>
      </c>
      <c r="T1140">
        <f t="shared" si="359"/>
        <v>0.5</v>
      </c>
    </row>
    <row r="1141" spans="1:20" x14ac:dyDescent="0.25">
      <c r="A1141">
        <v>549</v>
      </c>
      <c r="B1141" s="95">
        <f t="shared" si="374"/>
        <v>-23517.82143507287</v>
      </c>
      <c r="C1141" s="95">
        <f t="shared" si="375"/>
        <v>-29633.463713687244</v>
      </c>
      <c r="D1141" s="95">
        <f t="shared" si="376"/>
        <v>1843.9821119118733</v>
      </c>
      <c r="E1141" s="95">
        <f t="shared" si="377"/>
        <v>-784.19789201250228</v>
      </c>
      <c r="F1141" s="96">
        <f t="shared" si="360"/>
        <v>838.51998157810772</v>
      </c>
      <c r="G1141" s="94">
        <f t="shared" si="361"/>
        <v>810.36451144641478</v>
      </c>
      <c r="H1141" s="97">
        <f t="shared" si="362"/>
        <v>138.12722610203397</v>
      </c>
      <c r="I1141" s="94">
        <f t="shared" si="363"/>
        <v>153.02731856447704</v>
      </c>
      <c r="J1141" s="95">
        <f t="shared" si="364"/>
        <v>9.9139618279076025</v>
      </c>
      <c r="K1141" s="94">
        <f t="shared" si="365"/>
        <v>111.69544947556929</v>
      </c>
      <c r="L1141" s="94">
        <f t="shared" si="366"/>
        <v>690.47879364816617</v>
      </c>
      <c r="M1141" s="93">
        <f t="shared" si="367"/>
        <v>545.64174340636851</v>
      </c>
      <c r="N1141" s="93">
        <f t="shared" si="368"/>
        <v>50023.379345353685</v>
      </c>
      <c r="O1141" s="93">
        <f t="shared" si="369"/>
        <v>39789.276364282145</v>
      </c>
      <c r="P1141" s="93">
        <f t="shared" si="370"/>
        <v>23601.863717957647</v>
      </c>
      <c r="Q1141" s="93">
        <f t="shared" si="371"/>
        <v>127055981354194</v>
      </c>
      <c r="R1141" s="93">
        <f t="shared" si="372"/>
        <v>63726386146703.547</v>
      </c>
      <c r="S1141" s="93">
        <f t="shared" si="373"/>
        <v>14042297488853.283</v>
      </c>
      <c r="T1141">
        <f t="shared" si="359"/>
        <v>0.5</v>
      </c>
    </row>
    <row r="1142" spans="1:20" x14ac:dyDescent="0.25">
      <c r="A1142">
        <v>549.5</v>
      </c>
      <c r="B1142" s="95">
        <f t="shared" si="374"/>
        <v>-22386.200383722407</v>
      </c>
      <c r="C1142" s="95">
        <f t="shared" si="375"/>
        <v>-29822.971531831892</v>
      </c>
      <c r="D1142" s="95">
        <f t="shared" si="376"/>
        <v>2263.2421027009273</v>
      </c>
      <c r="E1142" s="95">
        <f t="shared" si="377"/>
        <v>-379.01563628929489</v>
      </c>
      <c r="F1142" s="96">
        <f t="shared" si="360"/>
        <v>856.64998249798828</v>
      </c>
      <c r="G1142" s="94">
        <f t="shared" si="361"/>
        <v>877.51928265537913</v>
      </c>
      <c r="H1142" s="97">
        <f t="shared" si="362"/>
        <v>138.40098417294283</v>
      </c>
      <c r="I1142" s="94">
        <f t="shared" si="363"/>
        <v>159.49805568610344</v>
      </c>
      <c r="J1142" s="95">
        <f t="shared" si="364"/>
        <v>6.6721999685161926</v>
      </c>
      <c r="K1142" s="94">
        <f t="shared" si="365"/>
        <v>111.35143184681523</v>
      </c>
      <c r="L1142" s="94">
        <f t="shared" si="366"/>
        <v>711.57679835652925</v>
      </c>
      <c r="M1142" s="93">
        <f t="shared" si="367"/>
        <v>606.66979512246053</v>
      </c>
      <c r="N1142" s="93">
        <f t="shared" si="368"/>
        <v>49415.282851164127</v>
      </c>
      <c r="O1142" s="93">
        <f t="shared" si="369"/>
        <v>39894.398277156281</v>
      </c>
      <c r="P1142" s="93">
        <f t="shared" si="370"/>
        <v>22847.329139670743</v>
      </c>
      <c r="Q1142" s="93">
        <f t="shared" si="371"/>
        <v>122523513604561.11</v>
      </c>
      <c r="R1142" s="93">
        <f t="shared" si="372"/>
        <v>64228917083519.883</v>
      </c>
      <c r="S1142" s="93">
        <f t="shared" si="373"/>
        <v>12793268771900.781</v>
      </c>
      <c r="T1142">
        <f t="shared" si="359"/>
        <v>0.5</v>
      </c>
    </row>
    <row r="1143" spans="1:20" x14ac:dyDescent="0.25">
      <c r="A1143">
        <v>550</v>
      </c>
      <c r="B1143" s="95">
        <f t="shared" si="374"/>
        <v>-21040.416836747449</v>
      </c>
      <c r="C1143" s="95">
        <f t="shared" si="375"/>
        <v>-29793.099529312694</v>
      </c>
      <c r="D1143" s="95">
        <f t="shared" si="376"/>
        <v>2691.5670939499214</v>
      </c>
      <c r="E1143" s="95">
        <f t="shared" si="377"/>
        <v>59.744005038394675</v>
      </c>
      <c r="F1143" s="96">
        <f t="shared" si="360"/>
        <v>891.63514695951085</v>
      </c>
      <c r="G1143" s="94">
        <f t="shared" si="361"/>
        <v>970.69878443673133</v>
      </c>
      <c r="H1143" s="97">
        <f t="shared" si="362"/>
        <v>140.04160616370623</v>
      </c>
      <c r="I1143" s="94">
        <f t="shared" si="363"/>
        <v>168.25114122581968</v>
      </c>
      <c r="J1143" s="95">
        <f t="shared" si="364"/>
        <v>2.9282951492038851</v>
      </c>
      <c r="K1143" s="94">
        <f t="shared" si="365"/>
        <v>111.99928356384272</v>
      </c>
      <c r="L1143" s="94">
        <f t="shared" si="366"/>
        <v>748.66524564660074</v>
      </c>
      <c r="M1143" s="93">
        <f t="shared" si="367"/>
        <v>690.44835964706897</v>
      </c>
      <c r="N1143" s="93">
        <f t="shared" si="368"/>
        <v>48520.951659074628</v>
      </c>
      <c r="O1143" s="93">
        <f t="shared" si="369"/>
        <v>39806.698397932647</v>
      </c>
      <c r="P1143" s="93">
        <f t="shared" si="370"/>
        <v>21820.420847929639</v>
      </c>
      <c r="Q1143" s="93">
        <f t="shared" si="371"/>
        <v>116056397059475.52</v>
      </c>
      <c r="R1143" s="93">
        <f t="shared" si="372"/>
        <v>63809488882791.313</v>
      </c>
      <c r="S1143" s="93">
        <f t="shared" si="373"/>
        <v>11218288366723.299</v>
      </c>
      <c r="T1143">
        <f t="shared" si="359"/>
        <v>0.5</v>
      </c>
    </row>
    <row r="1144" spans="1:20" x14ac:dyDescent="0.25">
      <c r="A1144">
        <v>550.5</v>
      </c>
      <c r="B1144" s="95">
        <f t="shared" si="374"/>
        <v>-19471.724503032608</v>
      </c>
      <c r="C1144" s="95">
        <f t="shared" si="375"/>
        <v>-29520.552830684315</v>
      </c>
      <c r="D1144" s="95">
        <f t="shared" si="376"/>
        <v>3137.3846674296769</v>
      </c>
      <c r="E1144" s="95">
        <f t="shared" si="377"/>
        <v>545.09339725676034</v>
      </c>
      <c r="F1144" s="96">
        <f t="shared" si="360"/>
        <v>948.16171587940232</v>
      </c>
      <c r="G1144" s="94">
        <f t="shared" si="361"/>
        <v>1102.7068372485494</v>
      </c>
      <c r="H1144" s="97">
        <f t="shared" si="362"/>
        <v>143.23846177934101</v>
      </c>
      <c r="I1144" s="94">
        <f t="shared" si="363"/>
        <v>179.92727372103394</v>
      </c>
      <c r="J1144" s="95">
        <f t="shared" si="364"/>
        <v>-1.5187254681830484</v>
      </c>
      <c r="K1144" s="94">
        <f t="shared" si="365"/>
        <v>113.61660808647878</v>
      </c>
      <c r="L1144" s="94">
        <f t="shared" si="366"/>
        <v>806.44197956824439</v>
      </c>
      <c r="M1144" s="93">
        <f t="shared" si="367"/>
        <v>809.16295544103662</v>
      </c>
      <c r="N1144" s="93">
        <f t="shared" si="368"/>
        <v>47319.170291459479</v>
      </c>
      <c r="O1144" s="93">
        <f t="shared" si="369"/>
        <v>39524.083430784405</v>
      </c>
      <c r="P1144" s="93">
        <f t="shared" si="370"/>
        <v>20500.664979467587</v>
      </c>
      <c r="Q1144" s="93">
        <f t="shared" si="371"/>
        <v>107731950433328.98</v>
      </c>
      <c r="R1144" s="93">
        <f t="shared" si="372"/>
        <v>62470349217570.453</v>
      </c>
      <c r="S1144" s="93">
        <f t="shared" si="373"/>
        <v>9396060005011.8613</v>
      </c>
      <c r="T1144">
        <f t="shared" si="359"/>
        <v>-550.5</v>
      </c>
    </row>
  </sheetData>
  <mergeCells count="24">
    <mergeCell ref="D14:E14"/>
    <mergeCell ref="B2:F2"/>
    <mergeCell ref="D5:E5"/>
    <mergeCell ref="D6:E6"/>
    <mergeCell ref="D7:E7"/>
    <mergeCell ref="D10:E10"/>
    <mergeCell ref="D19:E19"/>
    <mergeCell ref="D20:E20"/>
    <mergeCell ref="D21:E21"/>
    <mergeCell ref="D22:E22"/>
    <mergeCell ref="D24:E24"/>
    <mergeCell ref="D23:E23"/>
    <mergeCell ref="D40:E40"/>
    <mergeCell ref="D27:E27"/>
    <mergeCell ref="D28:E28"/>
    <mergeCell ref="D29:E29"/>
    <mergeCell ref="D30:E30"/>
    <mergeCell ref="D31:E31"/>
    <mergeCell ref="D32:E32"/>
    <mergeCell ref="D35:E35"/>
    <mergeCell ref="D36:E36"/>
    <mergeCell ref="D37:E37"/>
    <mergeCell ref="D38:E38"/>
    <mergeCell ref="D39:E3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37"/>
  <sheetViews>
    <sheetView topLeftCell="A4" workbookViewId="0">
      <selection activeCell="C34" sqref="C34:M35"/>
    </sheetView>
  </sheetViews>
  <sheetFormatPr baseColWidth="10" defaultRowHeight="15" x14ac:dyDescent="0.25"/>
  <cols>
    <col min="1" max="1" width="1.5703125" customWidth="1"/>
  </cols>
  <sheetData>
    <row r="1" spans="1:11" ht="6.75" customHeight="1" x14ac:dyDescent="0.25"/>
    <row r="2" spans="1:11" x14ac:dyDescent="0.25">
      <c r="B2" s="100"/>
      <c r="C2" s="100"/>
      <c r="D2" s="101"/>
      <c r="E2" s="101"/>
      <c r="F2" s="101"/>
      <c r="G2" s="101"/>
      <c r="H2" s="101"/>
      <c r="I2" s="101"/>
      <c r="J2" s="101"/>
      <c r="K2" s="101"/>
    </row>
    <row r="3" spans="1:11" x14ac:dyDescent="0.25">
      <c r="A3">
        <v>14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</row>
    <row r="4" spans="1:11" x14ac:dyDescent="0.25">
      <c r="B4" s="101"/>
      <c r="C4" s="101"/>
      <c r="D4" s="101"/>
      <c r="E4" s="101"/>
      <c r="F4" s="101"/>
      <c r="G4" s="101"/>
      <c r="H4" s="101"/>
      <c r="I4" s="101"/>
      <c r="J4" s="101"/>
      <c r="K4" s="101"/>
    </row>
    <row r="5" spans="1:11" x14ac:dyDescent="0.25">
      <c r="B5" s="101"/>
      <c r="C5" s="101"/>
      <c r="D5" s="101"/>
      <c r="E5" s="101"/>
      <c r="F5" s="101"/>
      <c r="G5" s="101"/>
      <c r="H5" s="101"/>
      <c r="I5" s="101"/>
      <c r="J5" s="101"/>
      <c r="K5" s="101"/>
    </row>
    <row r="6" spans="1:11" x14ac:dyDescent="0.25">
      <c r="B6" s="101"/>
      <c r="C6" s="101"/>
      <c r="D6" s="101"/>
      <c r="E6" s="101"/>
      <c r="F6" s="101"/>
      <c r="G6" s="101"/>
      <c r="H6" s="101"/>
      <c r="I6" s="101"/>
      <c r="J6" s="101"/>
      <c r="K6" s="101"/>
    </row>
    <row r="7" spans="1:11" x14ac:dyDescent="0.25">
      <c r="B7" s="101"/>
      <c r="C7" s="101"/>
      <c r="D7" s="101"/>
      <c r="E7" s="101"/>
      <c r="F7" s="101"/>
      <c r="G7" s="101"/>
      <c r="H7" s="101"/>
      <c r="I7" s="101"/>
      <c r="J7" s="101"/>
      <c r="K7" s="101"/>
    </row>
    <row r="8" spans="1:11" x14ac:dyDescent="0.25">
      <c r="B8" s="101"/>
      <c r="C8" s="101"/>
      <c r="D8" s="101"/>
      <c r="E8" s="101"/>
      <c r="F8" s="101"/>
      <c r="G8" s="101"/>
      <c r="H8" s="101"/>
      <c r="I8" s="101"/>
      <c r="J8" s="101"/>
      <c r="K8" s="101"/>
    </row>
    <row r="9" spans="1:11" x14ac:dyDescent="0.25">
      <c r="B9" s="101"/>
      <c r="C9" s="101"/>
      <c r="D9" s="101"/>
      <c r="E9" s="101"/>
      <c r="F9" s="101"/>
      <c r="G9" s="101"/>
      <c r="H9" s="101"/>
      <c r="I9" s="101"/>
      <c r="J9" s="101"/>
      <c r="K9" s="101"/>
    </row>
    <row r="10" spans="1:11" x14ac:dyDescent="0.25">
      <c r="B10" s="101"/>
      <c r="C10" s="101"/>
      <c r="D10" s="101"/>
      <c r="E10" s="101"/>
      <c r="F10" s="101"/>
      <c r="G10" s="101"/>
      <c r="H10" s="101"/>
      <c r="I10" s="101"/>
      <c r="J10" s="101"/>
      <c r="K10" s="101"/>
    </row>
    <row r="11" spans="1:11" x14ac:dyDescent="0.25">
      <c r="B11" s="101"/>
      <c r="C11" s="101"/>
      <c r="D11" s="101"/>
      <c r="E11" s="101"/>
      <c r="F11" s="101"/>
      <c r="G11" s="101"/>
      <c r="H11" s="101"/>
      <c r="I11" s="101"/>
      <c r="J11" s="101"/>
      <c r="K11" s="101"/>
    </row>
    <row r="12" spans="1:11" x14ac:dyDescent="0.25">
      <c r="B12" s="101"/>
      <c r="C12" s="101"/>
      <c r="D12" s="101"/>
      <c r="E12" s="101"/>
      <c r="F12" s="101"/>
      <c r="G12" s="101"/>
      <c r="H12" s="101"/>
      <c r="I12" s="101"/>
      <c r="J12" s="101"/>
      <c r="K12" s="101"/>
    </row>
    <row r="13" spans="1:11" x14ac:dyDescent="0.25">
      <c r="B13" s="101"/>
      <c r="C13" s="101"/>
      <c r="D13" s="101"/>
      <c r="E13" s="101"/>
      <c r="F13" s="101"/>
      <c r="G13" s="101"/>
      <c r="H13" s="101"/>
      <c r="I13" s="101"/>
      <c r="J13" s="101"/>
      <c r="K13" s="101"/>
    </row>
    <row r="14" spans="1:11" x14ac:dyDescent="0.25">
      <c r="B14" s="101"/>
      <c r="C14" s="101"/>
      <c r="D14" s="101"/>
      <c r="E14" s="101"/>
      <c r="F14" s="101"/>
      <c r="G14" s="101"/>
      <c r="H14" s="101"/>
      <c r="I14" s="101"/>
      <c r="J14" s="101"/>
      <c r="K14" s="101"/>
    </row>
    <row r="15" spans="1:11" x14ac:dyDescent="0.25">
      <c r="B15" s="101"/>
      <c r="C15" s="101"/>
      <c r="D15" s="101"/>
      <c r="E15" s="101"/>
      <c r="F15" s="101"/>
      <c r="G15" s="101"/>
      <c r="H15" s="101"/>
      <c r="I15" s="101"/>
      <c r="J15" s="101"/>
      <c r="K15" s="101"/>
    </row>
    <row r="16" spans="1:11" x14ac:dyDescent="0.25">
      <c r="B16" s="101"/>
      <c r="C16" s="101"/>
      <c r="D16" s="101"/>
      <c r="E16" s="101"/>
      <c r="F16" s="101"/>
      <c r="G16" s="101"/>
      <c r="H16" s="101"/>
      <c r="I16" s="101"/>
      <c r="J16" s="101"/>
      <c r="K16" s="101"/>
    </row>
    <row r="17" spans="1:11" x14ac:dyDescent="0.25">
      <c r="B17" s="101"/>
      <c r="C17" s="101"/>
      <c r="D17" s="101"/>
      <c r="E17" s="101"/>
      <c r="F17" s="101"/>
      <c r="G17" s="101"/>
      <c r="H17" s="101"/>
      <c r="I17" s="101"/>
      <c r="J17" s="101"/>
      <c r="K17" s="101"/>
    </row>
    <row r="18" spans="1:11" x14ac:dyDescent="0.25">
      <c r="B18" s="101"/>
      <c r="C18" s="101"/>
      <c r="D18" s="101"/>
      <c r="E18" s="101"/>
      <c r="F18" s="101"/>
      <c r="G18" s="101"/>
      <c r="H18" s="101"/>
      <c r="I18" s="101"/>
      <c r="J18" s="101"/>
      <c r="K18" s="101"/>
    </row>
    <row r="19" spans="1:11" x14ac:dyDescent="0.25">
      <c r="B19" s="101"/>
      <c r="C19" s="101"/>
      <c r="D19" s="101"/>
      <c r="E19" s="101"/>
      <c r="F19" s="101"/>
      <c r="G19" s="101"/>
      <c r="H19" s="101"/>
      <c r="I19" s="101"/>
      <c r="J19" s="101"/>
      <c r="K19" s="101"/>
    </row>
    <row r="20" spans="1:11" x14ac:dyDescent="0.25">
      <c r="B20" s="101"/>
      <c r="C20" s="101"/>
      <c r="D20" s="101"/>
      <c r="E20" s="101"/>
      <c r="F20" s="101"/>
      <c r="G20" s="101"/>
      <c r="H20" s="101"/>
      <c r="I20" s="101"/>
      <c r="J20" s="101"/>
      <c r="K20" s="101"/>
    </row>
    <row r="21" spans="1:11" x14ac:dyDescent="0.25">
      <c r="B21" s="101"/>
      <c r="C21" s="101"/>
      <c r="D21" s="101"/>
      <c r="E21" s="101"/>
      <c r="F21" s="101"/>
      <c r="G21" s="101"/>
      <c r="H21" s="101"/>
      <c r="I21" s="101"/>
      <c r="J21" s="102"/>
      <c r="K21" s="101"/>
    </row>
    <row r="22" spans="1:11" x14ac:dyDescent="0.25">
      <c r="B22" s="101"/>
      <c r="C22" s="101"/>
      <c r="D22" s="101"/>
      <c r="E22" s="101"/>
      <c r="F22" s="101"/>
      <c r="G22" s="101"/>
      <c r="H22" s="101"/>
      <c r="I22" s="101"/>
      <c r="J22" s="101"/>
      <c r="K22" s="101"/>
    </row>
    <row r="23" spans="1:11" x14ac:dyDescent="0.25">
      <c r="B23" s="101"/>
      <c r="C23" s="101"/>
      <c r="D23" s="101"/>
      <c r="E23" s="101"/>
      <c r="F23" s="101"/>
      <c r="G23" s="101"/>
      <c r="H23" s="101"/>
      <c r="I23" s="101"/>
      <c r="J23" s="101"/>
      <c r="K23" s="101"/>
    </row>
    <row r="24" spans="1:11" x14ac:dyDescent="0.25">
      <c r="B24" s="101"/>
      <c r="C24" s="101"/>
      <c r="D24" s="101"/>
      <c r="E24" s="101"/>
      <c r="F24" s="101"/>
      <c r="G24" s="101"/>
      <c r="H24" s="101"/>
      <c r="I24" s="101"/>
      <c r="J24" s="101"/>
      <c r="K24" s="101"/>
    </row>
    <row r="25" spans="1:11" x14ac:dyDescent="0.25">
      <c r="B25" s="101"/>
      <c r="C25" s="101"/>
      <c r="D25" s="101"/>
      <c r="E25" s="101"/>
      <c r="F25" s="101"/>
      <c r="G25" s="101"/>
      <c r="H25" s="101"/>
      <c r="I25" s="101"/>
      <c r="J25" s="101"/>
      <c r="K25" s="101"/>
    </row>
    <row r="26" spans="1:11" x14ac:dyDescent="0.25"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5"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5">
      <c r="B28" s="101"/>
      <c r="C28" s="101"/>
      <c r="D28" s="101"/>
      <c r="E28" s="101"/>
      <c r="F28" s="101"/>
      <c r="G28" s="101"/>
      <c r="H28" s="101"/>
      <c r="I28" s="101"/>
      <c r="J28" s="101"/>
      <c r="K28" s="101"/>
    </row>
    <row r="29" spans="1:11" x14ac:dyDescent="0.25">
      <c r="B29" s="101"/>
      <c r="C29" s="101"/>
      <c r="D29" s="101"/>
      <c r="E29" s="101"/>
      <c r="F29" s="101"/>
      <c r="G29" s="101"/>
      <c r="H29" s="101"/>
      <c r="I29" s="101"/>
      <c r="J29" s="101"/>
      <c r="K29" s="101"/>
    </row>
    <row r="30" spans="1:11" ht="24" customHeight="1" x14ac:dyDescent="0.25"/>
    <row r="31" spans="1:11" x14ac:dyDescent="0.25">
      <c r="A31" t="s">
        <v>83</v>
      </c>
      <c r="B31">
        <v>1</v>
      </c>
      <c r="C31">
        <v>1000</v>
      </c>
      <c r="D31">
        <f>INDEX('Conditions initiales'!$B$43:$B$1043,$A$3)</f>
        <v>9449.2119245732538</v>
      </c>
      <c r="E31" s="99">
        <f>INDEX('Conditions initiales'!$B$43:$B$1043,$A$3-1)</f>
        <v>11302.328970634506</v>
      </c>
      <c r="F31" s="99">
        <f>INDEX('Conditions initiales'!$B$43:$B$1043,$A$3-2)</f>
        <v>12720.110744977088</v>
      </c>
      <c r="G31" s="99">
        <f>INDEX('Conditions initiales'!$B$43:$B$1043,$A$3-3)</f>
        <v>13577.086592155174</v>
      </c>
      <c r="H31" s="99">
        <f>INDEX('Conditions initiales'!$B$43:$B$1043,$A$3-4)</f>
        <v>13743.344584876046</v>
      </c>
      <c r="I31" s="99">
        <f>INDEX('Conditions initiales'!$B$43:$B$1043,$A$3-5)</f>
        <v>12930.613810896073</v>
      </c>
      <c r="J31" s="99">
        <f>INDEX('Conditions initiales'!$B$43:$B$1043,$A$3-6)</f>
        <v>10472.84425775564</v>
      </c>
    </row>
    <row r="32" spans="1:11" x14ac:dyDescent="0.25">
      <c r="A32" t="s">
        <v>84</v>
      </c>
      <c r="B32">
        <v>1</v>
      </c>
      <c r="C32">
        <v>1000</v>
      </c>
      <c r="D32">
        <f>INDEX('Conditions initiales'!$C$43:$C$1043,$A$3)</f>
        <v>10884.404503180675</v>
      </c>
      <c r="E32" s="99">
        <f>INDEX('Conditions initiales'!$C$43:$C$1043,$A$3-1)</f>
        <v>13602.684053536388</v>
      </c>
      <c r="F32" s="99">
        <f>INDEX('Conditions initiales'!$C$43:$C$1043,$A$3-2)</f>
        <v>14652.018017922015</v>
      </c>
      <c r="G32" s="99">
        <f>INDEX('Conditions initiales'!$C$43:$C$1043,$A$3-3)</f>
        <v>14378.507685372491</v>
      </c>
      <c r="H32" s="99">
        <f>INDEX('Conditions initiales'!$C$43:$C$1043,$A$3-4)</f>
        <v>12864.469568040638</v>
      </c>
      <c r="I32" s="99">
        <f>INDEX('Conditions initiales'!$C$43:$C$1043,$A$3-5)</f>
        <v>9995.8767806456435</v>
      </c>
      <c r="J32" s="99">
        <f>INDEX('Conditions initiales'!$C$43:$C$1043,$A$3-6)</f>
        <v>5718.8992285848908</v>
      </c>
    </row>
    <row r="34" spans="3:13" x14ac:dyDescent="0.25">
      <c r="C34">
        <f>0+D31</f>
        <v>9449.2119245732538</v>
      </c>
      <c r="D34">
        <f>D31+1000</f>
        <v>10449.211924573254</v>
      </c>
      <c r="E34">
        <f>3000+D31</f>
        <v>12449.211924573254</v>
      </c>
      <c r="F34">
        <f>1000+D31</f>
        <v>10449.211924573254</v>
      </c>
      <c r="G34">
        <f>2000+D31</f>
        <v>11449.211924573254</v>
      </c>
      <c r="H34">
        <f>0+D31</f>
        <v>9449.2119245732538</v>
      </c>
      <c r="I34">
        <f>-2000+D31</f>
        <v>7449.2119245732538</v>
      </c>
      <c r="J34">
        <f>-1000+D31</f>
        <v>8449.2119245732538</v>
      </c>
      <c r="K34">
        <f>-3000+D31</f>
        <v>6449.2119245732538</v>
      </c>
      <c r="L34">
        <f>-1000+D31</f>
        <v>8449.2119245732538</v>
      </c>
      <c r="M34">
        <f>0+D31</f>
        <v>9449.2119245732538</v>
      </c>
    </row>
    <row r="35" spans="3:13" x14ac:dyDescent="0.25">
      <c r="C35">
        <f>3000+D32</f>
        <v>13884.404503180675</v>
      </c>
      <c r="D35">
        <f>750+D32</f>
        <v>11634.404503180675</v>
      </c>
      <c r="E35">
        <f>750+D32</f>
        <v>11634.404503180675</v>
      </c>
      <c r="F35">
        <f>-750+D32</f>
        <v>10134.404503180675</v>
      </c>
      <c r="G35">
        <f>-3000+D32</f>
        <v>7884.4045031806745</v>
      </c>
      <c r="H35">
        <f>-1500+D32</f>
        <v>9384.4045031806745</v>
      </c>
      <c r="I35">
        <f>-3000+D32</f>
        <v>7884.4045031806745</v>
      </c>
      <c r="J35">
        <f>-750+D32</f>
        <v>10134.404503180675</v>
      </c>
      <c r="K35">
        <f>D32+750</f>
        <v>11634.404503180675</v>
      </c>
      <c r="L35">
        <f>750+D32</f>
        <v>11634.404503180675</v>
      </c>
      <c r="M35">
        <f>3000+D32</f>
        <v>13884.404503180675</v>
      </c>
    </row>
    <row r="36" spans="3:13" x14ac:dyDescent="0.25">
      <c r="C36" s="99">
        <f>0+D33</f>
        <v>0</v>
      </c>
      <c r="D36" s="99">
        <v>1000</v>
      </c>
      <c r="E36" s="99">
        <f>3000</f>
        <v>3000</v>
      </c>
      <c r="F36" s="99">
        <f>1000</f>
        <v>1000</v>
      </c>
      <c r="G36" s="99">
        <f>2000</f>
        <v>2000</v>
      </c>
      <c r="H36" s="99">
        <f>0</f>
        <v>0</v>
      </c>
      <c r="I36" s="99">
        <f>-2000</f>
        <v>-2000</v>
      </c>
      <c r="J36" s="99">
        <f>-1000</f>
        <v>-1000</v>
      </c>
      <c r="K36" s="99">
        <f>-3000</f>
        <v>-3000</v>
      </c>
      <c r="L36" s="99">
        <f>-1000</f>
        <v>-1000</v>
      </c>
      <c r="M36" s="99">
        <f>0</f>
        <v>0</v>
      </c>
    </row>
    <row r="37" spans="3:13" x14ac:dyDescent="0.25">
      <c r="C37" s="99">
        <v>3000</v>
      </c>
      <c r="D37" s="99">
        <f>750</f>
        <v>750</v>
      </c>
      <c r="E37" s="99">
        <f>500</f>
        <v>500</v>
      </c>
      <c r="F37" s="99">
        <f>-750</f>
        <v>-750</v>
      </c>
      <c r="G37" s="99">
        <f>-3000</f>
        <v>-3000</v>
      </c>
      <c r="H37" s="99">
        <f>-1500</f>
        <v>-1500</v>
      </c>
      <c r="I37" s="99">
        <f>-3000</f>
        <v>-3000</v>
      </c>
      <c r="J37" s="99">
        <f>-750</f>
        <v>-750</v>
      </c>
      <c r="K37" s="99">
        <v>500</v>
      </c>
      <c r="L37" s="99">
        <f>750</f>
        <v>750</v>
      </c>
      <c r="M37" s="99">
        <f>3000</f>
        <v>3000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artsimulation">
                <anchor moveWithCells="1" sizeWithCells="1">
                  <from>
                    <xdr:col>8</xdr:col>
                    <xdr:colOff>152400</xdr:colOff>
                    <xdr:row>24</xdr:row>
                    <xdr:rowOff>95250</xdr:rowOff>
                  </from>
                  <to>
                    <xdr:col>10</xdr:col>
                    <xdr:colOff>666750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</vt:lpstr>
      <vt:lpstr>Simulation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2022-03-03T15:22:29Z</dcterms:created>
  <dcterms:modified xsi:type="dcterms:W3CDTF">2022-03-10T16:32:53Z</dcterms:modified>
</cp:coreProperties>
</file>