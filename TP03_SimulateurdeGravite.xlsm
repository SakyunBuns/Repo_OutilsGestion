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Naths_Things\School\CVM_01\420-C13_OutilsdeGestionSoutien\TP03-Excel\"/>
    </mc:Choice>
  </mc:AlternateContent>
  <bookViews>
    <workbookView xWindow="0" yWindow="0" windowWidth="16155" windowHeight="7830"/>
  </bookViews>
  <sheets>
    <sheet name="Conditions initiales" sheetId="1" r:id="rId1"/>
    <sheet name="Simulation mouvemen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5" i="1" l="1"/>
  <c r="E46" i="1"/>
  <c r="F45" i="1"/>
  <c r="G45" i="1"/>
  <c r="D45" i="1"/>
  <c r="D46" i="1"/>
  <c r="C45" i="1"/>
  <c r="B45" i="1"/>
  <c r="Q45" i="1"/>
  <c r="R45" i="1"/>
  <c r="S45" i="1"/>
  <c r="S44" i="1"/>
  <c r="R44" i="1"/>
  <c r="Q44" i="1"/>
  <c r="N45" i="1"/>
  <c r="O45" i="1"/>
  <c r="P45" i="1"/>
  <c r="P44" i="1"/>
  <c r="O44" i="1"/>
  <c r="N44" i="1"/>
  <c r="M37" i="2"/>
  <c r="M36" i="2"/>
  <c r="L36" i="2"/>
  <c r="L37" i="2"/>
  <c r="K36" i="2"/>
  <c r="J37" i="2"/>
  <c r="J36" i="2"/>
  <c r="I37" i="2"/>
  <c r="I36" i="2"/>
  <c r="H37" i="2"/>
  <c r="H36" i="2"/>
  <c r="G37" i="2"/>
  <c r="G36" i="2"/>
  <c r="F37" i="2"/>
  <c r="F36" i="2"/>
  <c r="E37" i="2"/>
  <c r="E36" i="2"/>
  <c r="D37" i="2"/>
  <c r="C36" i="2"/>
  <c r="AD44" i="1" l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AD43" i="1"/>
  <c r="AC43" i="1"/>
  <c r="AA43" i="1"/>
  <c r="AB43" i="1"/>
  <c r="Z43" i="1"/>
  <c r="Y43" i="1"/>
  <c r="D23" i="1" l="1"/>
  <c r="D39" i="1"/>
  <c r="D31" i="1"/>
  <c r="H44" i="1" l="1"/>
  <c r="I44" i="1"/>
  <c r="J44" i="1"/>
  <c r="K44" i="1"/>
  <c r="M44" i="1"/>
  <c r="L44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44" i="1"/>
  <c r="T45" i="1"/>
  <c r="T46" i="1"/>
  <c r="T47" i="1"/>
  <c r="T48" i="1"/>
  <c r="T49" i="1"/>
  <c r="T50" i="1"/>
  <c r="T43" i="1"/>
  <c r="B44" i="1" s="1"/>
  <c r="D37" i="1"/>
  <c r="D38" i="1" s="1"/>
  <c r="D29" i="1"/>
  <c r="D30" i="1" s="1"/>
  <c r="D21" i="1"/>
  <c r="D22" i="1" s="1"/>
  <c r="E44" i="1" l="1"/>
  <c r="D44" i="1"/>
  <c r="C44" i="1"/>
  <c r="F44" i="1" l="1"/>
  <c r="G44" i="1"/>
  <c r="N46" i="1" l="1"/>
  <c r="Q46" i="1" s="1"/>
  <c r="O46" i="1"/>
  <c r="R46" i="1" s="1"/>
  <c r="P46" i="1"/>
  <c r="S46" i="1" s="1"/>
  <c r="L45" i="1"/>
  <c r="J45" i="1"/>
  <c r="K45" i="1"/>
  <c r="M45" i="1"/>
  <c r="I45" i="1"/>
  <c r="C46" i="1" s="1"/>
  <c r="H45" i="1"/>
  <c r="I46" i="1" l="1"/>
  <c r="B46" i="1"/>
  <c r="K46" i="1" l="1"/>
  <c r="G46" i="1" s="1"/>
  <c r="E47" i="1" s="1"/>
  <c r="M46" i="1"/>
  <c r="N47" i="1"/>
  <c r="Q47" i="1" s="1"/>
  <c r="P47" i="1" l="1"/>
  <c r="S47" i="1" s="1"/>
  <c r="O47" i="1"/>
  <c r="R47" i="1" s="1"/>
  <c r="L46" i="1"/>
  <c r="J46" i="1"/>
  <c r="H46" i="1"/>
  <c r="F46" i="1" s="1"/>
  <c r="C47" i="1" l="1"/>
  <c r="D47" i="1"/>
  <c r="I47" i="1" l="1"/>
  <c r="B47" i="1"/>
  <c r="M47" i="1"/>
  <c r="K47" i="1"/>
  <c r="G47" i="1" l="1"/>
  <c r="E48" i="1" s="1"/>
  <c r="O48" i="1"/>
  <c r="R48" i="1" s="1"/>
  <c r="N48" i="1"/>
  <c r="Q48" i="1" s="1"/>
  <c r="J47" i="1"/>
  <c r="P48" i="1"/>
  <c r="S48" i="1" s="1"/>
  <c r="L47" i="1"/>
  <c r="H47" i="1"/>
  <c r="F47" i="1" s="1"/>
  <c r="C48" i="1" l="1"/>
  <c r="I48" i="1" s="1"/>
  <c r="D48" i="1"/>
  <c r="B48" i="1" l="1"/>
  <c r="M48" i="1"/>
  <c r="K48" i="1"/>
  <c r="G48" i="1" s="1"/>
  <c r="E49" i="1" s="1"/>
  <c r="O49" i="1" l="1"/>
  <c r="R49" i="1" s="1"/>
  <c r="N49" i="1"/>
  <c r="Q49" i="1" s="1"/>
  <c r="J48" i="1"/>
  <c r="P49" i="1"/>
  <c r="S49" i="1" s="1"/>
  <c r="H48" i="1"/>
  <c r="L48" i="1"/>
  <c r="F48" i="1" l="1"/>
  <c r="C49" i="1"/>
  <c r="M49" i="1" s="1"/>
  <c r="I49" i="1" l="1"/>
  <c r="K49" i="1"/>
  <c r="B49" i="1"/>
  <c r="D49" i="1"/>
  <c r="G49" i="1" l="1"/>
  <c r="E50" i="1" s="1"/>
  <c r="H49" i="1"/>
  <c r="L49" i="1"/>
  <c r="J49" i="1"/>
  <c r="N50" i="1"/>
  <c r="Q50" i="1" s="1"/>
  <c r="P50" i="1"/>
  <c r="S50" i="1" s="1"/>
  <c r="O50" i="1"/>
  <c r="R50" i="1" s="1"/>
  <c r="F49" i="1" l="1"/>
  <c r="C50" i="1"/>
  <c r="K50" i="1" s="1"/>
  <c r="M50" i="1" l="1"/>
  <c r="I50" i="1"/>
  <c r="G50" i="1" s="1"/>
  <c r="E51" i="1" s="1"/>
  <c r="D50" i="1"/>
  <c r="B50" i="1"/>
  <c r="C51" i="1" l="1"/>
  <c r="L50" i="1"/>
  <c r="H50" i="1"/>
  <c r="P51" i="1"/>
  <c r="S51" i="1" s="1"/>
  <c r="M51" i="1" s="1"/>
  <c r="J50" i="1"/>
  <c r="O51" i="1"/>
  <c r="R51" i="1" s="1"/>
  <c r="K51" i="1" s="1"/>
  <c r="N51" i="1"/>
  <c r="Q51" i="1" s="1"/>
  <c r="I51" i="1" s="1"/>
  <c r="G51" i="1" s="1"/>
  <c r="E52" i="1" s="1"/>
  <c r="F50" i="1" l="1"/>
  <c r="C52" i="1"/>
  <c r="B51" i="1" l="1"/>
  <c r="D51" i="1"/>
  <c r="O52" i="1" l="1"/>
  <c r="R52" i="1" s="1"/>
  <c r="K52" i="1" s="1"/>
  <c r="H51" i="1"/>
  <c r="P52" i="1"/>
  <c r="S52" i="1" s="1"/>
  <c r="M52" i="1" s="1"/>
  <c r="J51" i="1"/>
  <c r="L51" i="1"/>
  <c r="N52" i="1"/>
  <c r="Q52" i="1" s="1"/>
  <c r="I52" i="1" s="1"/>
  <c r="F51" i="1" l="1"/>
  <c r="G52" i="1"/>
  <c r="E53" i="1" s="1"/>
  <c r="C53" i="1" l="1"/>
  <c r="B52" i="1"/>
  <c r="D52" i="1"/>
  <c r="O53" i="1" l="1"/>
  <c r="R53" i="1" s="1"/>
  <c r="K53" i="1" s="1"/>
  <c r="N53" i="1"/>
  <c r="Q53" i="1" s="1"/>
  <c r="I53" i="1" s="1"/>
  <c r="J52" i="1"/>
  <c r="P53" i="1"/>
  <c r="S53" i="1" s="1"/>
  <c r="M53" i="1" s="1"/>
  <c r="H52" i="1"/>
  <c r="L52" i="1"/>
  <c r="F52" i="1" l="1"/>
  <c r="G53" i="1"/>
  <c r="E54" i="1" s="1"/>
  <c r="D53" i="1"/>
  <c r="B53" i="1"/>
  <c r="C54" i="1"/>
  <c r="N54" i="1" l="1"/>
  <c r="Q54" i="1" s="1"/>
  <c r="H53" i="1"/>
  <c r="L53" i="1"/>
  <c r="P54" i="1"/>
  <c r="S54" i="1" s="1"/>
  <c r="M54" i="1" s="1"/>
  <c r="O54" i="1"/>
  <c r="R54" i="1" s="1"/>
  <c r="K54" i="1" s="1"/>
  <c r="J53" i="1"/>
  <c r="I54" i="1"/>
  <c r="G54" i="1" l="1"/>
  <c r="E55" i="1" s="1"/>
  <c r="F53" i="1"/>
  <c r="C55" i="1" l="1"/>
  <c r="D54" i="1"/>
  <c r="B54" i="1"/>
  <c r="N55" i="1" l="1"/>
  <c r="Q55" i="1" s="1"/>
  <c r="H54" i="1"/>
  <c r="L54" i="1"/>
  <c r="J54" i="1"/>
  <c r="O55" i="1"/>
  <c r="R55" i="1" s="1"/>
  <c r="K55" i="1" s="1"/>
  <c r="P55" i="1"/>
  <c r="S55" i="1" s="1"/>
  <c r="M55" i="1" s="1"/>
  <c r="I55" i="1"/>
  <c r="F54" i="1" l="1"/>
  <c r="G55" i="1"/>
  <c r="E56" i="1" s="1"/>
  <c r="B55" i="1" l="1"/>
  <c r="D55" i="1"/>
  <c r="C56" i="1"/>
  <c r="L55" i="1" l="1"/>
  <c r="H55" i="1"/>
  <c r="P56" i="1"/>
  <c r="S56" i="1" s="1"/>
  <c r="M56" i="1" s="1"/>
  <c r="N56" i="1"/>
  <c r="Q56" i="1" s="1"/>
  <c r="I56" i="1" s="1"/>
  <c r="J55" i="1"/>
  <c r="O56" i="1"/>
  <c r="R56" i="1" s="1"/>
  <c r="K56" i="1" s="1"/>
  <c r="F55" i="1" l="1"/>
  <c r="G56" i="1"/>
  <c r="E57" i="1" s="1"/>
  <c r="B56" i="1"/>
  <c r="O57" i="1" s="1"/>
  <c r="R57" i="1" s="1"/>
  <c r="C57" i="1"/>
  <c r="L56" i="1"/>
  <c r="J56" i="1"/>
  <c r="N57" i="1" l="1"/>
  <c r="Q57" i="1" s="1"/>
  <c r="H56" i="1"/>
  <c r="F56" i="1" s="1"/>
  <c r="P57" i="1"/>
  <c r="S57" i="1" s="1"/>
  <c r="M57" i="1" s="1"/>
  <c r="D56" i="1"/>
  <c r="B57" i="1" s="1"/>
  <c r="K57" i="1"/>
  <c r="I57" i="1"/>
  <c r="D57" i="1"/>
  <c r="G57" i="1" l="1"/>
  <c r="E58" i="1" s="1"/>
  <c r="C58" i="1"/>
  <c r="P58" i="1"/>
  <c r="S58" i="1" s="1"/>
  <c r="O58" i="1"/>
  <c r="R58" i="1" s="1"/>
  <c r="N58" i="1"/>
  <c r="Q58" i="1" s="1"/>
  <c r="L57" i="1"/>
  <c r="H57" i="1"/>
  <c r="J57" i="1"/>
  <c r="F57" i="1" l="1"/>
  <c r="I58" i="1"/>
  <c r="K58" i="1"/>
  <c r="M58" i="1"/>
  <c r="G58" i="1" l="1"/>
  <c r="E59" i="1" s="1"/>
  <c r="B58" i="1"/>
  <c r="D58" i="1"/>
  <c r="O59" i="1" l="1"/>
  <c r="R59" i="1" s="1"/>
  <c r="H58" i="1"/>
  <c r="N59" i="1"/>
  <c r="Q59" i="1" s="1"/>
  <c r="L58" i="1"/>
  <c r="J58" i="1"/>
  <c r="P59" i="1"/>
  <c r="S59" i="1" s="1"/>
  <c r="C59" i="1"/>
  <c r="F58" i="1" l="1"/>
  <c r="I59" i="1"/>
  <c r="K59" i="1"/>
  <c r="M59" i="1"/>
  <c r="G59" i="1" l="1"/>
  <c r="E60" i="1" s="1"/>
  <c r="B59" i="1"/>
  <c r="D59" i="1"/>
  <c r="J32" i="2"/>
  <c r="L59" i="1" l="1"/>
  <c r="O60" i="1"/>
  <c r="R60" i="1" s="1"/>
  <c r="H59" i="1"/>
  <c r="N60" i="1"/>
  <c r="Q60" i="1" s="1"/>
  <c r="P60" i="1"/>
  <c r="S60" i="1" s="1"/>
  <c r="J59" i="1"/>
  <c r="C60" i="1"/>
  <c r="J31" i="2"/>
  <c r="I32" i="2"/>
  <c r="F59" i="1" l="1"/>
  <c r="K60" i="1"/>
  <c r="I60" i="1"/>
  <c r="M60" i="1"/>
  <c r="G60" i="1" l="1"/>
  <c r="E61" i="1" s="1"/>
  <c r="B60" i="1"/>
  <c r="D60" i="1"/>
  <c r="I31" i="2"/>
  <c r="C61" i="1" l="1"/>
  <c r="N61" i="1"/>
  <c r="Q61" i="1" s="1"/>
  <c r="I61" i="1" s="1"/>
  <c r="L60" i="1"/>
  <c r="J60" i="1"/>
  <c r="H60" i="1"/>
  <c r="F60" i="1" s="1"/>
  <c r="P61" i="1"/>
  <c r="S61" i="1" s="1"/>
  <c r="M61" i="1" s="1"/>
  <c r="O61" i="1"/>
  <c r="R61" i="1" s="1"/>
  <c r="K61" i="1" s="1"/>
  <c r="G61" i="1" l="1"/>
  <c r="E62" i="1" s="1"/>
  <c r="B61" i="1"/>
  <c r="H31" i="2"/>
  <c r="N62" i="1" l="1"/>
  <c r="Q62" i="1" s="1"/>
  <c r="P62" i="1"/>
  <c r="S62" i="1" s="1"/>
  <c r="L61" i="1"/>
  <c r="J61" i="1"/>
  <c r="H61" i="1"/>
  <c r="F61" i="1" s="1"/>
  <c r="O62" i="1"/>
  <c r="R62" i="1" s="1"/>
  <c r="D61" i="1"/>
  <c r="C62" i="1"/>
  <c r="G31" i="2"/>
  <c r="D62" i="1" l="1"/>
  <c r="B62" i="1"/>
  <c r="N63" i="1"/>
  <c r="Q63" i="1" s="1"/>
  <c r="P63" i="1"/>
  <c r="S63" i="1" s="1"/>
  <c r="O63" i="1"/>
  <c r="R63" i="1" s="1"/>
  <c r="J62" i="1"/>
  <c r="H62" i="1"/>
  <c r="L62" i="1"/>
  <c r="K62" i="1"/>
  <c r="I62" i="1"/>
  <c r="M62" i="1"/>
  <c r="F31" i="2"/>
  <c r="F62" i="1" l="1"/>
  <c r="G62" i="1"/>
  <c r="E63" i="1" s="1"/>
  <c r="C63" i="1"/>
  <c r="M63" i="1" l="1"/>
  <c r="I63" i="1"/>
  <c r="K63" i="1"/>
  <c r="B63" i="1"/>
  <c r="D63" i="1"/>
  <c r="G63" i="1" l="1"/>
  <c r="E64" i="1" s="1"/>
  <c r="C64" i="1"/>
  <c r="N64" i="1"/>
  <c r="Q64" i="1" s="1"/>
  <c r="H63" i="1"/>
  <c r="O64" i="1"/>
  <c r="R64" i="1" s="1"/>
  <c r="L63" i="1"/>
  <c r="P64" i="1"/>
  <c r="S64" i="1" s="1"/>
  <c r="J63" i="1"/>
  <c r="F32" i="2"/>
  <c r="E31" i="2"/>
  <c r="F63" i="1" l="1"/>
  <c r="I64" i="1"/>
  <c r="K64" i="1"/>
  <c r="M64" i="1"/>
  <c r="H32" i="2"/>
  <c r="E32" i="2"/>
  <c r="D31" i="2"/>
  <c r="E34" i="2" s="1"/>
  <c r="G64" i="1" l="1"/>
  <c r="E65" i="1" s="1"/>
  <c r="C65" i="1"/>
  <c r="D64" i="1"/>
  <c r="B64" i="1"/>
  <c r="G32" i="2"/>
  <c r="H34" i="2"/>
  <c r="I34" i="2"/>
  <c r="F34" i="2"/>
  <c r="K34" i="2"/>
  <c r="D34" i="2"/>
  <c r="M34" i="2"/>
  <c r="L34" i="2"/>
  <c r="J34" i="2"/>
  <c r="C34" i="2"/>
  <c r="G34" i="2"/>
  <c r="L64" i="1" l="1"/>
  <c r="J64" i="1"/>
  <c r="H64" i="1"/>
  <c r="F64" i="1" s="1"/>
  <c r="O65" i="1"/>
  <c r="R65" i="1" s="1"/>
  <c r="K65" i="1" s="1"/>
  <c r="P65" i="1"/>
  <c r="S65" i="1" s="1"/>
  <c r="M65" i="1" s="1"/>
  <c r="N65" i="1"/>
  <c r="Q65" i="1" s="1"/>
  <c r="I65" i="1" s="1"/>
  <c r="G65" i="1" l="1"/>
  <c r="E66" i="1" s="1"/>
  <c r="B65" i="1"/>
  <c r="J65" i="1" s="1"/>
  <c r="H65" i="1"/>
  <c r="L65" i="1"/>
  <c r="O66" i="1"/>
  <c r="R66" i="1" s="1"/>
  <c r="P66" i="1"/>
  <c r="S66" i="1" s="1"/>
  <c r="N66" i="1"/>
  <c r="Q66" i="1" s="1"/>
  <c r="D32" i="2"/>
  <c r="F65" i="1" l="1"/>
  <c r="C66" i="1"/>
  <c r="K66" i="1" s="1"/>
  <c r="D65" i="1"/>
  <c r="D66" i="1" s="1"/>
  <c r="M66" i="1"/>
  <c r="I66" i="1"/>
  <c r="G66" i="1" s="1"/>
  <c r="E67" i="1" s="1"/>
  <c r="B66" i="1"/>
  <c r="G35" i="2"/>
  <c r="C35" i="2"/>
  <c r="K35" i="2"/>
  <c r="E35" i="2"/>
  <c r="H35" i="2"/>
  <c r="D35" i="2"/>
  <c r="L35" i="2"/>
  <c r="J35" i="2"/>
  <c r="I35" i="2"/>
  <c r="M35" i="2"/>
  <c r="F35" i="2"/>
  <c r="C67" i="1" l="1"/>
  <c r="O67" i="1"/>
  <c r="N67" i="1"/>
  <c r="J66" i="1"/>
  <c r="P67" i="1"/>
  <c r="L66" i="1"/>
  <c r="H66" i="1"/>
  <c r="F66" i="1" s="1"/>
  <c r="Q67" i="1" l="1"/>
  <c r="I67" i="1" s="1"/>
  <c r="R67" i="1"/>
  <c r="K67" i="1" s="1"/>
  <c r="S67" i="1"/>
  <c r="M67" i="1" s="1"/>
  <c r="D67" i="1"/>
  <c r="G67" i="1" l="1"/>
  <c r="E68" i="1" s="1"/>
  <c r="B67" i="1"/>
  <c r="J67" i="1" s="1"/>
  <c r="C68" i="1" l="1"/>
  <c r="H67" i="1"/>
  <c r="O68" i="1"/>
  <c r="R68" i="1" s="1"/>
  <c r="P68" i="1"/>
  <c r="S68" i="1" s="1"/>
  <c r="M68" i="1" s="1"/>
  <c r="L67" i="1"/>
  <c r="N68" i="1"/>
  <c r="Q68" i="1" s="1"/>
  <c r="I68" i="1" s="1"/>
  <c r="G68" i="1" s="1"/>
  <c r="E69" i="1" s="1"/>
  <c r="K68" i="1"/>
  <c r="F67" i="1" l="1"/>
  <c r="B68" i="1" s="1"/>
  <c r="N69" i="1" s="1"/>
  <c r="Q69" i="1" s="1"/>
  <c r="D68" i="1" l="1"/>
  <c r="C69" i="1"/>
  <c r="P69" i="1"/>
  <c r="S69" i="1" s="1"/>
  <c r="O69" i="1"/>
  <c r="R69" i="1" s="1"/>
  <c r="L68" i="1"/>
  <c r="J68" i="1"/>
  <c r="H68" i="1"/>
  <c r="F68" i="1" s="1"/>
  <c r="D69" i="1" l="1"/>
  <c r="I69" i="1"/>
  <c r="M69" i="1"/>
  <c r="K69" i="1"/>
  <c r="G69" i="1" l="1"/>
  <c r="E70" i="1" s="1"/>
  <c r="B69" i="1"/>
  <c r="N70" i="1" s="1"/>
  <c r="Q70" i="1" s="1"/>
  <c r="O70" i="1"/>
  <c r="R70" i="1" s="1"/>
  <c r="L69" i="1"/>
  <c r="J69" i="1"/>
  <c r="P70" i="1" l="1"/>
  <c r="S70" i="1" s="1"/>
  <c r="C70" i="1"/>
  <c r="H69" i="1"/>
  <c r="F69" i="1" s="1"/>
  <c r="K70" i="1"/>
  <c r="M70" i="1"/>
  <c r="D70" i="1"/>
  <c r="I70" i="1"/>
  <c r="G70" i="1" s="1"/>
  <c r="E71" i="1" s="1"/>
  <c r="C71" i="1" l="1"/>
  <c r="B70" i="1"/>
  <c r="J70" i="1" s="1"/>
  <c r="H70" i="1" l="1"/>
  <c r="O71" i="1"/>
  <c r="R71" i="1" s="1"/>
  <c r="P71" i="1"/>
  <c r="S71" i="1" s="1"/>
  <c r="M71" i="1" s="1"/>
  <c r="L70" i="1"/>
  <c r="N71" i="1"/>
  <c r="Q71" i="1" s="1"/>
  <c r="I71" i="1" s="1"/>
  <c r="G71" i="1" s="1"/>
  <c r="E72" i="1" s="1"/>
  <c r="K71" i="1"/>
  <c r="F70" i="1" l="1"/>
  <c r="B71" i="1"/>
  <c r="D71" i="1"/>
  <c r="N72" i="1"/>
  <c r="Q72" i="1" s="1"/>
  <c r="C72" i="1" l="1"/>
  <c r="P72" i="1"/>
  <c r="S72" i="1" s="1"/>
  <c r="M72" i="1" s="1"/>
  <c r="O72" i="1"/>
  <c r="R72" i="1" s="1"/>
  <c r="K72" i="1" s="1"/>
  <c r="J71" i="1"/>
  <c r="I72" i="1"/>
  <c r="L71" i="1"/>
  <c r="H71" i="1"/>
  <c r="F71" i="1" s="1"/>
  <c r="G72" i="1" l="1"/>
  <c r="E73" i="1" s="1"/>
  <c r="D72" i="1"/>
  <c r="C73" i="1"/>
  <c r="B72" i="1" l="1"/>
  <c r="O73" i="1" s="1"/>
  <c r="R73" i="1" s="1"/>
  <c r="H72" i="1"/>
  <c r="P73" i="1" l="1"/>
  <c r="S73" i="1" s="1"/>
  <c r="J72" i="1"/>
  <c r="L72" i="1"/>
  <c r="N73" i="1"/>
  <c r="Q73" i="1" s="1"/>
  <c r="I73" i="1" s="1"/>
  <c r="G73" i="1" s="1"/>
  <c r="E74" i="1" s="1"/>
  <c r="K73" i="1"/>
  <c r="M73" i="1"/>
  <c r="F72" i="1" l="1"/>
  <c r="D73" i="1" s="1"/>
  <c r="B73" i="1" l="1"/>
  <c r="P74" i="1"/>
  <c r="S74" i="1" s="1"/>
  <c r="C74" i="1"/>
  <c r="N74" i="1"/>
  <c r="Q74" i="1" s="1"/>
  <c r="I74" i="1" s="1"/>
  <c r="M74" i="1"/>
  <c r="J73" i="1" l="1"/>
  <c r="O74" i="1"/>
  <c r="R74" i="1" s="1"/>
  <c r="K74" i="1" s="1"/>
  <c r="H73" i="1"/>
  <c r="L73" i="1"/>
  <c r="G74" i="1"/>
  <c r="E75" i="1" s="1"/>
  <c r="F73" i="1" l="1"/>
  <c r="C75" i="1"/>
  <c r="B74" i="1" l="1"/>
  <c r="D74" i="1"/>
  <c r="N75" i="1" l="1"/>
  <c r="Q75" i="1" s="1"/>
  <c r="I75" i="1" s="1"/>
  <c r="P75" i="1"/>
  <c r="S75" i="1" s="1"/>
  <c r="M75" i="1" s="1"/>
  <c r="L74" i="1"/>
  <c r="O75" i="1"/>
  <c r="R75" i="1" s="1"/>
  <c r="K75" i="1" s="1"/>
  <c r="J74" i="1"/>
  <c r="H74" i="1"/>
  <c r="F74" i="1" s="1"/>
  <c r="D75" i="1" s="1"/>
  <c r="G75" i="1" l="1"/>
  <c r="B75" i="1"/>
  <c r="O76" i="1" s="1"/>
  <c r="R76" i="1" s="1"/>
  <c r="L75" i="1"/>
  <c r="P76" i="1"/>
  <c r="S76" i="1" s="1"/>
  <c r="J75" i="1"/>
  <c r="H75" i="1"/>
  <c r="N76" i="1"/>
  <c r="Q76" i="1" s="1"/>
  <c r="F75" i="1" l="1"/>
  <c r="E76" i="1"/>
  <c r="C76" i="1"/>
  <c r="B76" i="1"/>
  <c r="L76" i="1" s="1"/>
  <c r="D76" i="1"/>
  <c r="H76" i="1"/>
  <c r="M76" i="1" l="1"/>
  <c r="K76" i="1"/>
  <c r="I76" i="1"/>
  <c r="G76" i="1" s="1"/>
  <c r="C77" i="1" s="1"/>
  <c r="N77" i="1"/>
  <c r="Q77" i="1" s="1"/>
  <c r="I77" i="1" s="1"/>
  <c r="O77" i="1"/>
  <c r="R77" i="1" s="1"/>
  <c r="K77" i="1" s="1"/>
  <c r="P77" i="1"/>
  <c r="S77" i="1" s="1"/>
  <c r="M77" i="1" s="1"/>
  <c r="J76" i="1"/>
  <c r="E77" i="1" l="1"/>
  <c r="G77" i="1"/>
  <c r="F76" i="1"/>
  <c r="D77" i="1" s="1"/>
  <c r="C78" i="1"/>
  <c r="B77" i="1"/>
  <c r="H77" i="1" s="1"/>
  <c r="L77" i="1"/>
  <c r="P78" i="1"/>
  <c r="E78" i="1" l="1"/>
  <c r="J77" i="1"/>
  <c r="F77" i="1" s="1"/>
  <c r="S78" i="1"/>
  <c r="M78" i="1" s="1"/>
  <c r="O78" i="1"/>
  <c r="N78" i="1"/>
  <c r="B78" i="1" l="1"/>
  <c r="L78" i="1" s="1"/>
  <c r="D78" i="1"/>
  <c r="N79" i="1"/>
  <c r="Q79" i="1" s="1"/>
  <c r="Q78" i="1"/>
  <c r="I78" i="1" s="1"/>
  <c r="R78" i="1"/>
  <c r="K78" i="1" s="1"/>
  <c r="P79" i="1"/>
  <c r="S79" i="1" s="1"/>
  <c r="O79" i="1"/>
  <c r="R79" i="1" s="1"/>
  <c r="G78" i="1" l="1"/>
  <c r="E79" i="1" s="1"/>
  <c r="J78" i="1"/>
  <c r="H78" i="1"/>
  <c r="F78" i="1" s="1"/>
  <c r="B79" i="1"/>
  <c r="D79" i="1" l="1"/>
  <c r="C79" i="1"/>
  <c r="N80" i="1"/>
  <c r="Q80" i="1" s="1"/>
  <c r="I79" i="1" l="1"/>
  <c r="M79" i="1"/>
  <c r="K79" i="1"/>
  <c r="P80" i="1"/>
  <c r="S80" i="1" s="1"/>
  <c r="O80" i="1"/>
  <c r="L79" i="1"/>
  <c r="J79" i="1"/>
  <c r="H79" i="1"/>
  <c r="F79" i="1" s="1"/>
  <c r="G79" i="1" l="1"/>
  <c r="E80" i="1" s="1"/>
  <c r="R80" i="1"/>
  <c r="D80" i="1"/>
  <c r="C80" i="1" l="1"/>
  <c r="B80" i="1"/>
  <c r="H80" i="1" s="1"/>
  <c r="I80" i="1" l="1"/>
  <c r="M80" i="1"/>
  <c r="K80" i="1"/>
  <c r="O81" i="1"/>
  <c r="R81" i="1" s="1"/>
  <c r="N81" i="1"/>
  <c r="P81" i="1"/>
  <c r="L80" i="1"/>
  <c r="J80" i="1"/>
  <c r="F80" i="1" l="1"/>
  <c r="G80" i="1"/>
  <c r="Q81" i="1"/>
  <c r="S81" i="1"/>
  <c r="C81" i="1" l="1"/>
  <c r="K81" i="1" s="1"/>
  <c r="E81" i="1"/>
  <c r="M81" i="1"/>
  <c r="I81" i="1"/>
  <c r="G81" i="1" s="1"/>
  <c r="C82" i="1" s="1"/>
  <c r="B81" i="1"/>
  <c r="H81" i="1" s="1"/>
  <c r="D81" i="1"/>
  <c r="O82" i="1"/>
  <c r="R82" i="1" s="1"/>
  <c r="E82" i="1" l="1"/>
  <c r="P82" i="1"/>
  <c r="N82" i="1"/>
  <c r="L81" i="1"/>
  <c r="J81" i="1"/>
  <c r="K82" i="1"/>
  <c r="Q82" i="1"/>
  <c r="I82" i="1" s="1"/>
  <c r="G82" i="1" s="1"/>
  <c r="S82" i="1"/>
  <c r="M82" i="1" s="1"/>
  <c r="E83" i="1" l="1"/>
  <c r="F81" i="1"/>
  <c r="B82" i="1" s="1"/>
  <c r="C83" i="1"/>
  <c r="N83" i="1" l="1"/>
  <c r="Q83" i="1" s="1"/>
  <c r="I83" i="1" s="1"/>
  <c r="H82" i="1"/>
  <c r="O83" i="1"/>
  <c r="R83" i="1" s="1"/>
  <c r="K83" i="1" s="1"/>
  <c r="J82" i="1"/>
  <c r="P83" i="1"/>
  <c r="S83" i="1" s="1"/>
  <c r="M83" i="1" s="1"/>
  <c r="L82" i="1"/>
  <c r="D82" i="1"/>
  <c r="F82" i="1" l="1"/>
  <c r="B83" i="1" s="1"/>
  <c r="N84" i="1" s="1"/>
  <c r="Q84" i="1" s="1"/>
  <c r="G83" i="1"/>
  <c r="D83" i="1"/>
  <c r="C84" i="1" l="1"/>
  <c r="E84" i="1"/>
  <c r="P84" i="1"/>
  <c r="S84" i="1" s="1"/>
  <c r="M84" i="1" s="1"/>
  <c r="O84" i="1"/>
  <c r="R84" i="1" s="1"/>
  <c r="K84" i="1" s="1"/>
  <c r="L83" i="1"/>
  <c r="J83" i="1"/>
  <c r="H83" i="1"/>
  <c r="F83" i="1" s="1"/>
  <c r="I84" i="1"/>
  <c r="G84" i="1" l="1"/>
  <c r="C85" i="1" s="1"/>
  <c r="E85" i="1" l="1"/>
  <c r="B84" i="1"/>
  <c r="D84" i="1"/>
  <c r="N85" i="1"/>
  <c r="Q85" i="1" s="1"/>
  <c r="P85" i="1" l="1"/>
  <c r="O85" i="1"/>
  <c r="R85" i="1" s="1"/>
  <c r="L84" i="1"/>
  <c r="J84" i="1"/>
  <c r="H84" i="1"/>
  <c r="F84" i="1" s="1"/>
  <c r="I85" i="1"/>
  <c r="K85" i="1"/>
  <c r="S85" i="1" l="1"/>
  <c r="M85" i="1" s="1"/>
  <c r="G85" i="1" s="1"/>
  <c r="E86" i="1" s="1"/>
  <c r="C86" i="1" l="1"/>
  <c r="B85" i="1"/>
  <c r="N86" i="1" s="1"/>
  <c r="Q86" i="1" s="1"/>
  <c r="D85" i="1"/>
  <c r="P86" i="1" l="1"/>
  <c r="O86" i="1"/>
  <c r="L85" i="1"/>
  <c r="J85" i="1"/>
  <c r="H85" i="1"/>
  <c r="F85" i="1" s="1"/>
  <c r="I86" i="1"/>
  <c r="R86" i="1" l="1"/>
  <c r="K86" i="1" s="1"/>
  <c r="S86" i="1"/>
  <c r="M86" i="1" s="1"/>
  <c r="G86" i="1" l="1"/>
  <c r="E87" i="1" s="1"/>
  <c r="B86" i="1"/>
  <c r="D86" i="1"/>
  <c r="N87" i="1"/>
  <c r="Q87" i="1" s="1"/>
  <c r="C87" i="1" l="1"/>
  <c r="P87" i="1"/>
  <c r="O87" i="1"/>
  <c r="R87" i="1" s="1"/>
  <c r="L86" i="1"/>
  <c r="J86" i="1"/>
  <c r="H86" i="1"/>
  <c r="F86" i="1" s="1"/>
  <c r="K87" i="1" l="1"/>
  <c r="I87" i="1"/>
  <c r="S87" i="1"/>
  <c r="M87" i="1" s="1"/>
  <c r="G87" i="1" l="1"/>
  <c r="E88" i="1" s="1"/>
  <c r="B87" i="1"/>
  <c r="D87" i="1"/>
  <c r="C88" i="1"/>
  <c r="N88" i="1"/>
  <c r="Q88" i="1" s="1"/>
  <c r="P88" i="1" l="1"/>
  <c r="S88" i="1" s="1"/>
  <c r="O88" i="1"/>
  <c r="L87" i="1"/>
  <c r="J87" i="1"/>
  <c r="H87" i="1"/>
  <c r="F87" i="1" s="1"/>
  <c r="M88" i="1"/>
  <c r="I88" i="1"/>
  <c r="R88" i="1" l="1"/>
  <c r="K88" i="1" s="1"/>
  <c r="G88" i="1" s="1"/>
  <c r="E89" i="1" s="1"/>
  <c r="C89" i="1" l="1"/>
  <c r="B88" i="1"/>
  <c r="D88" i="1"/>
  <c r="N89" i="1"/>
  <c r="Q89" i="1" s="1"/>
  <c r="P89" i="1" l="1"/>
  <c r="O89" i="1"/>
  <c r="R89" i="1" s="1"/>
  <c r="K89" i="1" s="1"/>
  <c r="L88" i="1"/>
  <c r="J88" i="1"/>
  <c r="I89" i="1"/>
  <c r="H88" i="1"/>
  <c r="F88" i="1" s="1"/>
  <c r="S89" i="1" l="1"/>
  <c r="M89" i="1" s="1"/>
  <c r="G89" i="1" s="1"/>
  <c r="E90" i="1" s="1"/>
  <c r="C90" i="1" l="1"/>
  <c r="B89" i="1"/>
  <c r="D89" i="1"/>
  <c r="N90" i="1"/>
  <c r="Q90" i="1" s="1"/>
  <c r="P90" i="1" l="1"/>
  <c r="O90" i="1"/>
  <c r="R90" i="1" s="1"/>
  <c r="K90" i="1" s="1"/>
  <c r="L89" i="1"/>
  <c r="J89" i="1"/>
  <c r="H89" i="1"/>
  <c r="F89" i="1" s="1"/>
  <c r="I90" i="1"/>
  <c r="S90" i="1" l="1"/>
  <c r="M90" i="1" s="1"/>
  <c r="G90" i="1" s="1"/>
  <c r="E91" i="1" s="1"/>
  <c r="C91" i="1" l="1"/>
  <c r="B90" i="1"/>
  <c r="D90" i="1"/>
  <c r="N91" i="1"/>
  <c r="Q91" i="1" s="1"/>
  <c r="P91" i="1" l="1"/>
  <c r="O91" i="1"/>
  <c r="R91" i="1" s="1"/>
  <c r="L90" i="1"/>
  <c r="J90" i="1"/>
  <c r="H90" i="1"/>
  <c r="F90" i="1" s="1"/>
  <c r="I91" i="1"/>
  <c r="K91" i="1"/>
  <c r="S91" i="1" l="1"/>
  <c r="M91" i="1" s="1"/>
  <c r="G91" i="1" s="1"/>
  <c r="E92" i="1" s="1"/>
  <c r="C92" i="1" l="1"/>
  <c r="B91" i="1"/>
  <c r="D91" i="1"/>
  <c r="N92" i="1"/>
  <c r="Q92" i="1" s="1"/>
  <c r="P92" i="1" l="1"/>
  <c r="O92" i="1"/>
  <c r="R92" i="1" s="1"/>
  <c r="L91" i="1"/>
  <c r="J91" i="1"/>
  <c r="I92" i="1"/>
  <c r="H91" i="1"/>
  <c r="F91" i="1" s="1"/>
  <c r="K92" i="1"/>
  <c r="D92" i="1" l="1"/>
  <c r="S92" i="1"/>
  <c r="M92" i="1" s="1"/>
  <c r="G92" i="1" s="1"/>
  <c r="E93" i="1" s="1"/>
  <c r="C93" i="1" l="1"/>
  <c r="B92" i="1"/>
  <c r="J92" i="1"/>
  <c r="N93" i="1" l="1"/>
  <c r="Q93" i="1" s="1"/>
  <c r="L92" i="1"/>
  <c r="O93" i="1"/>
  <c r="R93" i="1" s="1"/>
  <c r="K93" i="1" s="1"/>
  <c r="P93" i="1"/>
  <c r="S93" i="1" s="1"/>
  <c r="M93" i="1" s="1"/>
  <c r="H92" i="1"/>
  <c r="F92" i="1" s="1"/>
  <c r="I93" i="1"/>
  <c r="G93" i="1" s="1"/>
  <c r="E94" i="1" s="1"/>
  <c r="D93" i="1" l="1"/>
  <c r="B93" i="1"/>
  <c r="J93" i="1" s="1"/>
  <c r="H93" i="1"/>
  <c r="C94" i="1" l="1"/>
  <c r="L93" i="1"/>
  <c r="F93" i="1" s="1"/>
  <c r="O94" i="1"/>
  <c r="R94" i="1" s="1"/>
  <c r="P94" i="1"/>
  <c r="S94" i="1" s="1"/>
  <c r="N94" i="1"/>
  <c r="Q94" i="1" s="1"/>
  <c r="I94" i="1" s="1"/>
  <c r="K94" i="1"/>
  <c r="B94" i="1" l="1"/>
  <c r="D94" i="1"/>
  <c r="M94" i="1"/>
  <c r="G94" i="1" s="1"/>
  <c r="E95" i="1" s="1"/>
  <c r="N95" i="1"/>
  <c r="Q95" i="1" s="1"/>
  <c r="C95" i="1" l="1"/>
  <c r="P95" i="1"/>
  <c r="S95" i="1" s="1"/>
  <c r="M95" i="1" s="1"/>
  <c r="O95" i="1"/>
  <c r="R95" i="1" s="1"/>
  <c r="K95" i="1" s="1"/>
  <c r="L94" i="1"/>
  <c r="J94" i="1"/>
  <c r="I95" i="1"/>
  <c r="H94" i="1"/>
  <c r="F94" i="1" s="1"/>
  <c r="G95" i="1" l="1"/>
  <c r="E96" i="1" s="1"/>
  <c r="C96" i="1"/>
  <c r="B95" i="1"/>
  <c r="H95" i="1" s="1"/>
  <c r="D95" i="1"/>
  <c r="O96" i="1"/>
  <c r="R96" i="1" s="1"/>
  <c r="N96" i="1"/>
  <c r="Q96" i="1" s="1"/>
  <c r="L95" i="1"/>
  <c r="P96" i="1" l="1"/>
  <c r="S96" i="1" s="1"/>
  <c r="J95" i="1"/>
  <c r="K96" i="1"/>
  <c r="I96" i="1"/>
  <c r="M96" i="1"/>
  <c r="G96" i="1" l="1"/>
  <c r="E97" i="1" s="1"/>
  <c r="F95" i="1"/>
  <c r="D96" i="1" s="1"/>
  <c r="B96" i="1"/>
  <c r="H96" i="1" s="1"/>
  <c r="C97" i="1" l="1"/>
  <c r="J96" i="1"/>
  <c r="L96" i="1"/>
  <c r="O97" i="1"/>
  <c r="R97" i="1" s="1"/>
  <c r="P97" i="1"/>
  <c r="S97" i="1" s="1"/>
  <c r="N97" i="1"/>
  <c r="Q97" i="1" s="1"/>
  <c r="I97" i="1" s="1"/>
  <c r="F96" i="1" l="1"/>
  <c r="M97" i="1"/>
  <c r="K97" i="1"/>
  <c r="G97" i="1" s="1"/>
  <c r="E98" i="1" s="1"/>
  <c r="B97" i="1" l="1"/>
  <c r="N98" i="1" s="1"/>
  <c r="Q98" i="1" s="1"/>
  <c r="D97" i="1"/>
  <c r="P98" i="1"/>
  <c r="S98" i="1" s="1"/>
  <c r="O98" i="1"/>
  <c r="R98" i="1" s="1"/>
  <c r="L97" i="1"/>
  <c r="J97" i="1"/>
  <c r="H97" i="1"/>
  <c r="F97" i="1" s="1"/>
  <c r="C98" i="1" l="1"/>
  <c r="I98" i="1" s="1"/>
  <c r="K98" i="1"/>
  <c r="M98" i="1"/>
  <c r="B98" i="1"/>
  <c r="G98" i="1" l="1"/>
  <c r="E99" i="1" s="1"/>
  <c r="D98" i="1"/>
  <c r="N99" i="1"/>
  <c r="Q99" i="1" s="1"/>
  <c r="C99" i="1" l="1"/>
  <c r="P99" i="1"/>
  <c r="S99" i="1" s="1"/>
  <c r="M99" i="1" s="1"/>
  <c r="O99" i="1"/>
  <c r="L98" i="1"/>
  <c r="J98" i="1"/>
  <c r="H98" i="1"/>
  <c r="F98" i="1" s="1"/>
  <c r="I99" i="1"/>
  <c r="R99" i="1" l="1"/>
  <c r="K99" i="1" s="1"/>
  <c r="G99" i="1" s="1"/>
  <c r="E100" i="1" s="1"/>
  <c r="C100" i="1" l="1"/>
  <c r="B99" i="1"/>
  <c r="D99" i="1"/>
  <c r="N100" i="1"/>
  <c r="Q100" i="1" s="1"/>
  <c r="P100" i="1" l="1"/>
  <c r="S100" i="1" s="1"/>
  <c r="O100" i="1"/>
  <c r="R100" i="1" s="1"/>
  <c r="K100" i="1" s="1"/>
  <c r="L99" i="1"/>
  <c r="J99" i="1"/>
  <c r="H99" i="1"/>
  <c r="F99" i="1" s="1"/>
  <c r="I100" i="1"/>
  <c r="M100" i="1"/>
  <c r="G100" i="1" l="1"/>
  <c r="E101" i="1" s="1"/>
  <c r="C101" i="1"/>
  <c r="B100" i="1"/>
  <c r="D100" i="1"/>
  <c r="N101" i="1"/>
  <c r="Q101" i="1" s="1"/>
  <c r="P101" i="1" l="1"/>
  <c r="O101" i="1"/>
  <c r="L100" i="1"/>
  <c r="J100" i="1"/>
  <c r="H100" i="1"/>
  <c r="F100" i="1" s="1"/>
  <c r="R101" i="1" l="1"/>
  <c r="K101" i="1" s="1"/>
  <c r="S101" i="1"/>
  <c r="M101" i="1" s="1"/>
  <c r="I101" i="1"/>
  <c r="D101" i="1"/>
  <c r="G101" i="1" l="1"/>
  <c r="E102" i="1" s="1"/>
  <c r="B101" i="1"/>
  <c r="P102" i="1" s="1"/>
  <c r="S102" i="1" s="1"/>
  <c r="O102" i="1"/>
  <c r="R102" i="1" s="1"/>
  <c r="L101" i="1"/>
  <c r="C102" i="1" l="1"/>
  <c r="H101" i="1"/>
  <c r="F101" i="1" s="1"/>
  <c r="J101" i="1"/>
  <c r="N102" i="1"/>
  <c r="Q102" i="1" s="1"/>
  <c r="I102" i="1" s="1"/>
  <c r="G102" i="1" s="1"/>
  <c r="E103" i="1" s="1"/>
  <c r="M102" i="1"/>
  <c r="K102" i="1"/>
  <c r="D102" i="1" l="1"/>
  <c r="B102" i="1"/>
  <c r="P103" i="1"/>
  <c r="S103" i="1" s="1"/>
  <c r="O103" i="1"/>
  <c r="R103" i="1" s="1"/>
  <c r="L102" i="1"/>
  <c r="C103" i="1" l="1"/>
  <c r="J102" i="1"/>
  <c r="H102" i="1"/>
  <c r="F102" i="1" s="1"/>
  <c r="N103" i="1"/>
  <c r="Q103" i="1" s="1"/>
  <c r="I103" i="1" s="1"/>
  <c r="G103" i="1" s="1"/>
  <c r="E104" i="1" s="1"/>
  <c r="K103" i="1"/>
  <c r="M103" i="1"/>
  <c r="D103" i="1" l="1"/>
  <c r="B103" i="1"/>
  <c r="J103" i="1" s="1"/>
  <c r="C104" i="1" l="1"/>
  <c r="P104" i="1"/>
  <c r="S104" i="1" s="1"/>
  <c r="O104" i="1"/>
  <c r="R104" i="1" s="1"/>
  <c r="L103" i="1"/>
  <c r="H103" i="1"/>
  <c r="F103" i="1" s="1"/>
  <c r="N104" i="1"/>
  <c r="Q104" i="1" s="1"/>
  <c r="B104" i="1" l="1"/>
  <c r="D104" i="1"/>
  <c r="N105" i="1"/>
  <c r="Q105" i="1" s="1"/>
  <c r="P105" i="1"/>
  <c r="S105" i="1" s="1"/>
  <c r="O105" i="1"/>
  <c r="R105" i="1" s="1"/>
  <c r="M104" i="1"/>
  <c r="I104" i="1"/>
  <c r="K104" i="1"/>
  <c r="L104" i="1"/>
  <c r="J104" i="1"/>
  <c r="H104" i="1"/>
  <c r="F104" i="1" s="1"/>
  <c r="G104" i="1" l="1"/>
  <c r="E105" i="1" s="1"/>
  <c r="B105" i="1"/>
  <c r="D105" i="1" l="1"/>
  <c r="C105" i="1"/>
  <c r="K105" i="1"/>
  <c r="M105" i="1"/>
  <c r="N106" i="1"/>
  <c r="Q106" i="1" s="1"/>
  <c r="I105" i="1" l="1"/>
  <c r="P106" i="1"/>
  <c r="S106" i="1" s="1"/>
  <c r="O106" i="1"/>
  <c r="L105" i="1"/>
  <c r="J105" i="1"/>
  <c r="H105" i="1"/>
  <c r="F105" i="1" s="1"/>
  <c r="G105" i="1" l="1"/>
  <c r="E106" i="1" s="1"/>
  <c r="C106" i="1"/>
  <c r="R106" i="1"/>
  <c r="K106" i="1" s="1"/>
  <c r="D106" i="1"/>
  <c r="I106" i="1" l="1"/>
  <c r="M106" i="1"/>
  <c r="B106" i="1"/>
  <c r="O107" i="1" s="1"/>
  <c r="R107" i="1" s="1"/>
  <c r="G106" i="1" l="1"/>
  <c r="E107" i="1" s="1"/>
  <c r="C107" i="1"/>
  <c r="K107" i="1" s="1"/>
  <c r="L106" i="1"/>
  <c r="J106" i="1"/>
  <c r="P107" i="1"/>
  <c r="H106" i="1"/>
  <c r="F106" i="1" s="1"/>
  <c r="N107" i="1"/>
  <c r="D107" i="1" l="1"/>
  <c r="Q107" i="1"/>
  <c r="I107" i="1" s="1"/>
  <c r="S107" i="1"/>
  <c r="M107" i="1" s="1"/>
  <c r="G107" i="1" l="1"/>
  <c r="E108" i="1" s="1"/>
  <c r="B107" i="1"/>
  <c r="H107" i="1" s="1"/>
  <c r="J107" i="1" l="1"/>
  <c r="F107" i="1" s="1"/>
  <c r="L107" i="1"/>
  <c r="N108" i="1"/>
  <c r="Q108" i="1" s="1"/>
  <c r="P108" i="1"/>
  <c r="S108" i="1" s="1"/>
  <c r="O108" i="1"/>
  <c r="R108" i="1" s="1"/>
  <c r="C108" i="1"/>
  <c r="K108" i="1" l="1"/>
  <c r="B108" i="1"/>
  <c r="N109" i="1" s="1"/>
  <c r="Q109" i="1" s="1"/>
  <c r="D108" i="1"/>
  <c r="M108" i="1"/>
  <c r="I108" i="1"/>
  <c r="P109" i="1"/>
  <c r="S109" i="1" s="1"/>
  <c r="O109" i="1"/>
  <c r="R109" i="1" s="1"/>
  <c r="L108" i="1"/>
  <c r="H108" i="1" l="1"/>
  <c r="J108" i="1"/>
  <c r="G108" i="1"/>
  <c r="C109" i="1" l="1"/>
  <c r="E109" i="1"/>
  <c r="F108" i="1"/>
  <c r="K109" i="1"/>
  <c r="I109" i="1"/>
  <c r="M109" i="1"/>
  <c r="B109" i="1"/>
  <c r="N110" i="1" s="1"/>
  <c r="Q110" i="1" s="1"/>
  <c r="D109" i="1"/>
  <c r="G109" i="1" l="1"/>
  <c r="E110" i="1" s="1"/>
  <c r="P110" i="1"/>
  <c r="S110" i="1" s="1"/>
  <c r="O110" i="1"/>
  <c r="R110" i="1" s="1"/>
  <c r="L109" i="1"/>
  <c r="J109" i="1"/>
  <c r="H109" i="1"/>
  <c r="C110" i="1" l="1"/>
  <c r="I110" i="1" s="1"/>
  <c r="F109" i="1"/>
  <c r="M110" i="1"/>
  <c r="K110" i="1" l="1"/>
  <c r="G110" i="1" s="1"/>
  <c r="B110" i="1"/>
  <c r="D110" i="1"/>
  <c r="N111" i="1"/>
  <c r="Q111" i="1" s="1"/>
  <c r="E111" i="1" l="1"/>
  <c r="C111" i="1"/>
  <c r="K111" i="1" s="1"/>
  <c r="P111" i="1"/>
  <c r="S111" i="1" s="1"/>
  <c r="M111" i="1" s="1"/>
  <c r="O111" i="1"/>
  <c r="R111" i="1" s="1"/>
  <c r="L110" i="1"/>
  <c r="J110" i="1"/>
  <c r="H110" i="1"/>
  <c r="F110" i="1" s="1"/>
  <c r="I111" i="1" l="1"/>
  <c r="G111" i="1" s="1"/>
  <c r="E112" i="1"/>
  <c r="C112" i="1"/>
  <c r="B111" i="1"/>
  <c r="D111" i="1"/>
  <c r="N112" i="1"/>
  <c r="Q112" i="1" s="1"/>
  <c r="P112" i="1" l="1"/>
  <c r="S112" i="1" s="1"/>
  <c r="O112" i="1"/>
  <c r="R112" i="1" s="1"/>
  <c r="K112" i="1" s="1"/>
  <c r="L111" i="1"/>
  <c r="J111" i="1"/>
  <c r="M112" i="1"/>
  <c r="H111" i="1"/>
  <c r="F111" i="1" s="1"/>
  <c r="I112" i="1" l="1"/>
  <c r="G112" i="1" s="1"/>
  <c r="E113" i="1" s="1"/>
  <c r="D112" i="1"/>
  <c r="C113" i="1" l="1"/>
  <c r="B112" i="1"/>
  <c r="O113" i="1" l="1"/>
  <c r="R113" i="1" s="1"/>
  <c r="N113" i="1"/>
  <c r="Q113" i="1" s="1"/>
  <c r="H112" i="1"/>
  <c r="P113" i="1"/>
  <c r="J112" i="1"/>
  <c r="K113" i="1"/>
  <c r="I113" i="1"/>
  <c r="L112" i="1"/>
  <c r="F112" i="1" l="1"/>
  <c r="D113" i="1"/>
  <c r="S113" i="1"/>
  <c r="M113" i="1" s="1"/>
  <c r="G113" i="1" s="1"/>
  <c r="E114" i="1" s="1"/>
  <c r="C114" i="1" l="1"/>
  <c r="B113" i="1"/>
  <c r="P114" i="1"/>
  <c r="O114" i="1"/>
  <c r="N114" i="1" l="1"/>
  <c r="Q114" i="1" s="1"/>
  <c r="I114" i="1" s="1"/>
  <c r="L113" i="1"/>
  <c r="H113" i="1"/>
  <c r="J113" i="1"/>
  <c r="R114" i="1"/>
  <c r="K114" i="1" s="1"/>
  <c r="S114" i="1"/>
  <c r="M114" i="1" s="1"/>
  <c r="F113" i="1" l="1"/>
  <c r="G114" i="1"/>
  <c r="B114" i="1"/>
  <c r="D114" i="1"/>
  <c r="C115" i="1" l="1"/>
  <c r="E115" i="1"/>
  <c r="N115" i="1"/>
  <c r="Q115" i="1" s="1"/>
  <c r="I115" i="1" s="1"/>
  <c r="P115" i="1"/>
  <c r="S115" i="1" s="1"/>
  <c r="M115" i="1" s="1"/>
  <c r="O115" i="1"/>
  <c r="R115" i="1" s="1"/>
  <c r="K115" i="1" s="1"/>
  <c r="H114" i="1"/>
  <c r="J114" i="1"/>
  <c r="L114" i="1"/>
  <c r="F114" i="1" l="1"/>
  <c r="G115" i="1"/>
  <c r="E116" i="1" s="1"/>
  <c r="B115" i="1"/>
  <c r="O116" i="1" s="1"/>
  <c r="R116" i="1" s="1"/>
  <c r="L115" i="1" l="1"/>
  <c r="H115" i="1"/>
  <c r="J115" i="1"/>
  <c r="D115" i="1"/>
  <c r="P116" i="1"/>
  <c r="S116" i="1" s="1"/>
  <c r="N116" i="1"/>
  <c r="Q116" i="1" s="1"/>
  <c r="C116" i="1"/>
  <c r="F115" i="1" l="1"/>
  <c r="D116" i="1"/>
  <c r="I116" i="1"/>
  <c r="K116" i="1"/>
  <c r="M116" i="1"/>
  <c r="G116" i="1" l="1"/>
  <c r="E117" i="1" s="1"/>
  <c r="B116" i="1"/>
  <c r="C117" i="1" l="1"/>
  <c r="J116" i="1"/>
  <c r="H116" i="1"/>
  <c r="O117" i="1"/>
  <c r="R117" i="1" s="1"/>
  <c r="L116" i="1"/>
  <c r="P117" i="1"/>
  <c r="S117" i="1" s="1"/>
  <c r="N117" i="1"/>
  <c r="Q117" i="1" s="1"/>
  <c r="F116" i="1" l="1"/>
  <c r="K117" i="1"/>
  <c r="I117" i="1"/>
  <c r="G117" i="1" s="1"/>
  <c r="E118" i="1" s="1"/>
  <c r="M117" i="1"/>
  <c r="C118" i="1" l="1"/>
  <c r="B117" i="1"/>
  <c r="D117" i="1"/>
  <c r="N118" i="1" l="1"/>
  <c r="Q118" i="1" s="1"/>
  <c r="I118" i="1" s="1"/>
  <c r="L117" i="1"/>
  <c r="P118" i="1"/>
  <c r="S118" i="1" s="1"/>
  <c r="M118" i="1" s="1"/>
  <c r="H117" i="1"/>
  <c r="J117" i="1"/>
  <c r="O118" i="1"/>
  <c r="R118" i="1" s="1"/>
  <c r="K118" i="1" s="1"/>
  <c r="F117" i="1" l="1"/>
  <c r="G118" i="1"/>
  <c r="D118" i="1"/>
  <c r="B118" i="1"/>
  <c r="C119" i="1" l="1"/>
  <c r="E119" i="1"/>
  <c r="H118" i="1"/>
  <c r="N119" i="1"/>
  <c r="Q119" i="1" s="1"/>
  <c r="I119" i="1" s="1"/>
  <c r="P119" i="1"/>
  <c r="S119" i="1" s="1"/>
  <c r="M119" i="1" s="1"/>
  <c r="L118" i="1"/>
  <c r="J118" i="1"/>
  <c r="O119" i="1"/>
  <c r="R119" i="1" s="1"/>
  <c r="K119" i="1" s="1"/>
  <c r="F118" i="1" l="1"/>
  <c r="G119" i="1"/>
  <c r="E120" i="1" s="1"/>
  <c r="D119" i="1" l="1"/>
  <c r="B119" i="1"/>
  <c r="C120" i="1"/>
  <c r="L119" i="1" l="1"/>
  <c r="H119" i="1"/>
  <c r="N120" i="1"/>
  <c r="Q120" i="1" s="1"/>
  <c r="I120" i="1" s="1"/>
  <c r="J119" i="1"/>
  <c r="O120" i="1"/>
  <c r="R120" i="1" s="1"/>
  <c r="K120" i="1" s="1"/>
  <c r="P120" i="1"/>
  <c r="S120" i="1" s="1"/>
  <c r="M120" i="1" s="1"/>
  <c r="F119" i="1" l="1"/>
  <c r="G120" i="1"/>
  <c r="E121" i="1" s="1"/>
  <c r="B120" i="1"/>
  <c r="P121" i="1" l="1"/>
  <c r="S121" i="1" s="1"/>
  <c r="N121" i="1"/>
  <c r="Q121" i="1" s="1"/>
  <c r="L120" i="1"/>
  <c r="J120" i="1"/>
  <c r="H120" i="1"/>
  <c r="F120" i="1" s="1"/>
  <c r="O121" i="1"/>
  <c r="R121" i="1" s="1"/>
  <c r="D120" i="1"/>
  <c r="C121" i="1"/>
  <c r="D121" i="1" l="1"/>
  <c r="M121" i="1"/>
  <c r="I121" i="1"/>
  <c r="K121" i="1"/>
  <c r="G121" i="1" l="1"/>
  <c r="E122" i="1" s="1"/>
  <c r="C122" i="1"/>
  <c r="B121" i="1"/>
  <c r="L121" i="1" l="1"/>
  <c r="J121" i="1"/>
  <c r="H121" i="1"/>
  <c r="F121" i="1" s="1"/>
  <c r="P122" i="1"/>
  <c r="S122" i="1" s="1"/>
  <c r="M122" i="1" s="1"/>
  <c r="N122" i="1"/>
  <c r="Q122" i="1" s="1"/>
  <c r="I122" i="1" s="1"/>
  <c r="G122" i="1" s="1"/>
  <c r="E123" i="1" s="1"/>
  <c r="O122" i="1"/>
  <c r="R122" i="1" s="1"/>
  <c r="K122" i="1" s="1"/>
  <c r="D122" i="1" l="1"/>
  <c r="B122" i="1"/>
  <c r="H122" i="1" l="1"/>
  <c r="L122" i="1"/>
  <c r="J122" i="1"/>
  <c r="N123" i="1"/>
  <c r="Q123" i="1" s="1"/>
  <c r="P123" i="1"/>
  <c r="S123" i="1" s="1"/>
  <c r="O123" i="1"/>
  <c r="R123" i="1" s="1"/>
  <c r="K123" i="1" s="1"/>
  <c r="C123" i="1"/>
  <c r="F122" i="1" l="1"/>
  <c r="I123" i="1"/>
  <c r="M123" i="1"/>
  <c r="G123" i="1" l="1"/>
  <c r="B123" i="1"/>
  <c r="D123" i="1"/>
  <c r="C124" i="1" l="1"/>
  <c r="E124" i="1"/>
  <c r="H123" i="1"/>
  <c r="N124" i="1"/>
  <c r="Q124" i="1" s="1"/>
  <c r="I124" i="1" s="1"/>
  <c r="J123" i="1"/>
  <c r="O124" i="1"/>
  <c r="R124" i="1" s="1"/>
  <c r="K124" i="1" s="1"/>
  <c r="L123" i="1"/>
  <c r="P124" i="1"/>
  <c r="S124" i="1" s="1"/>
  <c r="M124" i="1" s="1"/>
  <c r="F123" i="1" l="1"/>
  <c r="G124" i="1"/>
  <c r="E125" i="1" s="1"/>
  <c r="B124" i="1" l="1"/>
  <c r="D124" i="1"/>
  <c r="C125" i="1"/>
  <c r="N125" i="1" l="1"/>
  <c r="Q125" i="1" s="1"/>
  <c r="I125" i="1" s="1"/>
  <c r="L124" i="1"/>
  <c r="H124" i="1"/>
  <c r="F124" i="1" s="1"/>
  <c r="J124" i="1"/>
  <c r="P125" i="1"/>
  <c r="S125" i="1" s="1"/>
  <c r="M125" i="1" s="1"/>
  <c r="O125" i="1"/>
  <c r="R125" i="1" s="1"/>
  <c r="K125" i="1" s="1"/>
  <c r="G125" i="1" l="1"/>
  <c r="E126" i="1" s="1"/>
  <c r="D125" i="1"/>
  <c r="B125" i="1" l="1"/>
  <c r="C126" i="1"/>
  <c r="N126" i="1" l="1"/>
  <c r="Q126" i="1" s="1"/>
  <c r="I126" i="1" s="1"/>
  <c r="L125" i="1"/>
  <c r="H125" i="1"/>
  <c r="F125" i="1" s="1"/>
  <c r="J125" i="1"/>
  <c r="P126" i="1"/>
  <c r="S126" i="1" s="1"/>
  <c r="M126" i="1" s="1"/>
  <c r="O126" i="1"/>
  <c r="R126" i="1" s="1"/>
  <c r="K126" i="1" s="1"/>
  <c r="G126" i="1" l="1"/>
  <c r="E127" i="1" s="1"/>
  <c r="C127" i="1"/>
  <c r="D126" i="1" l="1"/>
  <c r="B126" i="1"/>
  <c r="L126" i="1" l="1"/>
  <c r="O127" i="1"/>
  <c r="R127" i="1" s="1"/>
  <c r="K127" i="1" s="1"/>
  <c r="N127" i="1"/>
  <c r="Q127" i="1" s="1"/>
  <c r="I127" i="1" s="1"/>
  <c r="P127" i="1"/>
  <c r="S127" i="1" s="1"/>
  <c r="M127" i="1" s="1"/>
  <c r="J126" i="1"/>
  <c r="H126" i="1"/>
  <c r="F126" i="1" s="1"/>
  <c r="G127" i="1" l="1"/>
  <c r="E128" i="1" s="1"/>
  <c r="B127" i="1"/>
  <c r="C128" i="1" l="1"/>
  <c r="O128" i="1"/>
  <c r="R128" i="1" s="1"/>
  <c r="P128" i="1"/>
  <c r="S128" i="1" s="1"/>
  <c r="N128" i="1"/>
  <c r="Q128" i="1" s="1"/>
  <c r="L127" i="1"/>
  <c r="J127" i="1"/>
  <c r="H127" i="1"/>
  <c r="F127" i="1" s="1"/>
  <c r="D127" i="1"/>
  <c r="M128" i="1" l="1"/>
  <c r="K128" i="1"/>
  <c r="I128" i="1"/>
  <c r="D128" i="1"/>
  <c r="B128" i="1"/>
  <c r="G128" i="1" l="1"/>
  <c r="E129" i="1" s="1"/>
  <c r="O129" i="1"/>
  <c r="R129" i="1" s="1"/>
  <c r="H128" i="1"/>
  <c r="P129" i="1"/>
  <c r="S129" i="1" s="1"/>
  <c r="L128" i="1"/>
  <c r="J128" i="1"/>
  <c r="N129" i="1"/>
  <c r="Q129" i="1" s="1"/>
  <c r="F128" i="1" l="1"/>
  <c r="C129" i="1"/>
  <c r="I129" i="1" s="1"/>
  <c r="M129" i="1" l="1"/>
  <c r="K129" i="1"/>
  <c r="G129" i="1" s="1"/>
  <c r="E130" i="1" s="1"/>
  <c r="D129" i="1"/>
  <c r="B129" i="1"/>
  <c r="C130" i="1" l="1"/>
  <c r="O130" i="1"/>
  <c r="R130" i="1" s="1"/>
  <c r="K130" i="1" s="1"/>
  <c r="L129" i="1"/>
  <c r="P130" i="1"/>
  <c r="S130" i="1" s="1"/>
  <c r="M130" i="1" s="1"/>
  <c r="J129" i="1"/>
  <c r="H129" i="1"/>
  <c r="N130" i="1"/>
  <c r="Q130" i="1" s="1"/>
  <c r="I130" i="1" s="1"/>
  <c r="G130" i="1" s="1"/>
  <c r="E131" i="1" s="1"/>
  <c r="F129" i="1" l="1"/>
  <c r="D130" i="1" s="1"/>
  <c r="B130" i="1"/>
  <c r="J130" i="1" s="1"/>
  <c r="H130" i="1"/>
  <c r="N131" i="1"/>
  <c r="Q131" i="1" s="1"/>
  <c r="P131" i="1"/>
  <c r="S131" i="1" s="1"/>
  <c r="O131" i="1"/>
  <c r="R131" i="1" s="1"/>
  <c r="L130" i="1"/>
  <c r="F130" i="1" l="1"/>
  <c r="C131" i="1"/>
  <c r="I131" i="1" s="1"/>
  <c r="M131" i="1" l="1"/>
  <c r="D131" i="1"/>
  <c r="B131" i="1"/>
  <c r="K131" i="1"/>
  <c r="G131" i="1" s="1"/>
  <c r="E132" i="1" s="1"/>
  <c r="C132" i="1" l="1"/>
  <c r="H131" i="1"/>
  <c r="N132" i="1"/>
  <c r="Q132" i="1" s="1"/>
  <c r="L131" i="1"/>
  <c r="J131" i="1"/>
  <c r="P132" i="1"/>
  <c r="S132" i="1" s="1"/>
  <c r="M132" i="1" s="1"/>
  <c r="O132" i="1"/>
  <c r="R132" i="1" s="1"/>
  <c r="F131" i="1" l="1"/>
  <c r="I132" i="1"/>
  <c r="K132" i="1"/>
  <c r="G132" i="1" l="1"/>
  <c r="B132" i="1"/>
  <c r="D132" i="1"/>
  <c r="C133" i="1" l="1"/>
  <c r="E133" i="1"/>
  <c r="N133" i="1"/>
  <c r="Q133" i="1" s="1"/>
  <c r="I133" i="1" s="1"/>
  <c r="P133" i="1"/>
  <c r="S133" i="1" s="1"/>
  <c r="M133" i="1" s="1"/>
  <c r="L132" i="1"/>
  <c r="O133" i="1"/>
  <c r="R133" i="1" s="1"/>
  <c r="K133" i="1" s="1"/>
  <c r="J132" i="1"/>
  <c r="H132" i="1"/>
  <c r="F132" i="1" l="1"/>
  <c r="D133" i="1" s="1"/>
  <c r="G133" i="1"/>
  <c r="E134" i="1" s="1"/>
  <c r="B133" i="1"/>
  <c r="N134" i="1" l="1"/>
  <c r="Q134" i="1" s="1"/>
  <c r="H133" i="1"/>
  <c r="P134" i="1"/>
  <c r="S134" i="1" s="1"/>
  <c r="O134" i="1"/>
  <c r="R134" i="1" s="1"/>
  <c r="L133" i="1"/>
  <c r="J133" i="1"/>
  <c r="C134" i="1"/>
  <c r="I134" i="1" s="1"/>
  <c r="F133" i="1" l="1"/>
  <c r="K134" i="1"/>
  <c r="M134" i="1"/>
  <c r="G134" i="1" l="1"/>
  <c r="E135" i="1" s="1"/>
  <c r="C135" i="1"/>
  <c r="B134" i="1"/>
  <c r="D134" i="1"/>
  <c r="N135" i="1" l="1"/>
  <c r="Q135" i="1" s="1"/>
  <c r="I135" i="1" s="1"/>
  <c r="G135" i="1" s="1"/>
  <c r="E136" i="1" s="1"/>
  <c r="J134" i="1"/>
  <c r="O135" i="1"/>
  <c r="R135" i="1" s="1"/>
  <c r="K135" i="1" s="1"/>
  <c r="P135" i="1"/>
  <c r="S135" i="1" s="1"/>
  <c r="L134" i="1"/>
  <c r="H134" i="1"/>
  <c r="F134" i="1" s="1"/>
  <c r="M135" i="1"/>
  <c r="C136" i="1" l="1"/>
  <c r="B135" i="1"/>
  <c r="D135" i="1"/>
  <c r="N136" i="1" l="1"/>
  <c r="Q136" i="1" s="1"/>
  <c r="P136" i="1"/>
  <c r="S136" i="1" s="1"/>
  <c r="O136" i="1"/>
  <c r="R136" i="1" s="1"/>
  <c r="K136" i="1" s="1"/>
  <c r="J135" i="1"/>
  <c r="H135" i="1"/>
  <c r="F135" i="1" s="1"/>
  <c r="L135" i="1"/>
  <c r="I136" i="1"/>
  <c r="M136" i="1"/>
  <c r="G136" i="1" l="1"/>
  <c r="E137" i="1" s="1"/>
  <c r="B136" i="1"/>
  <c r="N137" i="1" s="1"/>
  <c r="Q137" i="1" s="1"/>
  <c r="D136" i="1"/>
  <c r="P137" i="1"/>
  <c r="O137" i="1"/>
  <c r="L136" i="1"/>
  <c r="J136" i="1"/>
  <c r="H136" i="1"/>
  <c r="F136" i="1" l="1"/>
  <c r="C137" i="1"/>
  <c r="I137" i="1" s="1"/>
  <c r="R137" i="1"/>
  <c r="S137" i="1"/>
  <c r="M137" i="1" s="1"/>
  <c r="K137" i="1" l="1"/>
  <c r="B137" i="1"/>
  <c r="N138" i="1" s="1"/>
  <c r="Q138" i="1" s="1"/>
  <c r="D137" i="1"/>
  <c r="G137" i="1" l="1"/>
  <c r="E138" i="1" s="1"/>
  <c r="P138" i="1"/>
  <c r="S138" i="1" s="1"/>
  <c r="O138" i="1"/>
  <c r="R138" i="1" s="1"/>
  <c r="L137" i="1"/>
  <c r="J137" i="1"/>
  <c r="H137" i="1"/>
  <c r="F137" i="1" l="1"/>
  <c r="C138" i="1"/>
  <c r="I138" i="1" s="1"/>
  <c r="M138" i="1"/>
  <c r="K138" i="1" l="1"/>
  <c r="G138" i="1"/>
  <c r="E139" i="1" s="1"/>
  <c r="C139" i="1"/>
  <c r="B138" i="1"/>
  <c r="N139" i="1" s="1"/>
  <c r="Q139" i="1" s="1"/>
  <c r="D138" i="1"/>
  <c r="P139" i="1" l="1"/>
  <c r="O139" i="1"/>
  <c r="R139" i="1" s="1"/>
  <c r="K139" i="1" s="1"/>
  <c r="L138" i="1"/>
  <c r="J138" i="1"/>
  <c r="H138" i="1"/>
  <c r="F138" i="1" s="1"/>
  <c r="I139" i="1"/>
  <c r="S139" i="1" l="1"/>
  <c r="M139" i="1" s="1"/>
  <c r="G139" i="1" s="1"/>
  <c r="E140" i="1" s="1"/>
  <c r="C140" i="1" l="1"/>
  <c r="B139" i="1"/>
  <c r="D139" i="1"/>
  <c r="O140" i="1" l="1"/>
  <c r="R140" i="1" s="1"/>
  <c r="K140" i="1" s="1"/>
  <c r="N140" i="1"/>
  <c r="Q140" i="1" s="1"/>
  <c r="I140" i="1" s="1"/>
  <c r="J139" i="1"/>
  <c r="P140" i="1"/>
  <c r="L139" i="1"/>
  <c r="H139" i="1"/>
  <c r="F139" i="1" s="1"/>
  <c r="S140" i="1" l="1"/>
  <c r="M140" i="1" s="1"/>
  <c r="G140" i="1" s="1"/>
  <c r="E141" i="1" s="1"/>
  <c r="D140" i="1"/>
  <c r="C141" i="1" l="1"/>
  <c r="B140" i="1"/>
  <c r="J140" i="1" s="1"/>
  <c r="P141" i="1"/>
  <c r="S141" i="1" s="1"/>
  <c r="O141" i="1"/>
  <c r="R141" i="1" s="1"/>
  <c r="L140" i="1" l="1"/>
  <c r="N141" i="1"/>
  <c r="H140" i="1"/>
  <c r="F140" i="1" s="1"/>
  <c r="M141" i="1"/>
  <c r="K141" i="1"/>
  <c r="B141" i="1" l="1"/>
  <c r="D141" i="1"/>
  <c r="Q141" i="1"/>
  <c r="I141" i="1" s="1"/>
  <c r="G141" i="1" s="1"/>
  <c r="E142" i="1" s="1"/>
  <c r="J141" i="1"/>
  <c r="O142" i="1"/>
  <c r="R142" i="1" s="1"/>
  <c r="P142" i="1"/>
  <c r="S142" i="1" s="1"/>
  <c r="N142" i="1"/>
  <c r="Q142" i="1" s="1"/>
  <c r="H141" i="1"/>
  <c r="F141" i="1" s="1"/>
  <c r="L141" i="1"/>
  <c r="C142" i="1" l="1"/>
  <c r="B142" i="1"/>
  <c r="K142" i="1"/>
  <c r="I142" i="1"/>
  <c r="G142" i="1" s="1"/>
  <c r="E143" i="1" s="1"/>
  <c r="M142" i="1"/>
  <c r="C143" i="1" l="1"/>
  <c r="D142" i="1"/>
  <c r="O143" i="1" l="1"/>
  <c r="R143" i="1" s="1"/>
  <c r="N143" i="1"/>
  <c r="H142" i="1"/>
  <c r="J142" i="1"/>
  <c r="P143" i="1"/>
  <c r="L142" i="1"/>
  <c r="K143" i="1"/>
  <c r="F142" i="1" l="1"/>
  <c r="Q143" i="1"/>
  <c r="I143" i="1" s="1"/>
  <c r="S143" i="1"/>
  <c r="M143" i="1" s="1"/>
  <c r="G143" i="1" l="1"/>
  <c r="E144" i="1" s="1"/>
  <c r="B143" i="1"/>
  <c r="D143" i="1"/>
  <c r="C144" i="1" l="1"/>
  <c r="N144" i="1"/>
  <c r="L143" i="1"/>
  <c r="J143" i="1"/>
  <c r="P144" i="1"/>
  <c r="H143" i="1"/>
  <c r="F143" i="1" s="1"/>
  <c r="O144" i="1"/>
  <c r="B144" i="1" l="1"/>
  <c r="D144" i="1"/>
  <c r="Q144" i="1"/>
  <c r="I144" i="1" s="1"/>
  <c r="R144" i="1"/>
  <c r="K144" i="1" s="1"/>
  <c r="S144" i="1"/>
  <c r="M144" i="1" s="1"/>
  <c r="G144" i="1" l="1"/>
  <c r="E145" i="1" s="1"/>
  <c r="N145" i="1"/>
  <c r="Q145" i="1" s="1"/>
  <c r="P145" i="1"/>
  <c r="S145" i="1" s="1"/>
  <c r="J144" i="1"/>
  <c r="H144" i="1"/>
  <c r="L144" i="1"/>
  <c r="O145" i="1"/>
  <c r="R145" i="1" s="1"/>
  <c r="F144" i="1" l="1"/>
  <c r="C145" i="1"/>
  <c r="M145" i="1" s="1"/>
  <c r="D145" i="1"/>
  <c r="I145" i="1"/>
  <c r="K145" i="1" l="1"/>
  <c r="G145" i="1" s="1"/>
  <c r="E146" i="1" s="1"/>
  <c r="B145" i="1"/>
  <c r="P146" i="1" s="1"/>
  <c r="S146" i="1" s="1"/>
  <c r="C146" i="1" l="1"/>
  <c r="M146" i="1"/>
  <c r="N146" i="1"/>
  <c r="Q146" i="1" s="1"/>
  <c r="I146" i="1" s="1"/>
  <c r="O146" i="1"/>
  <c r="R146" i="1" s="1"/>
  <c r="J145" i="1"/>
  <c r="L145" i="1"/>
  <c r="H145" i="1"/>
  <c r="F145" i="1" s="1"/>
  <c r="K146" i="1" l="1"/>
  <c r="G146" i="1" s="1"/>
  <c r="E147" i="1" s="1"/>
  <c r="D146" i="1"/>
  <c r="B146" i="1"/>
  <c r="H146" i="1" s="1"/>
  <c r="J146" i="1"/>
  <c r="P147" i="1"/>
  <c r="S147" i="1" s="1"/>
  <c r="L146" i="1"/>
  <c r="O147" i="1"/>
  <c r="R147" i="1" s="1"/>
  <c r="F146" i="1" l="1"/>
  <c r="C147" i="1"/>
  <c r="N147" i="1"/>
  <c r="Q147" i="1" s="1"/>
  <c r="I147" i="1" s="1"/>
  <c r="K147" i="1"/>
  <c r="B147" i="1" l="1"/>
  <c r="D147" i="1"/>
  <c r="M147" i="1"/>
  <c r="G147" i="1" s="1"/>
  <c r="E148" i="1" s="1"/>
  <c r="C148" i="1" l="1"/>
  <c r="J147" i="1"/>
  <c r="N148" i="1"/>
  <c r="Q148" i="1" s="1"/>
  <c r="P148" i="1"/>
  <c r="S148" i="1" s="1"/>
  <c r="O148" i="1"/>
  <c r="R148" i="1" s="1"/>
  <c r="L147" i="1"/>
  <c r="H147" i="1"/>
  <c r="F147" i="1" s="1"/>
  <c r="I148" i="1" l="1"/>
  <c r="K148" i="1"/>
  <c r="M148" i="1"/>
  <c r="G148" i="1" l="1"/>
  <c r="E149" i="1" s="1"/>
  <c r="B148" i="1"/>
  <c r="P149" i="1" s="1"/>
  <c r="S149" i="1" s="1"/>
  <c r="D148" i="1"/>
  <c r="O149" i="1"/>
  <c r="R149" i="1" s="1"/>
  <c r="N149" i="1"/>
  <c r="Q149" i="1" s="1"/>
  <c r="L148" i="1"/>
  <c r="J148" i="1"/>
  <c r="H148" i="1"/>
  <c r="F148" i="1" l="1"/>
  <c r="C149" i="1"/>
  <c r="B149" i="1"/>
  <c r="N150" i="1" s="1"/>
  <c r="Q150" i="1" s="1"/>
  <c r="D149" i="1" l="1"/>
  <c r="L149" i="1"/>
  <c r="J149" i="1"/>
  <c r="H149" i="1"/>
  <c r="F149" i="1" s="1"/>
  <c r="P150" i="1"/>
  <c r="S150" i="1" s="1"/>
  <c r="O150" i="1"/>
  <c r="R150" i="1" s="1"/>
  <c r="M149" i="1"/>
  <c r="K149" i="1"/>
  <c r="I149" i="1"/>
  <c r="G149" i="1" l="1"/>
  <c r="E150" i="1" s="1"/>
  <c r="B150" i="1"/>
  <c r="D150" i="1" l="1"/>
  <c r="C150" i="1"/>
  <c r="K150" i="1"/>
  <c r="N151" i="1"/>
  <c r="Q151" i="1" s="1"/>
  <c r="O151" i="1"/>
  <c r="R151" i="1" s="1"/>
  <c r="P151" i="1"/>
  <c r="S151" i="1" s="1"/>
  <c r="M150" i="1" l="1"/>
  <c r="H150" i="1"/>
  <c r="J150" i="1"/>
  <c r="L150" i="1"/>
  <c r="I150" i="1"/>
  <c r="G150" i="1" s="1"/>
  <c r="E151" i="1" s="1"/>
  <c r="F150" i="1" l="1"/>
  <c r="C151" i="1"/>
  <c r="B151" i="1"/>
  <c r="D151" i="1"/>
  <c r="H151" i="1" l="1"/>
  <c r="J151" i="1"/>
  <c r="L151" i="1"/>
  <c r="O152" i="1"/>
  <c r="R152" i="1" s="1"/>
  <c r="P152" i="1"/>
  <c r="S152" i="1" s="1"/>
  <c r="N152" i="1"/>
  <c r="Q152" i="1" s="1"/>
  <c r="M151" i="1"/>
  <c r="K151" i="1"/>
  <c r="I151" i="1"/>
  <c r="F151" i="1" l="1"/>
  <c r="G151" i="1"/>
  <c r="E152" i="1" s="1"/>
  <c r="C152" i="1" l="1"/>
  <c r="B152" i="1"/>
  <c r="D152" i="1"/>
  <c r="P153" i="1" l="1"/>
  <c r="S153" i="1" s="1"/>
  <c r="I152" i="1"/>
  <c r="M152" i="1"/>
  <c r="K152" i="1"/>
  <c r="L152" i="1"/>
  <c r="H152" i="1"/>
  <c r="J152" i="1"/>
  <c r="N153" i="1"/>
  <c r="Q153" i="1" s="1"/>
  <c r="O153" i="1"/>
  <c r="R153" i="1" s="1"/>
  <c r="F152" i="1" l="1"/>
  <c r="G152" i="1"/>
  <c r="B153" i="1"/>
  <c r="D153" i="1"/>
  <c r="C153" i="1" l="1"/>
  <c r="E153" i="1"/>
  <c r="N154" i="1"/>
  <c r="Q154" i="1" s="1"/>
  <c r="K153" i="1"/>
  <c r="M153" i="1"/>
  <c r="I153" i="1"/>
  <c r="G153" i="1" s="1"/>
  <c r="J153" i="1"/>
  <c r="H153" i="1"/>
  <c r="F153" i="1" s="1"/>
  <c r="P154" i="1"/>
  <c r="S154" i="1" s="1"/>
  <c r="L153" i="1"/>
  <c r="O154" i="1"/>
  <c r="R154" i="1" s="1"/>
  <c r="E154" i="1" l="1"/>
  <c r="D154" i="1"/>
  <c r="C154" i="1" l="1"/>
  <c r="B154" i="1"/>
  <c r="J154" i="1" s="1"/>
  <c r="K154" i="1"/>
  <c r="L154" i="1" l="1"/>
  <c r="H154" i="1"/>
  <c r="F154" i="1" s="1"/>
  <c r="M154" i="1"/>
  <c r="I154" i="1"/>
  <c r="P155" i="1"/>
  <c r="S155" i="1" s="1"/>
  <c r="N155" i="1"/>
  <c r="O155" i="1"/>
  <c r="R155" i="1" s="1"/>
  <c r="G154" i="1" l="1"/>
  <c r="E155" i="1" s="1"/>
  <c r="D155" i="1"/>
  <c r="C155" i="1"/>
  <c r="B155" i="1"/>
  <c r="N156" i="1" s="1"/>
  <c r="Q156" i="1" s="1"/>
  <c r="Q155" i="1"/>
  <c r="M155" i="1"/>
  <c r="K155" i="1"/>
  <c r="I155" i="1" l="1"/>
  <c r="G155" i="1" s="1"/>
  <c r="E156" i="1" s="1"/>
  <c r="H155" i="1"/>
  <c r="O156" i="1"/>
  <c r="R156" i="1" s="1"/>
  <c r="C156" i="1"/>
  <c r="L155" i="1"/>
  <c r="P156" i="1"/>
  <c r="S156" i="1" s="1"/>
  <c r="J155" i="1"/>
  <c r="F155" i="1" l="1"/>
  <c r="D156" i="1" s="1"/>
  <c r="B156" i="1"/>
  <c r="O157" i="1" s="1"/>
  <c r="R157" i="1" s="1"/>
  <c r="J156" i="1"/>
  <c r="H156" i="1"/>
  <c r="L156" i="1"/>
  <c r="P157" i="1"/>
  <c r="S157" i="1" s="1"/>
  <c r="K156" i="1"/>
  <c r="I156" i="1"/>
  <c r="M156" i="1"/>
  <c r="F156" i="1" l="1"/>
  <c r="N157" i="1"/>
  <c r="Q157" i="1" s="1"/>
  <c r="G156" i="1"/>
  <c r="E157" i="1" s="1"/>
  <c r="D157" i="1"/>
  <c r="B157" i="1" l="1"/>
  <c r="C157" i="1"/>
  <c r="N158" i="1"/>
  <c r="Q158" i="1" s="1"/>
  <c r="J157" i="1" l="1"/>
  <c r="L157" i="1"/>
  <c r="H157" i="1"/>
  <c r="P158" i="1"/>
  <c r="S158" i="1" s="1"/>
  <c r="O158" i="1"/>
  <c r="R158" i="1" s="1"/>
  <c r="K157" i="1"/>
  <c r="I157" i="1"/>
  <c r="M157" i="1"/>
  <c r="G157" i="1" l="1"/>
  <c r="E158" i="1" s="1"/>
  <c r="F157" i="1"/>
  <c r="B158" i="1" s="1"/>
  <c r="D158" i="1" l="1"/>
  <c r="H158" i="1"/>
  <c r="L158" i="1"/>
  <c r="J158" i="1"/>
  <c r="C158" i="1"/>
  <c r="N159" i="1" s="1"/>
  <c r="Q159" i="1" s="1"/>
  <c r="F158" i="1" l="1"/>
  <c r="B159" i="1"/>
  <c r="D159" i="1"/>
  <c r="P159" i="1"/>
  <c r="S159" i="1" s="1"/>
  <c r="O159" i="1"/>
  <c r="I158" i="1"/>
  <c r="M158" i="1"/>
  <c r="K158" i="1"/>
  <c r="G158" i="1" l="1"/>
  <c r="E159" i="1" s="1"/>
  <c r="R159" i="1"/>
  <c r="J159" i="1" s="1"/>
  <c r="H159" i="1"/>
  <c r="L159" i="1"/>
  <c r="F159" i="1" l="1"/>
  <c r="D160" i="1" s="1"/>
  <c r="C159" i="1"/>
  <c r="N160" i="1"/>
  <c r="Q160" i="1" s="1"/>
  <c r="B160" i="1" l="1"/>
  <c r="P160" i="1"/>
  <c r="O160" i="1"/>
  <c r="R160" i="1" s="1"/>
  <c r="J160" i="1" s="1"/>
  <c r="H160" i="1"/>
  <c r="M159" i="1"/>
  <c r="K159" i="1"/>
  <c r="I159" i="1"/>
  <c r="G159" i="1" l="1"/>
  <c r="E160" i="1" s="1"/>
  <c r="S160" i="1"/>
  <c r="L160" i="1" s="1"/>
  <c r="F160" i="1" s="1"/>
  <c r="D161" i="1" l="1"/>
  <c r="C160" i="1"/>
  <c r="K160" i="1" s="1"/>
  <c r="B161" i="1"/>
  <c r="N161" i="1"/>
  <c r="Q161" i="1" s="1"/>
  <c r="O161" i="1"/>
  <c r="R161" i="1" s="1"/>
  <c r="P161" i="1" l="1"/>
  <c r="S161" i="1" s="1"/>
  <c r="I160" i="1"/>
  <c r="M160" i="1"/>
  <c r="L161" i="1"/>
  <c r="J161" i="1"/>
  <c r="H161" i="1"/>
  <c r="F161" i="1" s="1"/>
  <c r="G160" i="1" l="1"/>
  <c r="E161" i="1" s="1"/>
  <c r="C161" i="1"/>
  <c r="M161" i="1" s="1"/>
  <c r="O162" i="1"/>
  <c r="R162" i="1" s="1"/>
  <c r="P162" i="1"/>
  <c r="S162" i="1" s="1"/>
  <c r="N162" i="1"/>
  <c r="Q162" i="1" s="1"/>
  <c r="D162" i="1"/>
  <c r="K161" i="1" l="1"/>
  <c r="I161" i="1"/>
  <c r="G161" i="1" s="1"/>
  <c r="E162" i="1" s="1"/>
  <c r="B162" i="1"/>
  <c r="H162" i="1"/>
  <c r="C162" i="1" l="1"/>
  <c r="P163" i="1" s="1"/>
  <c r="S163" i="1" s="1"/>
  <c r="N163" i="1"/>
  <c r="Q163" i="1" s="1"/>
  <c r="I162" i="1"/>
  <c r="J162" i="1"/>
  <c r="F162" i="1" s="1"/>
  <c r="O163" i="1"/>
  <c r="R163" i="1" s="1"/>
  <c r="L162" i="1"/>
  <c r="K162" i="1" l="1"/>
  <c r="M162" i="1"/>
  <c r="D163" i="1"/>
  <c r="B163" i="1"/>
  <c r="H163" i="1" l="1"/>
  <c r="G162" i="1"/>
  <c r="L163" i="1"/>
  <c r="J163" i="1"/>
  <c r="F163" i="1" s="1"/>
  <c r="C163" i="1" l="1"/>
  <c r="E163" i="1"/>
  <c r="D164" i="1"/>
  <c r="B164" i="1"/>
  <c r="P164" i="1" l="1"/>
  <c r="S164" i="1" s="1"/>
  <c r="L164" i="1" s="1"/>
  <c r="I163" i="1"/>
  <c r="M163" i="1"/>
  <c r="N164" i="1"/>
  <c r="Q164" i="1" s="1"/>
  <c r="H164" i="1" s="1"/>
  <c r="O164" i="1"/>
  <c r="R164" i="1" s="1"/>
  <c r="J164" i="1" s="1"/>
  <c r="F164" i="1" s="1"/>
  <c r="K163" i="1"/>
  <c r="G163" i="1" l="1"/>
  <c r="D165" i="1"/>
  <c r="B165" i="1"/>
  <c r="C164" i="1" l="1"/>
  <c r="E164" i="1"/>
  <c r="M164" i="1" l="1"/>
  <c r="K164" i="1"/>
  <c r="I164" i="1"/>
  <c r="G164" i="1" s="1"/>
  <c r="N165" i="1"/>
  <c r="Q165" i="1" s="1"/>
  <c r="H165" i="1" s="1"/>
  <c r="O165" i="1"/>
  <c r="R165" i="1" s="1"/>
  <c r="J165" i="1" s="1"/>
  <c r="C165" i="1"/>
  <c r="P165" i="1"/>
  <c r="S165" i="1" s="1"/>
  <c r="L165" i="1" s="1"/>
  <c r="E165" i="1"/>
  <c r="P166" i="1" l="1"/>
  <c r="S166" i="1" s="1"/>
  <c r="I165" i="1"/>
  <c r="K165" i="1"/>
  <c r="N166" i="1"/>
  <c r="Q166" i="1" s="1"/>
  <c r="O166" i="1"/>
  <c r="R166" i="1" s="1"/>
  <c r="M165" i="1"/>
  <c r="F165" i="1"/>
  <c r="D166" i="1" l="1"/>
  <c r="B166" i="1"/>
  <c r="G165" i="1"/>
  <c r="L166" i="1" l="1"/>
  <c r="J166" i="1"/>
  <c r="H166" i="1"/>
  <c r="F166" i="1" s="1"/>
  <c r="E166" i="1"/>
  <c r="C166" i="1"/>
  <c r="I166" i="1" l="1"/>
  <c r="M166" i="1"/>
  <c r="P167" i="1"/>
  <c r="S167" i="1" s="1"/>
  <c r="K166" i="1"/>
  <c r="O167" i="1"/>
  <c r="R167" i="1" s="1"/>
  <c r="N167" i="1"/>
  <c r="Q167" i="1" s="1"/>
  <c r="B167" i="1"/>
  <c r="D167" i="1"/>
  <c r="J167" i="1" l="1"/>
  <c r="H167" i="1"/>
  <c r="L167" i="1"/>
  <c r="G166" i="1"/>
  <c r="F167" i="1" l="1"/>
  <c r="C167" i="1"/>
  <c r="E167" i="1"/>
  <c r="O168" i="1" l="1"/>
  <c r="R168" i="1" s="1"/>
  <c r="I167" i="1"/>
  <c r="P168" i="1"/>
  <c r="S168" i="1" s="1"/>
  <c r="N168" i="1"/>
  <c r="Q168" i="1" s="1"/>
  <c r="K167" i="1"/>
  <c r="M167" i="1"/>
  <c r="B168" i="1"/>
  <c r="D168" i="1"/>
  <c r="L168" i="1" l="1"/>
  <c r="J168" i="1"/>
  <c r="H168" i="1"/>
  <c r="F168" i="1" s="1"/>
  <c r="G167" i="1"/>
  <c r="B169" i="1"/>
  <c r="D169" i="1"/>
  <c r="C168" i="1" l="1"/>
  <c r="E168" i="1"/>
  <c r="O169" i="1" l="1"/>
  <c r="R169" i="1" s="1"/>
  <c r="J169" i="1" s="1"/>
  <c r="M168" i="1"/>
  <c r="N169" i="1"/>
  <c r="Q169" i="1" s="1"/>
  <c r="H169" i="1" s="1"/>
  <c r="F169" i="1" s="1"/>
  <c r="D170" i="1" s="1"/>
  <c r="P169" i="1"/>
  <c r="S169" i="1" s="1"/>
  <c r="L169" i="1" s="1"/>
  <c r="K168" i="1"/>
  <c r="I168" i="1"/>
  <c r="G168" i="1" s="1"/>
  <c r="E169" i="1" s="1"/>
  <c r="C169" i="1" l="1"/>
  <c r="M169" i="1"/>
  <c r="B170" i="1"/>
  <c r="P170" i="1" l="1"/>
  <c r="S170" i="1" s="1"/>
  <c r="N170" i="1"/>
  <c r="Q170" i="1" s="1"/>
  <c r="K169" i="1"/>
  <c r="O170" i="1"/>
  <c r="R170" i="1" s="1"/>
  <c r="J170" i="1" s="1"/>
  <c r="I169" i="1"/>
  <c r="G169" i="1" s="1"/>
  <c r="H170" i="1"/>
  <c r="L170" i="1"/>
  <c r="E170" i="1" l="1"/>
  <c r="C170" i="1"/>
  <c r="P171" i="1" s="1"/>
  <c r="S171" i="1" s="1"/>
  <c r="F170" i="1"/>
  <c r="B171" i="1"/>
  <c r="D171" i="1"/>
  <c r="N171" i="1"/>
  <c r="Q171" i="1" s="1"/>
  <c r="O171" i="1"/>
  <c r="R171" i="1" s="1"/>
  <c r="J171" i="1" s="1"/>
  <c r="M170" i="1"/>
  <c r="K170" i="1"/>
  <c r="I170" i="1" l="1"/>
  <c r="G170" i="1"/>
  <c r="E171" i="1" s="1"/>
  <c r="L171" i="1"/>
  <c r="H171" i="1"/>
  <c r="F171" i="1" s="1"/>
  <c r="D172" i="1" l="1"/>
  <c r="C171" i="1"/>
  <c r="B172" i="1"/>
  <c r="N172" i="1"/>
  <c r="Q172" i="1" s="1"/>
  <c r="P172" i="1" l="1"/>
  <c r="O172" i="1"/>
  <c r="R172" i="1" s="1"/>
  <c r="J172" i="1" s="1"/>
  <c r="M171" i="1"/>
  <c r="I171" i="1"/>
  <c r="H172" i="1"/>
  <c r="K171" i="1"/>
  <c r="G171" i="1" l="1"/>
  <c r="E172" i="1" s="1"/>
  <c r="S172" i="1"/>
  <c r="L172" i="1" s="1"/>
  <c r="F172" i="1" s="1"/>
  <c r="D173" i="1" l="1"/>
  <c r="C172" i="1"/>
  <c r="B173" i="1"/>
  <c r="N173" i="1"/>
  <c r="Q173" i="1" s="1"/>
  <c r="P173" i="1" l="1"/>
  <c r="O173" i="1"/>
  <c r="R173" i="1" s="1"/>
  <c r="J173" i="1" s="1"/>
  <c r="K172" i="1"/>
  <c r="I172" i="1"/>
  <c r="M172" i="1"/>
  <c r="H173" i="1"/>
  <c r="G172" i="1" l="1"/>
  <c r="E173" i="1" s="1"/>
  <c r="S173" i="1"/>
  <c r="L173" i="1" s="1"/>
  <c r="F173" i="1" s="1"/>
  <c r="B174" i="1" l="1"/>
  <c r="D174" i="1"/>
  <c r="C173" i="1"/>
  <c r="P174" i="1"/>
  <c r="S174" i="1" s="1"/>
  <c r="M173" i="1"/>
  <c r="O174" i="1" l="1"/>
  <c r="R174" i="1" s="1"/>
  <c r="J174" i="1" s="1"/>
  <c r="I173" i="1"/>
  <c r="K173" i="1"/>
  <c r="N174" i="1"/>
  <c r="Q174" i="1" s="1"/>
  <c r="H174" i="1" s="1"/>
  <c r="F174" i="1" s="1"/>
  <c r="L174" i="1"/>
  <c r="G173" i="1" l="1"/>
  <c r="E174" i="1" s="1"/>
  <c r="B175" i="1"/>
  <c r="D175" i="1"/>
  <c r="C174" i="1" l="1"/>
  <c r="P175" i="1" l="1"/>
  <c r="S175" i="1" s="1"/>
  <c r="L175" i="1" s="1"/>
  <c r="O175" i="1"/>
  <c r="R175" i="1" s="1"/>
  <c r="J175" i="1" s="1"/>
  <c r="I174" i="1"/>
  <c r="K174" i="1"/>
  <c r="N175" i="1"/>
  <c r="Q175" i="1" s="1"/>
  <c r="H175" i="1" s="1"/>
  <c r="F175" i="1" s="1"/>
  <c r="M174" i="1"/>
  <c r="G174" i="1" l="1"/>
  <c r="E175" i="1" s="1"/>
  <c r="D176" i="1"/>
  <c r="B176" i="1" l="1"/>
  <c r="C175" i="1"/>
  <c r="N176" i="1" l="1"/>
  <c r="Q176" i="1" s="1"/>
  <c r="H176" i="1" s="1"/>
  <c r="P176" i="1"/>
  <c r="S176" i="1" s="1"/>
  <c r="O176" i="1"/>
  <c r="R176" i="1" s="1"/>
  <c r="J176" i="1" s="1"/>
  <c r="M175" i="1"/>
  <c r="K175" i="1"/>
  <c r="I175" i="1"/>
  <c r="L176" i="1"/>
  <c r="G175" i="1" l="1"/>
  <c r="E176" i="1" s="1"/>
  <c r="F176" i="1"/>
  <c r="C176" i="1"/>
  <c r="B177" i="1"/>
  <c r="D177" i="1"/>
  <c r="P177" i="1" l="1"/>
  <c r="S177" i="1" s="1"/>
  <c r="L177" i="1" s="1"/>
  <c r="K176" i="1"/>
  <c r="N177" i="1"/>
  <c r="Q177" i="1" s="1"/>
  <c r="H177" i="1" s="1"/>
  <c r="O177" i="1"/>
  <c r="R177" i="1" s="1"/>
  <c r="J177" i="1" s="1"/>
  <c r="I176" i="1"/>
  <c r="M176" i="1"/>
  <c r="F177" i="1" l="1"/>
  <c r="G176" i="1"/>
  <c r="E177" i="1" s="1"/>
  <c r="D178" i="1"/>
  <c r="C177" i="1"/>
  <c r="P178" i="1"/>
  <c r="S178" i="1" s="1"/>
  <c r="B178" i="1"/>
  <c r="K177" i="1" l="1"/>
  <c r="I177" i="1"/>
  <c r="M177" i="1"/>
  <c r="N178" i="1"/>
  <c r="Q178" i="1" s="1"/>
  <c r="H178" i="1" s="1"/>
  <c r="O178" i="1"/>
  <c r="R178" i="1" s="1"/>
  <c r="J178" i="1" s="1"/>
  <c r="L178" i="1"/>
  <c r="F178" i="1" l="1"/>
  <c r="G177" i="1"/>
  <c r="E178" i="1" s="1"/>
  <c r="C178" i="1"/>
  <c r="B179" i="1"/>
  <c r="D179" i="1"/>
  <c r="P179" i="1" l="1"/>
  <c r="S179" i="1" s="1"/>
  <c r="N179" i="1"/>
  <c r="Q179" i="1" s="1"/>
  <c r="H179" i="1" s="1"/>
  <c r="F179" i="1" s="1"/>
  <c r="K178" i="1"/>
  <c r="O179" i="1"/>
  <c r="R179" i="1" s="1"/>
  <c r="J179" i="1" s="1"/>
  <c r="M178" i="1"/>
  <c r="I178" i="1"/>
  <c r="L179" i="1"/>
  <c r="G178" i="1" l="1"/>
  <c r="D180" i="1"/>
  <c r="C179" i="1" l="1"/>
  <c r="E179" i="1"/>
  <c r="O180" i="1"/>
  <c r="R180" i="1" s="1"/>
  <c r="P180" i="1"/>
  <c r="S180" i="1" s="1"/>
  <c r="K179" i="1"/>
  <c r="N180" i="1"/>
  <c r="Q180" i="1" s="1"/>
  <c r="I179" i="1"/>
  <c r="M179" i="1"/>
  <c r="B180" i="1"/>
  <c r="G179" i="1" l="1"/>
  <c r="E180" i="1" s="1"/>
  <c r="L180" i="1"/>
  <c r="J180" i="1"/>
  <c r="H180" i="1"/>
  <c r="F180" i="1" s="1"/>
  <c r="C180" i="1" l="1"/>
  <c r="B181" i="1"/>
  <c r="D181" i="1"/>
  <c r="K180" i="1" l="1"/>
  <c r="I180" i="1"/>
  <c r="M180" i="1"/>
  <c r="P181" i="1"/>
  <c r="S181" i="1" s="1"/>
  <c r="O181" i="1"/>
  <c r="R181" i="1" s="1"/>
  <c r="J181" i="1" s="1"/>
  <c r="N181" i="1"/>
  <c r="Q181" i="1" s="1"/>
  <c r="H181" i="1" s="1"/>
  <c r="F181" i="1" s="1"/>
  <c r="L181" i="1"/>
  <c r="G180" i="1" l="1"/>
  <c r="E181" i="1" s="1"/>
  <c r="D182" i="1"/>
  <c r="B182" i="1"/>
  <c r="C181" i="1" l="1"/>
  <c r="K181" i="1" l="1"/>
  <c r="M181" i="1"/>
  <c r="O182" i="1"/>
  <c r="R182" i="1" s="1"/>
  <c r="J182" i="1" s="1"/>
  <c r="I181" i="1"/>
  <c r="G181" i="1" s="1"/>
  <c r="E182" i="1" s="1"/>
  <c r="N182" i="1"/>
  <c r="Q182" i="1" s="1"/>
  <c r="H182" i="1" s="1"/>
  <c r="P182" i="1"/>
  <c r="S182" i="1" s="1"/>
  <c r="L182" i="1" s="1"/>
  <c r="C182" i="1"/>
  <c r="F182" i="1" l="1"/>
  <c r="B183" i="1" s="1"/>
  <c r="N183" i="1"/>
  <c r="Q183" i="1" s="1"/>
  <c r="M182" i="1"/>
  <c r="P183" i="1"/>
  <c r="S183" i="1" s="1"/>
  <c r="K182" i="1"/>
  <c r="I182" i="1"/>
  <c r="O183" i="1"/>
  <c r="R183" i="1" s="1"/>
  <c r="J183" i="1" l="1"/>
  <c r="L183" i="1"/>
  <c r="H183" i="1"/>
  <c r="F183" i="1" s="1"/>
  <c r="D183" i="1"/>
  <c r="G182" i="1"/>
  <c r="E183" i="1" s="1"/>
  <c r="C183" i="1" l="1"/>
  <c r="D184" i="1"/>
  <c r="B184" i="1"/>
  <c r="I183" i="1" l="1"/>
  <c r="M183" i="1"/>
  <c r="P184" i="1"/>
  <c r="S184" i="1" s="1"/>
  <c r="L184" i="1" s="1"/>
  <c r="O184" i="1"/>
  <c r="R184" i="1" s="1"/>
  <c r="J184" i="1" s="1"/>
  <c r="K183" i="1"/>
  <c r="N184" i="1"/>
  <c r="Q184" i="1" s="1"/>
  <c r="H184" i="1" s="1"/>
  <c r="F184" i="1" l="1"/>
  <c r="D185" i="1" s="1"/>
  <c r="G183" i="1"/>
  <c r="E184" i="1" s="1"/>
  <c r="B185" i="1" l="1"/>
  <c r="C184" i="1"/>
  <c r="N185" i="1" l="1"/>
  <c r="Q185" i="1" s="1"/>
  <c r="H185" i="1" s="1"/>
  <c r="P185" i="1"/>
  <c r="S185" i="1" s="1"/>
  <c r="L185" i="1" s="1"/>
  <c r="O185" i="1"/>
  <c r="R185" i="1" s="1"/>
  <c r="J185" i="1" s="1"/>
  <c r="M184" i="1"/>
  <c r="I184" i="1"/>
  <c r="K184" i="1"/>
  <c r="F185" i="1" l="1"/>
  <c r="G184" i="1"/>
  <c r="E185" i="1" s="1"/>
  <c r="B186" i="1" l="1"/>
  <c r="D186" i="1"/>
  <c r="C185" i="1"/>
  <c r="N186" i="1" l="1"/>
  <c r="Q186" i="1" s="1"/>
  <c r="K185" i="1"/>
  <c r="P186" i="1"/>
  <c r="S186" i="1" s="1"/>
  <c r="L186" i="1" s="1"/>
  <c r="M185" i="1"/>
  <c r="I185" i="1"/>
  <c r="G185" i="1" s="1"/>
  <c r="E186" i="1" s="1"/>
  <c r="O186" i="1"/>
  <c r="R186" i="1" s="1"/>
  <c r="J186" i="1" s="1"/>
  <c r="H186" i="1"/>
  <c r="F186" i="1" l="1"/>
  <c r="D187" i="1" s="1"/>
  <c r="B187" i="1"/>
  <c r="C186" i="1"/>
  <c r="N187" i="1" l="1"/>
  <c r="Q187" i="1" s="1"/>
  <c r="I186" i="1"/>
  <c r="M186" i="1"/>
  <c r="P187" i="1"/>
  <c r="S187" i="1" s="1"/>
  <c r="O187" i="1"/>
  <c r="R187" i="1" s="1"/>
  <c r="J187" i="1" s="1"/>
  <c r="K186" i="1"/>
  <c r="L187" i="1"/>
  <c r="H187" i="1"/>
  <c r="F187" i="1" s="1"/>
  <c r="G186" i="1" l="1"/>
  <c r="E187" i="1" s="1"/>
  <c r="B188" i="1" l="1"/>
  <c r="D188" i="1"/>
  <c r="C187" i="1"/>
  <c r="N188" i="1" l="1"/>
  <c r="Q188" i="1" s="1"/>
  <c r="K187" i="1"/>
  <c r="I187" i="1"/>
  <c r="P188" i="1"/>
  <c r="S188" i="1" s="1"/>
  <c r="L188" i="1" s="1"/>
  <c r="O188" i="1"/>
  <c r="R188" i="1" s="1"/>
  <c r="M187" i="1"/>
  <c r="J188" i="1"/>
  <c r="H188" i="1"/>
  <c r="F188" i="1" s="1"/>
  <c r="G187" i="1" l="1"/>
  <c r="E188" i="1" s="1"/>
  <c r="B189" i="1" l="1"/>
  <c r="D189" i="1"/>
  <c r="C188" i="1"/>
  <c r="N189" i="1" l="1"/>
  <c r="Q189" i="1" s="1"/>
  <c r="P189" i="1"/>
  <c r="S189" i="1" s="1"/>
  <c r="L189" i="1" s="1"/>
  <c r="I188" i="1"/>
  <c r="O189" i="1"/>
  <c r="R189" i="1" s="1"/>
  <c r="M188" i="1"/>
  <c r="K188" i="1"/>
  <c r="J189" i="1"/>
  <c r="H189" i="1"/>
  <c r="F189" i="1" s="1"/>
  <c r="G188" i="1" l="1"/>
  <c r="E189" i="1" s="1"/>
  <c r="C189" i="1" l="1"/>
  <c r="B190" i="1"/>
  <c r="D190" i="1"/>
  <c r="N190" i="1" l="1"/>
  <c r="Q190" i="1" s="1"/>
  <c r="H190" i="1" s="1"/>
  <c r="M189" i="1"/>
  <c r="O190" i="1"/>
  <c r="R190" i="1" s="1"/>
  <c r="J190" i="1" s="1"/>
  <c r="K189" i="1"/>
  <c r="P190" i="1"/>
  <c r="S190" i="1" s="1"/>
  <c r="L190" i="1" s="1"/>
  <c r="I189" i="1"/>
  <c r="F190" i="1" l="1"/>
  <c r="G189" i="1"/>
  <c r="E190" i="1" s="1"/>
  <c r="C190" i="1" l="1"/>
  <c r="D191" i="1"/>
  <c r="B191" i="1"/>
  <c r="M190" i="1" l="1"/>
  <c r="N191" i="1"/>
  <c r="Q191" i="1" s="1"/>
  <c r="H191" i="1" s="1"/>
  <c r="P191" i="1"/>
  <c r="S191" i="1" s="1"/>
  <c r="L191" i="1" s="1"/>
  <c r="I190" i="1"/>
  <c r="K190" i="1"/>
  <c r="O191" i="1"/>
  <c r="R191" i="1" s="1"/>
  <c r="J191" i="1" s="1"/>
  <c r="G190" i="1" l="1"/>
  <c r="E191" i="1" s="1"/>
  <c r="F191" i="1"/>
  <c r="C191" i="1"/>
  <c r="I191" i="1" l="1"/>
  <c r="M191" i="1"/>
  <c r="O192" i="1"/>
  <c r="R192" i="1" s="1"/>
  <c r="P192" i="1"/>
  <c r="S192" i="1" s="1"/>
  <c r="K191" i="1"/>
  <c r="N192" i="1"/>
  <c r="Q192" i="1" s="1"/>
  <c r="D192" i="1"/>
  <c r="B192" i="1"/>
  <c r="J192" i="1" l="1"/>
  <c r="H192" i="1"/>
  <c r="L192" i="1"/>
  <c r="G191" i="1"/>
  <c r="E192" i="1" s="1"/>
  <c r="F192" i="1" l="1"/>
  <c r="C192" i="1"/>
  <c r="D193" i="1" l="1"/>
  <c r="B193" i="1"/>
  <c r="P193" i="1"/>
  <c r="S193" i="1" s="1"/>
  <c r="L193" i="1" s="1"/>
  <c r="I192" i="1"/>
  <c r="M192" i="1"/>
  <c r="N193" i="1"/>
  <c r="Q193" i="1" s="1"/>
  <c r="H193" i="1" s="1"/>
  <c r="K192" i="1"/>
  <c r="O193" i="1"/>
  <c r="R193" i="1" s="1"/>
  <c r="J193" i="1" s="1"/>
  <c r="F193" i="1" l="1"/>
  <c r="B194" i="1"/>
  <c r="G192" i="1"/>
  <c r="E193" i="1" s="1"/>
  <c r="D194" i="1"/>
  <c r="C193" i="1" l="1"/>
  <c r="K193" i="1" l="1"/>
  <c r="M193" i="1"/>
  <c r="I193" i="1"/>
  <c r="G193" i="1" s="1"/>
  <c r="E194" i="1" s="1"/>
  <c r="N194" i="1"/>
  <c r="Q194" i="1" s="1"/>
  <c r="H194" i="1" s="1"/>
  <c r="P194" i="1"/>
  <c r="S194" i="1" s="1"/>
  <c r="L194" i="1" s="1"/>
  <c r="O194" i="1"/>
  <c r="R194" i="1" s="1"/>
  <c r="J194" i="1" s="1"/>
  <c r="C194" i="1"/>
  <c r="F194" i="1" l="1"/>
  <c r="B195" i="1"/>
  <c r="D195" i="1"/>
  <c r="M194" i="1"/>
  <c r="K194" i="1"/>
  <c r="I194" i="1"/>
  <c r="N195" i="1"/>
  <c r="O195" i="1"/>
  <c r="P195" i="1"/>
  <c r="S195" i="1" s="1"/>
  <c r="L195" i="1" s="1"/>
  <c r="G194" i="1" l="1"/>
  <c r="E195" i="1" s="1"/>
  <c r="C195" i="1"/>
  <c r="N196" i="1" s="1"/>
  <c r="Q196" i="1" s="1"/>
  <c r="Q195" i="1"/>
  <c r="H195" i="1" s="1"/>
  <c r="R195" i="1"/>
  <c r="J195" i="1" s="1"/>
  <c r="I195" i="1"/>
  <c r="M195" i="1"/>
  <c r="O196" i="1"/>
  <c r="R196" i="1" s="1"/>
  <c r="F195" i="1" l="1"/>
  <c r="P196" i="1"/>
  <c r="K195" i="1"/>
  <c r="G195" i="1" s="1"/>
  <c r="E196" i="1" s="1"/>
  <c r="S196" i="1"/>
  <c r="C196" i="1" l="1"/>
  <c r="B196" i="1"/>
  <c r="J196" i="1" s="1"/>
  <c r="D196" i="1"/>
  <c r="H196" i="1"/>
  <c r="P197" i="1"/>
  <c r="S197" i="1" s="1"/>
  <c r="N197" i="1" l="1"/>
  <c r="Q197" i="1" s="1"/>
  <c r="O197" i="1"/>
  <c r="R197" i="1" s="1"/>
  <c r="L196" i="1"/>
  <c r="I196" i="1"/>
  <c r="K196" i="1"/>
  <c r="M196" i="1"/>
  <c r="F196" i="1" l="1"/>
  <c r="B197" i="1" s="1"/>
  <c r="G196" i="1"/>
  <c r="E197" i="1" s="1"/>
  <c r="D197" i="1"/>
  <c r="C197" i="1" l="1"/>
  <c r="J197" i="1"/>
  <c r="H197" i="1"/>
  <c r="F197" i="1" s="1"/>
  <c r="L197" i="1"/>
  <c r="O198" i="1" l="1"/>
  <c r="R198" i="1" s="1"/>
  <c r="K197" i="1"/>
  <c r="I197" i="1"/>
  <c r="M197" i="1"/>
  <c r="P198" i="1"/>
  <c r="N198" i="1"/>
  <c r="Q198" i="1" s="1"/>
  <c r="G197" i="1" l="1"/>
  <c r="E198" i="1" s="1"/>
  <c r="B198" i="1"/>
  <c r="D198" i="1"/>
  <c r="S198" i="1"/>
  <c r="J198" i="1"/>
  <c r="C198" i="1" l="1"/>
  <c r="H198" i="1"/>
  <c r="F198" i="1" s="1"/>
  <c r="L198" i="1"/>
  <c r="N199" i="1" l="1"/>
  <c r="Q199" i="1" s="1"/>
  <c r="I198" i="1"/>
  <c r="M198" i="1"/>
  <c r="K198" i="1"/>
  <c r="P199" i="1"/>
  <c r="S199" i="1" s="1"/>
  <c r="O199" i="1"/>
  <c r="R199" i="1" s="1"/>
  <c r="G198" i="1" l="1"/>
  <c r="E199" i="1" s="1"/>
  <c r="B199" i="1"/>
  <c r="D199" i="1"/>
  <c r="J199" i="1"/>
  <c r="C199" i="1" l="1"/>
  <c r="O200" i="1" s="1"/>
  <c r="R200" i="1" s="1"/>
  <c r="L199" i="1"/>
  <c r="H199" i="1"/>
  <c r="F199" i="1" s="1"/>
  <c r="P200" i="1"/>
  <c r="S200" i="1" s="1"/>
  <c r="B200" i="1" l="1"/>
  <c r="D200" i="1"/>
  <c r="N200" i="1"/>
  <c r="M199" i="1"/>
  <c r="K199" i="1"/>
  <c r="I199" i="1"/>
  <c r="G199" i="1" s="1"/>
  <c r="E200" i="1" s="1"/>
  <c r="J200" i="1" l="1"/>
  <c r="L200" i="1"/>
  <c r="Q200" i="1"/>
  <c r="H200" i="1" s="1"/>
  <c r="F200" i="1" s="1"/>
  <c r="B201" i="1" l="1"/>
  <c r="C200" i="1"/>
  <c r="P201" i="1" s="1"/>
  <c r="S201" i="1" s="1"/>
  <c r="L201" i="1" s="1"/>
  <c r="D201" i="1"/>
  <c r="O201" i="1"/>
  <c r="K200" i="1"/>
  <c r="M200" i="1"/>
  <c r="I200" i="1"/>
  <c r="G200" i="1" s="1"/>
  <c r="E201" i="1" s="1"/>
  <c r="N201" i="1" l="1"/>
  <c r="C201" i="1"/>
  <c r="Q201" i="1"/>
  <c r="H201" i="1" s="1"/>
  <c r="F201" i="1" s="1"/>
  <c r="R201" i="1"/>
  <c r="J201" i="1" s="1"/>
  <c r="I201" i="1" l="1"/>
  <c r="M201" i="1"/>
  <c r="K201" i="1"/>
  <c r="N202" i="1"/>
  <c r="P202" i="1"/>
  <c r="S202" i="1" s="1"/>
  <c r="O202" i="1"/>
  <c r="G201" i="1" l="1"/>
  <c r="E202" i="1" s="1"/>
  <c r="B202" i="1"/>
  <c r="L202" i="1" s="1"/>
  <c r="D202" i="1"/>
  <c r="Q202" i="1"/>
  <c r="H202" i="1" s="1"/>
  <c r="R202" i="1"/>
  <c r="J202" i="1" s="1"/>
  <c r="F202" i="1" l="1"/>
  <c r="C202" i="1"/>
  <c r="B203" i="1"/>
  <c r="D203" i="1" l="1"/>
  <c r="K202" i="1"/>
  <c r="M202" i="1"/>
  <c r="I202" i="1"/>
  <c r="N203" i="1"/>
  <c r="P203" i="1"/>
  <c r="S203" i="1" s="1"/>
  <c r="L203" i="1" s="1"/>
  <c r="O203" i="1"/>
  <c r="G202" i="1" l="1"/>
  <c r="E203" i="1" s="1"/>
  <c r="C203" i="1"/>
  <c r="N204" i="1" s="1"/>
  <c r="Q204" i="1" s="1"/>
  <c r="Q203" i="1"/>
  <c r="H203" i="1" s="1"/>
  <c r="R203" i="1"/>
  <c r="J203" i="1" s="1"/>
  <c r="F203" i="1" l="1"/>
  <c r="K203" i="1"/>
  <c r="I203" i="1"/>
  <c r="M203" i="1"/>
  <c r="O204" i="1"/>
  <c r="R204" i="1" s="1"/>
  <c r="P204" i="1"/>
  <c r="S204" i="1" s="1"/>
  <c r="G203" i="1" l="1"/>
  <c r="E204" i="1" s="1"/>
  <c r="C204" i="1"/>
  <c r="B204" i="1"/>
  <c r="L204" i="1" s="1"/>
  <c r="D204" i="1"/>
  <c r="I204" i="1"/>
  <c r="K204" i="1"/>
  <c r="M204" i="1"/>
  <c r="G204" i="1" l="1"/>
  <c r="E205" i="1" s="1"/>
  <c r="O205" i="1"/>
  <c r="R205" i="1" s="1"/>
  <c r="N205" i="1"/>
  <c r="Q205" i="1" s="1"/>
  <c r="P205" i="1"/>
  <c r="S205" i="1" s="1"/>
  <c r="H204" i="1"/>
  <c r="J204" i="1"/>
  <c r="C205" i="1"/>
  <c r="K205" i="1" s="1"/>
  <c r="F204" i="1" l="1"/>
  <c r="M205" i="1"/>
  <c r="I205" i="1"/>
  <c r="G205" i="1" s="1"/>
  <c r="C206" i="1" s="1"/>
  <c r="B205" i="1"/>
  <c r="E206" i="1" l="1"/>
  <c r="D205" i="1"/>
  <c r="N206" i="1"/>
  <c r="Q206" i="1" s="1"/>
  <c r="O206" i="1"/>
  <c r="R206" i="1" s="1"/>
  <c r="L205" i="1"/>
  <c r="J205" i="1"/>
  <c r="H205" i="1"/>
  <c r="P206" i="1"/>
  <c r="S206" i="1" s="1"/>
  <c r="F205" i="1" l="1"/>
  <c r="D206" i="1"/>
  <c r="B206" i="1"/>
  <c r="I206" i="1"/>
  <c r="M206" i="1"/>
  <c r="K206" i="1"/>
  <c r="G206" i="1" l="1"/>
  <c r="E207" i="1" s="1"/>
  <c r="N207" i="1"/>
  <c r="Q207" i="1" s="1"/>
  <c r="H206" i="1"/>
  <c r="O207" i="1"/>
  <c r="R207" i="1" s="1"/>
  <c r="P207" i="1"/>
  <c r="S207" i="1" s="1"/>
  <c r="L206" i="1"/>
  <c r="J206" i="1"/>
  <c r="F206" i="1" l="1"/>
  <c r="C207" i="1"/>
  <c r="B207" i="1" l="1"/>
  <c r="D207" i="1"/>
  <c r="M207" i="1"/>
  <c r="K207" i="1"/>
  <c r="I207" i="1"/>
  <c r="G207" i="1" l="1"/>
  <c r="N208" i="1"/>
  <c r="L207" i="1"/>
  <c r="J207" i="1"/>
  <c r="H207" i="1"/>
  <c r="F207" i="1" s="1"/>
  <c r="P208" i="1"/>
  <c r="S208" i="1" s="1"/>
  <c r="O208" i="1"/>
  <c r="C208" i="1" l="1"/>
  <c r="E208" i="1"/>
  <c r="M208" i="1"/>
  <c r="B208" i="1"/>
  <c r="D208" i="1"/>
  <c r="Q208" i="1"/>
  <c r="I208" i="1" s="1"/>
  <c r="R208" i="1"/>
  <c r="K208" i="1" s="1"/>
  <c r="G208" i="1" l="1"/>
  <c r="E209" i="1" s="1"/>
  <c r="O209" i="1"/>
  <c r="R209" i="1" s="1"/>
  <c r="P209" i="1"/>
  <c r="S209" i="1" s="1"/>
  <c r="N209" i="1"/>
  <c r="Q209" i="1" s="1"/>
  <c r="L208" i="1"/>
  <c r="H208" i="1"/>
  <c r="J208" i="1"/>
  <c r="F208" i="1" l="1"/>
  <c r="B209" i="1" s="1"/>
  <c r="N210" i="1" s="1"/>
  <c r="Q210" i="1" s="1"/>
  <c r="D209" i="1"/>
  <c r="C209" i="1"/>
  <c r="K209" i="1"/>
  <c r="M209" i="1"/>
  <c r="I209" i="1"/>
  <c r="G209" i="1" l="1"/>
  <c r="E210" i="1" s="1"/>
  <c r="H209" i="1"/>
  <c r="J209" i="1"/>
  <c r="L209" i="1"/>
  <c r="O210" i="1"/>
  <c r="R210" i="1" s="1"/>
  <c r="P210" i="1"/>
  <c r="S210" i="1" s="1"/>
  <c r="F209" i="1" l="1"/>
  <c r="C210" i="1"/>
  <c r="B210" i="1" l="1"/>
  <c r="N211" i="1" s="1"/>
  <c r="D210" i="1"/>
  <c r="K210" i="1"/>
  <c r="I210" i="1"/>
  <c r="G210" i="1" s="1"/>
  <c r="E211" i="1" s="1"/>
  <c r="M210" i="1"/>
  <c r="P211" i="1"/>
  <c r="S211" i="1" s="1"/>
  <c r="O211" i="1"/>
  <c r="Q211" i="1" l="1"/>
  <c r="H210" i="1"/>
  <c r="J210" i="1"/>
  <c r="L210" i="1"/>
  <c r="R211" i="1"/>
  <c r="F210" i="1" l="1"/>
  <c r="B211" i="1"/>
  <c r="C211" i="1"/>
  <c r="D211" i="1"/>
  <c r="H211" i="1"/>
  <c r="L211" i="1"/>
  <c r="J211" i="1"/>
  <c r="F211" i="1" l="1"/>
  <c r="D212" i="1"/>
  <c r="B212" i="1"/>
  <c r="K211" i="1"/>
  <c r="M211" i="1"/>
  <c r="I211" i="1"/>
  <c r="P212" i="1"/>
  <c r="S212" i="1" s="1"/>
  <c r="L212" i="1" s="1"/>
  <c r="N212" i="1"/>
  <c r="O212" i="1"/>
  <c r="G211" i="1" l="1"/>
  <c r="E212" i="1" s="1"/>
  <c r="C212" i="1"/>
  <c r="N213" i="1" s="1"/>
  <c r="Q213" i="1" s="1"/>
  <c r="Q212" i="1"/>
  <c r="H212" i="1" s="1"/>
  <c r="R212" i="1"/>
  <c r="J212" i="1" s="1"/>
  <c r="M212" i="1"/>
  <c r="I212" i="1"/>
  <c r="O213" i="1"/>
  <c r="R213" i="1" s="1"/>
  <c r="P213" i="1"/>
  <c r="S213" i="1" s="1"/>
  <c r="F212" i="1" l="1"/>
  <c r="K212" i="1"/>
  <c r="G212" i="1" s="1"/>
  <c r="E213" i="1" s="1"/>
  <c r="B213" i="1" l="1"/>
  <c r="H213" i="1" s="1"/>
  <c r="D213" i="1"/>
  <c r="C213" i="1"/>
  <c r="N214" i="1" s="1"/>
  <c r="Q214" i="1" s="1"/>
  <c r="J213" i="1"/>
  <c r="L213" i="1"/>
  <c r="O214" i="1"/>
  <c r="R214" i="1" s="1"/>
  <c r="F213" i="1" l="1"/>
  <c r="B214" i="1"/>
  <c r="D214" i="1"/>
  <c r="M213" i="1"/>
  <c r="K213" i="1"/>
  <c r="I213" i="1"/>
  <c r="P214" i="1"/>
  <c r="S214" i="1" s="1"/>
  <c r="G213" i="1" l="1"/>
  <c r="E214" i="1" s="1"/>
  <c r="C214" i="1"/>
  <c r="O215" i="1" s="1"/>
  <c r="R215" i="1" s="1"/>
  <c r="M214" i="1"/>
  <c r="K214" i="1"/>
  <c r="I214" i="1"/>
  <c r="N215" i="1"/>
  <c r="Q215" i="1" s="1"/>
  <c r="J214" i="1"/>
  <c r="H214" i="1"/>
  <c r="F214" i="1" s="1"/>
  <c r="L214" i="1"/>
  <c r="G214" i="1" l="1"/>
  <c r="E215" i="1"/>
  <c r="P215" i="1"/>
  <c r="S215" i="1" s="1"/>
  <c r="D215" i="1"/>
  <c r="C215" i="1"/>
  <c r="B215" i="1"/>
  <c r="H215" i="1" s="1"/>
  <c r="O216" i="1" l="1"/>
  <c r="R216" i="1" s="1"/>
  <c r="P216" i="1"/>
  <c r="S216" i="1" s="1"/>
  <c r="J215" i="1"/>
  <c r="L215" i="1"/>
  <c r="M215" i="1"/>
  <c r="K215" i="1"/>
  <c r="I215" i="1"/>
  <c r="N216" i="1"/>
  <c r="Q216" i="1" s="1"/>
  <c r="F215" i="1" l="1"/>
  <c r="D216" i="1" s="1"/>
  <c r="G215" i="1"/>
  <c r="B216" i="1"/>
  <c r="L216" i="1" s="1"/>
  <c r="J216" i="1"/>
  <c r="H216" i="1"/>
  <c r="C216" i="1" l="1"/>
  <c r="E216" i="1"/>
  <c r="F216" i="1"/>
  <c r="P217" i="1"/>
  <c r="S217" i="1" s="1"/>
  <c r="O217" i="1"/>
  <c r="R217" i="1" s="1"/>
  <c r="M216" i="1"/>
  <c r="K216" i="1"/>
  <c r="I216" i="1"/>
  <c r="N217" i="1"/>
  <c r="Q217" i="1" s="1"/>
  <c r="G216" i="1" l="1"/>
  <c r="E217" i="1" s="1"/>
  <c r="B217" i="1"/>
  <c r="D217" i="1"/>
  <c r="C217" i="1" l="1"/>
  <c r="N218" i="1" s="1"/>
  <c r="Q218" i="1" s="1"/>
  <c r="I217" i="1"/>
  <c r="M217" i="1"/>
  <c r="K217" i="1"/>
  <c r="P218" i="1"/>
  <c r="S218" i="1" s="1"/>
  <c r="O218" i="1"/>
  <c r="R218" i="1" s="1"/>
  <c r="L217" i="1"/>
  <c r="J217" i="1"/>
  <c r="H217" i="1"/>
  <c r="G217" i="1" l="1"/>
  <c r="E218" i="1" s="1"/>
  <c r="F217" i="1"/>
  <c r="D218" i="1" s="1"/>
  <c r="C218" i="1" l="1"/>
  <c r="B218" i="1"/>
  <c r="N219" i="1" s="1"/>
  <c r="Q219" i="1" s="1"/>
  <c r="H218" i="1" l="1"/>
  <c r="M218" i="1"/>
  <c r="K218" i="1"/>
  <c r="I218" i="1"/>
  <c r="J218" i="1"/>
  <c r="L218" i="1"/>
  <c r="O219" i="1"/>
  <c r="R219" i="1" s="1"/>
  <c r="P219" i="1"/>
  <c r="F218" i="1" l="1"/>
  <c r="G218" i="1"/>
  <c r="D219" i="1"/>
  <c r="S219" i="1"/>
  <c r="C219" i="1" l="1"/>
  <c r="E219" i="1"/>
  <c r="B219" i="1"/>
  <c r="P220" i="1" s="1"/>
  <c r="S220" i="1" s="1"/>
  <c r="H219" i="1"/>
  <c r="K219" i="1"/>
  <c r="I219" i="1"/>
  <c r="J219" i="1"/>
  <c r="M219" i="1"/>
  <c r="G219" i="1" l="1"/>
  <c r="E220" i="1" s="1"/>
  <c r="N220" i="1"/>
  <c r="Q220" i="1" s="1"/>
  <c r="O220" i="1"/>
  <c r="R220" i="1" s="1"/>
  <c r="L219" i="1"/>
  <c r="F219" i="1" s="1"/>
  <c r="D220" i="1" l="1"/>
  <c r="C220" i="1"/>
  <c r="B220" i="1"/>
  <c r="L220" i="1" s="1"/>
  <c r="M220" i="1"/>
  <c r="K220" i="1"/>
  <c r="I220" i="1"/>
  <c r="G220" i="1" s="1"/>
  <c r="E221" i="1" s="1"/>
  <c r="O221" i="1" l="1"/>
  <c r="R221" i="1" s="1"/>
  <c r="P221" i="1"/>
  <c r="S221" i="1" s="1"/>
  <c r="H220" i="1"/>
  <c r="F220" i="1" s="1"/>
  <c r="J220" i="1"/>
  <c r="N221" i="1"/>
  <c r="Q221" i="1" s="1"/>
  <c r="C221" i="1"/>
  <c r="M221" i="1" s="1"/>
  <c r="D221" i="1" l="1"/>
  <c r="I221" i="1"/>
  <c r="B221" i="1"/>
  <c r="H221" i="1" s="1"/>
  <c r="K221" i="1"/>
  <c r="O222" i="1"/>
  <c r="R222" i="1" s="1"/>
  <c r="L221" i="1"/>
  <c r="P222" i="1" l="1"/>
  <c r="S222" i="1" s="1"/>
  <c r="G221" i="1"/>
  <c r="J221" i="1"/>
  <c r="F221" i="1" s="1"/>
  <c r="N222" i="1"/>
  <c r="Q222" i="1" s="1"/>
  <c r="C222" i="1" l="1"/>
  <c r="M222" i="1" s="1"/>
  <c r="E222" i="1"/>
  <c r="I222" i="1"/>
  <c r="B222" i="1"/>
  <c r="D222" i="1"/>
  <c r="K222" i="1"/>
  <c r="N223" i="1"/>
  <c r="Q223" i="1" s="1"/>
  <c r="G222" i="1" l="1"/>
  <c r="C223" i="1" s="1"/>
  <c r="P223" i="1"/>
  <c r="S223" i="1" s="1"/>
  <c r="O223" i="1"/>
  <c r="L222" i="1"/>
  <c r="J222" i="1"/>
  <c r="H222" i="1"/>
  <c r="F222" i="1" s="1"/>
  <c r="E223" i="1" l="1"/>
  <c r="M223" i="1"/>
  <c r="R223" i="1"/>
  <c r="K223" i="1" s="1"/>
  <c r="I223" i="1"/>
  <c r="G223" i="1" s="1"/>
  <c r="E224" i="1" l="1"/>
  <c r="B223" i="1"/>
  <c r="D223" i="1"/>
  <c r="N224" i="1"/>
  <c r="Q224" i="1" s="1"/>
  <c r="C224" i="1" l="1"/>
  <c r="P224" i="1"/>
  <c r="S224" i="1" s="1"/>
  <c r="O224" i="1"/>
  <c r="R224" i="1" s="1"/>
  <c r="J223" i="1"/>
  <c r="I224" i="1"/>
  <c r="M224" i="1"/>
  <c r="L223" i="1"/>
  <c r="H223" i="1"/>
  <c r="F223" i="1" l="1"/>
  <c r="K224" i="1"/>
  <c r="G224" i="1" s="1"/>
  <c r="E225" i="1" s="1"/>
  <c r="D224" i="1"/>
  <c r="C225" i="1" l="1"/>
  <c r="B224" i="1"/>
  <c r="P225" i="1" s="1"/>
  <c r="S225" i="1" s="1"/>
  <c r="M225" i="1" s="1"/>
  <c r="O225" i="1"/>
  <c r="J224" i="1" l="1"/>
  <c r="L224" i="1"/>
  <c r="H224" i="1"/>
  <c r="F224" i="1" s="1"/>
  <c r="N225" i="1"/>
  <c r="Q225" i="1" s="1"/>
  <c r="I225" i="1" s="1"/>
  <c r="G225" i="1" s="1"/>
  <c r="E226" i="1" s="1"/>
  <c r="R225" i="1"/>
  <c r="K225" i="1" s="1"/>
  <c r="D225" i="1" l="1"/>
  <c r="B225" i="1"/>
  <c r="H225" i="1"/>
  <c r="C226" i="1" l="1"/>
  <c r="O226" i="1"/>
  <c r="R226" i="1" s="1"/>
  <c r="K226" i="1" s="1"/>
  <c r="L225" i="1"/>
  <c r="J225" i="1"/>
  <c r="F225" i="1" s="1"/>
  <c r="N226" i="1"/>
  <c r="Q226" i="1" s="1"/>
  <c r="I226" i="1" s="1"/>
  <c r="P226" i="1"/>
  <c r="S226" i="1" s="1"/>
  <c r="M226" i="1" s="1"/>
  <c r="G226" i="1" l="1"/>
  <c r="E227" i="1" s="1"/>
  <c r="D226" i="1"/>
  <c r="C227" i="1"/>
  <c r="B226" i="1"/>
  <c r="N227" i="1" l="1"/>
  <c r="Q227" i="1" s="1"/>
  <c r="I227" i="1" s="1"/>
  <c r="L226" i="1"/>
  <c r="O227" i="1"/>
  <c r="R227" i="1" s="1"/>
  <c r="K227" i="1" s="1"/>
  <c r="H226" i="1"/>
  <c r="J226" i="1"/>
  <c r="P227" i="1"/>
  <c r="S227" i="1" s="1"/>
  <c r="M227" i="1" s="1"/>
  <c r="F226" i="1" l="1"/>
  <c r="G227" i="1"/>
  <c r="C228" i="1" l="1"/>
  <c r="E228" i="1"/>
  <c r="B227" i="1"/>
  <c r="D227" i="1"/>
  <c r="N228" i="1" l="1"/>
  <c r="Q228" i="1" s="1"/>
  <c r="I228" i="1" s="1"/>
  <c r="O228" i="1"/>
  <c r="R228" i="1" s="1"/>
  <c r="K228" i="1" s="1"/>
  <c r="L227" i="1"/>
  <c r="H227" i="1"/>
  <c r="P228" i="1"/>
  <c r="S228" i="1" s="1"/>
  <c r="M228" i="1" s="1"/>
  <c r="J227" i="1"/>
  <c r="F227" i="1" l="1"/>
  <c r="G228" i="1"/>
  <c r="E229" i="1" s="1"/>
  <c r="B228" i="1"/>
  <c r="D228" i="1"/>
  <c r="N229" i="1" l="1"/>
  <c r="Q229" i="1" s="1"/>
  <c r="H228" i="1"/>
  <c r="P229" i="1"/>
  <c r="S229" i="1" s="1"/>
  <c r="O229" i="1"/>
  <c r="R229" i="1" s="1"/>
  <c r="L228" i="1"/>
  <c r="J228" i="1"/>
  <c r="C229" i="1"/>
  <c r="F228" i="1" l="1"/>
  <c r="B229" i="1"/>
  <c r="M229" i="1"/>
  <c r="I229" i="1"/>
  <c r="D229" i="1"/>
  <c r="K229" i="1"/>
  <c r="N230" i="1"/>
  <c r="Q230" i="1" s="1"/>
  <c r="G229" i="1" l="1"/>
  <c r="E230" i="1" s="1"/>
  <c r="P230" i="1"/>
  <c r="S230" i="1" s="1"/>
  <c r="O230" i="1"/>
  <c r="R230" i="1" s="1"/>
  <c r="L229" i="1"/>
  <c r="J229" i="1"/>
  <c r="H229" i="1"/>
  <c r="F229" i="1" s="1"/>
  <c r="C230" i="1" l="1"/>
  <c r="M230" i="1"/>
  <c r="B230" i="1" l="1"/>
  <c r="D230" i="1"/>
  <c r="I230" i="1"/>
  <c r="K230" i="1"/>
  <c r="N231" i="1"/>
  <c r="Q231" i="1" s="1"/>
  <c r="G230" i="1" l="1"/>
  <c r="E231" i="1" s="1"/>
  <c r="C231" i="1"/>
  <c r="I231" i="1" s="1"/>
  <c r="P231" i="1"/>
  <c r="S231" i="1" s="1"/>
  <c r="M231" i="1" s="1"/>
  <c r="O231" i="1"/>
  <c r="R231" i="1" s="1"/>
  <c r="K231" i="1" s="1"/>
  <c r="L230" i="1"/>
  <c r="J230" i="1"/>
  <c r="H230" i="1"/>
  <c r="F230" i="1" s="1"/>
  <c r="G231" i="1" l="1"/>
  <c r="E232" i="1" s="1"/>
  <c r="C232" i="1"/>
  <c r="B231" i="1" l="1"/>
  <c r="N232" i="1" s="1"/>
  <c r="Q232" i="1" s="1"/>
  <c r="D231" i="1"/>
  <c r="P232" i="1" l="1"/>
  <c r="S232" i="1" s="1"/>
  <c r="O232" i="1"/>
  <c r="R232" i="1" s="1"/>
  <c r="K232" i="1" s="1"/>
  <c r="L231" i="1"/>
  <c r="J231" i="1"/>
  <c r="I232" i="1"/>
  <c r="H231" i="1"/>
  <c r="F231" i="1" s="1"/>
  <c r="M232" i="1"/>
  <c r="G232" i="1" l="1"/>
  <c r="E233" i="1" s="1"/>
  <c r="C233" i="1"/>
  <c r="B232" i="1"/>
  <c r="D232" i="1"/>
  <c r="N233" i="1"/>
  <c r="Q233" i="1" s="1"/>
  <c r="P233" i="1" l="1"/>
  <c r="S233" i="1" s="1"/>
  <c r="O233" i="1"/>
  <c r="R233" i="1" s="1"/>
  <c r="K233" i="1" s="1"/>
  <c r="L232" i="1"/>
  <c r="J232" i="1"/>
  <c r="M233" i="1"/>
  <c r="H232" i="1"/>
  <c r="F232" i="1" s="1"/>
  <c r="I233" i="1"/>
  <c r="G233" i="1" l="1"/>
  <c r="E234" i="1" s="1"/>
  <c r="C234" i="1"/>
  <c r="B233" i="1"/>
  <c r="D233" i="1"/>
  <c r="N234" i="1"/>
  <c r="Q234" i="1" s="1"/>
  <c r="P234" i="1" l="1"/>
  <c r="S234" i="1" s="1"/>
  <c r="O234" i="1"/>
  <c r="R234" i="1" s="1"/>
  <c r="L233" i="1"/>
  <c r="J233" i="1"/>
  <c r="M234" i="1"/>
  <c r="I234" i="1"/>
  <c r="K234" i="1"/>
  <c r="H233" i="1"/>
  <c r="F233" i="1" l="1"/>
  <c r="G234" i="1"/>
  <c r="E235" i="1" s="1"/>
  <c r="D234" i="1"/>
  <c r="C235" i="1" l="1"/>
  <c r="B234" i="1"/>
  <c r="N235" i="1" s="1"/>
  <c r="Q235" i="1" s="1"/>
  <c r="P235" i="1"/>
  <c r="S235" i="1" s="1"/>
  <c r="H234" i="1"/>
  <c r="L234" i="1"/>
  <c r="J234" i="1"/>
  <c r="F234" i="1" l="1"/>
  <c r="O235" i="1"/>
  <c r="R235" i="1" s="1"/>
  <c r="K235" i="1" s="1"/>
  <c r="I235" i="1"/>
  <c r="M235" i="1"/>
  <c r="G235" i="1" l="1"/>
  <c r="E236" i="1" s="1"/>
  <c r="B235" i="1"/>
  <c r="H235" i="1" s="1"/>
  <c r="D235" i="1"/>
  <c r="N236" i="1"/>
  <c r="Q236" i="1" s="1"/>
  <c r="P236" i="1"/>
  <c r="S236" i="1" s="1"/>
  <c r="O236" i="1"/>
  <c r="R236" i="1" s="1"/>
  <c r="L235" i="1"/>
  <c r="J235" i="1"/>
  <c r="F235" i="1" l="1"/>
  <c r="B236" i="1"/>
  <c r="C236" i="1"/>
  <c r="I236" i="1" s="1"/>
  <c r="D236" i="1"/>
  <c r="L236" i="1"/>
  <c r="J236" i="1"/>
  <c r="H236" i="1"/>
  <c r="F236" i="1" s="1"/>
  <c r="N237" i="1" l="1"/>
  <c r="Q237" i="1" s="1"/>
  <c r="O237" i="1"/>
  <c r="R237" i="1" s="1"/>
  <c r="P237" i="1"/>
  <c r="S237" i="1" s="1"/>
  <c r="K236" i="1"/>
  <c r="B237" i="1"/>
  <c r="M236" i="1"/>
  <c r="G236" i="1" l="1"/>
  <c r="E237" i="1" s="1"/>
  <c r="C237" i="1"/>
  <c r="D237" i="1"/>
  <c r="K237" i="1"/>
  <c r="I237" i="1"/>
  <c r="G237" i="1" s="1"/>
  <c r="M237" i="1"/>
  <c r="N238" i="1"/>
  <c r="Q238" i="1" s="1"/>
  <c r="E238" i="1" l="1"/>
  <c r="C238" i="1"/>
  <c r="I238" i="1" s="1"/>
  <c r="P238" i="1"/>
  <c r="S238" i="1" s="1"/>
  <c r="O238" i="1"/>
  <c r="R238" i="1" s="1"/>
  <c r="K238" i="1" s="1"/>
  <c r="L237" i="1"/>
  <c r="J237" i="1"/>
  <c r="H237" i="1"/>
  <c r="F237" i="1" s="1"/>
  <c r="M238" i="1"/>
  <c r="G238" i="1" l="1"/>
  <c r="E239" i="1" s="1"/>
  <c r="D238" i="1"/>
  <c r="C239" i="1"/>
  <c r="B238" i="1" l="1"/>
  <c r="P239" i="1" s="1"/>
  <c r="H238" i="1" l="1"/>
  <c r="O239" i="1"/>
  <c r="R239" i="1" s="1"/>
  <c r="K239" i="1" s="1"/>
  <c r="J238" i="1"/>
  <c r="L238" i="1"/>
  <c r="N239" i="1"/>
  <c r="Q239" i="1" s="1"/>
  <c r="I239" i="1" s="1"/>
  <c r="G239" i="1" s="1"/>
  <c r="E240" i="1" s="1"/>
  <c r="S239" i="1"/>
  <c r="M239" i="1" s="1"/>
  <c r="F238" i="1" l="1"/>
  <c r="D239" i="1" s="1"/>
  <c r="B239" i="1"/>
  <c r="N240" i="1" s="1"/>
  <c r="Q240" i="1" s="1"/>
  <c r="P240" i="1"/>
  <c r="S240" i="1" s="1"/>
  <c r="O240" i="1"/>
  <c r="L239" i="1"/>
  <c r="J239" i="1"/>
  <c r="C240" i="1" l="1"/>
  <c r="M240" i="1" s="1"/>
  <c r="H239" i="1"/>
  <c r="F239" i="1" s="1"/>
  <c r="B240" i="1" s="1"/>
  <c r="R240" i="1"/>
  <c r="K240" i="1" l="1"/>
  <c r="I240" i="1"/>
  <c r="D240" i="1"/>
  <c r="N241" i="1"/>
  <c r="Q241" i="1" s="1"/>
  <c r="G240" i="1" l="1"/>
  <c r="P241" i="1"/>
  <c r="O241" i="1"/>
  <c r="R241" i="1" s="1"/>
  <c r="L240" i="1"/>
  <c r="J240" i="1"/>
  <c r="H240" i="1"/>
  <c r="F240" i="1" s="1"/>
  <c r="C241" i="1" l="1"/>
  <c r="I241" i="1" s="1"/>
  <c r="E241" i="1"/>
  <c r="S241" i="1"/>
  <c r="M241" i="1" s="1"/>
  <c r="K241" i="1" l="1"/>
  <c r="G241" i="1"/>
  <c r="C242" i="1" s="1"/>
  <c r="B241" i="1"/>
  <c r="D241" i="1"/>
  <c r="N242" i="1"/>
  <c r="Q242" i="1" s="1"/>
  <c r="E242" i="1" l="1"/>
  <c r="P242" i="1"/>
  <c r="O242" i="1"/>
  <c r="R242" i="1" s="1"/>
  <c r="K242" i="1" s="1"/>
  <c r="L241" i="1"/>
  <c r="J241" i="1"/>
  <c r="I242" i="1"/>
  <c r="H241" i="1"/>
  <c r="F241" i="1" s="1"/>
  <c r="S242" i="1" l="1"/>
  <c r="M242" i="1" s="1"/>
  <c r="G242" i="1" s="1"/>
  <c r="E243" i="1" s="1"/>
  <c r="C243" i="1" l="1"/>
  <c r="B242" i="1"/>
  <c r="D242" i="1"/>
  <c r="N243" i="1"/>
  <c r="Q243" i="1" s="1"/>
  <c r="P243" i="1" l="1"/>
  <c r="O243" i="1"/>
  <c r="R243" i="1" s="1"/>
  <c r="L242" i="1"/>
  <c r="J242" i="1"/>
  <c r="H242" i="1"/>
  <c r="F242" i="1" s="1"/>
  <c r="I243" i="1"/>
  <c r="K243" i="1"/>
  <c r="S243" i="1" l="1"/>
  <c r="M243" i="1" s="1"/>
  <c r="G243" i="1" l="1"/>
  <c r="E244" i="1" s="1"/>
  <c r="B243" i="1"/>
  <c r="D243" i="1"/>
  <c r="C244" i="1"/>
  <c r="N244" i="1"/>
  <c r="Q244" i="1" s="1"/>
  <c r="P244" i="1" l="1"/>
  <c r="S244" i="1" s="1"/>
  <c r="O244" i="1"/>
  <c r="L243" i="1"/>
  <c r="J243" i="1"/>
  <c r="M244" i="1"/>
  <c r="H243" i="1"/>
  <c r="F243" i="1" s="1"/>
  <c r="R244" i="1" l="1"/>
  <c r="K244" i="1" s="1"/>
  <c r="I244" i="1"/>
  <c r="G244" i="1" s="1"/>
  <c r="E245" i="1" s="1"/>
  <c r="B244" i="1" l="1"/>
  <c r="D244" i="1"/>
  <c r="N245" i="1"/>
  <c r="Q245" i="1" s="1"/>
  <c r="C245" i="1" l="1"/>
  <c r="P245" i="1"/>
  <c r="S245" i="1" s="1"/>
  <c r="O245" i="1"/>
  <c r="R245" i="1" s="1"/>
  <c r="L244" i="1"/>
  <c r="J244" i="1"/>
  <c r="H244" i="1"/>
  <c r="F244" i="1" s="1"/>
  <c r="K245" i="1" l="1"/>
  <c r="M245" i="1"/>
  <c r="D245" i="1"/>
  <c r="I245" i="1"/>
  <c r="G245" i="1" s="1"/>
  <c r="E246" i="1" s="1"/>
  <c r="C246" i="1" l="1"/>
  <c r="B245" i="1"/>
  <c r="O246" i="1"/>
  <c r="R246" i="1" s="1"/>
  <c r="N246" i="1"/>
  <c r="Q246" i="1" s="1"/>
  <c r="H245" i="1"/>
  <c r="P246" i="1"/>
  <c r="S246" i="1" s="1"/>
  <c r="J245" i="1" l="1"/>
  <c r="L245" i="1"/>
  <c r="M246" i="1"/>
  <c r="K246" i="1"/>
  <c r="I246" i="1"/>
  <c r="G246" i="1" s="1"/>
  <c r="E247" i="1" s="1"/>
  <c r="F245" i="1" l="1"/>
  <c r="D246" i="1" s="1"/>
  <c r="B246" i="1"/>
  <c r="P247" i="1" s="1"/>
  <c r="S247" i="1" s="1"/>
  <c r="L246" i="1"/>
  <c r="J246" i="1"/>
  <c r="H246" i="1"/>
  <c r="O247" i="1" l="1"/>
  <c r="R247" i="1" s="1"/>
  <c r="F246" i="1"/>
  <c r="C247" i="1"/>
  <c r="N247" i="1"/>
  <c r="Q247" i="1" s="1"/>
  <c r="I247" i="1" s="1"/>
  <c r="G247" i="1" s="1"/>
  <c r="E248" i="1" s="1"/>
  <c r="K247" i="1"/>
  <c r="M247" i="1"/>
  <c r="B247" i="1" l="1"/>
  <c r="D247" i="1"/>
  <c r="N248" i="1"/>
  <c r="Q248" i="1" s="1"/>
  <c r="C248" i="1" l="1"/>
  <c r="P248" i="1"/>
  <c r="S248" i="1" s="1"/>
  <c r="M248" i="1" s="1"/>
  <c r="O248" i="1"/>
  <c r="R248" i="1" s="1"/>
  <c r="K248" i="1" s="1"/>
  <c r="L247" i="1"/>
  <c r="J247" i="1"/>
  <c r="H247" i="1"/>
  <c r="F247" i="1" s="1"/>
  <c r="I248" i="1"/>
  <c r="G248" i="1" s="1"/>
  <c r="E249" i="1" s="1"/>
  <c r="B248" i="1" l="1"/>
  <c r="D248" i="1"/>
  <c r="C249" i="1"/>
  <c r="N249" i="1"/>
  <c r="Q249" i="1" s="1"/>
  <c r="P249" i="1" l="1"/>
  <c r="O249" i="1"/>
  <c r="R249" i="1" s="1"/>
  <c r="K249" i="1" s="1"/>
  <c r="L248" i="1"/>
  <c r="J248" i="1"/>
  <c r="H248" i="1"/>
  <c r="F248" i="1" s="1"/>
  <c r="I249" i="1"/>
  <c r="S249" i="1" l="1"/>
  <c r="M249" i="1" s="1"/>
  <c r="G249" i="1" s="1"/>
  <c r="E250" i="1" s="1"/>
  <c r="C250" i="1" l="1"/>
  <c r="B249" i="1"/>
  <c r="D249" i="1"/>
  <c r="N250" i="1"/>
  <c r="Q250" i="1" s="1"/>
  <c r="P250" i="1" l="1"/>
  <c r="S250" i="1" s="1"/>
  <c r="O250" i="1"/>
  <c r="R250" i="1" s="1"/>
  <c r="K250" i="1" s="1"/>
  <c r="L249" i="1"/>
  <c r="J249" i="1"/>
  <c r="M250" i="1"/>
  <c r="I250" i="1"/>
  <c r="G250" i="1" s="1"/>
  <c r="E251" i="1" s="1"/>
  <c r="H249" i="1"/>
  <c r="F249" i="1" s="1"/>
  <c r="D250" i="1" l="1"/>
  <c r="B250" i="1"/>
  <c r="O251" i="1" s="1"/>
  <c r="R251" i="1" s="1"/>
  <c r="C251" i="1" l="1"/>
  <c r="H250" i="1"/>
  <c r="J250" i="1"/>
  <c r="L250" i="1"/>
  <c r="P251" i="1"/>
  <c r="S251" i="1" s="1"/>
  <c r="M251" i="1" s="1"/>
  <c r="N251" i="1"/>
  <c r="Q251" i="1" s="1"/>
  <c r="F250" i="1" l="1"/>
  <c r="D251" i="1"/>
  <c r="B251" i="1"/>
  <c r="H251" i="1" s="1"/>
  <c r="K251" i="1"/>
  <c r="I251" i="1"/>
  <c r="G251" i="1" s="1"/>
  <c r="E252" i="1" s="1"/>
  <c r="L251" i="1"/>
  <c r="J251" i="1"/>
  <c r="F251" i="1" l="1"/>
  <c r="O252" i="1"/>
  <c r="R252" i="1" s="1"/>
  <c r="P252" i="1"/>
  <c r="S252" i="1" s="1"/>
  <c r="N252" i="1"/>
  <c r="Q252" i="1" s="1"/>
  <c r="C252" i="1" l="1"/>
  <c r="B252" i="1"/>
  <c r="D252" i="1"/>
  <c r="K252" i="1"/>
  <c r="I252" i="1"/>
  <c r="N253" i="1"/>
  <c r="Q253" i="1" s="1"/>
  <c r="M252" i="1"/>
  <c r="G252" i="1" l="1"/>
  <c r="E253" i="1" s="1"/>
  <c r="C253" i="1"/>
  <c r="P253" i="1"/>
  <c r="S253" i="1" s="1"/>
  <c r="O253" i="1"/>
  <c r="R253" i="1" s="1"/>
  <c r="L252" i="1"/>
  <c r="J252" i="1"/>
  <c r="H252" i="1"/>
  <c r="F252" i="1" l="1"/>
  <c r="I253" i="1"/>
  <c r="K253" i="1"/>
  <c r="M253" i="1"/>
  <c r="G253" i="1" l="1"/>
  <c r="E254" i="1" s="1"/>
  <c r="B253" i="1"/>
  <c r="D253" i="1"/>
  <c r="C254" i="1"/>
  <c r="N254" i="1"/>
  <c r="Q254" i="1" s="1"/>
  <c r="P254" i="1" l="1"/>
  <c r="O254" i="1"/>
  <c r="R254" i="1" s="1"/>
  <c r="K254" i="1" s="1"/>
  <c r="L253" i="1"/>
  <c r="J253" i="1"/>
  <c r="H253" i="1"/>
  <c r="F253" i="1" s="1"/>
  <c r="I254" i="1"/>
  <c r="S254" i="1" l="1"/>
  <c r="M254" i="1" s="1"/>
  <c r="G254" i="1" l="1"/>
  <c r="E255" i="1" s="1"/>
  <c r="B254" i="1"/>
  <c r="D254" i="1"/>
  <c r="C255" i="1"/>
  <c r="N255" i="1"/>
  <c r="Q255" i="1" s="1"/>
  <c r="P255" i="1" l="1"/>
  <c r="O255" i="1"/>
  <c r="R255" i="1" s="1"/>
  <c r="K255" i="1" s="1"/>
  <c r="L254" i="1"/>
  <c r="J254" i="1"/>
  <c r="I255" i="1"/>
  <c r="H254" i="1"/>
  <c r="F254" i="1" s="1"/>
  <c r="S255" i="1" l="1"/>
  <c r="M255" i="1" s="1"/>
  <c r="G255" i="1" s="1"/>
  <c r="E256" i="1" s="1"/>
  <c r="D255" i="1"/>
  <c r="C256" i="1" l="1"/>
  <c r="B255" i="1"/>
  <c r="O256" i="1" l="1"/>
  <c r="N256" i="1"/>
  <c r="Q256" i="1" s="1"/>
  <c r="I256" i="1" s="1"/>
  <c r="L255" i="1"/>
  <c r="P256" i="1"/>
  <c r="H255" i="1"/>
  <c r="J255" i="1"/>
  <c r="F255" i="1" l="1"/>
  <c r="R256" i="1"/>
  <c r="K256" i="1" s="1"/>
  <c r="S256" i="1"/>
  <c r="M256" i="1" s="1"/>
  <c r="G256" i="1" l="1"/>
  <c r="E257" i="1" s="1"/>
  <c r="B256" i="1"/>
  <c r="N257" i="1" s="1"/>
  <c r="Q257" i="1" s="1"/>
  <c r="D256" i="1"/>
  <c r="C257" i="1" l="1"/>
  <c r="P257" i="1"/>
  <c r="O257" i="1"/>
  <c r="L256" i="1"/>
  <c r="J256" i="1"/>
  <c r="I257" i="1"/>
  <c r="H256" i="1"/>
  <c r="F256" i="1" s="1"/>
  <c r="R257" i="1" l="1"/>
  <c r="K257" i="1" s="1"/>
  <c r="S257" i="1"/>
  <c r="M257" i="1" s="1"/>
  <c r="G257" i="1" l="1"/>
  <c r="E258" i="1" s="1"/>
  <c r="B257" i="1"/>
  <c r="D257" i="1"/>
  <c r="N258" i="1"/>
  <c r="Q258" i="1" s="1"/>
  <c r="C258" i="1" l="1"/>
  <c r="P258" i="1"/>
  <c r="S258" i="1" s="1"/>
  <c r="M258" i="1" s="1"/>
  <c r="O258" i="1"/>
  <c r="R258" i="1" s="1"/>
  <c r="L257" i="1"/>
  <c r="J257" i="1"/>
  <c r="H257" i="1"/>
  <c r="K258" i="1"/>
  <c r="I258" i="1"/>
  <c r="F257" i="1" l="1"/>
  <c r="G258" i="1"/>
  <c r="E259" i="1" s="1"/>
  <c r="D258" i="1"/>
  <c r="B258" i="1"/>
  <c r="L258" i="1"/>
  <c r="J258" i="1"/>
  <c r="H258" i="1"/>
  <c r="F258" i="1" s="1"/>
  <c r="C259" i="1" l="1"/>
  <c r="D259" i="1"/>
  <c r="O259" i="1"/>
  <c r="R259" i="1" s="1"/>
  <c r="K259" i="1" s="1"/>
  <c r="N259" i="1"/>
  <c r="P259" i="1"/>
  <c r="B259" i="1" l="1"/>
  <c r="J259" i="1" s="1"/>
  <c r="Q259" i="1"/>
  <c r="I259" i="1" s="1"/>
  <c r="S259" i="1"/>
  <c r="M259" i="1" s="1"/>
  <c r="H259" i="1"/>
  <c r="P260" i="1"/>
  <c r="S260" i="1" s="1"/>
  <c r="O260" i="1"/>
  <c r="R260" i="1" s="1"/>
  <c r="L259" i="1"/>
  <c r="G259" i="1" l="1"/>
  <c r="E260" i="1" s="1"/>
  <c r="F259" i="1"/>
  <c r="D260" i="1"/>
  <c r="N260" i="1"/>
  <c r="Q260" i="1" s="1"/>
  <c r="C260" i="1" l="1"/>
  <c r="B260" i="1"/>
  <c r="H260" i="1" s="1"/>
  <c r="K260" i="1"/>
  <c r="P261" i="1"/>
  <c r="S261" i="1" s="1"/>
  <c r="O261" i="1"/>
  <c r="R261" i="1" s="1"/>
  <c r="L260" i="1"/>
  <c r="J260" i="1"/>
  <c r="F260" i="1" l="1"/>
  <c r="M260" i="1"/>
  <c r="I260" i="1"/>
  <c r="G260" i="1" s="1"/>
  <c r="E261" i="1" s="1"/>
  <c r="N261" i="1"/>
  <c r="Q261" i="1" s="1"/>
  <c r="C261" i="1" l="1"/>
  <c r="I261" i="1"/>
  <c r="B261" i="1"/>
  <c r="D261" i="1"/>
  <c r="M261" i="1" l="1"/>
  <c r="K261" i="1"/>
  <c r="O262" i="1"/>
  <c r="R262" i="1" s="1"/>
  <c r="N262" i="1"/>
  <c r="Q262" i="1" s="1"/>
  <c r="J261" i="1"/>
  <c r="P262" i="1"/>
  <c r="L261" i="1"/>
  <c r="H261" i="1"/>
  <c r="F261" i="1" s="1"/>
  <c r="G261" i="1" l="1"/>
  <c r="E262" i="1" s="1"/>
  <c r="S262" i="1"/>
  <c r="C262" i="1" l="1"/>
  <c r="B262" i="1"/>
  <c r="D262" i="1"/>
  <c r="K262" i="1" l="1"/>
  <c r="I262" i="1"/>
  <c r="M262" i="1"/>
  <c r="O263" i="1"/>
  <c r="R263" i="1" s="1"/>
  <c r="N263" i="1"/>
  <c r="Q263" i="1" s="1"/>
  <c r="J262" i="1"/>
  <c r="P263" i="1"/>
  <c r="L262" i="1"/>
  <c r="H262" i="1"/>
  <c r="F262" i="1" l="1"/>
  <c r="G262" i="1"/>
  <c r="D263" i="1"/>
  <c r="B263" i="1"/>
  <c r="S263" i="1"/>
  <c r="M263" i="1" l="1"/>
  <c r="E263" i="1"/>
  <c r="C263" i="1"/>
  <c r="O264" i="1"/>
  <c r="R264" i="1" s="1"/>
  <c r="N264" i="1"/>
  <c r="Q264" i="1" s="1"/>
  <c r="P264" i="1"/>
  <c r="S264" i="1" s="1"/>
  <c r="L263" i="1"/>
  <c r="J263" i="1"/>
  <c r="H263" i="1"/>
  <c r="K263" i="1" l="1"/>
  <c r="G263" i="1" s="1"/>
  <c r="I263" i="1"/>
  <c r="F263" i="1"/>
  <c r="C264" i="1" l="1"/>
  <c r="P265" i="1" s="1"/>
  <c r="S265" i="1" s="1"/>
  <c r="E264" i="1"/>
  <c r="B264" i="1"/>
  <c r="D264" i="1"/>
  <c r="L264" i="1"/>
  <c r="J264" i="1"/>
  <c r="K264" i="1" l="1"/>
  <c r="I264" i="1"/>
  <c r="M264" i="1"/>
  <c r="N265" i="1"/>
  <c r="Q265" i="1" s="1"/>
  <c r="O265" i="1"/>
  <c r="R265" i="1" s="1"/>
  <c r="H264" i="1"/>
  <c r="F264" i="1"/>
  <c r="B265" i="1" s="1"/>
  <c r="G264" i="1" l="1"/>
  <c r="D265" i="1"/>
  <c r="C265" i="1" l="1"/>
  <c r="E265" i="1"/>
  <c r="P266" i="1"/>
  <c r="S266" i="1" s="1"/>
  <c r="O266" i="1"/>
  <c r="R266" i="1" s="1"/>
  <c r="L265" i="1"/>
  <c r="J265" i="1"/>
  <c r="H265" i="1"/>
  <c r="F265" i="1" l="1"/>
  <c r="K265" i="1"/>
  <c r="N266" i="1"/>
  <c r="Q266" i="1" s="1"/>
  <c r="I265" i="1"/>
  <c r="M265" i="1"/>
  <c r="G265" i="1" l="1"/>
  <c r="B266" i="1"/>
  <c r="D266" i="1"/>
  <c r="C266" i="1" l="1"/>
  <c r="E266" i="1"/>
  <c r="P267" i="1"/>
  <c r="S267" i="1" s="1"/>
  <c r="O267" i="1"/>
  <c r="R267" i="1" s="1"/>
  <c r="L266" i="1"/>
  <c r="J266" i="1"/>
  <c r="H266" i="1"/>
  <c r="F266" i="1" l="1"/>
  <c r="D267" i="1" s="1"/>
  <c r="M266" i="1"/>
  <c r="I266" i="1"/>
  <c r="G266" i="1" s="1"/>
  <c r="C267" i="1" s="1"/>
  <c r="K266" i="1"/>
  <c r="N267" i="1"/>
  <c r="Q267" i="1" s="1"/>
  <c r="I267" i="1" l="1"/>
  <c r="G267" i="1" s="1"/>
  <c r="K267" i="1"/>
  <c r="M267" i="1"/>
  <c r="E267" i="1"/>
  <c r="C268" i="1" s="1"/>
  <c r="B267" i="1"/>
  <c r="J267" i="1" s="1"/>
  <c r="P268" i="1"/>
  <c r="S268" i="1" s="1"/>
  <c r="O268" i="1"/>
  <c r="R268" i="1" s="1"/>
  <c r="L267" i="1"/>
  <c r="E268" i="1" l="1"/>
  <c r="K268" i="1"/>
  <c r="N268" i="1"/>
  <c r="Q268" i="1" s="1"/>
  <c r="I268" i="1" s="1"/>
  <c r="G268" i="1" s="1"/>
  <c r="H267" i="1"/>
  <c r="F267" i="1" s="1"/>
  <c r="M268" i="1"/>
  <c r="E269" i="1" l="1"/>
  <c r="D268" i="1"/>
  <c r="C269" i="1"/>
  <c r="B268" i="1"/>
  <c r="P269" i="1" s="1"/>
  <c r="S269" i="1" s="1"/>
  <c r="J268" i="1" l="1"/>
  <c r="N269" i="1"/>
  <c r="Q269" i="1" s="1"/>
  <c r="O269" i="1"/>
  <c r="R269" i="1" s="1"/>
  <c r="K269" i="1" s="1"/>
  <c r="L268" i="1"/>
  <c r="H268" i="1"/>
  <c r="F268" i="1" s="1"/>
  <c r="I269" i="1"/>
  <c r="M269" i="1"/>
  <c r="G269" i="1" l="1"/>
  <c r="E270" i="1" s="1"/>
  <c r="D269" i="1"/>
  <c r="B269" i="1"/>
  <c r="J269" i="1" s="1"/>
  <c r="P270" i="1"/>
  <c r="H269" i="1"/>
  <c r="L269" i="1"/>
  <c r="F269" i="1" l="1"/>
  <c r="N270" i="1"/>
  <c r="Q270" i="1" s="1"/>
  <c r="O270" i="1"/>
  <c r="R270" i="1" s="1"/>
  <c r="C270" i="1"/>
  <c r="I270" i="1" s="1"/>
  <c r="S270" i="1"/>
  <c r="M270" i="1" s="1"/>
  <c r="D270" i="1"/>
  <c r="K270" i="1" l="1"/>
  <c r="G270" i="1"/>
  <c r="E271" i="1" s="1"/>
  <c r="C271" i="1"/>
  <c r="B270" i="1"/>
  <c r="J270" i="1" s="1"/>
  <c r="N271" i="1"/>
  <c r="Q271" i="1" s="1"/>
  <c r="H270" i="1"/>
  <c r="O271" i="1" l="1"/>
  <c r="R271" i="1" s="1"/>
  <c r="K271" i="1" s="1"/>
  <c r="P271" i="1"/>
  <c r="S271" i="1" s="1"/>
  <c r="M271" i="1" s="1"/>
  <c r="L270" i="1"/>
  <c r="F270" i="1" s="1"/>
  <c r="I271" i="1"/>
  <c r="G271" i="1" l="1"/>
  <c r="E272" i="1" s="1"/>
  <c r="C272" i="1"/>
  <c r="D271" i="1"/>
  <c r="B271" i="1"/>
  <c r="H271" i="1" s="1"/>
  <c r="L271" i="1" l="1"/>
  <c r="P272" i="1"/>
  <c r="N272" i="1"/>
  <c r="J271" i="1"/>
  <c r="F271" i="1" s="1"/>
  <c r="O272" i="1"/>
  <c r="R272" i="1" s="1"/>
  <c r="K272" i="1" s="1"/>
  <c r="Q272" i="1"/>
  <c r="I272" i="1" s="1"/>
  <c r="S272" i="1"/>
  <c r="M272" i="1" s="1"/>
  <c r="G272" i="1" l="1"/>
  <c r="E273" i="1" s="1"/>
  <c r="B272" i="1"/>
  <c r="J272" i="1" s="1"/>
  <c r="D272" i="1"/>
  <c r="O273" i="1"/>
  <c r="N273" i="1"/>
  <c r="Q273" i="1" s="1"/>
  <c r="P273" i="1"/>
  <c r="H272" i="1"/>
  <c r="L272" i="1" l="1"/>
  <c r="F272" i="1" s="1"/>
  <c r="B273" i="1" s="1"/>
  <c r="C273" i="1"/>
  <c r="I273" i="1"/>
  <c r="R273" i="1"/>
  <c r="K273" i="1" s="1"/>
  <c r="S273" i="1"/>
  <c r="M273" i="1" s="1"/>
  <c r="G273" i="1" l="1"/>
  <c r="E274" i="1" s="1"/>
  <c r="D273" i="1"/>
  <c r="C274" i="1" l="1"/>
  <c r="O274" i="1"/>
  <c r="R274" i="1" s="1"/>
  <c r="K274" i="1" s="1"/>
  <c r="N274" i="1"/>
  <c r="Q274" i="1" s="1"/>
  <c r="H273" i="1"/>
  <c r="P274" i="1"/>
  <c r="I274" i="1"/>
  <c r="L273" i="1"/>
  <c r="J273" i="1"/>
  <c r="F273" i="1" l="1"/>
  <c r="D274" i="1" s="1"/>
  <c r="S274" i="1"/>
  <c r="M274" i="1" s="1"/>
  <c r="G274" i="1" s="1"/>
  <c r="E275" i="1" s="1"/>
  <c r="C275" i="1" l="1"/>
  <c r="B274" i="1"/>
  <c r="O275" i="1" s="1"/>
  <c r="N275" i="1"/>
  <c r="J274" i="1"/>
  <c r="P275" i="1"/>
  <c r="H274" i="1" l="1"/>
  <c r="L274" i="1"/>
  <c r="Q275" i="1"/>
  <c r="I275" i="1" s="1"/>
  <c r="R275" i="1"/>
  <c r="K275" i="1" s="1"/>
  <c r="S275" i="1"/>
  <c r="M275" i="1" s="1"/>
  <c r="F274" i="1" l="1"/>
  <c r="G275" i="1"/>
  <c r="E276" i="1" s="1"/>
  <c r="D275" i="1"/>
  <c r="B275" i="1"/>
  <c r="J275" i="1" s="1"/>
  <c r="O276" i="1"/>
  <c r="R276" i="1" s="1"/>
  <c r="N276" i="1"/>
  <c r="Q276" i="1" s="1"/>
  <c r="P276" i="1"/>
  <c r="S276" i="1" s="1"/>
  <c r="H275" i="1"/>
  <c r="L275" i="1" l="1"/>
  <c r="F275" i="1" s="1"/>
  <c r="C276" i="1"/>
  <c r="I276" i="1"/>
  <c r="K276" i="1"/>
  <c r="M276" i="1"/>
  <c r="G276" i="1" l="1"/>
  <c r="E277" i="1" s="1"/>
  <c r="B276" i="1"/>
  <c r="D276" i="1"/>
  <c r="C277" i="1"/>
  <c r="O277" i="1" l="1"/>
  <c r="R277" i="1" s="1"/>
  <c r="N277" i="1"/>
  <c r="Q277" i="1" s="1"/>
  <c r="H276" i="1"/>
  <c r="P277" i="1"/>
  <c r="S277" i="1" s="1"/>
  <c r="L276" i="1"/>
  <c r="J276" i="1"/>
  <c r="F276" i="1" l="1"/>
  <c r="D277" i="1"/>
  <c r="I277" i="1"/>
  <c r="M277" i="1"/>
  <c r="K277" i="1"/>
  <c r="G277" i="1" l="1"/>
  <c r="E278" i="1" s="1"/>
  <c r="B277" i="1"/>
  <c r="O278" i="1" s="1"/>
  <c r="R278" i="1" s="1"/>
  <c r="N278" i="1"/>
  <c r="Q278" i="1" s="1"/>
  <c r="H277" i="1"/>
  <c r="J277" i="1" l="1"/>
  <c r="P278" i="1"/>
  <c r="S278" i="1" s="1"/>
  <c r="L277" i="1"/>
  <c r="C278" i="1"/>
  <c r="F277" i="1" l="1"/>
  <c r="D278" i="1"/>
  <c r="B278" i="1"/>
  <c r="P279" i="1" s="1"/>
  <c r="S279" i="1" s="1"/>
  <c r="L278" i="1"/>
  <c r="H278" i="1"/>
  <c r="O279" i="1"/>
  <c r="R279" i="1" s="1"/>
  <c r="I278" i="1"/>
  <c r="K278" i="1"/>
  <c r="M278" i="1"/>
  <c r="G278" i="1" l="1"/>
  <c r="E279" i="1" s="1"/>
  <c r="J278" i="1"/>
  <c r="F278" i="1" s="1"/>
  <c r="N279" i="1"/>
  <c r="Q279" i="1" s="1"/>
  <c r="D279" i="1" l="1"/>
  <c r="B279" i="1"/>
  <c r="C279" i="1"/>
  <c r="N280" i="1"/>
  <c r="Q280" i="1" s="1"/>
  <c r="J279" i="1" l="1"/>
  <c r="L279" i="1"/>
  <c r="H279" i="1"/>
  <c r="F279" i="1" s="1"/>
  <c r="P280" i="1"/>
  <c r="S280" i="1" s="1"/>
  <c r="O280" i="1"/>
  <c r="R280" i="1" s="1"/>
  <c r="I279" i="1"/>
  <c r="K279" i="1"/>
  <c r="M279" i="1"/>
  <c r="D280" i="1" l="1"/>
  <c r="B280" i="1"/>
  <c r="G279" i="1"/>
  <c r="E280" i="1" s="1"/>
  <c r="J280" i="1"/>
  <c r="H280" i="1"/>
  <c r="L280" i="1"/>
  <c r="F280" i="1" l="1"/>
  <c r="C280" i="1"/>
  <c r="N281" i="1" s="1"/>
  <c r="Q281" i="1" s="1"/>
  <c r="B281" i="1" l="1"/>
  <c r="D281" i="1"/>
  <c r="P281" i="1"/>
  <c r="S281" i="1" s="1"/>
  <c r="O281" i="1"/>
  <c r="R281" i="1" s="1"/>
  <c r="H281" i="1"/>
  <c r="K280" i="1"/>
  <c r="I280" i="1"/>
  <c r="M280" i="1"/>
  <c r="G280" i="1" l="1"/>
  <c r="E281" i="1" s="1"/>
  <c r="L281" i="1"/>
  <c r="J281" i="1"/>
  <c r="F281" i="1" s="1"/>
  <c r="B282" i="1" l="1"/>
  <c r="C281" i="1"/>
  <c r="D282" i="1"/>
  <c r="N282" i="1"/>
  <c r="Q282" i="1" s="1"/>
  <c r="P282" i="1" l="1"/>
  <c r="S282" i="1" s="1"/>
  <c r="O282" i="1"/>
  <c r="R282" i="1" s="1"/>
  <c r="J282" i="1" s="1"/>
  <c r="H282" i="1"/>
  <c r="L282" i="1"/>
  <c r="M281" i="1"/>
  <c r="I281" i="1"/>
  <c r="K281" i="1"/>
  <c r="G281" i="1" l="1"/>
  <c r="E282" i="1" s="1"/>
  <c r="F282" i="1"/>
  <c r="C282" i="1"/>
  <c r="P283" i="1" s="1"/>
  <c r="B283" i="1"/>
  <c r="D283" i="1"/>
  <c r="O283" i="1"/>
  <c r="R283" i="1" s="1"/>
  <c r="N283" i="1"/>
  <c r="J283" i="1" l="1"/>
  <c r="M282" i="1"/>
  <c r="K282" i="1"/>
  <c r="I282" i="1"/>
  <c r="Q283" i="1"/>
  <c r="H283" i="1" s="1"/>
  <c r="S283" i="1"/>
  <c r="L283" i="1" s="1"/>
  <c r="F283" i="1" l="1"/>
  <c r="G282" i="1"/>
  <c r="E283" i="1" s="1"/>
  <c r="C283" i="1" l="1"/>
  <c r="O284" i="1"/>
  <c r="R284" i="1" s="1"/>
  <c r="P284" i="1"/>
  <c r="S284" i="1" s="1"/>
  <c r="M283" i="1"/>
  <c r="N284" i="1"/>
  <c r="Q284" i="1" s="1"/>
  <c r="H284" i="1" s="1"/>
  <c r="B284" i="1"/>
  <c r="L284" i="1" s="1"/>
  <c r="D284" i="1"/>
  <c r="J284" i="1" l="1"/>
  <c r="F284" i="1" s="1"/>
  <c r="B285" i="1" s="1"/>
  <c r="I283" i="1"/>
  <c r="K283" i="1"/>
  <c r="G283" i="1" l="1"/>
  <c r="E284" i="1" s="1"/>
  <c r="C284" i="1"/>
  <c r="I284" i="1"/>
  <c r="K284" i="1"/>
  <c r="M284" i="1"/>
  <c r="N285" i="1"/>
  <c r="Q285" i="1" s="1"/>
  <c r="D285" i="1"/>
  <c r="O285" i="1" l="1"/>
  <c r="R285" i="1" s="1"/>
  <c r="P285" i="1"/>
  <c r="S285" i="1" s="1"/>
  <c r="G284" i="1"/>
  <c r="E285" i="1" s="1"/>
  <c r="H285" i="1"/>
  <c r="F285" i="1" s="1"/>
  <c r="L285" i="1"/>
  <c r="J285" i="1"/>
  <c r="C285" i="1" l="1"/>
  <c r="I285" i="1" l="1"/>
  <c r="N286" i="1"/>
  <c r="Q286" i="1" s="1"/>
  <c r="K285" i="1"/>
  <c r="M285" i="1"/>
  <c r="O286" i="1"/>
  <c r="R286" i="1" s="1"/>
  <c r="P286" i="1"/>
  <c r="S286" i="1" s="1"/>
  <c r="B286" i="1"/>
  <c r="D286" i="1"/>
  <c r="G285" i="1" l="1"/>
  <c r="E286" i="1" s="1"/>
  <c r="L286" i="1"/>
  <c r="J286" i="1"/>
  <c r="H286" i="1"/>
  <c r="F286" i="1" s="1"/>
  <c r="C286" i="1" l="1"/>
  <c r="D287" i="1"/>
  <c r="M286" i="1" l="1"/>
  <c r="K286" i="1"/>
  <c r="I286" i="1"/>
  <c r="N287" i="1"/>
  <c r="Q287" i="1" s="1"/>
  <c r="P287" i="1"/>
  <c r="S287" i="1" s="1"/>
  <c r="O287" i="1"/>
  <c r="R287" i="1" s="1"/>
  <c r="B287" i="1"/>
  <c r="J287" i="1" l="1"/>
  <c r="G286" i="1"/>
  <c r="L287" i="1"/>
  <c r="H287" i="1"/>
  <c r="F287" i="1" s="1"/>
  <c r="C287" i="1" l="1"/>
  <c r="E287" i="1"/>
  <c r="I287" i="1"/>
  <c r="M287" i="1"/>
  <c r="N288" i="1"/>
  <c r="Q288" i="1" s="1"/>
  <c r="P288" i="1"/>
  <c r="S288" i="1" s="1"/>
  <c r="K287" i="1"/>
  <c r="O288" i="1"/>
  <c r="R288" i="1" s="1"/>
  <c r="D288" i="1"/>
  <c r="B288" i="1" l="1"/>
  <c r="J288" i="1" s="1"/>
  <c r="G287" i="1"/>
  <c r="E288" i="1" s="1"/>
  <c r="L288" i="1"/>
  <c r="H288" i="1"/>
  <c r="F288" i="1" s="1"/>
  <c r="C288" i="1" l="1"/>
  <c r="B289" i="1"/>
  <c r="D289" i="1"/>
  <c r="M288" i="1" l="1"/>
  <c r="N289" i="1"/>
  <c r="Q289" i="1" s="1"/>
  <c r="O289" i="1"/>
  <c r="R289" i="1" s="1"/>
  <c r="J289" i="1" s="1"/>
  <c r="P289" i="1"/>
  <c r="S289" i="1" s="1"/>
  <c r="L289" i="1" s="1"/>
  <c r="K288" i="1"/>
  <c r="I288" i="1"/>
  <c r="G288" i="1" s="1"/>
  <c r="E289" i="1" s="1"/>
  <c r="H289" i="1"/>
  <c r="F289" i="1" l="1"/>
  <c r="C289" i="1"/>
  <c r="K289" i="1" s="1"/>
  <c r="M289" i="1"/>
  <c r="I289" i="1"/>
  <c r="N290" i="1"/>
  <c r="Q290" i="1" s="1"/>
  <c r="G289" i="1" l="1"/>
  <c r="E290" i="1" s="1"/>
  <c r="O290" i="1"/>
  <c r="R290" i="1" s="1"/>
  <c r="P290" i="1"/>
  <c r="S290" i="1" s="1"/>
  <c r="B290" i="1"/>
  <c r="D290" i="1"/>
  <c r="C290" i="1"/>
  <c r="N291" i="1" s="1"/>
  <c r="Q291" i="1" s="1"/>
  <c r="M290" i="1" l="1"/>
  <c r="I290" i="1"/>
  <c r="K290" i="1"/>
  <c r="P291" i="1"/>
  <c r="O291" i="1"/>
  <c r="R291" i="1" s="1"/>
  <c r="L290" i="1"/>
  <c r="J290" i="1"/>
  <c r="H290" i="1"/>
  <c r="F290" i="1" l="1"/>
  <c r="G290" i="1"/>
  <c r="E291" i="1" s="1"/>
  <c r="C291" i="1"/>
  <c r="D291" i="1"/>
  <c r="S291" i="1"/>
  <c r="M291" i="1" s="1"/>
  <c r="B291" i="1" l="1"/>
  <c r="N292" i="1" s="1"/>
  <c r="Q292" i="1" s="1"/>
  <c r="I291" i="1"/>
  <c r="K291" i="1"/>
  <c r="P292" i="1"/>
  <c r="S292" i="1" s="1"/>
  <c r="O292" i="1"/>
  <c r="R292" i="1" s="1"/>
  <c r="L291" i="1"/>
  <c r="G291" i="1" l="1"/>
  <c r="E292" i="1" s="1"/>
  <c r="C292" i="1"/>
  <c r="H291" i="1"/>
  <c r="J291" i="1"/>
  <c r="K292" i="1"/>
  <c r="I292" i="1"/>
  <c r="G292" i="1" s="1"/>
  <c r="M292" i="1"/>
  <c r="E293" i="1" l="1"/>
  <c r="F291" i="1"/>
  <c r="B292" i="1" s="1"/>
  <c r="N293" i="1" s="1"/>
  <c r="Q293" i="1" s="1"/>
  <c r="C293" i="1"/>
  <c r="D292" i="1"/>
  <c r="P293" i="1" l="1"/>
  <c r="S293" i="1" s="1"/>
  <c r="O293" i="1"/>
  <c r="R293" i="1" s="1"/>
  <c r="K293" i="1" s="1"/>
  <c r="L292" i="1"/>
  <c r="J292" i="1"/>
  <c r="H292" i="1"/>
  <c r="M293" i="1"/>
  <c r="I293" i="1"/>
  <c r="G293" i="1" s="1"/>
  <c r="E294" i="1" s="1"/>
  <c r="F292" i="1" l="1"/>
  <c r="C294" i="1"/>
  <c r="B293" i="1"/>
  <c r="N294" i="1" s="1"/>
  <c r="Q294" i="1" s="1"/>
  <c r="D293" i="1"/>
  <c r="P294" i="1" l="1"/>
  <c r="S294" i="1" s="1"/>
  <c r="O294" i="1"/>
  <c r="R294" i="1" s="1"/>
  <c r="K294" i="1" s="1"/>
  <c r="L293" i="1"/>
  <c r="J293" i="1"/>
  <c r="H293" i="1"/>
  <c r="M294" i="1"/>
  <c r="I294" i="1"/>
  <c r="F293" i="1" l="1"/>
  <c r="G294" i="1"/>
  <c r="E295" i="1" s="1"/>
  <c r="B294" i="1"/>
  <c r="D294" i="1"/>
  <c r="N295" i="1"/>
  <c r="Q295" i="1" s="1"/>
  <c r="C295" i="1" l="1"/>
  <c r="I295" i="1" s="1"/>
  <c r="P295" i="1"/>
  <c r="S295" i="1" s="1"/>
  <c r="M295" i="1" s="1"/>
  <c r="O295" i="1"/>
  <c r="R295" i="1" s="1"/>
  <c r="L294" i="1"/>
  <c r="J294" i="1"/>
  <c r="H294" i="1"/>
  <c r="K295" i="1"/>
  <c r="F294" i="1" l="1"/>
  <c r="G295" i="1"/>
  <c r="E296" i="1" s="1"/>
  <c r="C296" i="1" l="1"/>
  <c r="B295" i="1"/>
  <c r="N296" i="1" s="1"/>
  <c r="Q296" i="1" s="1"/>
  <c r="D295" i="1"/>
  <c r="P296" i="1" l="1"/>
  <c r="S296" i="1" s="1"/>
  <c r="M296" i="1" s="1"/>
  <c r="O296" i="1"/>
  <c r="R296" i="1" s="1"/>
  <c r="L295" i="1"/>
  <c r="J295" i="1"/>
  <c r="I296" i="1"/>
  <c r="H295" i="1"/>
  <c r="F295" i="1" s="1"/>
  <c r="K296" i="1"/>
  <c r="G296" i="1" l="1"/>
  <c r="E297" i="1" s="1"/>
  <c r="C297" i="1"/>
  <c r="B296" i="1"/>
  <c r="D296" i="1"/>
  <c r="N297" i="1"/>
  <c r="Q297" i="1" s="1"/>
  <c r="P297" i="1" l="1"/>
  <c r="S297" i="1" s="1"/>
  <c r="O297" i="1"/>
  <c r="L296" i="1"/>
  <c r="J296" i="1"/>
  <c r="H296" i="1"/>
  <c r="F296" i="1" s="1"/>
  <c r="M297" i="1"/>
  <c r="I297" i="1"/>
  <c r="R297" i="1" l="1"/>
  <c r="K297" i="1" s="1"/>
  <c r="G297" i="1" l="1"/>
  <c r="E298" i="1" s="1"/>
  <c r="B297" i="1"/>
  <c r="D297" i="1"/>
  <c r="C298" i="1"/>
  <c r="N298" i="1"/>
  <c r="Q298" i="1" s="1"/>
  <c r="P298" i="1" l="1"/>
  <c r="S298" i="1" s="1"/>
  <c r="M298" i="1" s="1"/>
  <c r="O298" i="1"/>
  <c r="R298" i="1" s="1"/>
  <c r="L297" i="1"/>
  <c r="J297" i="1"/>
  <c r="H297" i="1"/>
  <c r="F297" i="1" s="1"/>
  <c r="K298" i="1"/>
  <c r="I298" i="1"/>
  <c r="G298" i="1" l="1"/>
  <c r="E299" i="1" s="1"/>
  <c r="C299" i="1" l="1"/>
  <c r="B298" i="1"/>
  <c r="D298" i="1"/>
  <c r="N299" i="1"/>
  <c r="Q299" i="1" s="1"/>
  <c r="P299" i="1" l="1"/>
  <c r="S299" i="1" s="1"/>
  <c r="O299" i="1"/>
  <c r="R299" i="1" s="1"/>
  <c r="K299" i="1" s="1"/>
  <c r="L298" i="1"/>
  <c r="J298" i="1"/>
  <c r="M299" i="1"/>
  <c r="I299" i="1"/>
  <c r="H298" i="1"/>
  <c r="F298" i="1" s="1"/>
  <c r="G299" i="1" l="1"/>
  <c r="E300" i="1" s="1"/>
  <c r="D299" i="1"/>
  <c r="B299" i="1"/>
  <c r="N300" i="1" s="1"/>
  <c r="Q300" i="1" s="1"/>
  <c r="C300" i="1" l="1"/>
  <c r="P300" i="1"/>
  <c r="S300" i="1" s="1"/>
  <c r="O300" i="1"/>
  <c r="R300" i="1" s="1"/>
  <c r="L299" i="1"/>
  <c r="J299" i="1"/>
  <c r="H299" i="1"/>
  <c r="F299" i="1" s="1"/>
  <c r="I300" i="1" l="1"/>
  <c r="K300" i="1"/>
  <c r="M300" i="1"/>
  <c r="G300" i="1" l="1"/>
  <c r="E301" i="1" s="1"/>
  <c r="B300" i="1"/>
  <c r="D300" i="1"/>
  <c r="N301" i="1"/>
  <c r="Q301" i="1" s="1"/>
  <c r="C301" i="1" l="1"/>
  <c r="P301" i="1"/>
  <c r="S301" i="1" s="1"/>
  <c r="O301" i="1"/>
  <c r="R301" i="1" s="1"/>
  <c r="L300" i="1"/>
  <c r="J300" i="1"/>
  <c r="H300" i="1"/>
  <c r="F300" i="1" l="1"/>
  <c r="D301" i="1"/>
  <c r="M301" i="1"/>
  <c r="I301" i="1"/>
  <c r="K301" i="1"/>
  <c r="G301" i="1" l="1"/>
  <c r="E302" i="1" s="1"/>
  <c r="B301" i="1"/>
  <c r="H301" i="1" s="1"/>
  <c r="P302" i="1"/>
  <c r="S302" i="1" s="1"/>
  <c r="O302" i="1"/>
  <c r="R302" i="1" s="1"/>
  <c r="L301" i="1"/>
  <c r="J301" i="1"/>
  <c r="F301" i="1" l="1"/>
  <c r="C302" i="1"/>
  <c r="N302" i="1"/>
  <c r="Q302" i="1" s="1"/>
  <c r="I302" i="1" s="1"/>
  <c r="G302" i="1" s="1"/>
  <c r="E303" i="1" s="1"/>
  <c r="K302" i="1"/>
  <c r="M302" i="1"/>
  <c r="B302" i="1" l="1"/>
  <c r="D302" i="1"/>
  <c r="C303" i="1"/>
  <c r="N303" i="1"/>
  <c r="Q303" i="1" s="1"/>
  <c r="P303" i="1" l="1"/>
  <c r="S303" i="1" s="1"/>
  <c r="M303" i="1" s="1"/>
  <c r="O303" i="1"/>
  <c r="R303" i="1" s="1"/>
  <c r="L302" i="1"/>
  <c r="J302" i="1"/>
  <c r="I303" i="1"/>
  <c r="K303" i="1"/>
  <c r="H302" i="1"/>
  <c r="F302" i="1" s="1"/>
  <c r="G303" i="1" l="1"/>
  <c r="E304" i="1" s="1"/>
  <c r="D303" i="1"/>
  <c r="C304" i="1"/>
  <c r="B303" i="1" l="1"/>
  <c r="J303" i="1" s="1"/>
  <c r="N304" i="1" l="1"/>
  <c r="Q304" i="1" s="1"/>
  <c r="L303" i="1"/>
  <c r="O304" i="1"/>
  <c r="R304" i="1" s="1"/>
  <c r="K304" i="1" s="1"/>
  <c r="P304" i="1"/>
  <c r="S304" i="1" s="1"/>
  <c r="M304" i="1" s="1"/>
  <c r="H303" i="1"/>
  <c r="F303" i="1" s="1"/>
  <c r="I304" i="1"/>
  <c r="G304" i="1" l="1"/>
  <c r="E305" i="1" s="1"/>
  <c r="D304" i="1"/>
  <c r="B304" i="1"/>
  <c r="H304" i="1" s="1"/>
  <c r="L304" i="1"/>
  <c r="O305" i="1" l="1"/>
  <c r="R305" i="1" s="1"/>
  <c r="P305" i="1"/>
  <c r="N305" i="1"/>
  <c r="Q305" i="1" s="1"/>
  <c r="J304" i="1"/>
  <c r="F304" i="1" s="1"/>
  <c r="C305" i="1"/>
  <c r="I305" i="1" s="1"/>
  <c r="S305" i="1"/>
  <c r="M305" i="1" s="1"/>
  <c r="D305" i="1" l="1"/>
  <c r="B305" i="1"/>
  <c r="N306" i="1" s="1"/>
  <c r="Q306" i="1" s="1"/>
  <c r="K305" i="1"/>
  <c r="G305" i="1" s="1"/>
  <c r="E306" i="1" s="1"/>
  <c r="P306" i="1"/>
  <c r="S306" i="1" s="1"/>
  <c r="O306" i="1"/>
  <c r="R306" i="1" s="1"/>
  <c r="L305" i="1"/>
  <c r="J305" i="1"/>
  <c r="H305" i="1" l="1"/>
  <c r="F305" i="1" s="1"/>
  <c r="C306" i="1"/>
  <c r="I306" i="1" s="1"/>
  <c r="M306" i="1"/>
  <c r="K306" i="1"/>
  <c r="D306" i="1"/>
  <c r="G306" i="1" l="1"/>
  <c r="B306" i="1"/>
  <c r="O307" i="1" s="1"/>
  <c r="R307" i="1" s="1"/>
  <c r="L306" i="1"/>
  <c r="J306" i="1"/>
  <c r="H306" i="1"/>
  <c r="F306" i="1" s="1"/>
  <c r="C307" i="1" l="1"/>
  <c r="E307" i="1"/>
  <c r="N307" i="1"/>
  <c r="Q307" i="1" s="1"/>
  <c r="P307" i="1"/>
  <c r="S307" i="1" s="1"/>
  <c r="K307" i="1"/>
  <c r="I307" i="1"/>
  <c r="M307" i="1"/>
  <c r="G307" i="1" l="1"/>
  <c r="E308" i="1"/>
  <c r="B307" i="1"/>
  <c r="D307" i="1"/>
  <c r="N308" i="1"/>
  <c r="Q308" i="1" s="1"/>
  <c r="C308" i="1" l="1"/>
  <c r="I308" i="1" s="1"/>
  <c r="P308" i="1"/>
  <c r="S308" i="1" s="1"/>
  <c r="O308" i="1"/>
  <c r="R308" i="1" s="1"/>
  <c r="K308" i="1" s="1"/>
  <c r="L307" i="1"/>
  <c r="J307" i="1"/>
  <c r="H307" i="1"/>
  <c r="F307" i="1" s="1"/>
  <c r="M308" i="1"/>
  <c r="G308" i="1" l="1"/>
  <c r="E309" i="1" s="1"/>
  <c r="C309" i="1"/>
  <c r="B308" i="1" l="1"/>
  <c r="D308" i="1"/>
  <c r="N309" i="1"/>
  <c r="Q309" i="1" s="1"/>
  <c r="P309" i="1" l="1"/>
  <c r="O309" i="1"/>
  <c r="R309" i="1" s="1"/>
  <c r="K309" i="1" s="1"/>
  <c r="L308" i="1"/>
  <c r="J308" i="1"/>
  <c r="I309" i="1"/>
  <c r="H308" i="1"/>
  <c r="F308" i="1" s="1"/>
  <c r="S309" i="1" l="1"/>
  <c r="M309" i="1" s="1"/>
  <c r="G309" i="1" s="1"/>
  <c r="E310" i="1" s="1"/>
  <c r="C310" i="1" l="1"/>
  <c r="B309" i="1"/>
  <c r="D309" i="1"/>
  <c r="N310" i="1"/>
  <c r="Q310" i="1" s="1"/>
  <c r="P310" i="1" l="1"/>
  <c r="S310" i="1" s="1"/>
  <c r="O310" i="1"/>
  <c r="R310" i="1" s="1"/>
  <c r="L309" i="1"/>
  <c r="J309" i="1"/>
  <c r="M310" i="1"/>
  <c r="I310" i="1"/>
  <c r="G310" i="1" s="1"/>
  <c r="E311" i="1" s="1"/>
  <c r="K310" i="1"/>
  <c r="H309" i="1"/>
  <c r="F309" i="1" s="1"/>
  <c r="D310" i="1" l="1"/>
  <c r="C311" i="1" l="1"/>
  <c r="B310" i="1"/>
  <c r="J310" i="1" s="1"/>
  <c r="H310" i="1" l="1"/>
  <c r="N311" i="1"/>
  <c r="Q311" i="1" s="1"/>
  <c r="L310" i="1"/>
  <c r="O311" i="1"/>
  <c r="R311" i="1" s="1"/>
  <c r="K311" i="1" s="1"/>
  <c r="P311" i="1"/>
  <c r="S311" i="1" s="1"/>
  <c r="M311" i="1" s="1"/>
  <c r="I311" i="1"/>
  <c r="G311" i="1" l="1"/>
  <c r="E312" i="1" s="1"/>
  <c r="F310" i="1"/>
  <c r="B311" i="1"/>
  <c r="D311" i="1"/>
  <c r="N312" i="1"/>
  <c r="Q312" i="1" s="1"/>
  <c r="C312" i="1" l="1"/>
  <c r="P312" i="1"/>
  <c r="S312" i="1" s="1"/>
  <c r="O312" i="1"/>
  <c r="R312" i="1" s="1"/>
  <c r="L311" i="1"/>
  <c r="J311" i="1"/>
  <c r="H311" i="1"/>
  <c r="F311" i="1" l="1"/>
  <c r="K312" i="1"/>
  <c r="M312" i="1"/>
  <c r="I312" i="1"/>
  <c r="G312" i="1" s="1"/>
  <c r="E313" i="1" s="1"/>
  <c r="C313" i="1" l="1"/>
  <c r="B312" i="1"/>
  <c r="D312" i="1"/>
  <c r="N313" i="1"/>
  <c r="Q313" i="1" s="1"/>
  <c r="P313" i="1" l="1"/>
  <c r="S313" i="1" s="1"/>
  <c r="O313" i="1"/>
  <c r="R313" i="1" s="1"/>
  <c r="K313" i="1" s="1"/>
  <c r="L312" i="1"/>
  <c r="J312" i="1"/>
  <c r="H312" i="1"/>
  <c r="F312" i="1" s="1"/>
  <c r="M313" i="1"/>
  <c r="I313" i="1"/>
  <c r="G313" i="1" s="1"/>
  <c r="E314" i="1" s="1"/>
  <c r="C314" i="1" l="1"/>
  <c r="B313" i="1"/>
  <c r="N314" i="1" s="1"/>
  <c r="Q314" i="1" s="1"/>
  <c r="D313" i="1"/>
  <c r="P314" i="1" l="1"/>
  <c r="S314" i="1" s="1"/>
  <c r="O314" i="1"/>
  <c r="R314" i="1" s="1"/>
  <c r="K314" i="1" s="1"/>
  <c r="L313" i="1"/>
  <c r="J313" i="1"/>
  <c r="H313" i="1"/>
  <c r="F313" i="1" s="1"/>
  <c r="M314" i="1"/>
  <c r="I314" i="1"/>
  <c r="G314" i="1" s="1"/>
  <c r="E315" i="1" s="1"/>
  <c r="C315" i="1" l="1"/>
  <c r="B314" i="1"/>
  <c r="N315" i="1" s="1"/>
  <c r="Q315" i="1" s="1"/>
  <c r="D314" i="1"/>
  <c r="P315" i="1" l="1"/>
  <c r="S315" i="1" s="1"/>
  <c r="O315" i="1"/>
  <c r="R315" i="1" s="1"/>
  <c r="K315" i="1" s="1"/>
  <c r="L314" i="1"/>
  <c r="J314" i="1"/>
  <c r="M315" i="1"/>
  <c r="I315" i="1"/>
  <c r="G315" i="1" s="1"/>
  <c r="E316" i="1" s="1"/>
  <c r="H314" i="1"/>
  <c r="F314" i="1" s="1"/>
  <c r="D315" i="1" l="1"/>
  <c r="B315" i="1" l="1"/>
  <c r="N316" i="1" s="1"/>
  <c r="Q316" i="1" s="1"/>
  <c r="C316" i="1"/>
  <c r="P316" i="1"/>
  <c r="S316" i="1" s="1"/>
  <c r="O316" i="1"/>
  <c r="R316" i="1" s="1"/>
  <c r="L315" i="1"/>
  <c r="J315" i="1"/>
  <c r="H315" i="1"/>
  <c r="F315" i="1" l="1"/>
  <c r="D316" i="1"/>
  <c r="B316" i="1"/>
  <c r="K316" i="1"/>
  <c r="I316" i="1"/>
  <c r="M316" i="1"/>
  <c r="N317" i="1"/>
  <c r="Q317" i="1" s="1"/>
  <c r="G316" i="1" l="1"/>
  <c r="E317" i="1" s="1"/>
  <c r="P317" i="1"/>
  <c r="S317" i="1" s="1"/>
  <c r="O317" i="1"/>
  <c r="R317" i="1" s="1"/>
  <c r="L316" i="1"/>
  <c r="J316" i="1"/>
  <c r="H316" i="1"/>
  <c r="F316" i="1" l="1"/>
  <c r="C317" i="1"/>
  <c r="I317" i="1" s="1"/>
  <c r="B317" i="1" l="1"/>
  <c r="D317" i="1"/>
  <c r="M317" i="1"/>
  <c r="K317" i="1"/>
  <c r="G317" i="1" s="1"/>
  <c r="E318" i="1" s="1"/>
  <c r="N318" i="1"/>
  <c r="Q318" i="1" s="1"/>
  <c r="P318" i="1" l="1"/>
  <c r="S318" i="1" s="1"/>
  <c r="O318" i="1"/>
  <c r="R318" i="1" s="1"/>
  <c r="L317" i="1"/>
  <c r="J317" i="1"/>
  <c r="H317" i="1"/>
  <c r="F317" i="1" s="1"/>
  <c r="C318" i="1" l="1"/>
  <c r="B318" i="1" l="1"/>
  <c r="D318" i="1"/>
  <c r="K318" i="1"/>
  <c r="I318" i="1"/>
  <c r="G318" i="1" s="1"/>
  <c r="E319" i="1" s="1"/>
  <c r="M318" i="1"/>
  <c r="N319" i="1"/>
  <c r="Q319" i="1" s="1"/>
  <c r="P319" i="1" l="1"/>
  <c r="S319" i="1" s="1"/>
  <c r="O319" i="1"/>
  <c r="R319" i="1" s="1"/>
  <c r="L318" i="1"/>
  <c r="J318" i="1"/>
  <c r="H318" i="1"/>
  <c r="F318" i="1" s="1"/>
  <c r="C319" i="1" l="1"/>
  <c r="D319" i="1"/>
  <c r="I319" i="1"/>
  <c r="B319" i="1" l="1"/>
  <c r="N320" i="1" s="1"/>
  <c r="Q320" i="1" s="1"/>
  <c r="L319" i="1"/>
  <c r="J319" i="1"/>
  <c r="K319" i="1"/>
  <c r="M319" i="1"/>
  <c r="G319" i="1" l="1"/>
  <c r="E320" i="1" s="1"/>
  <c r="O320" i="1"/>
  <c r="R320" i="1" s="1"/>
  <c r="H319" i="1"/>
  <c r="F319" i="1" s="1"/>
  <c r="P320" i="1"/>
  <c r="S320" i="1" s="1"/>
  <c r="D320" i="1"/>
  <c r="C320" i="1" l="1"/>
  <c r="B320" i="1"/>
  <c r="H320" i="1" s="1"/>
  <c r="K320" i="1"/>
  <c r="I320" i="1"/>
  <c r="O321" i="1" l="1"/>
  <c r="R321" i="1" s="1"/>
  <c r="P321" i="1"/>
  <c r="S321" i="1" s="1"/>
  <c r="M320" i="1"/>
  <c r="G320" i="1" s="1"/>
  <c r="E321" i="1" s="1"/>
  <c r="L320" i="1"/>
  <c r="J320" i="1"/>
  <c r="F320" i="1" s="1"/>
  <c r="N321" i="1"/>
  <c r="Q321" i="1" s="1"/>
  <c r="C321" i="1" l="1"/>
  <c r="B321" i="1"/>
  <c r="N322" i="1" s="1"/>
  <c r="Q322" i="1" s="1"/>
  <c r="D321" i="1"/>
  <c r="I321" i="1"/>
  <c r="K321" i="1"/>
  <c r="M321" i="1"/>
  <c r="O322" i="1"/>
  <c r="R322" i="1" s="1"/>
  <c r="G321" i="1" l="1"/>
  <c r="E322" i="1" s="1"/>
  <c r="H321" i="1"/>
  <c r="J321" i="1"/>
  <c r="L321" i="1"/>
  <c r="P322" i="1"/>
  <c r="S322" i="1" s="1"/>
  <c r="C322" i="1"/>
  <c r="F321" i="1" l="1"/>
  <c r="D322" i="1"/>
  <c r="B322" i="1"/>
  <c r="L322" i="1" s="1"/>
  <c r="K322" i="1"/>
  <c r="I322" i="1"/>
  <c r="M322" i="1"/>
  <c r="G322" i="1" l="1"/>
  <c r="E323" i="1" s="1"/>
  <c r="O323" i="1"/>
  <c r="R323" i="1" s="1"/>
  <c r="C323" i="1"/>
  <c r="N323" i="1"/>
  <c r="Q323" i="1" s="1"/>
  <c r="H322" i="1"/>
  <c r="J322" i="1"/>
  <c r="P323" i="1"/>
  <c r="S323" i="1" s="1"/>
  <c r="F322" i="1" l="1"/>
  <c r="D323" i="1"/>
  <c r="K323" i="1"/>
  <c r="I323" i="1"/>
  <c r="G323" i="1" s="1"/>
  <c r="E324" i="1" s="1"/>
  <c r="M323" i="1"/>
  <c r="B323" i="1" l="1"/>
  <c r="C324" i="1" l="1"/>
  <c r="J323" i="1"/>
  <c r="H323" i="1"/>
  <c r="O324" i="1"/>
  <c r="R324" i="1" s="1"/>
  <c r="N324" i="1"/>
  <c r="Q324" i="1" s="1"/>
  <c r="P324" i="1"/>
  <c r="S324" i="1" s="1"/>
  <c r="L323" i="1"/>
  <c r="F323" i="1" l="1"/>
  <c r="D324" i="1"/>
  <c r="K324" i="1"/>
  <c r="I324" i="1"/>
  <c r="M324" i="1"/>
  <c r="G324" i="1" l="1"/>
  <c r="E325" i="1" s="1"/>
  <c r="B324" i="1"/>
  <c r="C325" i="1" l="1"/>
  <c r="L324" i="1"/>
  <c r="P325" i="1"/>
  <c r="S325" i="1" s="1"/>
  <c r="M325" i="1" s="1"/>
  <c r="H324" i="1"/>
  <c r="J324" i="1"/>
  <c r="N325" i="1"/>
  <c r="Q325" i="1" s="1"/>
  <c r="O325" i="1"/>
  <c r="R325" i="1" s="1"/>
  <c r="K325" i="1" s="1"/>
  <c r="F324" i="1" l="1"/>
  <c r="D325" i="1"/>
  <c r="I325" i="1"/>
  <c r="B325" i="1"/>
  <c r="G325" i="1" l="1"/>
  <c r="L325" i="1"/>
  <c r="N326" i="1"/>
  <c r="Q326" i="1" s="1"/>
  <c r="P326" i="1"/>
  <c r="S326" i="1" s="1"/>
  <c r="O326" i="1"/>
  <c r="R326" i="1" s="1"/>
  <c r="J325" i="1"/>
  <c r="H325" i="1"/>
  <c r="F325" i="1" s="1"/>
  <c r="C326" i="1" l="1"/>
  <c r="K326" i="1" s="1"/>
  <c r="E326" i="1"/>
  <c r="D326" i="1"/>
  <c r="B326" i="1"/>
  <c r="I326" i="1" l="1"/>
  <c r="G326" i="1" s="1"/>
  <c r="E327" i="1" s="1"/>
  <c r="M326" i="1"/>
  <c r="L326" i="1"/>
  <c r="J326" i="1"/>
  <c r="H326" i="1"/>
  <c r="F326" i="1" s="1"/>
  <c r="P327" i="1"/>
  <c r="S327" i="1" s="1"/>
  <c r="N327" i="1"/>
  <c r="Q327" i="1" s="1"/>
  <c r="O327" i="1"/>
  <c r="R327" i="1" s="1"/>
  <c r="C327" i="1" l="1"/>
  <c r="M327" i="1" s="1"/>
  <c r="B327" i="1"/>
  <c r="O328" i="1" s="1"/>
  <c r="R328" i="1" s="1"/>
  <c r="D327" i="1"/>
  <c r="L327" i="1"/>
  <c r="J327" i="1"/>
  <c r="H327" i="1"/>
  <c r="F327" i="1" s="1"/>
  <c r="I327" i="1"/>
  <c r="K327" i="1"/>
  <c r="N328" i="1"/>
  <c r="Q328" i="1" s="1"/>
  <c r="P328" i="1" l="1"/>
  <c r="S328" i="1" s="1"/>
  <c r="G327" i="1"/>
  <c r="E328" i="1" s="1"/>
  <c r="B328" i="1"/>
  <c r="D328" i="1"/>
  <c r="J328" i="1" l="1"/>
  <c r="H328" i="1"/>
  <c r="L328" i="1"/>
  <c r="C328" i="1"/>
  <c r="F328" i="1" l="1"/>
  <c r="D329" i="1"/>
  <c r="B329" i="1"/>
  <c r="I328" i="1"/>
  <c r="K328" i="1"/>
  <c r="M328" i="1"/>
  <c r="N329" i="1"/>
  <c r="Q329" i="1" s="1"/>
  <c r="O329" i="1"/>
  <c r="R329" i="1" s="1"/>
  <c r="P329" i="1"/>
  <c r="S329" i="1" s="1"/>
  <c r="G328" i="1" l="1"/>
  <c r="E329" i="1" s="1"/>
  <c r="L329" i="1"/>
  <c r="J329" i="1"/>
  <c r="H329" i="1"/>
  <c r="F329" i="1" s="1"/>
  <c r="B330" i="1" l="1"/>
  <c r="D330" i="1"/>
  <c r="C329" i="1"/>
  <c r="I329" i="1" s="1"/>
  <c r="O330" i="1"/>
  <c r="R330" i="1" s="1"/>
  <c r="N330" i="1"/>
  <c r="Q330" i="1" s="1"/>
  <c r="P330" i="1" l="1"/>
  <c r="S330" i="1" s="1"/>
  <c r="M329" i="1"/>
  <c r="K329" i="1"/>
  <c r="G329" i="1" s="1"/>
  <c r="E330" i="1" s="1"/>
  <c r="L330" i="1"/>
  <c r="J330" i="1"/>
  <c r="H330" i="1"/>
  <c r="F330" i="1" l="1"/>
  <c r="C330" i="1"/>
  <c r="B331" i="1" l="1"/>
  <c r="D331" i="1"/>
  <c r="I330" i="1"/>
  <c r="K330" i="1"/>
  <c r="M330" i="1"/>
  <c r="N331" i="1"/>
  <c r="Q331" i="1" s="1"/>
  <c r="P331" i="1"/>
  <c r="S331" i="1" s="1"/>
  <c r="O331" i="1"/>
  <c r="R331" i="1" s="1"/>
  <c r="G330" i="1" l="1"/>
  <c r="E331" i="1" s="1"/>
  <c r="L331" i="1"/>
  <c r="J331" i="1"/>
  <c r="H331" i="1"/>
  <c r="F331" i="1" s="1"/>
  <c r="C331" i="1" l="1"/>
  <c r="B332" i="1" l="1"/>
  <c r="D332" i="1"/>
  <c r="K331" i="1"/>
  <c r="M331" i="1"/>
  <c r="I331" i="1"/>
  <c r="N332" i="1"/>
  <c r="Q332" i="1" s="1"/>
  <c r="P332" i="1"/>
  <c r="S332" i="1" s="1"/>
  <c r="O332" i="1"/>
  <c r="R332" i="1" s="1"/>
  <c r="G331" i="1" l="1"/>
  <c r="E332" i="1" s="1"/>
  <c r="C332" i="1"/>
  <c r="M332" i="1"/>
  <c r="N333" i="1"/>
  <c r="Q333" i="1" s="1"/>
  <c r="P333" i="1"/>
  <c r="S333" i="1" s="1"/>
  <c r="O333" i="1"/>
  <c r="R333" i="1" s="1"/>
  <c r="L332" i="1"/>
  <c r="J332" i="1"/>
  <c r="H332" i="1"/>
  <c r="F332" i="1" l="1"/>
  <c r="I332" i="1"/>
  <c r="K332" i="1"/>
  <c r="G332" i="1" l="1"/>
  <c r="E333" i="1" s="1"/>
  <c r="B333" i="1"/>
  <c r="D333" i="1"/>
  <c r="C333" i="1" l="1"/>
  <c r="M333" i="1" s="1"/>
  <c r="K333" i="1"/>
  <c r="I333" i="1"/>
  <c r="G333" i="1" s="1"/>
  <c r="E334" i="1" s="1"/>
  <c r="P334" i="1"/>
  <c r="S334" i="1" s="1"/>
  <c r="O334" i="1"/>
  <c r="R334" i="1" s="1"/>
  <c r="L333" i="1"/>
  <c r="J333" i="1"/>
  <c r="H333" i="1"/>
  <c r="F333" i="1" l="1"/>
  <c r="C334" i="1"/>
  <c r="N334" i="1"/>
  <c r="Q334" i="1" s="1"/>
  <c r="K334" i="1"/>
  <c r="B334" i="1" l="1"/>
  <c r="D334" i="1"/>
  <c r="I334" i="1"/>
  <c r="G334" i="1" s="1"/>
  <c r="E335" i="1" s="1"/>
  <c r="M334" i="1"/>
  <c r="N335" i="1"/>
  <c r="Q335" i="1" s="1"/>
  <c r="P335" i="1" l="1"/>
  <c r="S335" i="1" s="1"/>
  <c r="O335" i="1"/>
  <c r="R335" i="1" s="1"/>
  <c r="L334" i="1"/>
  <c r="J334" i="1"/>
  <c r="H334" i="1"/>
  <c r="F334" i="1" l="1"/>
  <c r="C335" i="1"/>
  <c r="K335" i="1"/>
  <c r="B335" i="1" l="1"/>
  <c r="D335" i="1"/>
  <c r="I335" i="1"/>
  <c r="G335" i="1" s="1"/>
  <c r="E336" i="1" s="1"/>
  <c r="M335" i="1"/>
  <c r="N336" i="1"/>
  <c r="Q336" i="1" s="1"/>
  <c r="P336" i="1" l="1"/>
  <c r="S336" i="1" s="1"/>
  <c r="O336" i="1"/>
  <c r="R336" i="1" s="1"/>
  <c r="L335" i="1"/>
  <c r="J335" i="1"/>
  <c r="H335" i="1"/>
  <c r="F335" i="1" s="1"/>
  <c r="C336" i="1" l="1"/>
  <c r="M336" i="1"/>
  <c r="B336" i="1" l="1"/>
  <c r="N337" i="1" s="1"/>
  <c r="Q337" i="1" s="1"/>
  <c r="D336" i="1"/>
  <c r="I336" i="1"/>
  <c r="K336" i="1"/>
  <c r="G336" i="1" l="1"/>
  <c r="E337" i="1" s="1"/>
  <c r="P337" i="1"/>
  <c r="S337" i="1" s="1"/>
  <c r="O337" i="1"/>
  <c r="R337" i="1" s="1"/>
  <c r="L336" i="1"/>
  <c r="J336" i="1"/>
  <c r="H336" i="1"/>
  <c r="F336" i="1" s="1"/>
  <c r="C337" i="1" l="1"/>
  <c r="D337" i="1"/>
  <c r="K337" i="1"/>
  <c r="B337" i="1" l="1"/>
  <c r="I337" i="1"/>
  <c r="M337" i="1"/>
  <c r="H337" i="1"/>
  <c r="P338" i="1"/>
  <c r="S338" i="1" s="1"/>
  <c r="G337" i="1" l="1"/>
  <c r="E338" i="1" s="1"/>
  <c r="N338" i="1"/>
  <c r="Q338" i="1" s="1"/>
  <c r="J337" i="1"/>
  <c r="L337" i="1"/>
  <c r="O338" i="1"/>
  <c r="R338" i="1" s="1"/>
  <c r="F337" i="1" l="1"/>
  <c r="C338" i="1"/>
  <c r="D338" i="1"/>
  <c r="B338" i="1" l="1"/>
  <c r="H338" i="1"/>
  <c r="J338" i="1"/>
  <c r="K338" i="1"/>
  <c r="I338" i="1"/>
  <c r="M338" i="1"/>
  <c r="N339" i="1"/>
  <c r="Q339" i="1" s="1"/>
  <c r="G338" i="1" l="1"/>
  <c r="E339" i="1" s="1"/>
  <c r="P339" i="1"/>
  <c r="S339" i="1" s="1"/>
  <c r="L338" i="1"/>
  <c r="F338" i="1" s="1"/>
  <c r="O339" i="1"/>
  <c r="R339" i="1" s="1"/>
  <c r="D339" i="1" l="1"/>
  <c r="B339" i="1"/>
  <c r="C339" i="1"/>
  <c r="J339" i="1" l="1"/>
  <c r="H339" i="1"/>
  <c r="L339" i="1"/>
  <c r="M339" i="1"/>
  <c r="K339" i="1"/>
  <c r="N340" i="1"/>
  <c r="Q340" i="1" s="1"/>
  <c r="I339" i="1"/>
  <c r="G339" i="1" s="1"/>
  <c r="E340" i="1" s="1"/>
  <c r="P340" i="1"/>
  <c r="S340" i="1" s="1"/>
  <c r="O340" i="1"/>
  <c r="R340" i="1" s="1"/>
  <c r="F339" i="1" l="1"/>
  <c r="C340" i="1"/>
  <c r="B340" i="1"/>
  <c r="D340" i="1"/>
  <c r="J340" i="1" l="1"/>
  <c r="L340" i="1"/>
  <c r="H340" i="1"/>
  <c r="F340" i="1" s="1"/>
  <c r="K340" i="1"/>
  <c r="M340" i="1"/>
  <c r="I340" i="1"/>
  <c r="N341" i="1"/>
  <c r="Q341" i="1" s="1"/>
  <c r="P341" i="1"/>
  <c r="O341" i="1"/>
  <c r="G340" i="1" l="1"/>
  <c r="E341" i="1" s="1"/>
  <c r="D341" i="1"/>
  <c r="B341" i="1"/>
  <c r="C341" i="1"/>
  <c r="R341" i="1"/>
  <c r="J341" i="1" s="1"/>
  <c r="S341" i="1"/>
  <c r="L341" i="1" s="1"/>
  <c r="H341" i="1"/>
  <c r="F341" i="1" s="1"/>
  <c r="M341" i="1" l="1"/>
  <c r="K341" i="1"/>
  <c r="D342" i="1"/>
  <c r="N342" i="1"/>
  <c r="Q342" i="1" s="1"/>
  <c r="P342" i="1"/>
  <c r="S342" i="1" s="1"/>
  <c r="O342" i="1"/>
  <c r="R342" i="1" s="1"/>
  <c r="I341" i="1"/>
  <c r="G341" i="1" l="1"/>
  <c r="E342" i="1" s="1"/>
  <c r="C342" i="1"/>
  <c r="B342" i="1"/>
  <c r="J342" i="1" s="1"/>
  <c r="L342" i="1" l="1"/>
  <c r="H342" i="1"/>
  <c r="F342" i="1" s="1"/>
  <c r="I342" i="1"/>
  <c r="K342" i="1"/>
  <c r="M342" i="1"/>
  <c r="P343" i="1"/>
  <c r="S343" i="1" s="1"/>
  <c r="O343" i="1"/>
  <c r="R343" i="1" s="1"/>
  <c r="N343" i="1"/>
  <c r="Q343" i="1" s="1"/>
  <c r="G342" i="1" l="1"/>
  <c r="E343" i="1" s="1"/>
  <c r="D343" i="1"/>
  <c r="B343" i="1" l="1"/>
  <c r="C343" i="1"/>
  <c r="L343" i="1" l="1"/>
  <c r="J343" i="1"/>
  <c r="H343" i="1"/>
  <c r="F343" i="1" s="1"/>
  <c r="B344" i="1"/>
  <c r="D344" i="1"/>
  <c r="I343" i="1"/>
  <c r="K343" i="1"/>
  <c r="M343" i="1"/>
  <c r="N344" i="1"/>
  <c r="P344" i="1"/>
  <c r="S344" i="1" s="1"/>
  <c r="O344" i="1"/>
  <c r="R344" i="1" s="1"/>
  <c r="G343" i="1" l="1"/>
  <c r="E344" i="1" s="1"/>
  <c r="C344" i="1"/>
  <c r="Q344" i="1"/>
  <c r="H344" i="1" s="1"/>
  <c r="K344" i="1"/>
  <c r="J344" i="1"/>
  <c r="I344" i="1"/>
  <c r="M344" i="1"/>
  <c r="L344" i="1"/>
  <c r="F344" i="1" l="1"/>
  <c r="G344" i="1"/>
  <c r="E345" i="1" s="1"/>
  <c r="P345" i="1"/>
  <c r="S345" i="1" s="1"/>
  <c r="O345" i="1"/>
  <c r="R345" i="1" s="1"/>
  <c r="N345" i="1"/>
  <c r="Q345" i="1" s="1"/>
  <c r="B345" i="1" l="1"/>
  <c r="L345" i="1" s="1"/>
  <c r="D345" i="1"/>
  <c r="C345" i="1"/>
  <c r="N346" i="1" s="1"/>
  <c r="Q346" i="1" s="1"/>
  <c r="K345" i="1"/>
  <c r="M345" i="1"/>
  <c r="I345" i="1"/>
  <c r="H345" i="1"/>
  <c r="P346" i="1" l="1"/>
  <c r="S346" i="1" s="1"/>
  <c r="G345" i="1"/>
  <c r="E346" i="1" s="1"/>
  <c r="J345" i="1"/>
  <c r="O346" i="1"/>
  <c r="R346" i="1" s="1"/>
  <c r="C346" i="1"/>
  <c r="F345" i="1" l="1"/>
  <c r="B346" i="1" s="1"/>
  <c r="M346" i="1"/>
  <c r="I346" i="1"/>
  <c r="K346" i="1"/>
  <c r="D346" i="1" l="1"/>
  <c r="G346" i="1"/>
  <c r="E347" i="1" s="1"/>
  <c r="J346" i="1"/>
  <c r="H346" i="1"/>
  <c r="L346" i="1"/>
  <c r="N347" i="1"/>
  <c r="Q347" i="1" s="1"/>
  <c r="O347" i="1"/>
  <c r="R347" i="1" s="1"/>
  <c r="P347" i="1"/>
  <c r="S347" i="1" s="1"/>
  <c r="F346" i="1" l="1"/>
  <c r="C347" i="1"/>
  <c r="D347" i="1"/>
  <c r="I347" i="1"/>
  <c r="K347" i="1"/>
  <c r="M347" i="1"/>
  <c r="G347" i="1" l="1"/>
  <c r="E348" i="1" s="1"/>
  <c r="B347" i="1"/>
  <c r="H347" i="1" s="1"/>
  <c r="L347" i="1"/>
  <c r="O348" i="1"/>
  <c r="R348" i="1" s="1"/>
  <c r="N348" i="1"/>
  <c r="Q348" i="1" s="1"/>
  <c r="C348" i="1"/>
  <c r="J347" i="1" l="1"/>
  <c r="F347" i="1" s="1"/>
  <c r="P348" i="1"/>
  <c r="S348" i="1" s="1"/>
  <c r="B348" i="1" l="1"/>
  <c r="D348" i="1"/>
  <c r="K348" i="1"/>
  <c r="I348" i="1"/>
  <c r="G348" i="1" s="1"/>
  <c r="E349" i="1" s="1"/>
  <c r="M348" i="1"/>
  <c r="N349" i="1" l="1"/>
  <c r="Q349" i="1" s="1"/>
  <c r="L348" i="1"/>
  <c r="H348" i="1"/>
  <c r="J348" i="1"/>
  <c r="P349" i="1"/>
  <c r="S349" i="1" s="1"/>
  <c r="O349" i="1"/>
  <c r="R349" i="1" s="1"/>
  <c r="F348" i="1" l="1"/>
  <c r="C349" i="1"/>
  <c r="B349" i="1" l="1"/>
  <c r="D349" i="1"/>
  <c r="K349" i="1"/>
  <c r="I349" i="1"/>
  <c r="G349" i="1" s="1"/>
  <c r="E350" i="1" s="1"/>
  <c r="M349" i="1"/>
  <c r="H349" i="1" l="1"/>
  <c r="L349" i="1"/>
  <c r="O350" i="1"/>
  <c r="R350" i="1" s="1"/>
  <c r="N350" i="1"/>
  <c r="Q350" i="1" s="1"/>
  <c r="P350" i="1"/>
  <c r="S350" i="1" s="1"/>
  <c r="J349" i="1"/>
  <c r="F349" i="1" l="1"/>
  <c r="C350" i="1"/>
  <c r="I350" i="1" s="1"/>
  <c r="M350" i="1"/>
  <c r="K350" i="1"/>
  <c r="G350" i="1" l="1"/>
  <c r="E351" i="1" s="1"/>
  <c r="B350" i="1"/>
  <c r="D350" i="1"/>
  <c r="C351" i="1" l="1"/>
  <c r="N351" i="1"/>
  <c r="Q351" i="1" s="1"/>
  <c r="P351" i="1"/>
  <c r="S351" i="1" s="1"/>
  <c r="O351" i="1"/>
  <c r="R351" i="1" s="1"/>
  <c r="H350" i="1"/>
  <c r="L350" i="1"/>
  <c r="J350" i="1"/>
  <c r="F350" i="1" l="1"/>
  <c r="I351" i="1"/>
  <c r="K351" i="1"/>
  <c r="M351" i="1"/>
  <c r="G351" i="1" l="1"/>
  <c r="E352" i="1" s="1"/>
  <c r="B351" i="1"/>
  <c r="D351" i="1"/>
  <c r="C352" i="1" l="1"/>
  <c r="N352" i="1"/>
  <c r="Q352" i="1" s="1"/>
  <c r="H351" i="1"/>
  <c r="P352" i="1"/>
  <c r="S352" i="1" s="1"/>
  <c r="L351" i="1"/>
  <c r="J351" i="1"/>
  <c r="O352" i="1"/>
  <c r="R352" i="1" s="1"/>
  <c r="F351" i="1" l="1"/>
  <c r="M352" i="1"/>
  <c r="I352" i="1"/>
  <c r="G352" i="1" s="1"/>
  <c r="E353" i="1" s="1"/>
  <c r="K352" i="1"/>
  <c r="B352" i="1" l="1"/>
  <c r="D352" i="1"/>
  <c r="C353" i="1" l="1"/>
  <c r="N353" i="1"/>
  <c r="Q353" i="1" s="1"/>
  <c r="L352" i="1"/>
  <c r="J352" i="1"/>
  <c r="H352" i="1"/>
  <c r="F352" i="1" s="1"/>
  <c r="O353" i="1"/>
  <c r="R353" i="1" s="1"/>
  <c r="P353" i="1"/>
  <c r="S353" i="1" s="1"/>
  <c r="D353" i="1" l="1"/>
  <c r="I353" i="1"/>
  <c r="K353" i="1"/>
  <c r="M353" i="1"/>
  <c r="G353" i="1" l="1"/>
  <c r="E354" i="1" s="1"/>
  <c r="B353" i="1"/>
  <c r="C354" i="1" l="1"/>
  <c r="O354" i="1"/>
  <c r="R354" i="1" s="1"/>
  <c r="J353" i="1"/>
  <c r="H353" i="1"/>
  <c r="L353" i="1"/>
  <c r="N354" i="1"/>
  <c r="Q354" i="1" s="1"/>
  <c r="P354" i="1"/>
  <c r="S354" i="1" s="1"/>
  <c r="F353" i="1" l="1"/>
  <c r="I354" i="1"/>
  <c r="K354" i="1"/>
  <c r="M354" i="1"/>
  <c r="G354" i="1" l="1"/>
  <c r="E355" i="1" s="1"/>
  <c r="D354" i="1"/>
  <c r="B354" i="1"/>
  <c r="J354" i="1" l="1"/>
  <c r="H354" i="1"/>
  <c r="F354" i="1" s="1"/>
  <c r="L354" i="1"/>
  <c r="O355" i="1"/>
  <c r="R355" i="1" s="1"/>
  <c r="N355" i="1"/>
  <c r="Q355" i="1" s="1"/>
  <c r="P355" i="1"/>
  <c r="S355" i="1" s="1"/>
  <c r="C355" i="1"/>
  <c r="I355" i="1" l="1"/>
  <c r="K355" i="1"/>
  <c r="M355" i="1"/>
  <c r="G355" i="1" l="1"/>
  <c r="E356" i="1" s="1"/>
  <c r="B355" i="1"/>
  <c r="D355" i="1"/>
  <c r="C356" i="1" l="1"/>
  <c r="H355" i="1"/>
  <c r="L355" i="1"/>
  <c r="J355" i="1"/>
  <c r="O356" i="1"/>
  <c r="R356" i="1" s="1"/>
  <c r="P356" i="1"/>
  <c r="S356" i="1" s="1"/>
  <c r="N356" i="1"/>
  <c r="Q356" i="1" s="1"/>
  <c r="F355" i="1" l="1"/>
  <c r="K356" i="1"/>
  <c r="M356" i="1"/>
  <c r="I356" i="1"/>
  <c r="G356" i="1" l="1"/>
  <c r="E357" i="1" s="1"/>
  <c r="B356" i="1"/>
  <c r="D356" i="1"/>
  <c r="C357" i="1"/>
  <c r="J356" i="1" l="1"/>
  <c r="H356" i="1"/>
  <c r="L356" i="1"/>
  <c r="N357" i="1"/>
  <c r="Q357" i="1" s="1"/>
  <c r="P357" i="1"/>
  <c r="S357" i="1" s="1"/>
  <c r="O357" i="1"/>
  <c r="R357" i="1" s="1"/>
  <c r="F356" i="1" l="1"/>
  <c r="K357" i="1"/>
  <c r="M357" i="1"/>
  <c r="I357" i="1"/>
  <c r="G357" i="1" s="1"/>
  <c r="E358" i="1" s="1"/>
  <c r="C358" i="1" l="1"/>
  <c r="B357" i="1"/>
  <c r="D357" i="1"/>
  <c r="P358" i="1" l="1"/>
  <c r="S358" i="1" s="1"/>
  <c r="O358" i="1"/>
  <c r="R358" i="1" s="1"/>
  <c r="N358" i="1"/>
  <c r="Q358" i="1" s="1"/>
  <c r="I358" i="1" s="1"/>
  <c r="J357" i="1"/>
  <c r="H357" i="1"/>
  <c r="L357" i="1"/>
  <c r="K358" i="1"/>
  <c r="M358" i="1"/>
  <c r="F357" i="1" l="1"/>
  <c r="G358" i="1"/>
  <c r="E359" i="1" s="1"/>
  <c r="D358" i="1"/>
  <c r="B358" i="1"/>
  <c r="H358" i="1" s="1"/>
  <c r="L358" i="1"/>
  <c r="J358" i="1" l="1"/>
  <c r="F358" i="1" s="1"/>
  <c r="O359" i="1"/>
  <c r="R359" i="1" s="1"/>
  <c r="P359" i="1"/>
  <c r="S359" i="1" s="1"/>
  <c r="N359" i="1"/>
  <c r="Q359" i="1" s="1"/>
  <c r="C359" i="1"/>
  <c r="B359" i="1" l="1"/>
  <c r="H359" i="1" s="1"/>
  <c r="D359" i="1"/>
  <c r="J359" i="1"/>
  <c r="M359" i="1"/>
  <c r="I359" i="1"/>
  <c r="G359" i="1" s="1"/>
  <c r="E360" i="1" s="1"/>
  <c r="K359" i="1"/>
  <c r="N360" i="1"/>
  <c r="P360" i="1"/>
  <c r="L359" i="1" l="1"/>
  <c r="F359" i="1" s="1"/>
  <c r="O360" i="1"/>
  <c r="Q360" i="1"/>
  <c r="R360" i="1"/>
  <c r="S360" i="1"/>
  <c r="B360" i="1" l="1"/>
  <c r="D360" i="1"/>
  <c r="J360" i="1"/>
  <c r="L360" i="1"/>
  <c r="H360" i="1"/>
  <c r="F360" i="1" s="1"/>
  <c r="C360" i="1"/>
  <c r="B361" i="1" l="1"/>
  <c r="D361" i="1"/>
  <c r="M360" i="1"/>
  <c r="I360" i="1"/>
  <c r="K360" i="1"/>
  <c r="N361" i="1"/>
  <c r="O361" i="1"/>
  <c r="P361" i="1"/>
  <c r="G360" i="1" l="1"/>
  <c r="E361" i="1" s="1"/>
  <c r="Q361" i="1"/>
  <c r="H361" i="1" s="1"/>
  <c r="R361" i="1"/>
  <c r="J361" i="1" s="1"/>
  <c r="S361" i="1"/>
  <c r="L361" i="1" s="1"/>
  <c r="F361" i="1" l="1"/>
  <c r="C361" i="1"/>
  <c r="M361" i="1" s="1"/>
  <c r="I361" i="1"/>
  <c r="K361" i="1"/>
  <c r="N362" i="1"/>
  <c r="Q362" i="1" s="1"/>
  <c r="O362" i="1"/>
  <c r="R362" i="1" s="1"/>
  <c r="G361" i="1" l="1"/>
  <c r="E362" i="1" s="1"/>
  <c r="B362" i="1"/>
  <c r="D362" i="1"/>
  <c r="P362" i="1"/>
  <c r="S362" i="1" s="1"/>
  <c r="L362" i="1" s="1"/>
  <c r="J362" i="1"/>
  <c r="H362" i="1"/>
  <c r="F362" i="1" s="1"/>
  <c r="C362" i="1" l="1"/>
  <c r="D363" i="1"/>
  <c r="B363" i="1" l="1"/>
  <c r="I362" i="1"/>
  <c r="K362" i="1"/>
  <c r="M362" i="1"/>
  <c r="O363" i="1"/>
  <c r="N363" i="1"/>
  <c r="P363" i="1"/>
  <c r="G362" i="1" l="1"/>
  <c r="E363" i="1" s="1"/>
  <c r="Q363" i="1"/>
  <c r="H363" i="1" s="1"/>
  <c r="R363" i="1"/>
  <c r="J363" i="1" s="1"/>
  <c r="S363" i="1"/>
  <c r="L363" i="1" s="1"/>
  <c r="F363" i="1" l="1"/>
  <c r="C363" i="1"/>
  <c r="B364" i="1" l="1"/>
  <c r="D364" i="1"/>
  <c r="K363" i="1"/>
  <c r="M363" i="1"/>
  <c r="I363" i="1"/>
  <c r="G363" i="1" s="1"/>
  <c r="E364" i="1" s="1"/>
  <c r="P364" i="1"/>
  <c r="N364" i="1"/>
  <c r="O364" i="1"/>
  <c r="Q364" i="1" l="1"/>
  <c r="H364" i="1" s="1"/>
  <c r="R364" i="1"/>
  <c r="J364" i="1" s="1"/>
  <c r="S364" i="1"/>
  <c r="L364" i="1" s="1"/>
  <c r="F364" i="1" l="1"/>
  <c r="C364" i="1"/>
  <c r="B365" i="1" l="1"/>
  <c r="D365" i="1"/>
  <c r="K364" i="1"/>
  <c r="M364" i="1"/>
  <c r="I364" i="1"/>
  <c r="O365" i="1"/>
  <c r="N365" i="1"/>
  <c r="P365" i="1"/>
  <c r="G364" i="1" l="1"/>
  <c r="E365" i="1" s="1"/>
  <c r="C365" i="1"/>
  <c r="Q365" i="1"/>
  <c r="H365" i="1" s="1"/>
  <c r="R365" i="1"/>
  <c r="J365" i="1" s="1"/>
  <c r="S365" i="1"/>
  <c r="L365" i="1" s="1"/>
  <c r="F365" i="1" l="1"/>
  <c r="I365" i="1"/>
  <c r="K365" i="1"/>
  <c r="M365" i="1"/>
  <c r="N366" i="1"/>
  <c r="Q366" i="1" s="1"/>
  <c r="P366" i="1"/>
  <c r="S366" i="1" s="1"/>
  <c r="O366" i="1"/>
  <c r="R366" i="1" s="1"/>
  <c r="G365" i="1" l="1"/>
  <c r="E366" i="1" s="1"/>
  <c r="B366" i="1"/>
  <c r="D366" i="1"/>
  <c r="C366" i="1"/>
  <c r="N367" i="1" s="1"/>
  <c r="Q367" i="1" s="1"/>
  <c r="J366" i="1"/>
  <c r="L366" i="1"/>
  <c r="H366" i="1"/>
  <c r="F366" i="1" s="1"/>
  <c r="O367" i="1" l="1"/>
  <c r="R367" i="1" s="1"/>
  <c r="P367" i="1"/>
  <c r="S367" i="1" s="1"/>
  <c r="D367" i="1"/>
  <c r="B367" i="1"/>
  <c r="I366" i="1"/>
  <c r="M366" i="1"/>
  <c r="K366" i="1"/>
  <c r="G366" i="1" l="1"/>
  <c r="E367" i="1" s="1"/>
  <c r="J367" i="1"/>
  <c r="L367" i="1"/>
  <c r="H367" i="1"/>
  <c r="F367" i="1" s="1"/>
  <c r="C367" i="1" l="1"/>
  <c r="B368" i="1" l="1"/>
  <c r="D368" i="1"/>
  <c r="I367" i="1"/>
  <c r="K367" i="1"/>
  <c r="M367" i="1"/>
  <c r="N368" i="1"/>
  <c r="Q368" i="1" s="1"/>
  <c r="O368" i="1"/>
  <c r="R368" i="1" s="1"/>
  <c r="P368" i="1"/>
  <c r="S368" i="1" s="1"/>
  <c r="G367" i="1" l="1"/>
  <c r="E368" i="1" s="1"/>
  <c r="H368" i="1"/>
  <c r="L368" i="1"/>
  <c r="J368" i="1"/>
  <c r="F368" i="1" l="1"/>
  <c r="C368" i="1"/>
  <c r="B369" i="1" l="1"/>
  <c r="D369" i="1"/>
  <c r="K368" i="1"/>
  <c r="M368" i="1"/>
  <c r="I368" i="1"/>
  <c r="N369" i="1"/>
  <c r="Q369" i="1" s="1"/>
  <c r="P369" i="1"/>
  <c r="S369" i="1" s="1"/>
  <c r="O369" i="1"/>
  <c r="R369" i="1" s="1"/>
  <c r="G368" i="1" l="1"/>
  <c r="E369" i="1" s="1"/>
  <c r="L369" i="1"/>
  <c r="H369" i="1"/>
  <c r="J369" i="1"/>
  <c r="F369" i="1" l="1"/>
  <c r="C369" i="1"/>
  <c r="B370" i="1"/>
  <c r="K369" i="1"/>
  <c r="I369" i="1"/>
  <c r="G369" i="1" s="1"/>
  <c r="E370" i="1" s="1"/>
  <c r="M369" i="1"/>
  <c r="P370" i="1" l="1"/>
  <c r="S370" i="1" s="1"/>
  <c r="N370" i="1"/>
  <c r="Q370" i="1" s="1"/>
  <c r="O370" i="1"/>
  <c r="R370" i="1" s="1"/>
  <c r="J370" i="1" s="1"/>
  <c r="L370" i="1"/>
  <c r="H370" i="1"/>
  <c r="D370" i="1"/>
  <c r="F370" i="1" l="1"/>
  <c r="D371" i="1"/>
  <c r="C370" i="1"/>
  <c r="P371" i="1" s="1"/>
  <c r="M370" i="1"/>
  <c r="K370" i="1"/>
  <c r="N371" i="1"/>
  <c r="I370" i="1" l="1"/>
  <c r="G370" i="1"/>
  <c r="E371" i="1" s="1"/>
  <c r="O371" i="1"/>
  <c r="B371" i="1"/>
  <c r="Q371" i="1"/>
  <c r="H371" i="1" s="1"/>
  <c r="R371" i="1"/>
  <c r="J371" i="1" s="1"/>
  <c r="S371" i="1"/>
  <c r="L371" i="1" s="1"/>
  <c r="C371" i="1"/>
  <c r="F371" i="1" l="1"/>
  <c r="B372" i="1" l="1"/>
  <c r="D372" i="1"/>
  <c r="M371" i="1"/>
  <c r="I371" i="1"/>
  <c r="K371" i="1"/>
  <c r="N372" i="1"/>
  <c r="P372" i="1"/>
  <c r="O372" i="1"/>
  <c r="G371" i="1" l="1"/>
  <c r="E372" i="1" s="1"/>
  <c r="Q372" i="1"/>
  <c r="H372" i="1" s="1"/>
  <c r="R372" i="1"/>
  <c r="J372" i="1" s="1"/>
  <c r="S372" i="1"/>
  <c r="L372" i="1" s="1"/>
  <c r="F372" i="1" l="1"/>
  <c r="C372" i="1"/>
  <c r="B373" i="1" l="1"/>
  <c r="D373" i="1"/>
  <c r="K372" i="1"/>
  <c r="P373" i="1"/>
  <c r="S373" i="1" s="1"/>
  <c r="L373" i="1" s="1"/>
  <c r="N373" i="1"/>
  <c r="M372" i="1"/>
  <c r="I372" i="1"/>
  <c r="O373" i="1"/>
  <c r="G372" i="1" l="1"/>
  <c r="Q373" i="1"/>
  <c r="H373" i="1" s="1"/>
  <c r="R373" i="1"/>
  <c r="J373" i="1" s="1"/>
  <c r="C373" i="1" l="1"/>
  <c r="E373" i="1"/>
  <c r="F373" i="1"/>
  <c r="O374" i="1"/>
  <c r="R374" i="1" s="1"/>
  <c r="P374" i="1"/>
  <c r="S374" i="1" s="1"/>
  <c r="N374" i="1"/>
  <c r="Q374" i="1" s="1"/>
  <c r="M373" i="1"/>
  <c r="K373" i="1"/>
  <c r="I373" i="1"/>
  <c r="G373" i="1" l="1"/>
  <c r="E374" i="1" s="1"/>
  <c r="B374" i="1"/>
  <c r="J374" i="1" s="1"/>
  <c r="D374" i="1"/>
  <c r="L374" i="1"/>
  <c r="H374" i="1"/>
  <c r="F374" i="1" s="1"/>
  <c r="C374" i="1" l="1"/>
  <c r="N375" i="1" s="1"/>
  <c r="Q375" i="1" s="1"/>
  <c r="D375" i="1"/>
  <c r="B375" i="1"/>
  <c r="M374" i="1"/>
  <c r="I374" i="1"/>
  <c r="G374" i="1" s="1"/>
  <c r="E375" i="1" s="1"/>
  <c r="K374" i="1"/>
  <c r="O375" i="1"/>
  <c r="H375" i="1" l="1"/>
  <c r="P375" i="1"/>
  <c r="R375" i="1"/>
  <c r="J375" i="1" s="1"/>
  <c r="F375" i="1" s="1"/>
  <c r="S375" i="1"/>
  <c r="L375" i="1" s="1"/>
  <c r="C375" i="1"/>
  <c r="B376" i="1" l="1"/>
  <c r="D376" i="1"/>
  <c r="I375" i="1"/>
  <c r="M375" i="1"/>
  <c r="K375" i="1"/>
  <c r="P376" i="1"/>
  <c r="O376" i="1"/>
  <c r="N376" i="1"/>
  <c r="G375" i="1" l="1"/>
  <c r="E376" i="1" s="1"/>
  <c r="Q376" i="1"/>
  <c r="H376" i="1" s="1"/>
  <c r="R376" i="1"/>
  <c r="J376" i="1" s="1"/>
  <c r="S376" i="1"/>
  <c r="L376" i="1" s="1"/>
  <c r="F376" i="1" l="1"/>
  <c r="C376" i="1"/>
  <c r="B377" i="1" l="1"/>
  <c r="D377" i="1"/>
  <c r="K376" i="1"/>
  <c r="M376" i="1"/>
  <c r="I376" i="1"/>
  <c r="O377" i="1"/>
  <c r="N377" i="1"/>
  <c r="Q377" i="1" s="1"/>
  <c r="P377" i="1"/>
  <c r="S377" i="1" s="1"/>
  <c r="G376" i="1" l="1"/>
  <c r="E377" i="1" s="1"/>
  <c r="C377" i="1"/>
  <c r="R377" i="1"/>
  <c r="J377" i="1" s="1"/>
  <c r="M377" i="1"/>
  <c r="K377" i="1"/>
  <c r="L377" i="1"/>
  <c r="O378" i="1"/>
  <c r="R378" i="1" s="1"/>
  <c r="H377" i="1"/>
  <c r="F377" i="1" s="1"/>
  <c r="D378" i="1" l="1"/>
  <c r="P378" i="1"/>
  <c r="S378" i="1" s="1"/>
  <c r="N378" i="1"/>
  <c r="Q378" i="1" s="1"/>
  <c r="I377" i="1"/>
  <c r="G377" i="1" s="1"/>
  <c r="E378" i="1" s="1"/>
  <c r="C378" i="1" l="1"/>
  <c r="B378" i="1"/>
  <c r="H378" i="1" s="1"/>
  <c r="K378" i="1"/>
  <c r="O379" i="1"/>
  <c r="R379" i="1" s="1"/>
  <c r="P379" i="1"/>
  <c r="S379" i="1" s="1"/>
  <c r="L378" i="1"/>
  <c r="J378" i="1" l="1"/>
  <c r="F378" i="1" s="1"/>
  <c r="N379" i="1"/>
  <c r="Q379" i="1" s="1"/>
  <c r="I378" i="1"/>
  <c r="M378" i="1"/>
  <c r="G378" i="1" l="1"/>
  <c r="E379" i="1" s="1"/>
  <c r="B379" i="1"/>
  <c r="D379" i="1"/>
  <c r="H379" i="1"/>
  <c r="L379" i="1"/>
  <c r="J379" i="1"/>
  <c r="F379" i="1" l="1"/>
  <c r="C379" i="1"/>
  <c r="B380" i="1"/>
  <c r="D380" i="1" l="1"/>
  <c r="I379" i="1"/>
  <c r="N380" i="1"/>
  <c r="Q380" i="1" s="1"/>
  <c r="M379" i="1"/>
  <c r="K379" i="1"/>
  <c r="O380" i="1"/>
  <c r="R380" i="1" s="1"/>
  <c r="P380" i="1"/>
  <c r="S380" i="1" s="1"/>
  <c r="G379" i="1" l="1"/>
  <c r="E380" i="1" s="1"/>
  <c r="L380" i="1"/>
  <c r="J380" i="1"/>
  <c r="H380" i="1"/>
  <c r="F380" i="1" s="1"/>
  <c r="D381" i="1" l="1"/>
  <c r="C380" i="1"/>
  <c r="B381" i="1"/>
  <c r="I380" i="1" l="1"/>
  <c r="M380" i="1"/>
  <c r="P381" i="1"/>
  <c r="O381" i="1"/>
  <c r="K380" i="1"/>
  <c r="N381" i="1"/>
  <c r="Q381" i="1" s="1"/>
  <c r="G380" i="1" l="1"/>
  <c r="E381" i="1" s="1"/>
  <c r="R381" i="1"/>
  <c r="J381" i="1" s="1"/>
  <c r="S381" i="1"/>
  <c r="L381" i="1" s="1"/>
  <c r="H381" i="1"/>
  <c r="F381" i="1" s="1"/>
  <c r="C381" i="1" l="1"/>
  <c r="B382" i="1" l="1"/>
  <c r="D382" i="1"/>
  <c r="N382" i="1"/>
  <c r="Q382" i="1" s="1"/>
  <c r="P382" i="1"/>
  <c r="S382" i="1" s="1"/>
  <c r="O382" i="1"/>
  <c r="R382" i="1" s="1"/>
  <c r="I381" i="1"/>
  <c r="G381" i="1" s="1"/>
  <c r="E382" i="1" s="1"/>
  <c r="K381" i="1"/>
  <c r="M381" i="1"/>
  <c r="J382" i="1" l="1"/>
  <c r="H382" i="1"/>
  <c r="L382" i="1"/>
  <c r="F382" i="1" l="1"/>
  <c r="C382" i="1"/>
  <c r="B383" i="1" l="1"/>
  <c r="D383" i="1"/>
  <c r="P383" i="1"/>
  <c r="S383" i="1" s="1"/>
  <c r="N383" i="1"/>
  <c r="Q383" i="1" s="1"/>
  <c r="O383" i="1"/>
  <c r="R383" i="1" s="1"/>
  <c r="K382" i="1"/>
  <c r="I382" i="1"/>
  <c r="M382" i="1"/>
  <c r="G382" i="1" l="1"/>
  <c r="E383" i="1" s="1"/>
  <c r="L383" i="1"/>
  <c r="H383" i="1"/>
  <c r="J383" i="1"/>
  <c r="F383" i="1" l="1"/>
  <c r="C383" i="1"/>
  <c r="N384" i="1" s="1"/>
  <c r="Q384" i="1" s="1"/>
  <c r="D384" i="1"/>
  <c r="P384" i="1"/>
  <c r="S384" i="1" s="1"/>
  <c r="I383" i="1"/>
  <c r="M383" i="1"/>
  <c r="O384" i="1"/>
  <c r="R384" i="1" s="1"/>
  <c r="K383" i="1" l="1"/>
  <c r="G383" i="1" s="1"/>
  <c r="E384" i="1" s="1"/>
  <c r="B384" i="1"/>
  <c r="J384" i="1" s="1"/>
  <c r="H384" i="1"/>
  <c r="L384" i="1" l="1"/>
  <c r="F384" i="1" s="1"/>
  <c r="C384" i="1"/>
  <c r="B385" i="1" l="1"/>
  <c r="D385" i="1"/>
  <c r="I384" i="1"/>
  <c r="P385" i="1"/>
  <c r="S385" i="1" s="1"/>
  <c r="K384" i="1"/>
  <c r="M384" i="1"/>
  <c r="O385" i="1"/>
  <c r="R385" i="1" s="1"/>
  <c r="N385" i="1"/>
  <c r="Q385" i="1" s="1"/>
  <c r="G384" i="1" l="1"/>
  <c r="E385" i="1" s="1"/>
  <c r="H385" i="1"/>
  <c r="L385" i="1"/>
  <c r="J385" i="1"/>
  <c r="F385" i="1" l="1"/>
  <c r="C385" i="1"/>
  <c r="B386" i="1" l="1"/>
  <c r="D386" i="1"/>
  <c r="M385" i="1"/>
  <c r="I385" i="1"/>
  <c r="G385" i="1" s="1"/>
  <c r="E386" i="1" s="1"/>
  <c r="K385" i="1"/>
  <c r="N386" i="1"/>
  <c r="Q386" i="1" s="1"/>
  <c r="P386" i="1"/>
  <c r="S386" i="1" s="1"/>
  <c r="O386" i="1"/>
  <c r="R386" i="1" s="1"/>
  <c r="L386" i="1" l="1"/>
  <c r="J386" i="1"/>
  <c r="H386" i="1"/>
  <c r="F386" i="1" s="1"/>
  <c r="B387" i="1" l="1"/>
  <c r="C386" i="1"/>
  <c r="K386" i="1" s="1"/>
  <c r="M386" i="1"/>
  <c r="I386" i="1"/>
  <c r="G386" i="1" s="1"/>
  <c r="E387" i="1" s="1"/>
  <c r="D387" i="1" l="1"/>
  <c r="P387" i="1"/>
  <c r="S387" i="1" s="1"/>
  <c r="L387" i="1" s="1"/>
  <c r="O387" i="1"/>
  <c r="R387" i="1" s="1"/>
  <c r="J387" i="1" s="1"/>
  <c r="N387" i="1"/>
  <c r="Q387" i="1" s="1"/>
  <c r="H387" i="1" s="1"/>
  <c r="F387" i="1" s="1"/>
  <c r="B388" i="1" l="1"/>
  <c r="C387" i="1"/>
  <c r="D388" i="1"/>
  <c r="M387" i="1" l="1"/>
  <c r="K387" i="1"/>
  <c r="I387" i="1"/>
  <c r="G387" i="1" s="1"/>
  <c r="E388" i="1" s="1"/>
  <c r="P388" i="1"/>
  <c r="S388" i="1" s="1"/>
  <c r="O388" i="1"/>
  <c r="R388" i="1" s="1"/>
  <c r="N388" i="1"/>
  <c r="Q388" i="1" l="1"/>
  <c r="H388" i="1" s="1"/>
  <c r="J388" i="1"/>
  <c r="L388" i="1"/>
  <c r="F388" i="1" l="1"/>
  <c r="C388" i="1"/>
  <c r="B389" i="1" l="1"/>
  <c r="D389" i="1"/>
  <c r="P389" i="1"/>
  <c r="O389" i="1"/>
  <c r="R389" i="1" s="1"/>
  <c r="J389" i="1" s="1"/>
  <c r="N389" i="1"/>
  <c r="Q389" i="1" s="1"/>
  <c r="M388" i="1"/>
  <c r="I388" i="1"/>
  <c r="G388" i="1" s="1"/>
  <c r="E389" i="1" s="1"/>
  <c r="K388" i="1"/>
  <c r="S389" i="1" l="1"/>
  <c r="L389" i="1" s="1"/>
  <c r="H389" i="1"/>
  <c r="F389" i="1" s="1"/>
  <c r="C389" i="1" l="1"/>
  <c r="P390" i="1" s="1"/>
  <c r="S390" i="1" s="1"/>
  <c r="O390" i="1"/>
  <c r="R390" i="1" s="1"/>
  <c r="K389" i="1"/>
  <c r="N390" i="1" l="1"/>
  <c r="Q390" i="1" s="1"/>
  <c r="B390" i="1"/>
  <c r="D390" i="1"/>
  <c r="I389" i="1"/>
  <c r="M389" i="1"/>
  <c r="J390" i="1"/>
  <c r="H390" i="1"/>
  <c r="L390" i="1"/>
  <c r="F390" i="1" l="1"/>
  <c r="G389" i="1"/>
  <c r="E390" i="1" s="1"/>
  <c r="C390" i="1"/>
  <c r="B391" i="1"/>
  <c r="D391" i="1" l="1"/>
  <c r="O391" i="1"/>
  <c r="R391" i="1" s="1"/>
  <c r="J391" i="1" s="1"/>
  <c r="N391" i="1"/>
  <c r="Q391" i="1" s="1"/>
  <c r="H391" i="1" s="1"/>
  <c r="P391" i="1"/>
  <c r="S391" i="1" s="1"/>
  <c r="L391" i="1" s="1"/>
  <c r="M390" i="1"/>
  <c r="K390" i="1"/>
  <c r="I390" i="1"/>
  <c r="F391" i="1" l="1"/>
  <c r="G390" i="1"/>
  <c r="E391" i="1" s="1"/>
  <c r="D392" i="1"/>
  <c r="C391" i="1" l="1"/>
  <c r="B392" i="1"/>
  <c r="K391" i="1" l="1"/>
  <c r="M391" i="1"/>
  <c r="P392" i="1"/>
  <c r="S392" i="1" s="1"/>
  <c r="L392" i="1" s="1"/>
  <c r="I391" i="1"/>
  <c r="G391" i="1" s="1"/>
  <c r="E392" i="1" s="1"/>
  <c r="N392" i="1"/>
  <c r="Q392" i="1" s="1"/>
  <c r="H392" i="1" s="1"/>
  <c r="O392" i="1"/>
  <c r="R392" i="1" s="1"/>
  <c r="J392" i="1" s="1"/>
  <c r="F392" i="1" l="1"/>
  <c r="D393" i="1"/>
  <c r="B393" i="1"/>
  <c r="C392" i="1" l="1"/>
  <c r="I392" i="1" l="1"/>
  <c r="K392" i="1"/>
  <c r="M392" i="1"/>
  <c r="P393" i="1"/>
  <c r="S393" i="1" s="1"/>
  <c r="L393" i="1" s="1"/>
  <c r="O393" i="1"/>
  <c r="R393" i="1" s="1"/>
  <c r="J393" i="1" s="1"/>
  <c r="N393" i="1"/>
  <c r="Q393" i="1" s="1"/>
  <c r="H393" i="1" s="1"/>
  <c r="F393" i="1" s="1"/>
  <c r="G392" i="1" l="1"/>
  <c r="E393" i="1" s="1"/>
  <c r="B394" i="1"/>
  <c r="D394" i="1"/>
  <c r="C393" i="1" l="1"/>
  <c r="M393" i="1"/>
  <c r="I393" i="1"/>
  <c r="K393" i="1"/>
  <c r="O394" i="1"/>
  <c r="R394" i="1" s="1"/>
  <c r="P394" i="1"/>
  <c r="S394" i="1" s="1"/>
  <c r="N394" i="1"/>
  <c r="Q394" i="1" s="1"/>
  <c r="G393" i="1" l="1"/>
  <c r="E394" i="1" s="1"/>
  <c r="L394" i="1"/>
  <c r="J394" i="1"/>
  <c r="H394" i="1"/>
  <c r="F394" i="1" s="1"/>
  <c r="C394" i="1"/>
  <c r="D395" i="1" l="1"/>
  <c r="O395" i="1"/>
  <c r="R395" i="1" s="1"/>
  <c r="P395" i="1"/>
  <c r="S395" i="1" s="1"/>
  <c r="N395" i="1"/>
  <c r="Q395" i="1" s="1"/>
  <c r="B395" i="1"/>
  <c r="I394" i="1"/>
  <c r="K394" i="1"/>
  <c r="M394" i="1"/>
  <c r="G394" i="1" l="1"/>
  <c r="E395" i="1" s="1"/>
  <c r="H395" i="1"/>
  <c r="J395" i="1"/>
  <c r="L395" i="1"/>
  <c r="F395" i="1" l="1"/>
  <c r="D396" i="1" s="1"/>
  <c r="C395" i="1"/>
  <c r="M395" i="1" l="1"/>
  <c r="O396" i="1"/>
  <c r="R396" i="1" s="1"/>
  <c r="K395" i="1"/>
  <c r="N396" i="1"/>
  <c r="Q396" i="1" s="1"/>
  <c r="P396" i="1"/>
  <c r="S396" i="1" s="1"/>
  <c r="I395" i="1"/>
  <c r="B396" i="1"/>
  <c r="G395" i="1" l="1"/>
  <c r="E396" i="1" s="1"/>
  <c r="H396" i="1"/>
  <c r="L396" i="1"/>
  <c r="J396" i="1"/>
  <c r="F396" i="1" l="1"/>
  <c r="C396" i="1"/>
  <c r="D397" i="1"/>
  <c r="K396" i="1"/>
  <c r="I396" i="1"/>
  <c r="M396" i="1"/>
  <c r="G396" i="1" l="1"/>
  <c r="E397" i="1" s="1"/>
  <c r="N397" i="1"/>
  <c r="Q397" i="1" s="1"/>
  <c r="O397" i="1"/>
  <c r="R397" i="1" s="1"/>
  <c r="P397" i="1"/>
  <c r="S397" i="1" s="1"/>
  <c r="B397" i="1"/>
  <c r="L397" i="1" l="1"/>
  <c r="J397" i="1"/>
  <c r="H397" i="1"/>
  <c r="F397" i="1" s="1"/>
  <c r="C397" i="1"/>
  <c r="P398" i="1" s="1"/>
  <c r="S398" i="1" s="1"/>
  <c r="B398" i="1" l="1"/>
  <c r="D398" i="1"/>
  <c r="O398" i="1"/>
  <c r="R398" i="1" s="1"/>
  <c r="J398" i="1" s="1"/>
  <c r="N398" i="1"/>
  <c r="Q398" i="1" s="1"/>
  <c r="H398" i="1" s="1"/>
  <c r="L398" i="1"/>
  <c r="K397" i="1"/>
  <c r="I397" i="1"/>
  <c r="M397" i="1"/>
  <c r="F398" i="1" l="1"/>
  <c r="G397" i="1"/>
  <c r="E398" i="1" s="1"/>
  <c r="D399" i="1"/>
  <c r="C398" i="1" l="1"/>
  <c r="B399" i="1"/>
  <c r="K398" i="1" l="1"/>
  <c r="M398" i="1"/>
  <c r="I398" i="1"/>
  <c r="G398" i="1" s="1"/>
  <c r="E399" i="1" s="1"/>
  <c r="O399" i="1"/>
  <c r="R399" i="1" s="1"/>
  <c r="J399" i="1" s="1"/>
  <c r="P399" i="1"/>
  <c r="S399" i="1" s="1"/>
  <c r="L399" i="1" s="1"/>
  <c r="N399" i="1"/>
  <c r="Q399" i="1" s="1"/>
  <c r="H399" i="1" s="1"/>
  <c r="F399" i="1" l="1"/>
  <c r="D400" i="1"/>
  <c r="B400" i="1" l="1"/>
  <c r="C399" i="1"/>
  <c r="K399" i="1" l="1"/>
  <c r="I399" i="1"/>
  <c r="M399" i="1"/>
  <c r="N400" i="1"/>
  <c r="Q400" i="1" s="1"/>
  <c r="H400" i="1" s="1"/>
  <c r="O400" i="1"/>
  <c r="R400" i="1" s="1"/>
  <c r="J400" i="1" s="1"/>
  <c r="P400" i="1"/>
  <c r="S400" i="1" s="1"/>
  <c r="L400" i="1" s="1"/>
  <c r="F400" i="1" l="1"/>
  <c r="G399" i="1"/>
  <c r="E400" i="1" s="1"/>
  <c r="D401" i="1"/>
  <c r="C400" i="1" l="1"/>
  <c r="K400" i="1"/>
  <c r="M400" i="1"/>
  <c r="I400" i="1"/>
  <c r="N401" i="1"/>
  <c r="Q401" i="1" s="1"/>
  <c r="P401" i="1"/>
  <c r="S401" i="1" s="1"/>
  <c r="O401" i="1"/>
  <c r="R401" i="1" s="1"/>
  <c r="B401" i="1"/>
  <c r="G400" i="1" l="1"/>
  <c r="E401" i="1" s="1"/>
  <c r="H401" i="1"/>
  <c r="L401" i="1"/>
  <c r="J401" i="1"/>
  <c r="C401" i="1"/>
  <c r="P402" i="1" s="1"/>
  <c r="S402" i="1" s="1"/>
  <c r="F401" i="1" l="1"/>
  <c r="O402" i="1"/>
  <c r="R402" i="1" s="1"/>
  <c r="N402" i="1"/>
  <c r="Q402" i="1" s="1"/>
  <c r="I401" i="1"/>
  <c r="M401" i="1"/>
  <c r="K401" i="1"/>
  <c r="D402" i="1"/>
  <c r="G401" i="1" l="1"/>
  <c r="E402" i="1" s="1"/>
  <c r="B402" i="1"/>
  <c r="C402" i="1"/>
  <c r="K402" i="1" l="1"/>
  <c r="M402" i="1"/>
  <c r="I402" i="1"/>
  <c r="H402" i="1"/>
  <c r="O403" i="1"/>
  <c r="R403" i="1" s="1"/>
  <c r="P403" i="1"/>
  <c r="S403" i="1" s="1"/>
  <c r="J402" i="1"/>
  <c r="N403" i="1"/>
  <c r="Q403" i="1" s="1"/>
  <c r="L402" i="1"/>
  <c r="F402" i="1" l="1"/>
  <c r="G402" i="1"/>
  <c r="E403" i="1" s="1"/>
  <c r="C403" i="1"/>
  <c r="B403" i="1" l="1"/>
  <c r="D403" i="1"/>
  <c r="K403" i="1"/>
  <c r="I403" i="1"/>
  <c r="G403" i="1" s="1"/>
  <c r="E404" i="1" s="1"/>
  <c r="M403" i="1"/>
  <c r="N404" i="1" l="1"/>
  <c r="Q404" i="1" s="1"/>
  <c r="H403" i="1"/>
  <c r="O404" i="1"/>
  <c r="R404" i="1" s="1"/>
  <c r="J403" i="1"/>
  <c r="P404" i="1"/>
  <c r="S404" i="1" s="1"/>
  <c r="L403" i="1"/>
  <c r="F403" i="1" l="1"/>
  <c r="C404" i="1"/>
  <c r="B404" i="1" l="1"/>
  <c r="D404" i="1"/>
  <c r="M404" i="1"/>
  <c r="O405" i="1"/>
  <c r="R405" i="1" s="1"/>
  <c r="K404" i="1"/>
  <c r="P405" i="1"/>
  <c r="S405" i="1" s="1"/>
  <c r="I404" i="1"/>
  <c r="G404" i="1" s="1"/>
  <c r="E405" i="1" s="1"/>
  <c r="N405" i="1"/>
  <c r="Q405" i="1" s="1"/>
  <c r="C405" i="1" l="1"/>
  <c r="H404" i="1"/>
  <c r="L404" i="1"/>
  <c r="J404" i="1"/>
  <c r="I405" i="1"/>
  <c r="K405" i="1"/>
  <c r="M405" i="1"/>
  <c r="G405" i="1" l="1"/>
  <c r="E406" i="1" s="1"/>
  <c r="F404" i="1"/>
  <c r="B405" i="1" l="1"/>
  <c r="D405" i="1"/>
  <c r="C406" i="1"/>
  <c r="H405" i="1" l="1"/>
  <c r="L405" i="1"/>
  <c r="O406" i="1"/>
  <c r="R406" i="1" s="1"/>
  <c r="K406" i="1" s="1"/>
  <c r="N406" i="1"/>
  <c r="Q406" i="1" s="1"/>
  <c r="I406" i="1" s="1"/>
  <c r="J405" i="1"/>
  <c r="P406" i="1"/>
  <c r="S406" i="1" s="1"/>
  <c r="M406" i="1" s="1"/>
  <c r="F405" i="1" l="1"/>
  <c r="G406" i="1"/>
  <c r="E407" i="1" s="1"/>
  <c r="D406" i="1" l="1"/>
  <c r="B406" i="1"/>
  <c r="C407" i="1"/>
  <c r="J406" i="1" l="1"/>
  <c r="H406" i="1"/>
  <c r="L406" i="1"/>
  <c r="O407" i="1"/>
  <c r="R407" i="1" s="1"/>
  <c r="K407" i="1" s="1"/>
  <c r="N407" i="1"/>
  <c r="Q407" i="1" s="1"/>
  <c r="I407" i="1" s="1"/>
  <c r="P407" i="1"/>
  <c r="S407" i="1" s="1"/>
  <c r="M407" i="1" s="1"/>
  <c r="F406" i="1" l="1"/>
  <c r="G407" i="1"/>
  <c r="E408" i="1" s="1"/>
  <c r="C408" i="1"/>
  <c r="B407" i="1" l="1"/>
  <c r="D407" i="1"/>
  <c r="O408" i="1" l="1"/>
  <c r="R408" i="1" s="1"/>
  <c r="K408" i="1" s="1"/>
  <c r="H407" i="1"/>
  <c r="L407" i="1"/>
  <c r="N408" i="1"/>
  <c r="Q408" i="1" s="1"/>
  <c r="I408" i="1" s="1"/>
  <c r="J407" i="1"/>
  <c r="P408" i="1"/>
  <c r="S408" i="1" s="1"/>
  <c r="M408" i="1" s="1"/>
  <c r="F407" i="1" l="1"/>
  <c r="G408" i="1"/>
  <c r="E409" i="1" s="1"/>
  <c r="C409" i="1"/>
  <c r="B408" i="1" l="1"/>
  <c r="D408" i="1"/>
  <c r="N409" i="1" l="1"/>
  <c r="Q409" i="1" s="1"/>
  <c r="I409" i="1" s="1"/>
  <c r="P409" i="1"/>
  <c r="S409" i="1" s="1"/>
  <c r="M409" i="1" s="1"/>
  <c r="J408" i="1"/>
  <c r="O409" i="1"/>
  <c r="R409" i="1" s="1"/>
  <c r="K409" i="1" s="1"/>
  <c r="L408" i="1"/>
  <c r="H408" i="1"/>
  <c r="F408" i="1" s="1"/>
  <c r="G409" i="1" l="1"/>
  <c r="E410" i="1" s="1"/>
  <c r="D409" i="1"/>
  <c r="B409" i="1"/>
  <c r="C410" i="1"/>
  <c r="N410" i="1" l="1"/>
  <c r="Q410" i="1" s="1"/>
  <c r="I410" i="1" s="1"/>
  <c r="P410" i="1"/>
  <c r="S410" i="1" s="1"/>
  <c r="M410" i="1" s="1"/>
  <c r="L409" i="1"/>
  <c r="O410" i="1"/>
  <c r="R410" i="1" s="1"/>
  <c r="K410" i="1" s="1"/>
  <c r="H409" i="1"/>
  <c r="J409" i="1"/>
  <c r="F409" i="1" l="1"/>
  <c r="G410" i="1"/>
  <c r="E411" i="1" s="1"/>
  <c r="D410" i="1"/>
  <c r="B410" i="1"/>
  <c r="C411" i="1"/>
  <c r="P411" i="1" l="1"/>
  <c r="S411" i="1" s="1"/>
  <c r="M411" i="1" s="1"/>
  <c r="J410" i="1"/>
  <c r="L410" i="1"/>
  <c r="N411" i="1"/>
  <c r="Q411" i="1" s="1"/>
  <c r="I411" i="1" s="1"/>
  <c r="H410" i="1"/>
  <c r="F410" i="1" s="1"/>
  <c r="O411" i="1"/>
  <c r="R411" i="1" s="1"/>
  <c r="K411" i="1" s="1"/>
  <c r="G411" i="1" l="1"/>
  <c r="E412" i="1" s="1"/>
  <c r="D411" i="1"/>
  <c r="B411" i="1" l="1"/>
  <c r="H411" i="1"/>
  <c r="P412" i="1"/>
  <c r="S412" i="1" s="1"/>
  <c r="L411" i="1"/>
  <c r="J411" i="1"/>
  <c r="N412" i="1"/>
  <c r="Q412" i="1" s="1"/>
  <c r="I412" i="1" s="1"/>
  <c r="O412" i="1"/>
  <c r="R412" i="1" s="1"/>
  <c r="K412" i="1" s="1"/>
  <c r="C412" i="1"/>
  <c r="F411" i="1" l="1"/>
  <c r="M412" i="1"/>
  <c r="G412" i="1" s="1"/>
  <c r="E413" i="1" s="1"/>
  <c r="C413" i="1" l="1"/>
  <c r="D412" i="1"/>
  <c r="B412" i="1"/>
  <c r="J412" i="1" l="1"/>
  <c r="N413" i="1"/>
  <c r="Q413" i="1" s="1"/>
  <c r="I413" i="1" s="1"/>
  <c r="H412" i="1"/>
  <c r="P413" i="1"/>
  <c r="S413" i="1" s="1"/>
  <c r="M413" i="1" s="1"/>
  <c r="L412" i="1"/>
  <c r="O413" i="1"/>
  <c r="R413" i="1" s="1"/>
  <c r="K413" i="1" s="1"/>
  <c r="F412" i="1" l="1"/>
  <c r="G413" i="1"/>
  <c r="E414" i="1" s="1"/>
  <c r="D413" i="1" l="1"/>
  <c r="B413" i="1"/>
  <c r="C414" i="1"/>
  <c r="N414" i="1" l="1"/>
  <c r="Q414" i="1" s="1"/>
  <c r="O414" i="1"/>
  <c r="R414" i="1" s="1"/>
  <c r="K414" i="1" s="1"/>
  <c r="H413" i="1"/>
  <c r="L413" i="1"/>
  <c r="J413" i="1"/>
  <c r="P414" i="1"/>
  <c r="S414" i="1" s="1"/>
  <c r="M414" i="1" s="1"/>
  <c r="I414" i="1"/>
  <c r="G414" i="1" l="1"/>
  <c r="E415" i="1" s="1"/>
  <c r="F413" i="1"/>
  <c r="D414" i="1" s="1"/>
  <c r="B414" i="1"/>
  <c r="O415" i="1" s="1"/>
  <c r="R415" i="1" s="1"/>
  <c r="L414" i="1"/>
  <c r="J414" i="1" l="1"/>
  <c r="H414" i="1"/>
  <c r="N415" i="1"/>
  <c r="Q415" i="1" s="1"/>
  <c r="F414" i="1"/>
  <c r="P415" i="1"/>
  <c r="S415" i="1" s="1"/>
  <c r="B415" i="1"/>
  <c r="D415" i="1"/>
  <c r="C415" i="1"/>
  <c r="L415" i="1" l="1"/>
  <c r="N416" i="1"/>
  <c r="Q416" i="1" s="1"/>
  <c r="H415" i="1"/>
  <c r="P416" i="1"/>
  <c r="S416" i="1" s="1"/>
  <c r="O416" i="1"/>
  <c r="R416" i="1" s="1"/>
  <c r="J415" i="1"/>
  <c r="K415" i="1"/>
  <c r="I415" i="1"/>
  <c r="G415" i="1" s="1"/>
  <c r="E416" i="1" s="1"/>
  <c r="M415" i="1"/>
  <c r="F415" i="1" l="1"/>
  <c r="C416" i="1"/>
  <c r="D416" i="1"/>
  <c r="B416" i="1"/>
  <c r="O417" i="1" l="1"/>
  <c r="R417" i="1" s="1"/>
  <c r="P417" i="1"/>
  <c r="S417" i="1" s="1"/>
  <c r="H416" i="1"/>
  <c r="N417" i="1"/>
  <c r="Q417" i="1" s="1"/>
  <c r="L416" i="1"/>
  <c r="J416" i="1"/>
  <c r="I416" i="1"/>
  <c r="G416" i="1" s="1"/>
  <c r="E417" i="1" s="1"/>
  <c r="K416" i="1"/>
  <c r="M416" i="1"/>
  <c r="F416" i="1" l="1"/>
  <c r="C417" i="1"/>
  <c r="D417" i="1"/>
  <c r="B417" i="1"/>
  <c r="L417" i="1" l="1"/>
  <c r="J417" i="1"/>
  <c r="H417" i="1"/>
  <c r="F417" i="1" s="1"/>
  <c r="O418" i="1"/>
  <c r="R418" i="1" s="1"/>
  <c r="P418" i="1"/>
  <c r="S418" i="1" s="1"/>
  <c r="N418" i="1"/>
  <c r="Q418" i="1" s="1"/>
  <c r="M417" i="1"/>
  <c r="K417" i="1"/>
  <c r="I417" i="1"/>
  <c r="G417" i="1" l="1"/>
  <c r="E418" i="1" s="1"/>
  <c r="B418" i="1"/>
  <c r="J418" i="1" s="1"/>
  <c r="H418" i="1" l="1"/>
  <c r="L418" i="1"/>
  <c r="D418" i="1"/>
  <c r="C418" i="1"/>
  <c r="F418" i="1" l="1"/>
  <c r="B419" i="1" s="1"/>
  <c r="D419" i="1"/>
  <c r="M418" i="1"/>
  <c r="I418" i="1"/>
  <c r="K418" i="1"/>
  <c r="P419" i="1"/>
  <c r="S419" i="1" s="1"/>
  <c r="O419" i="1"/>
  <c r="R419" i="1" s="1"/>
  <c r="N419" i="1"/>
  <c r="Q419" i="1" s="1"/>
  <c r="L419" i="1" l="1"/>
  <c r="J419" i="1"/>
  <c r="G418" i="1"/>
  <c r="E419" i="1" s="1"/>
  <c r="H419" i="1"/>
  <c r="F419" i="1" s="1"/>
  <c r="D420" i="1" s="1"/>
  <c r="B420" i="1"/>
  <c r="C419" i="1" l="1"/>
  <c r="M419" i="1" l="1"/>
  <c r="K419" i="1"/>
  <c r="I419" i="1"/>
  <c r="N420" i="1"/>
  <c r="Q420" i="1" s="1"/>
  <c r="H420" i="1" s="1"/>
  <c r="P420" i="1"/>
  <c r="S420" i="1" s="1"/>
  <c r="L420" i="1" s="1"/>
  <c r="O420" i="1"/>
  <c r="R420" i="1" s="1"/>
  <c r="J420" i="1" s="1"/>
  <c r="F420" i="1" l="1"/>
  <c r="G419" i="1"/>
  <c r="E420" i="1" s="1"/>
  <c r="C420" i="1" l="1"/>
  <c r="D421" i="1"/>
  <c r="B421" i="1"/>
  <c r="N421" i="1" l="1"/>
  <c r="Q421" i="1" s="1"/>
  <c r="I420" i="1"/>
  <c r="K420" i="1"/>
  <c r="O421" i="1"/>
  <c r="R421" i="1" s="1"/>
  <c r="J421" i="1" s="1"/>
  <c r="M420" i="1"/>
  <c r="P421" i="1"/>
  <c r="S421" i="1" s="1"/>
  <c r="L421" i="1" s="1"/>
  <c r="H421" i="1"/>
  <c r="F421" i="1" l="1"/>
  <c r="G420" i="1"/>
  <c r="E421" i="1" s="1"/>
  <c r="C421" i="1" l="1"/>
  <c r="D422" i="1"/>
  <c r="B422" i="1"/>
  <c r="I421" i="1" l="1"/>
  <c r="P422" i="1"/>
  <c r="S422" i="1" s="1"/>
  <c r="M421" i="1"/>
  <c r="K421" i="1"/>
  <c r="N422" i="1"/>
  <c r="Q422" i="1" s="1"/>
  <c r="H422" i="1" s="1"/>
  <c r="O422" i="1"/>
  <c r="R422" i="1" s="1"/>
  <c r="J422" i="1" s="1"/>
  <c r="L422" i="1"/>
  <c r="F422" i="1" l="1"/>
  <c r="G421" i="1"/>
  <c r="E422" i="1" s="1"/>
  <c r="D423" i="1"/>
  <c r="B423" i="1"/>
  <c r="C422" i="1" l="1"/>
  <c r="O423" i="1" l="1"/>
  <c r="R423" i="1" s="1"/>
  <c r="J423" i="1" s="1"/>
  <c r="P423" i="1"/>
  <c r="S423" i="1" s="1"/>
  <c r="L423" i="1" s="1"/>
  <c r="N423" i="1"/>
  <c r="Q423" i="1" s="1"/>
  <c r="H423" i="1" s="1"/>
  <c r="F423" i="1" s="1"/>
  <c r="I422" i="1"/>
  <c r="G422" i="1" s="1"/>
  <c r="E423" i="1" s="1"/>
  <c r="K422" i="1"/>
  <c r="M422" i="1"/>
  <c r="C423" i="1" l="1"/>
  <c r="D424" i="1"/>
  <c r="B424" i="1"/>
  <c r="P424" i="1" l="1"/>
  <c r="S424" i="1" s="1"/>
  <c r="I423" i="1"/>
  <c r="M423" i="1"/>
  <c r="K423" i="1"/>
  <c r="O424" i="1"/>
  <c r="R424" i="1" s="1"/>
  <c r="J424" i="1" s="1"/>
  <c r="N424" i="1"/>
  <c r="Q424" i="1" s="1"/>
  <c r="H424" i="1" s="1"/>
  <c r="L424" i="1"/>
  <c r="F424" i="1" l="1"/>
  <c r="G423" i="1"/>
  <c r="E424" i="1" s="1"/>
  <c r="C424" i="1" l="1"/>
  <c r="D425" i="1"/>
  <c r="B425" i="1"/>
  <c r="P425" i="1" l="1"/>
  <c r="S425" i="1" s="1"/>
  <c r="I424" i="1"/>
  <c r="O425" i="1"/>
  <c r="R425" i="1" s="1"/>
  <c r="J425" i="1" s="1"/>
  <c r="K424" i="1"/>
  <c r="N425" i="1"/>
  <c r="Q425" i="1" s="1"/>
  <c r="H425" i="1" s="1"/>
  <c r="F425" i="1" s="1"/>
  <c r="M424" i="1"/>
  <c r="L425" i="1"/>
  <c r="G424" i="1" l="1"/>
  <c r="E425" i="1" s="1"/>
  <c r="C425" i="1" l="1"/>
  <c r="D426" i="1"/>
  <c r="B426" i="1"/>
  <c r="I425" i="1" l="1"/>
  <c r="N426" i="1"/>
  <c r="Q426" i="1" s="1"/>
  <c r="H426" i="1" s="1"/>
  <c r="O426" i="1"/>
  <c r="R426" i="1" s="1"/>
  <c r="M425" i="1"/>
  <c r="K425" i="1"/>
  <c r="P426" i="1"/>
  <c r="S426" i="1" s="1"/>
  <c r="L426" i="1" l="1"/>
  <c r="J426" i="1"/>
  <c r="F426" i="1" s="1"/>
  <c r="G425" i="1"/>
  <c r="E426" i="1" s="1"/>
  <c r="B427" i="1" l="1"/>
  <c r="D427" i="1"/>
  <c r="C426" i="1"/>
  <c r="I426" i="1" l="1"/>
  <c r="P427" i="1"/>
  <c r="S427" i="1" s="1"/>
  <c r="O427" i="1"/>
  <c r="R427" i="1" s="1"/>
  <c r="N427" i="1"/>
  <c r="Q427" i="1" s="1"/>
  <c r="M426" i="1"/>
  <c r="K426" i="1"/>
  <c r="H427" i="1" l="1"/>
  <c r="J427" i="1"/>
  <c r="L427" i="1"/>
  <c r="G426" i="1"/>
  <c r="E427" i="1" s="1"/>
  <c r="F427" i="1" l="1"/>
  <c r="C427" i="1"/>
  <c r="N428" i="1" l="1"/>
  <c r="Q428" i="1" s="1"/>
  <c r="O428" i="1"/>
  <c r="R428" i="1" s="1"/>
  <c r="P428" i="1"/>
  <c r="S428" i="1" s="1"/>
  <c r="I427" i="1"/>
  <c r="K427" i="1"/>
  <c r="M427" i="1"/>
  <c r="D428" i="1"/>
  <c r="B428" i="1"/>
  <c r="G427" i="1" l="1"/>
  <c r="E428" i="1" s="1"/>
  <c r="L428" i="1"/>
  <c r="H428" i="1"/>
  <c r="J428" i="1"/>
  <c r="F428" i="1" l="1"/>
  <c r="D429" i="1" s="1"/>
  <c r="B429" i="1"/>
  <c r="C428" i="1"/>
  <c r="I428" i="1" l="1"/>
  <c r="M428" i="1"/>
  <c r="P429" i="1"/>
  <c r="S429" i="1" s="1"/>
  <c r="K428" i="1"/>
  <c r="O429" i="1"/>
  <c r="R429" i="1" s="1"/>
  <c r="N429" i="1"/>
  <c r="Q429" i="1" s="1"/>
  <c r="H429" i="1" l="1"/>
  <c r="L429" i="1"/>
  <c r="J429" i="1"/>
  <c r="G428" i="1"/>
  <c r="E429" i="1" s="1"/>
  <c r="F429" i="1" l="1"/>
  <c r="C429" i="1"/>
  <c r="D430" i="1" l="1"/>
  <c r="B430" i="1"/>
  <c r="N430" i="1"/>
  <c r="Q430" i="1" s="1"/>
  <c r="P430" i="1"/>
  <c r="S430" i="1" s="1"/>
  <c r="O430" i="1"/>
  <c r="R430" i="1" s="1"/>
  <c r="I429" i="1"/>
  <c r="M429" i="1"/>
  <c r="K429" i="1"/>
  <c r="G429" i="1" l="1"/>
  <c r="E430" i="1" s="1"/>
  <c r="L430" i="1"/>
  <c r="H430" i="1"/>
  <c r="J430" i="1"/>
  <c r="C430" i="1"/>
  <c r="K430" i="1" s="1"/>
  <c r="N431" i="1" l="1"/>
  <c r="Q431" i="1" s="1"/>
  <c r="I430" i="1"/>
  <c r="F430" i="1"/>
  <c r="B431" i="1" s="1"/>
  <c r="P431" i="1"/>
  <c r="S431" i="1" s="1"/>
  <c r="M430" i="1"/>
  <c r="G430" i="1" s="1"/>
  <c r="E431" i="1" s="1"/>
  <c r="O431" i="1"/>
  <c r="R431" i="1" s="1"/>
  <c r="D431" i="1" l="1"/>
  <c r="C431" i="1"/>
  <c r="O432" i="1" s="1"/>
  <c r="R432" i="1" s="1"/>
  <c r="N432" i="1"/>
  <c r="Q432" i="1" s="1"/>
  <c r="J431" i="1"/>
  <c r="L431" i="1"/>
  <c r="H431" i="1"/>
  <c r="K431" i="1" l="1"/>
  <c r="F431" i="1"/>
  <c r="B432" i="1" s="1"/>
  <c r="I431" i="1"/>
  <c r="G431" i="1" s="1"/>
  <c r="E432" i="1" s="1"/>
  <c r="M431" i="1"/>
  <c r="P432" i="1"/>
  <c r="S432" i="1" s="1"/>
  <c r="D432" i="1" l="1"/>
  <c r="J432" i="1"/>
  <c r="H432" i="1"/>
  <c r="C432" i="1"/>
  <c r="L432" i="1"/>
  <c r="F432" i="1" l="1"/>
  <c r="D433" i="1"/>
  <c r="B433" i="1"/>
  <c r="P433" i="1"/>
  <c r="S433" i="1" s="1"/>
  <c r="I432" i="1"/>
  <c r="O433" i="1"/>
  <c r="R433" i="1" s="1"/>
  <c r="N433" i="1"/>
  <c r="Q433" i="1" s="1"/>
  <c r="K432" i="1"/>
  <c r="M432" i="1"/>
  <c r="G432" i="1" l="1"/>
  <c r="E433" i="1" s="1"/>
  <c r="L433" i="1"/>
  <c r="J433" i="1"/>
  <c r="H433" i="1"/>
  <c r="F433" i="1" s="1"/>
  <c r="C433" i="1" l="1"/>
  <c r="K433" i="1" l="1"/>
  <c r="M433" i="1"/>
  <c r="I433" i="1"/>
  <c r="G433" i="1" s="1"/>
  <c r="E434" i="1" s="1"/>
  <c r="P434" i="1"/>
  <c r="S434" i="1" s="1"/>
  <c r="N434" i="1"/>
  <c r="Q434" i="1" s="1"/>
  <c r="O434" i="1"/>
  <c r="R434" i="1" s="1"/>
  <c r="D434" i="1"/>
  <c r="B434" i="1"/>
  <c r="C434" i="1" l="1"/>
  <c r="K434" i="1" s="1"/>
  <c r="J434" i="1"/>
  <c r="L434" i="1"/>
  <c r="H434" i="1"/>
  <c r="F434" i="1" s="1"/>
  <c r="O435" i="1" l="1"/>
  <c r="R435" i="1" s="1"/>
  <c r="P435" i="1"/>
  <c r="S435" i="1" s="1"/>
  <c r="I434" i="1"/>
  <c r="N435" i="1"/>
  <c r="Q435" i="1" s="1"/>
  <c r="M434" i="1"/>
  <c r="G434" i="1" l="1"/>
  <c r="E435" i="1" s="1"/>
  <c r="D435" i="1"/>
  <c r="B435" i="1"/>
  <c r="C435" i="1"/>
  <c r="M435" i="1"/>
  <c r="K435" i="1"/>
  <c r="N436" i="1" l="1"/>
  <c r="Q436" i="1" s="1"/>
  <c r="O436" i="1"/>
  <c r="R436" i="1" s="1"/>
  <c r="H435" i="1"/>
  <c r="F435" i="1" s="1"/>
  <c r="J435" i="1"/>
  <c r="L435" i="1"/>
  <c r="P436" i="1"/>
  <c r="S436" i="1" s="1"/>
  <c r="I435" i="1"/>
  <c r="G435" i="1" s="1"/>
  <c r="E436" i="1" s="1"/>
  <c r="C436" i="1" l="1"/>
  <c r="M436" i="1" s="1"/>
  <c r="K436" i="1" l="1"/>
  <c r="I436" i="1"/>
  <c r="G436" i="1" s="1"/>
  <c r="E437" i="1" s="1"/>
  <c r="B436" i="1"/>
  <c r="D436" i="1"/>
  <c r="C437" i="1" l="1"/>
  <c r="O437" i="1"/>
  <c r="R437" i="1" s="1"/>
  <c r="K437" i="1" s="1"/>
  <c r="L436" i="1"/>
  <c r="N437" i="1"/>
  <c r="Q437" i="1" s="1"/>
  <c r="I437" i="1" s="1"/>
  <c r="J436" i="1"/>
  <c r="P437" i="1"/>
  <c r="S437" i="1" s="1"/>
  <c r="M437" i="1" s="1"/>
  <c r="H436" i="1"/>
  <c r="F436" i="1" l="1"/>
  <c r="B437" i="1" s="1"/>
  <c r="J437" i="1" s="1"/>
  <c r="N438" i="1"/>
  <c r="Q438" i="1" s="1"/>
  <c r="O438" i="1"/>
  <c r="R438" i="1" s="1"/>
  <c r="L437" i="1"/>
  <c r="G437" i="1"/>
  <c r="E438" i="1" s="1"/>
  <c r="H437" i="1" l="1"/>
  <c r="F437" i="1" s="1"/>
  <c r="P438" i="1"/>
  <c r="S438" i="1" s="1"/>
  <c r="D437" i="1"/>
  <c r="C438" i="1"/>
  <c r="K438" i="1" s="1"/>
  <c r="M438" i="1" l="1"/>
  <c r="I438" i="1"/>
  <c r="D438" i="1"/>
  <c r="B438" i="1"/>
  <c r="O439" i="1" l="1"/>
  <c r="R439" i="1" s="1"/>
  <c r="H438" i="1"/>
  <c r="L438" i="1"/>
  <c r="N439" i="1"/>
  <c r="Q439" i="1" s="1"/>
  <c r="P439" i="1"/>
  <c r="S439" i="1" s="1"/>
  <c r="J438" i="1"/>
  <c r="G438" i="1"/>
  <c r="C439" i="1" l="1"/>
  <c r="E439" i="1"/>
  <c r="I439" i="1"/>
  <c r="M439" i="1"/>
  <c r="F438" i="1"/>
  <c r="K439" i="1"/>
  <c r="G439" i="1" s="1"/>
  <c r="E440" i="1" l="1"/>
  <c r="B439" i="1"/>
  <c r="D439" i="1"/>
  <c r="C440" i="1"/>
  <c r="J439" i="1" l="1"/>
  <c r="L439" i="1"/>
  <c r="N440" i="1"/>
  <c r="Q440" i="1" s="1"/>
  <c r="I440" i="1" s="1"/>
  <c r="P440" i="1"/>
  <c r="S440" i="1" s="1"/>
  <c r="M440" i="1" s="1"/>
  <c r="H439" i="1"/>
  <c r="O440" i="1"/>
  <c r="R440" i="1" s="1"/>
  <c r="K440" i="1" s="1"/>
  <c r="F439" i="1" l="1"/>
  <c r="B440" i="1" s="1"/>
  <c r="O441" i="1" s="1"/>
  <c r="R441" i="1" s="1"/>
  <c r="J440" i="1"/>
  <c r="P441" i="1"/>
  <c r="S441" i="1" s="1"/>
  <c r="N441" i="1"/>
  <c r="Q441" i="1" s="1"/>
  <c r="G440" i="1"/>
  <c r="E441" i="1" s="1"/>
  <c r="H440" i="1" l="1"/>
  <c r="L440" i="1"/>
  <c r="D440" i="1"/>
  <c r="C441" i="1"/>
  <c r="K441" i="1" s="1"/>
  <c r="F440" i="1" l="1"/>
  <c r="M441" i="1"/>
  <c r="B441" i="1"/>
  <c r="D441" i="1"/>
  <c r="I441" i="1"/>
  <c r="G441" i="1" s="1"/>
  <c r="C442" i="1" l="1"/>
  <c r="E442" i="1"/>
  <c r="O442" i="1"/>
  <c r="R442" i="1" s="1"/>
  <c r="K442" i="1" s="1"/>
  <c r="N442" i="1"/>
  <c r="Q442" i="1" s="1"/>
  <c r="I442" i="1" s="1"/>
  <c r="P442" i="1"/>
  <c r="S442" i="1" s="1"/>
  <c r="M442" i="1" s="1"/>
  <c r="J441" i="1"/>
  <c r="L441" i="1"/>
  <c r="H441" i="1"/>
  <c r="F441" i="1" l="1"/>
  <c r="D442" i="1" s="1"/>
  <c r="G442" i="1"/>
  <c r="E443" i="1" s="1"/>
  <c r="B442" i="1"/>
  <c r="P443" i="1" s="1"/>
  <c r="S443" i="1" s="1"/>
  <c r="M443" i="1" s="1"/>
  <c r="C443" i="1"/>
  <c r="N443" i="1"/>
  <c r="Q443" i="1" s="1"/>
  <c r="I443" i="1" s="1"/>
  <c r="L442" i="1"/>
  <c r="O443" i="1" l="1"/>
  <c r="R443" i="1" s="1"/>
  <c r="K443" i="1" s="1"/>
  <c r="G443" i="1" s="1"/>
  <c r="E444" i="1" s="1"/>
  <c r="H442" i="1"/>
  <c r="J442" i="1"/>
  <c r="F442" i="1" l="1"/>
  <c r="C444" i="1"/>
  <c r="D443" i="1"/>
  <c r="B443" i="1"/>
  <c r="O444" i="1" l="1"/>
  <c r="R444" i="1" s="1"/>
  <c r="K444" i="1" s="1"/>
  <c r="L443" i="1"/>
  <c r="H443" i="1"/>
  <c r="J443" i="1"/>
  <c r="N444" i="1"/>
  <c r="Q444" i="1" s="1"/>
  <c r="I444" i="1" s="1"/>
  <c r="P444" i="1"/>
  <c r="S444" i="1" s="1"/>
  <c r="M444" i="1" s="1"/>
  <c r="G444" i="1" l="1"/>
  <c r="E445" i="1" s="1"/>
  <c r="F443" i="1"/>
  <c r="D444" i="1" s="1"/>
  <c r="C445" i="1"/>
  <c r="B444" i="1"/>
  <c r="H444" i="1" l="1"/>
  <c r="P445" i="1"/>
  <c r="S445" i="1" s="1"/>
  <c r="M445" i="1" s="1"/>
  <c r="L444" i="1"/>
  <c r="O445" i="1"/>
  <c r="R445" i="1" s="1"/>
  <c r="K445" i="1" s="1"/>
  <c r="J444" i="1"/>
  <c r="N445" i="1"/>
  <c r="Q445" i="1" s="1"/>
  <c r="I445" i="1" s="1"/>
  <c r="G445" i="1" s="1"/>
  <c r="E446" i="1" s="1"/>
  <c r="F444" i="1" l="1"/>
  <c r="D445" i="1"/>
  <c r="B445" i="1"/>
  <c r="C446" i="1"/>
  <c r="O446" i="1" l="1"/>
  <c r="R446" i="1" s="1"/>
  <c r="K446" i="1" s="1"/>
  <c r="L445" i="1"/>
  <c r="N446" i="1"/>
  <c r="Q446" i="1" s="1"/>
  <c r="I446" i="1" s="1"/>
  <c r="H445" i="1"/>
  <c r="F445" i="1" s="1"/>
  <c r="J445" i="1"/>
  <c r="P446" i="1"/>
  <c r="S446" i="1" s="1"/>
  <c r="M446" i="1" s="1"/>
  <c r="G446" i="1" l="1"/>
  <c r="E447" i="1" s="1"/>
  <c r="D446" i="1"/>
  <c r="C447" i="1"/>
  <c r="B446" i="1"/>
  <c r="N447" i="1" l="1"/>
  <c r="Q447" i="1" s="1"/>
  <c r="I447" i="1" s="1"/>
  <c r="L446" i="1"/>
  <c r="P447" i="1"/>
  <c r="S447" i="1" s="1"/>
  <c r="M447" i="1" s="1"/>
  <c r="O447" i="1"/>
  <c r="R447" i="1" s="1"/>
  <c r="K447" i="1" s="1"/>
  <c r="J446" i="1"/>
  <c r="H446" i="1"/>
  <c r="F446" i="1" s="1"/>
  <c r="G447" i="1" l="1"/>
  <c r="E448" i="1" s="1"/>
  <c r="D447" i="1"/>
  <c r="B447" i="1"/>
  <c r="C448" i="1" l="1"/>
  <c r="H447" i="1"/>
  <c r="N448" i="1"/>
  <c r="Q448" i="1" s="1"/>
  <c r="P448" i="1"/>
  <c r="S448" i="1" s="1"/>
  <c r="L447" i="1"/>
  <c r="J447" i="1"/>
  <c r="O448" i="1"/>
  <c r="R448" i="1" s="1"/>
  <c r="F447" i="1" l="1"/>
  <c r="M448" i="1"/>
  <c r="K448" i="1"/>
  <c r="I448" i="1"/>
  <c r="G448" i="1" l="1"/>
  <c r="E449" i="1" s="1"/>
  <c r="C449" i="1"/>
  <c r="D448" i="1"/>
  <c r="B448" i="1"/>
  <c r="H448" i="1" l="1"/>
  <c r="P449" i="1"/>
  <c r="S449" i="1" s="1"/>
  <c r="M449" i="1" s="1"/>
  <c r="L448" i="1"/>
  <c r="O449" i="1"/>
  <c r="R449" i="1" s="1"/>
  <c r="K449" i="1" s="1"/>
  <c r="J448" i="1"/>
  <c r="N449" i="1"/>
  <c r="Q449" i="1" s="1"/>
  <c r="I449" i="1" s="1"/>
  <c r="G449" i="1" l="1"/>
  <c r="E450" i="1" s="1"/>
  <c r="F448" i="1"/>
  <c r="C450" i="1"/>
  <c r="D449" i="1" l="1"/>
  <c r="B449" i="1"/>
  <c r="P450" i="1" l="1"/>
  <c r="S450" i="1" s="1"/>
  <c r="M450" i="1" s="1"/>
  <c r="H449" i="1"/>
  <c r="N450" i="1"/>
  <c r="Q450" i="1" s="1"/>
  <c r="I450" i="1" s="1"/>
  <c r="O450" i="1"/>
  <c r="R450" i="1" s="1"/>
  <c r="K450" i="1" s="1"/>
  <c r="J449" i="1"/>
  <c r="L449" i="1"/>
  <c r="F449" i="1" l="1"/>
  <c r="G450" i="1"/>
  <c r="E451" i="1" s="1"/>
  <c r="B450" i="1" l="1"/>
  <c r="D450" i="1"/>
  <c r="C451" i="1"/>
  <c r="N451" i="1" l="1"/>
  <c r="Q451" i="1" s="1"/>
  <c r="I451" i="1" s="1"/>
  <c r="O451" i="1"/>
  <c r="R451" i="1" s="1"/>
  <c r="K451" i="1" s="1"/>
  <c r="L450" i="1"/>
  <c r="P451" i="1"/>
  <c r="S451" i="1" s="1"/>
  <c r="M451" i="1" s="1"/>
  <c r="J450" i="1"/>
  <c r="H450" i="1"/>
  <c r="F450" i="1" s="1"/>
  <c r="G451" i="1" l="1"/>
  <c r="E452" i="1" s="1"/>
  <c r="D451" i="1"/>
  <c r="B451" i="1"/>
  <c r="C452" i="1"/>
  <c r="P452" i="1" l="1"/>
  <c r="S452" i="1" s="1"/>
  <c r="M452" i="1" s="1"/>
  <c r="H451" i="1"/>
  <c r="N452" i="1"/>
  <c r="Q452" i="1" s="1"/>
  <c r="I452" i="1" s="1"/>
  <c r="O452" i="1"/>
  <c r="R452" i="1" s="1"/>
  <c r="K452" i="1" s="1"/>
  <c r="J451" i="1"/>
  <c r="L451" i="1"/>
  <c r="G452" i="1" l="1"/>
  <c r="E453" i="1" s="1"/>
  <c r="F451" i="1"/>
  <c r="C453" i="1"/>
  <c r="D452" i="1" l="1"/>
  <c r="B452" i="1"/>
  <c r="J452" i="1" l="1"/>
  <c r="L452" i="1"/>
  <c r="P453" i="1"/>
  <c r="S453" i="1" s="1"/>
  <c r="M453" i="1" s="1"/>
  <c r="O453" i="1"/>
  <c r="R453" i="1" s="1"/>
  <c r="K453" i="1" s="1"/>
  <c r="H452" i="1"/>
  <c r="F452" i="1" s="1"/>
  <c r="N453" i="1"/>
  <c r="Q453" i="1" s="1"/>
  <c r="I453" i="1" s="1"/>
  <c r="G453" i="1" s="1"/>
  <c r="E454" i="1" s="1"/>
  <c r="B453" i="1" l="1"/>
  <c r="C454" i="1"/>
  <c r="D453" i="1"/>
  <c r="J453" i="1" l="1"/>
  <c r="N454" i="1"/>
  <c r="Q454" i="1" s="1"/>
  <c r="O454" i="1"/>
  <c r="R454" i="1" s="1"/>
  <c r="K454" i="1" s="1"/>
  <c r="H453" i="1"/>
  <c r="F453" i="1" s="1"/>
  <c r="P454" i="1"/>
  <c r="S454" i="1" s="1"/>
  <c r="M454" i="1" s="1"/>
  <c r="L453" i="1"/>
  <c r="I454" i="1"/>
  <c r="G454" i="1" l="1"/>
  <c r="C455" i="1" l="1"/>
  <c r="E455" i="1"/>
  <c r="D454" i="1"/>
  <c r="B454" i="1"/>
  <c r="O455" i="1" l="1"/>
  <c r="R455" i="1" s="1"/>
  <c r="K455" i="1" s="1"/>
  <c r="J454" i="1"/>
  <c r="H454" i="1"/>
  <c r="N455" i="1"/>
  <c r="Q455" i="1" s="1"/>
  <c r="I455" i="1" s="1"/>
  <c r="L454" i="1"/>
  <c r="P455" i="1"/>
  <c r="S455" i="1" s="1"/>
  <c r="M455" i="1" s="1"/>
  <c r="F454" i="1" l="1"/>
  <c r="G455" i="1"/>
  <c r="E456" i="1" s="1"/>
  <c r="B455" i="1"/>
  <c r="D455" i="1" l="1"/>
  <c r="P456" i="1"/>
  <c r="S456" i="1" s="1"/>
  <c r="J455" i="1"/>
  <c r="L455" i="1"/>
  <c r="N456" i="1"/>
  <c r="Q456" i="1" s="1"/>
  <c r="H455" i="1"/>
  <c r="F455" i="1" s="1"/>
  <c r="O456" i="1"/>
  <c r="R456" i="1" s="1"/>
  <c r="K456" i="1" s="1"/>
  <c r="C456" i="1"/>
  <c r="I456" i="1" l="1"/>
  <c r="M456" i="1"/>
  <c r="B456" i="1"/>
  <c r="G456" i="1" l="1"/>
  <c r="E457" i="1" s="1"/>
  <c r="L456" i="1"/>
  <c r="O457" i="1"/>
  <c r="R457" i="1" s="1"/>
  <c r="H456" i="1"/>
  <c r="J456" i="1"/>
  <c r="N457" i="1"/>
  <c r="Q457" i="1" s="1"/>
  <c r="P457" i="1"/>
  <c r="S457" i="1" s="1"/>
  <c r="D456" i="1"/>
  <c r="F456" i="1" l="1"/>
  <c r="C457" i="1"/>
  <c r="M457" i="1" s="1"/>
  <c r="D457" i="1"/>
  <c r="I457" i="1" l="1"/>
  <c r="K457" i="1"/>
  <c r="B457" i="1"/>
  <c r="G457" i="1" l="1"/>
  <c r="E458" i="1" s="1"/>
  <c r="J457" i="1"/>
  <c r="L457" i="1"/>
  <c r="H457" i="1"/>
  <c r="F457" i="1" s="1"/>
  <c r="N458" i="1"/>
  <c r="Q458" i="1" s="1"/>
  <c r="O458" i="1"/>
  <c r="R458" i="1" s="1"/>
  <c r="P458" i="1"/>
  <c r="S458" i="1" s="1"/>
  <c r="C458" i="1" l="1"/>
  <c r="M458" i="1" s="1"/>
  <c r="B458" i="1"/>
  <c r="K458" i="1" l="1"/>
  <c r="I458" i="1"/>
  <c r="D458" i="1"/>
  <c r="O459" i="1"/>
  <c r="R459" i="1" s="1"/>
  <c r="P459" i="1"/>
  <c r="S459" i="1" s="1"/>
  <c r="J458" i="1"/>
  <c r="L458" i="1"/>
  <c r="H458" i="1"/>
  <c r="F458" i="1" s="1"/>
  <c r="N459" i="1"/>
  <c r="Q459" i="1" s="1"/>
  <c r="G458" i="1" l="1"/>
  <c r="D459" i="1"/>
  <c r="B459" i="1"/>
  <c r="C459" i="1" l="1"/>
  <c r="E459" i="1"/>
  <c r="P460" i="1"/>
  <c r="S460" i="1" s="1"/>
  <c r="L459" i="1"/>
  <c r="N460" i="1"/>
  <c r="Q460" i="1" s="1"/>
  <c r="H459" i="1"/>
  <c r="O460" i="1"/>
  <c r="R460" i="1" s="1"/>
  <c r="J459" i="1"/>
  <c r="M459" i="1" l="1"/>
  <c r="K459" i="1"/>
  <c r="I459" i="1"/>
  <c r="G459" i="1" s="1"/>
  <c r="C460" i="1" s="1"/>
  <c r="M460" i="1" s="1"/>
  <c r="F459" i="1"/>
  <c r="E460" i="1" l="1"/>
  <c r="K460" i="1"/>
  <c r="I460" i="1"/>
  <c r="G460" i="1" s="1"/>
  <c r="C461" i="1" s="1"/>
  <c r="D460" i="1"/>
  <c r="B460" i="1"/>
  <c r="E461" i="1" l="1"/>
  <c r="J460" i="1"/>
  <c r="O461" i="1"/>
  <c r="R461" i="1" s="1"/>
  <c r="K461" i="1" s="1"/>
  <c r="L460" i="1"/>
  <c r="P461" i="1"/>
  <c r="S461" i="1" s="1"/>
  <c r="M461" i="1" s="1"/>
  <c r="N461" i="1"/>
  <c r="Q461" i="1" s="1"/>
  <c r="I461" i="1" s="1"/>
  <c r="G461" i="1" s="1"/>
  <c r="H460" i="1"/>
  <c r="F460" i="1" s="1"/>
  <c r="E462" i="1" l="1"/>
  <c r="C462" i="1"/>
  <c r="B461" i="1"/>
  <c r="L461" i="1" l="1"/>
  <c r="O462" i="1"/>
  <c r="R462" i="1" s="1"/>
  <c r="K462" i="1" s="1"/>
  <c r="H461" i="1"/>
  <c r="N462" i="1"/>
  <c r="Q462" i="1" s="1"/>
  <c r="I462" i="1" s="1"/>
  <c r="P462" i="1"/>
  <c r="S462" i="1" s="1"/>
  <c r="M462" i="1" s="1"/>
  <c r="J461" i="1"/>
  <c r="D461" i="1"/>
  <c r="F461" i="1" l="1"/>
  <c r="G462" i="1"/>
  <c r="E463" i="1" s="1"/>
  <c r="B462" i="1"/>
  <c r="C463" i="1" l="1"/>
  <c r="L462" i="1"/>
  <c r="P463" i="1"/>
  <c r="S463" i="1" s="1"/>
  <c r="M463" i="1" s="1"/>
  <c r="O463" i="1"/>
  <c r="R463" i="1" s="1"/>
  <c r="K463" i="1" s="1"/>
  <c r="J462" i="1"/>
  <c r="H462" i="1"/>
  <c r="F462" i="1" s="1"/>
  <c r="N463" i="1"/>
  <c r="Q463" i="1" s="1"/>
  <c r="I463" i="1" s="1"/>
  <c r="G463" i="1" s="1"/>
  <c r="E464" i="1" s="1"/>
  <c r="D462" i="1"/>
  <c r="C464" i="1" l="1"/>
  <c r="B463" i="1"/>
  <c r="O464" i="1" l="1"/>
  <c r="R464" i="1" s="1"/>
  <c r="N464" i="1"/>
  <c r="Q464" i="1" s="1"/>
  <c r="I464" i="1" s="1"/>
  <c r="P464" i="1"/>
  <c r="S464" i="1" s="1"/>
  <c r="M464" i="1" s="1"/>
  <c r="J463" i="1"/>
  <c r="L463" i="1"/>
  <c r="H463" i="1"/>
  <c r="D463" i="1"/>
  <c r="K464" i="1"/>
  <c r="F463" i="1" l="1"/>
  <c r="G464" i="1"/>
  <c r="E465" i="1" s="1"/>
  <c r="D464" i="1"/>
  <c r="B464" i="1"/>
  <c r="J464" i="1" l="1"/>
  <c r="N465" i="1"/>
  <c r="Q465" i="1" s="1"/>
  <c r="O465" i="1"/>
  <c r="R465" i="1" s="1"/>
  <c r="L464" i="1"/>
  <c r="P465" i="1"/>
  <c r="S465" i="1" s="1"/>
  <c r="H464" i="1"/>
  <c r="C465" i="1"/>
  <c r="F464" i="1" l="1"/>
  <c r="B465" i="1"/>
  <c r="K465" i="1"/>
  <c r="M465" i="1"/>
  <c r="I465" i="1"/>
  <c r="G465" i="1" l="1"/>
  <c r="E466" i="1" s="1"/>
  <c r="D465" i="1"/>
  <c r="J465" i="1"/>
  <c r="P466" i="1"/>
  <c r="S466" i="1" s="1"/>
  <c r="H465" i="1"/>
  <c r="L465" i="1"/>
  <c r="O466" i="1"/>
  <c r="R466" i="1" s="1"/>
  <c r="N466" i="1"/>
  <c r="Q466" i="1" s="1"/>
  <c r="F465" i="1" l="1"/>
  <c r="C466" i="1"/>
  <c r="K466" i="1" s="1"/>
  <c r="I466" i="1"/>
  <c r="M466" i="1"/>
  <c r="G466" i="1" l="1"/>
  <c r="E467" i="1" s="1"/>
  <c r="B466" i="1"/>
  <c r="D466" i="1"/>
  <c r="O467" i="1" l="1"/>
  <c r="R467" i="1" s="1"/>
  <c r="P467" i="1"/>
  <c r="S467" i="1" s="1"/>
  <c r="L466" i="1"/>
  <c r="J466" i="1"/>
  <c r="H466" i="1"/>
  <c r="F466" i="1" s="1"/>
  <c r="N467" i="1"/>
  <c r="Q467" i="1" s="1"/>
  <c r="C467" i="1"/>
  <c r="M467" i="1" l="1"/>
  <c r="I467" i="1"/>
  <c r="B467" i="1"/>
  <c r="K467" i="1"/>
  <c r="G467" i="1" l="1"/>
  <c r="E468" i="1" s="1"/>
  <c r="C468" i="1"/>
  <c r="N468" i="1"/>
  <c r="Q468" i="1" s="1"/>
  <c r="J467" i="1"/>
  <c r="P468" i="1"/>
  <c r="S468" i="1" s="1"/>
  <c r="L467" i="1"/>
  <c r="O468" i="1"/>
  <c r="R468" i="1" s="1"/>
  <c r="H467" i="1"/>
  <c r="D467" i="1"/>
  <c r="F467" i="1" l="1"/>
  <c r="I468" i="1"/>
  <c r="K468" i="1"/>
  <c r="M468" i="1"/>
  <c r="B468" i="1"/>
  <c r="G468" i="1" l="1"/>
  <c r="E469" i="1" s="1"/>
  <c r="J468" i="1"/>
  <c r="P469" i="1"/>
  <c r="S469" i="1" s="1"/>
  <c r="O469" i="1"/>
  <c r="R469" i="1" s="1"/>
  <c r="N469" i="1"/>
  <c r="Q469" i="1" s="1"/>
  <c r="D468" i="1"/>
  <c r="H468" i="1"/>
  <c r="L468" i="1"/>
  <c r="F468" i="1" l="1"/>
  <c r="D469" i="1"/>
  <c r="C469" i="1"/>
  <c r="B469" i="1"/>
  <c r="O470" i="1" l="1"/>
  <c r="R470" i="1" s="1"/>
  <c r="P470" i="1"/>
  <c r="S470" i="1" s="1"/>
  <c r="N470" i="1"/>
  <c r="Q470" i="1" s="1"/>
  <c r="J469" i="1"/>
  <c r="H469" i="1"/>
  <c r="F469" i="1" s="1"/>
  <c r="K469" i="1"/>
  <c r="I469" i="1"/>
  <c r="M469" i="1"/>
  <c r="L469" i="1"/>
  <c r="G469" i="1" l="1"/>
  <c r="E470" i="1" s="1"/>
  <c r="B470" i="1"/>
  <c r="C470" i="1"/>
  <c r="J470" i="1"/>
  <c r="H470" i="1"/>
  <c r="F470" i="1" s="1"/>
  <c r="L470" i="1"/>
  <c r="I470" i="1" l="1"/>
  <c r="M470" i="1"/>
  <c r="K470" i="1"/>
  <c r="P471" i="1"/>
  <c r="S471" i="1" s="1"/>
  <c r="N471" i="1"/>
  <c r="Q471" i="1" s="1"/>
  <c r="O471" i="1"/>
  <c r="R471" i="1" s="1"/>
  <c r="D470" i="1"/>
  <c r="D471" i="1" s="1"/>
  <c r="B471" i="1" l="1"/>
  <c r="G470" i="1"/>
  <c r="E471" i="1" s="1"/>
  <c r="L471" i="1"/>
  <c r="J471" i="1"/>
  <c r="H471" i="1"/>
  <c r="F471" i="1" l="1"/>
  <c r="B472" i="1" s="1"/>
  <c r="C471" i="1"/>
  <c r="D472" i="1" l="1"/>
  <c r="M471" i="1"/>
  <c r="K471" i="1"/>
  <c r="I471" i="1"/>
  <c r="N472" i="1"/>
  <c r="Q472" i="1" s="1"/>
  <c r="H472" i="1" s="1"/>
  <c r="P472" i="1"/>
  <c r="S472" i="1" s="1"/>
  <c r="L472" i="1" s="1"/>
  <c r="O472" i="1"/>
  <c r="R472" i="1" s="1"/>
  <c r="J472" i="1" s="1"/>
  <c r="F472" i="1" l="1"/>
  <c r="G471" i="1"/>
  <c r="E472" i="1" s="1"/>
  <c r="C472" i="1"/>
  <c r="M472" i="1" l="1"/>
  <c r="I472" i="1"/>
  <c r="O473" i="1"/>
  <c r="R473" i="1" s="1"/>
  <c r="N473" i="1"/>
  <c r="Q473" i="1" s="1"/>
  <c r="K472" i="1"/>
  <c r="P473" i="1"/>
  <c r="S473" i="1" s="1"/>
  <c r="D473" i="1"/>
  <c r="B473" i="1"/>
  <c r="G472" i="1" l="1"/>
  <c r="E473" i="1" s="1"/>
  <c r="L473" i="1"/>
  <c r="H473" i="1"/>
  <c r="J473" i="1"/>
  <c r="F473" i="1" l="1"/>
  <c r="D474" i="1" s="1"/>
  <c r="C473" i="1"/>
  <c r="B474" i="1"/>
  <c r="K473" i="1" l="1"/>
  <c r="I473" i="1"/>
  <c r="M473" i="1"/>
  <c r="N474" i="1"/>
  <c r="Q474" i="1" s="1"/>
  <c r="H474" i="1" s="1"/>
  <c r="O474" i="1"/>
  <c r="R474" i="1" s="1"/>
  <c r="J474" i="1" s="1"/>
  <c r="P474" i="1"/>
  <c r="S474" i="1" s="1"/>
  <c r="L474" i="1" s="1"/>
  <c r="F474" i="1" l="1"/>
  <c r="D475" i="1" s="1"/>
  <c r="G473" i="1"/>
  <c r="B475" i="1"/>
  <c r="C474" i="1" l="1"/>
  <c r="E474" i="1"/>
  <c r="N475" i="1"/>
  <c r="Q475" i="1" s="1"/>
  <c r="H475" i="1" s="1"/>
  <c r="M474" i="1"/>
  <c r="K474" i="1"/>
  <c r="I474" i="1"/>
  <c r="G474" i="1" s="1"/>
  <c r="C475" i="1" s="1"/>
  <c r="M475" i="1" s="1"/>
  <c r="P475" i="1"/>
  <c r="S475" i="1" s="1"/>
  <c r="L475" i="1" s="1"/>
  <c r="O475" i="1"/>
  <c r="R475" i="1" s="1"/>
  <c r="J475" i="1" s="1"/>
  <c r="F475" i="1" l="1"/>
  <c r="E475" i="1"/>
  <c r="N476" i="1"/>
  <c r="Q476" i="1" s="1"/>
  <c r="P476" i="1"/>
  <c r="S476" i="1" s="1"/>
  <c r="I475" i="1"/>
  <c r="O476" i="1"/>
  <c r="R476" i="1" s="1"/>
  <c r="K475" i="1"/>
  <c r="G475" i="1" l="1"/>
  <c r="E476" i="1"/>
  <c r="B476" i="1"/>
  <c r="D476" i="1"/>
  <c r="C476" i="1" l="1"/>
  <c r="N477" i="1"/>
  <c r="Q477" i="1" s="1"/>
  <c r="L476" i="1"/>
  <c r="P477" i="1"/>
  <c r="S477" i="1" s="1"/>
  <c r="H476" i="1"/>
  <c r="O477" i="1"/>
  <c r="R477" i="1" s="1"/>
  <c r="J476" i="1"/>
  <c r="F476" i="1" l="1"/>
  <c r="I476" i="1"/>
  <c r="M476" i="1"/>
  <c r="K476" i="1"/>
  <c r="G476" i="1" l="1"/>
  <c r="E477" i="1" s="1"/>
  <c r="B477" i="1"/>
  <c r="D477" i="1"/>
  <c r="C477" i="1" l="1"/>
  <c r="L477" i="1"/>
  <c r="J477" i="1"/>
  <c r="P478" i="1"/>
  <c r="S478" i="1" s="1"/>
  <c r="N478" i="1"/>
  <c r="Q478" i="1" s="1"/>
  <c r="O478" i="1"/>
  <c r="R478" i="1" s="1"/>
  <c r="H477" i="1"/>
  <c r="F477" i="1" s="1"/>
  <c r="M477" i="1" l="1"/>
  <c r="K477" i="1"/>
  <c r="I477" i="1"/>
  <c r="B478" i="1"/>
  <c r="L478" i="1" s="1"/>
  <c r="G477" i="1" l="1"/>
  <c r="E478" i="1" s="1"/>
  <c r="J478" i="1"/>
  <c r="H478" i="1"/>
  <c r="F478" i="1" s="1"/>
  <c r="D478" i="1"/>
  <c r="C478" i="1" l="1"/>
  <c r="D479" i="1"/>
  <c r="I478" i="1"/>
  <c r="M478" i="1"/>
  <c r="K478" i="1"/>
  <c r="B479" i="1"/>
  <c r="G478" i="1" l="1"/>
  <c r="E479" i="1" s="1"/>
  <c r="O479" i="1"/>
  <c r="R479" i="1" s="1"/>
  <c r="J479" i="1" s="1"/>
  <c r="P479" i="1"/>
  <c r="S479" i="1" s="1"/>
  <c r="N479" i="1"/>
  <c r="Q479" i="1" s="1"/>
  <c r="H479" i="1" s="1"/>
  <c r="F479" i="1" s="1"/>
  <c r="C479" i="1"/>
  <c r="P480" i="1" s="1"/>
  <c r="S480" i="1" s="1"/>
  <c r="L479" i="1"/>
  <c r="O480" i="1" l="1"/>
  <c r="R480" i="1" s="1"/>
  <c r="N480" i="1"/>
  <c r="Q480" i="1" s="1"/>
  <c r="I479" i="1"/>
  <c r="M479" i="1"/>
  <c r="K479" i="1"/>
  <c r="G479" i="1" l="1"/>
  <c r="E480" i="1" s="1"/>
  <c r="C480" i="1"/>
  <c r="D480" i="1"/>
  <c r="B480" i="1"/>
  <c r="I480" i="1" l="1"/>
  <c r="M480" i="1"/>
  <c r="K480" i="1"/>
  <c r="H480" i="1"/>
  <c r="J480" i="1"/>
  <c r="L480" i="1"/>
  <c r="N481" i="1"/>
  <c r="Q481" i="1" s="1"/>
  <c r="P481" i="1"/>
  <c r="S481" i="1" s="1"/>
  <c r="O481" i="1"/>
  <c r="R481" i="1" s="1"/>
  <c r="F480" i="1" l="1"/>
  <c r="G480" i="1"/>
  <c r="E481" i="1" s="1"/>
  <c r="C481" i="1" l="1"/>
  <c r="B481" i="1"/>
  <c r="D481" i="1"/>
  <c r="M481" i="1" l="1"/>
  <c r="I481" i="1"/>
  <c r="G481" i="1" s="1"/>
  <c r="E482" i="1" s="1"/>
  <c r="K481" i="1"/>
  <c r="H481" i="1"/>
  <c r="P482" i="1"/>
  <c r="S482" i="1" s="1"/>
  <c r="N482" i="1"/>
  <c r="Q482" i="1" s="1"/>
  <c r="O482" i="1"/>
  <c r="R482" i="1" s="1"/>
  <c r="J481" i="1"/>
  <c r="L481" i="1"/>
  <c r="F481" i="1" l="1"/>
  <c r="C482" i="1"/>
  <c r="M482" i="1" s="1"/>
  <c r="K482" i="1" l="1"/>
  <c r="I482" i="1"/>
  <c r="G482" i="1" s="1"/>
  <c r="E483" i="1" s="1"/>
  <c r="B482" i="1"/>
  <c r="D482" i="1"/>
  <c r="C483" i="1" l="1"/>
  <c r="J482" i="1"/>
  <c r="L482" i="1"/>
  <c r="H482" i="1"/>
  <c r="F482" i="1" s="1"/>
  <c r="O483" i="1"/>
  <c r="R483" i="1" s="1"/>
  <c r="N483" i="1"/>
  <c r="Q483" i="1" s="1"/>
  <c r="P483" i="1"/>
  <c r="S483" i="1" s="1"/>
  <c r="K483" i="1" l="1"/>
  <c r="I483" i="1"/>
  <c r="M483" i="1"/>
  <c r="G483" i="1" l="1"/>
  <c r="E484" i="1" s="1"/>
  <c r="B483" i="1"/>
  <c r="D483" i="1"/>
  <c r="C484" i="1"/>
  <c r="O484" i="1" l="1"/>
  <c r="R484" i="1" s="1"/>
  <c r="K484" i="1" s="1"/>
  <c r="N484" i="1"/>
  <c r="Q484" i="1" s="1"/>
  <c r="I484" i="1" s="1"/>
  <c r="P484" i="1"/>
  <c r="S484" i="1" s="1"/>
  <c r="M484" i="1" s="1"/>
  <c r="H483" i="1"/>
  <c r="L483" i="1"/>
  <c r="J483" i="1"/>
  <c r="F483" i="1" l="1"/>
  <c r="G484" i="1"/>
  <c r="E485" i="1" s="1"/>
  <c r="D484" i="1"/>
  <c r="B484" i="1"/>
  <c r="C485" i="1"/>
  <c r="J484" i="1" l="1"/>
  <c r="O485" i="1"/>
  <c r="R485" i="1" s="1"/>
  <c r="K485" i="1" s="1"/>
  <c r="N485" i="1"/>
  <c r="Q485" i="1" s="1"/>
  <c r="I485" i="1" s="1"/>
  <c r="P485" i="1"/>
  <c r="S485" i="1" s="1"/>
  <c r="M485" i="1" s="1"/>
  <c r="L484" i="1"/>
  <c r="H484" i="1"/>
  <c r="F484" i="1" s="1"/>
  <c r="G485" i="1" l="1"/>
  <c r="E486" i="1" s="1"/>
  <c r="D485" i="1"/>
  <c r="B485" i="1"/>
  <c r="C486" i="1"/>
  <c r="J485" i="1" l="1"/>
  <c r="P486" i="1"/>
  <c r="S486" i="1" s="1"/>
  <c r="M486" i="1" s="1"/>
  <c r="L485" i="1"/>
  <c r="N486" i="1"/>
  <c r="Q486" i="1" s="1"/>
  <c r="I486" i="1" s="1"/>
  <c r="G486" i="1" s="1"/>
  <c r="E487" i="1" s="1"/>
  <c r="O486" i="1"/>
  <c r="R486" i="1" s="1"/>
  <c r="K486" i="1" s="1"/>
  <c r="H485" i="1"/>
  <c r="F485" i="1" s="1"/>
  <c r="D486" i="1" l="1"/>
  <c r="B486" i="1"/>
  <c r="C487" i="1"/>
  <c r="O487" i="1" l="1"/>
  <c r="R487" i="1" s="1"/>
  <c r="K487" i="1" s="1"/>
  <c r="J486" i="1"/>
  <c r="L486" i="1"/>
  <c r="P487" i="1"/>
  <c r="S487" i="1" s="1"/>
  <c r="M487" i="1" s="1"/>
  <c r="H486" i="1"/>
  <c r="F486" i="1" s="1"/>
  <c r="N487" i="1"/>
  <c r="Q487" i="1" s="1"/>
  <c r="I487" i="1" s="1"/>
  <c r="G487" i="1" l="1"/>
  <c r="B487" i="1"/>
  <c r="P488" i="1" s="1"/>
  <c r="S488" i="1" s="1"/>
  <c r="C488" i="1" l="1"/>
  <c r="E488" i="1"/>
  <c r="L487" i="1"/>
  <c r="M488" i="1"/>
  <c r="J487" i="1"/>
  <c r="N488" i="1"/>
  <c r="Q488" i="1" s="1"/>
  <c r="I488" i="1" s="1"/>
  <c r="O488" i="1"/>
  <c r="R488" i="1" s="1"/>
  <c r="K488" i="1" s="1"/>
  <c r="H487" i="1"/>
  <c r="F487" i="1" s="1"/>
  <c r="D487" i="1"/>
  <c r="G488" i="1" l="1"/>
  <c r="C489" i="1" s="1"/>
  <c r="D488" i="1"/>
  <c r="B488" i="1"/>
  <c r="E489" i="1" l="1"/>
  <c r="O489" i="1"/>
  <c r="R489" i="1" s="1"/>
  <c r="K489" i="1" s="1"/>
  <c r="N489" i="1"/>
  <c r="Q489" i="1" s="1"/>
  <c r="I489" i="1" s="1"/>
  <c r="J488" i="1"/>
  <c r="H488" i="1"/>
  <c r="P489" i="1"/>
  <c r="S489" i="1" s="1"/>
  <c r="M489" i="1" s="1"/>
  <c r="L488" i="1"/>
  <c r="F488" i="1" l="1"/>
  <c r="G489" i="1"/>
  <c r="C490" i="1" s="1"/>
  <c r="B489" i="1"/>
  <c r="D489" i="1"/>
  <c r="E490" i="1" l="1"/>
  <c r="N490" i="1"/>
  <c r="Q490" i="1" s="1"/>
  <c r="O490" i="1"/>
  <c r="R490" i="1" s="1"/>
  <c r="K490" i="1" s="1"/>
  <c r="J489" i="1"/>
  <c r="H489" i="1"/>
  <c r="P490" i="1"/>
  <c r="S490" i="1" s="1"/>
  <c r="M490" i="1" s="1"/>
  <c r="L489" i="1"/>
  <c r="I490" i="1"/>
  <c r="G490" i="1" l="1"/>
  <c r="E491" i="1"/>
  <c r="F489" i="1"/>
  <c r="C491" i="1"/>
  <c r="D490" i="1"/>
  <c r="B490" i="1"/>
  <c r="L490" i="1" l="1"/>
  <c r="J490" i="1"/>
  <c r="H490" i="1"/>
  <c r="F490" i="1" s="1"/>
  <c r="O491" i="1"/>
  <c r="R491" i="1" s="1"/>
  <c r="K491" i="1" s="1"/>
  <c r="P491" i="1"/>
  <c r="S491" i="1" s="1"/>
  <c r="M491" i="1" s="1"/>
  <c r="N491" i="1"/>
  <c r="Q491" i="1" s="1"/>
  <c r="I491" i="1" s="1"/>
  <c r="G491" i="1" l="1"/>
  <c r="E492" i="1" s="1"/>
  <c r="D491" i="1"/>
  <c r="C492" i="1"/>
  <c r="B491" i="1" l="1"/>
  <c r="N492" i="1" l="1"/>
  <c r="Q492" i="1" s="1"/>
  <c r="I492" i="1" s="1"/>
  <c r="H491" i="1"/>
  <c r="L491" i="1"/>
  <c r="O492" i="1"/>
  <c r="R492" i="1" s="1"/>
  <c r="K492" i="1" s="1"/>
  <c r="J491" i="1"/>
  <c r="P492" i="1"/>
  <c r="S492" i="1" s="1"/>
  <c r="M492" i="1" s="1"/>
  <c r="F491" i="1" l="1"/>
  <c r="G492" i="1"/>
  <c r="E493" i="1" s="1"/>
  <c r="B492" i="1"/>
  <c r="C493" i="1"/>
  <c r="L492" i="1" l="1"/>
  <c r="H492" i="1"/>
  <c r="J492" i="1"/>
  <c r="P493" i="1"/>
  <c r="S493" i="1" s="1"/>
  <c r="O493" i="1"/>
  <c r="R493" i="1" s="1"/>
  <c r="N493" i="1"/>
  <c r="Q493" i="1" s="1"/>
  <c r="I493" i="1" s="1"/>
  <c r="D492" i="1"/>
  <c r="F492" i="1" l="1"/>
  <c r="D493" i="1"/>
  <c r="B493" i="1"/>
  <c r="L493" i="1" s="1"/>
  <c r="M493" i="1"/>
  <c r="K493" i="1"/>
  <c r="G493" i="1" s="1"/>
  <c r="E494" i="1" s="1"/>
  <c r="C494" i="1" l="1"/>
  <c r="H493" i="1"/>
  <c r="N494" i="1"/>
  <c r="Q494" i="1" s="1"/>
  <c r="P494" i="1"/>
  <c r="S494" i="1" s="1"/>
  <c r="O494" i="1"/>
  <c r="R494" i="1" s="1"/>
  <c r="J493" i="1"/>
  <c r="F493" i="1" l="1"/>
  <c r="K494" i="1"/>
  <c r="M494" i="1"/>
  <c r="I494" i="1"/>
  <c r="G494" i="1" s="1"/>
  <c r="E495" i="1" s="1"/>
  <c r="D494" i="1" l="1"/>
  <c r="B494" i="1"/>
  <c r="O495" i="1" l="1"/>
  <c r="R495" i="1" s="1"/>
  <c r="P495" i="1"/>
  <c r="S495" i="1" s="1"/>
  <c r="N495" i="1"/>
  <c r="Q495" i="1" s="1"/>
  <c r="J494" i="1"/>
  <c r="H494" i="1"/>
  <c r="F494" i="1" s="1"/>
  <c r="L494" i="1"/>
  <c r="C495" i="1"/>
  <c r="D495" i="1" l="1"/>
  <c r="B495" i="1"/>
  <c r="M495" i="1"/>
  <c r="N496" i="1"/>
  <c r="Q496" i="1" s="1"/>
  <c r="I495" i="1"/>
  <c r="K495" i="1"/>
  <c r="O496" i="1"/>
  <c r="R496" i="1" s="1"/>
  <c r="G495" i="1" l="1"/>
  <c r="E496" i="1" s="1"/>
  <c r="J495" i="1"/>
  <c r="L495" i="1"/>
  <c r="H495" i="1"/>
  <c r="P496" i="1"/>
  <c r="S496" i="1" s="1"/>
  <c r="F495" i="1" l="1"/>
  <c r="D496" i="1" s="1"/>
  <c r="C496" i="1"/>
  <c r="B496" i="1" l="1"/>
  <c r="K496" i="1"/>
  <c r="M496" i="1"/>
  <c r="N497" i="1"/>
  <c r="Q497" i="1" s="1"/>
  <c r="I496" i="1"/>
  <c r="O497" i="1"/>
  <c r="R497" i="1" s="1"/>
  <c r="P497" i="1"/>
  <c r="S497" i="1" s="1"/>
  <c r="J496" i="1" l="1"/>
  <c r="H496" i="1"/>
  <c r="L496" i="1"/>
  <c r="G496" i="1"/>
  <c r="E497" i="1" s="1"/>
  <c r="F496" i="1" l="1"/>
  <c r="D497" i="1" s="1"/>
  <c r="B497" i="1"/>
  <c r="O498" i="1" s="1"/>
  <c r="R498" i="1" s="1"/>
  <c r="C497" i="1"/>
  <c r="I497" i="1"/>
  <c r="K497" i="1"/>
  <c r="M497" i="1"/>
  <c r="P498" i="1"/>
  <c r="S498" i="1" s="1"/>
  <c r="J497" i="1" l="1"/>
  <c r="H497" i="1"/>
  <c r="L497" i="1"/>
  <c r="N498" i="1"/>
  <c r="Q498" i="1" s="1"/>
  <c r="G497" i="1"/>
  <c r="E498" i="1" s="1"/>
  <c r="F497" i="1" l="1"/>
  <c r="C498" i="1"/>
  <c r="D498" i="1" l="1"/>
  <c r="B498" i="1"/>
  <c r="K498" i="1"/>
  <c r="N499" i="1"/>
  <c r="Q499" i="1" s="1"/>
  <c r="P499" i="1"/>
  <c r="S499" i="1" s="1"/>
  <c r="O499" i="1"/>
  <c r="R499" i="1" s="1"/>
  <c r="M498" i="1"/>
  <c r="I498" i="1"/>
  <c r="G498" i="1" s="1"/>
  <c r="E499" i="1" s="1"/>
  <c r="J498" i="1" l="1"/>
  <c r="L498" i="1"/>
  <c r="H498" i="1"/>
  <c r="F498" i="1" s="1"/>
  <c r="B499" i="1" s="1"/>
  <c r="C499" i="1"/>
  <c r="J499" i="1" l="1"/>
  <c r="L499" i="1"/>
  <c r="H499" i="1"/>
  <c r="F499" i="1" s="1"/>
  <c r="D499" i="1"/>
  <c r="M499" i="1"/>
  <c r="I499" i="1"/>
  <c r="K499" i="1"/>
  <c r="P500" i="1"/>
  <c r="S500" i="1" s="1"/>
  <c r="N500" i="1"/>
  <c r="Q500" i="1" s="1"/>
  <c r="O500" i="1"/>
  <c r="R500" i="1" s="1"/>
  <c r="D500" i="1" l="1"/>
  <c r="B500" i="1"/>
  <c r="J500" i="1" s="1"/>
  <c r="L500" i="1"/>
  <c r="G499" i="1"/>
  <c r="C500" i="1" l="1"/>
  <c r="E500" i="1"/>
  <c r="H500" i="1"/>
  <c r="F500" i="1" s="1"/>
  <c r="I500" i="1"/>
  <c r="P501" i="1"/>
  <c r="S501" i="1" s="1"/>
  <c r="D501" i="1"/>
  <c r="B501" i="1"/>
  <c r="O501" i="1" l="1"/>
  <c r="R501" i="1" s="1"/>
  <c r="J501" i="1" s="1"/>
  <c r="M500" i="1"/>
  <c r="N501" i="1"/>
  <c r="Q501" i="1" s="1"/>
  <c r="K500" i="1"/>
  <c r="G500" i="1" s="1"/>
  <c r="H501" i="1"/>
  <c r="L501" i="1"/>
  <c r="C501" i="1" l="1"/>
  <c r="E501" i="1"/>
  <c r="F501" i="1"/>
  <c r="N502" i="1" l="1"/>
  <c r="Q502" i="1" s="1"/>
  <c r="P502" i="1"/>
  <c r="S502" i="1" s="1"/>
  <c r="M501" i="1"/>
  <c r="O502" i="1"/>
  <c r="R502" i="1" s="1"/>
  <c r="I501" i="1"/>
  <c r="G501" i="1" s="1"/>
  <c r="E502" i="1" s="1"/>
  <c r="K501" i="1"/>
  <c r="D502" i="1"/>
  <c r="B502" i="1"/>
  <c r="C502" i="1" l="1"/>
  <c r="K502" i="1"/>
  <c r="M502" i="1"/>
  <c r="I502" i="1"/>
  <c r="P503" i="1"/>
  <c r="S503" i="1" s="1"/>
  <c r="L502" i="1"/>
  <c r="J502" i="1"/>
  <c r="H502" i="1"/>
  <c r="N503" i="1"/>
  <c r="Q503" i="1" s="1"/>
  <c r="O503" i="1"/>
  <c r="R503" i="1" s="1"/>
  <c r="F502" i="1" l="1"/>
  <c r="G502" i="1"/>
  <c r="B503" i="1"/>
  <c r="C503" i="1" l="1"/>
  <c r="E503" i="1"/>
  <c r="M503" i="1"/>
  <c r="I503" i="1"/>
  <c r="K503" i="1"/>
  <c r="P504" i="1"/>
  <c r="S504" i="1" s="1"/>
  <c r="N504" i="1"/>
  <c r="Q504" i="1" s="1"/>
  <c r="L503" i="1"/>
  <c r="O504" i="1"/>
  <c r="R504" i="1" s="1"/>
  <c r="D503" i="1"/>
  <c r="J503" i="1"/>
  <c r="H503" i="1"/>
  <c r="F503" i="1" l="1"/>
  <c r="G503" i="1"/>
  <c r="C504" i="1" s="1"/>
  <c r="I504" i="1" s="1"/>
  <c r="B504" i="1"/>
  <c r="E504" i="1" l="1"/>
  <c r="M504" i="1"/>
  <c r="K504" i="1"/>
  <c r="G504" i="1" s="1"/>
  <c r="N505" i="1"/>
  <c r="Q505" i="1" s="1"/>
  <c r="J504" i="1"/>
  <c r="O505" i="1"/>
  <c r="R505" i="1" s="1"/>
  <c r="L504" i="1"/>
  <c r="H504" i="1"/>
  <c r="F504" i="1" s="1"/>
  <c r="P505" i="1"/>
  <c r="S505" i="1" s="1"/>
  <c r="D504" i="1"/>
  <c r="E505" i="1" l="1"/>
  <c r="C505" i="1"/>
  <c r="D505" i="1"/>
  <c r="B505" i="1"/>
  <c r="K505" i="1"/>
  <c r="I505" i="1"/>
  <c r="M505" i="1"/>
  <c r="G505" i="1" l="1"/>
  <c r="C506" i="1" s="1"/>
  <c r="L505" i="1"/>
  <c r="J505" i="1"/>
  <c r="O506" i="1"/>
  <c r="R506" i="1" s="1"/>
  <c r="N506" i="1"/>
  <c r="Q506" i="1" s="1"/>
  <c r="H505" i="1"/>
  <c r="F505" i="1" s="1"/>
  <c r="P506" i="1"/>
  <c r="S506" i="1" s="1"/>
  <c r="E506" i="1" l="1"/>
  <c r="K506" i="1"/>
  <c r="I506" i="1"/>
  <c r="M506" i="1"/>
  <c r="B506" i="1"/>
  <c r="D506" i="1"/>
  <c r="G506" i="1" l="1"/>
  <c r="E507" i="1" s="1"/>
  <c r="P507" i="1"/>
  <c r="S507" i="1" s="1"/>
  <c r="O507" i="1"/>
  <c r="R507" i="1" s="1"/>
  <c r="L506" i="1"/>
  <c r="H506" i="1"/>
  <c r="N507" i="1"/>
  <c r="Q507" i="1" s="1"/>
  <c r="J506" i="1"/>
  <c r="F506" i="1" l="1"/>
  <c r="C507" i="1"/>
  <c r="I507" i="1" s="1"/>
  <c r="K507" i="1" l="1"/>
  <c r="M507" i="1"/>
  <c r="B507" i="1"/>
  <c r="D507" i="1"/>
  <c r="G507" i="1" l="1"/>
  <c r="E508" i="1" s="1"/>
  <c r="C508" i="1"/>
  <c r="J507" i="1"/>
  <c r="O508" i="1"/>
  <c r="R508" i="1" s="1"/>
  <c r="K508" i="1" s="1"/>
  <c r="P508" i="1"/>
  <c r="S508" i="1" s="1"/>
  <c r="M508" i="1" s="1"/>
  <c r="L507" i="1"/>
  <c r="H507" i="1"/>
  <c r="N508" i="1"/>
  <c r="Q508" i="1" s="1"/>
  <c r="I508" i="1" s="1"/>
  <c r="F507" i="1" l="1"/>
  <c r="B508" i="1" s="1"/>
  <c r="G508" i="1"/>
  <c r="E509" i="1" s="1"/>
  <c r="D508" i="1"/>
  <c r="C509" i="1"/>
  <c r="P509" i="1" l="1"/>
  <c r="S509" i="1" s="1"/>
  <c r="M509" i="1" s="1"/>
  <c r="N509" i="1"/>
  <c r="Q509" i="1" s="1"/>
  <c r="I509" i="1" s="1"/>
  <c r="H508" i="1"/>
  <c r="J508" i="1"/>
  <c r="L508" i="1"/>
  <c r="O509" i="1"/>
  <c r="R509" i="1" s="1"/>
  <c r="K509" i="1" s="1"/>
  <c r="G509" i="1" s="1"/>
  <c r="E510" i="1" s="1"/>
  <c r="C510" i="1" l="1"/>
  <c r="F508" i="1"/>
  <c r="B509" i="1" l="1"/>
  <c r="D509" i="1"/>
  <c r="P510" i="1" l="1"/>
  <c r="S510" i="1" s="1"/>
  <c r="M510" i="1" s="1"/>
  <c r="N510" i="1"/>
  <c r="Q510" i="1" s="1"/>
  <c r="I510" i="1" s="1"/>
  <c r="O510" i="1"/>
  <c r="R510" i="1" s="1"/>
  <c r="K510" i="1" s="1"/>
  <c r="J509" i="1"/>
  <c r="L509" i="1"/>
  <c r="H509" i="1"/>
  <c r="F509" i="1" s="1"/>
  <c r="D510" i="1" s="1"/>
  <c r="B510" i="1" l="1"/>
  <c r="G510" i="1"/>
  <c r="E511" i="1" s="1"/>
  <c r="P511" i="1"/>
  <c r="S511" i="1" s="1"/>
  <c r="H510" i="1"/>
  <c r="L510" i="1"/>
  <c r="O511" i="1"/>
  <c r="R511" i="1" s="1"/>
  <c r="N511" i="1"/>
  <c r="Q511" i="1" s="1"/>
  <c r="J510" i="1"/>
  <c r="F510" i="1" l="1"/>
  <c r="C511" i="1"/>
  <c r="I511" i="1" s="1"/>
  <c r="M511" i="1" l="1"/>
  <c r="K511" i="1"/>
  <c r="G511" i="1" s="1"/>
  <c r="E512" i="1" s="1"/>
  <c r="D511" i="1"/>
  <c r="B511" i="1"/>
  <c r="C512" i="1" l="1"/>
  <c r="J511" i="1"/>
  <c r="P512" i="1"/>
  <c r="S512" i="1" s="1"/>
  <c r="M512" i="1" s="1"/>
  <c r="H511" i="1"/>
  <c r="O512" i="1"/>
  <c r="R512" i="1" s="1"/>
  <c r="K512" i="1" s="1"/>
  <c r="N512" i="1"/>
  <c r="Q512" i="1" s="1"/>
  <c r="I512" i="1" s="1"/>
  <c r="G512" i="1" s="1"/>
  <c r="E513" i="1" s="1"/>
  <c r="L511" i="1"/>
  <c r="F511" i="1" l="1"/>
  <c r="C513" i="1"/>
  <c r="B512" i="1" l="1"/>
  <c r="D512" i="1"/>
  <c r="L512" i="1" l="1"/>
  <c r="P513" i="1"/>
  <c r="S513" i="1" s="1"/>
  <c r="M513" i="1" s="1"/>
  <c r="O513" i="1"/>
  <c r="R513" i="1" s="1"/>
  <c r="K513" i="1" s="1"/>
  <c r="J512" i="1"/>
  <c r="N513" i="1"/>
  <c r="Q513" i="1" s="1"/>
  <c r="I513" i="1" s="1"/>
  <c r="G513" i="1" s="1"/>
  <c r="E514" i="1" s="1"/>
  <c r="H512" i="1"/>
  <c r="F512" i="1" s="1"/>
  <c r="B513" i="1" l="1"/>
  <c r="C514" i="1"/>
  <c r="P514" i="1" l="1"/>
  <c r="S514" i="1" s="1"/>
  <c r="J513" i="1"/>
  <c r="N514" i="1"/>
  <c r="Q514" i="1" s="1"/>
  <c r="I514" i="1" s="1"/>
  <c r="H513" i="1"/>
  <c r="O514" i="1"/>
  <c r="R514" i="1" s="1"/>
  <c r="K514" i="1" s="1"/>
  <c r="L513" i="1"/>
  <c r="D513" i="1"/>
  <c r="M514" i="1"/>
  <c r="F513" i="1" l="1"/>
  <c r="G514" i="1"/>
  <c r="E515" i="1" s="1"/>
  <c r="D514" i="1"/>
  <c r="B514" i="1"/>
  <c r="P515" i="1" s="1"/>
  <c r="S515" i="1" s="1"/>
  <c r="J514" i="1"/>
  <c r="L514" i="1"/>
  <c r="N515" i="1"/>
  <c r="Q515" i="1" s="1"/>
  <c r="H514" i="1" l="1"/>
  <c r="F514" i="1" s="1"/>
  <c r="O515" i="1"/>
  <c r="R515" i="1" s="1"/>
  <c r="C515" i="1"/>
  <c r="K515" i="1" l="1"/>
  <c r="I515" i="1"/>
  <c r="M515" i="1"/>
  <c r="D515" i="1"/>
  <c r="B515" i="1"/>
  <c r="G515" i="1" l="1"/>
  <c r="L515" i="1"/>
  <c r="J515" i="1"/>
  <c r="H515" i="1"/>
  <c r="F515" i="1" s="1"/>
  <c r="O516" i="1"/>
  <c r="R516" i="1" s="1"/>
  <c r="N516" i="1"/>
  <c r="Q516" i="1" s="1"/>
  <c r="P516" i="1"/>
  <c r="S516" i="1" s="1"/>
  <c r="C516" i="1" l="1"/>
  <c r="E516" i="1"/>
  <c r="M516" i="1"/>
  <c r="I516" i="1"/>
  <c r="K516" i="1"/>
  <c r="B516" i="1"/>
  <c r="L516" i="1" s="1"/>
  <c r="H516" i="1" l="1"/>
  <c r="O517" i="1"/>
  <c r="R517" i="1" s="1"/>
  <c r="G516" i="1"/>
  <c r="E517" i="1" s="1"/>
  <c r="P517" i="1"/>
  <c r="S517" i="1" s="1"/>
  <c r="J516" i="1"/>
  <c r="F516" i="1" s="1"/>
  <c r="N517" i="1"/>
  <c r="Q517" i="1" s="1"/>
  <c r="D516" i="1"/>
  <c r="C517" i="1" l="1"/>
  <c r="K517" i="1" s="1"/>
  <c r="D517" i="1"/>
  <c r="B517" i="1"/>
  <c r="I517" i="1" l="1"/>
  <c r="M517" i="1"/>
  <c r="N518" i="1"/>
  <c r="Q518" i="1" s="1"/>
  <c r="J517" i="1"/>
  <c r="O518" i="1"/>
  <c r="R518" i="1" s="1"/>
  <c r="H517" i="1"/>
  <c r="P518" i="1"/>
  <c r="S518" i="1" s="1"/>
  <c r="L517" i="1"/>
  <c r="F517" i="1" l="1"/>
  <c r="G517" i="1"/>
  <c r="E518" i="1" s="1"/>
  <c r="C518" i="1" l="1"/>
  <c r="D518" i="1"/>
  <c r="B518" i="1"/>
  <c r="K518" i="1" l="1"/>
  <c r="M518" i="1"/>
  <c r="I518" i="1"/>
  <c r="G518" i="1" s="1"/>
  <c r="E519" i="1" s="1"/>
  <c r="O519" i="1"/>
  <c r="R519" i="1" s="1"/>
  <c r="P519" i="1"/>
  <c r="S519" i="1" s="1"/>
  <c r="J518" i="1"/>
  <c r="L518" i="1"/>
  <c r="H518" i="1"/>
  <c r="N519" i="1"/>
  <c r="Q519" i="1" s="1"/>
  <c r="F518" i="1" l="1"/>
  <c r="C519" i="1"/>
  <c r="M519" i="1"/>
  <c r="K519" i="1"/>
  <c r="I519" i="1"/>
  <c r="G519" i="1"/>
  <c r="C520" i="1" s="1"/>
  <c r="D519" i="1"/>
  <c r="E520" i="1" l="1"/>
  <c r="B519" i="1"/>
  <c r="P520" i="1" s="1"/>
  <c r="S520" i="1" s="1"/>
  <c r="M520" i="1" s="1"/>
  <c r="J519" i="1"/>
  <c r="H519" i="1"/>
  <c r="O520" i="1"/>
  <c r="R520" i="1" s="1"/>
  <c r="K520" i="1" s="1"/>
  <c r="N520" i="1"/>
  <c r="Q520" i="1" s="1"/>
  <c r="I520" i="1" s="1"/>
  <c r="L519" i="1"/>
  <c r="F519" i="1" l="1"/>
  <c r="G520" i="1"/>
  <c r="C521" i="1" s="1"/>
  <c r="E521" i="1" l="1"/>
  <c r="D520" i="1"/>
  <c r="B520" i="1"/>
  <c r="O521" i="1" l="1"/>
  <c r="R521" i="1" s="1"/>
  <c r="K521" i="1" s="1"/>
  <c r="N521" i="1"/>
  <c r="Q521" i="1" s="1"/>
  <c r="I521" i="1" s="1"/>
  <c r="J520" i="1"/>
  <c r="H520" i="1"/>
  <c r="L520" i="1"/>
  <c r="P521" i="1"/>
  <c r="S521" i="1" s="1"/>
  <c r="M521" i="1" s="1"/>
  <c r="F520" i="1" l="1"/>
  <c r="G521" i="1"/>
  <c r="E522" i="1" s="1"/>
  <c r="B521" i="1"/>
  <c r="P522" i="1" l="1"/>
  <c r="S522" i="1" s="1"/>
  <c r="N522" i="1"/>
  <c r="Q522" i="1" s="1"/>
  <c r="O522" i="1"/>
  <c r="R522" i="1" s="1"/>
  <c r="L521" i="1"/>
  <c r="J521" i="1"/>
  <c r="H521" i="1"/>
  <c r="F521" i="1" s="1"/>
  <c r="D521" i="1"/>
  <c r="C522" i="1"/>
  <c r="B522" i="1" l="1"/>
  <c r="K522" i="1"/>
  <c r="I522" i="1"/>
  <c r="M522" i="1"/>
  <c r="D522" i="1"/>
  <c r="G522" i="1" l="1"/>
  <c r="E523" i="1" s="1"/>
  <c r="J522" i="1"/>
  <c r="P523" i="1"/>
  <c r="S523" i="1" s="1"/>
  <c r="N523" i="1"/>
  <c r="Q523" i="1" s="1"/>
  <c r="O523" i="1"/>
  <c r="R523" i="1" s="1"/>
  <c r="H522" i="1"/>
  <c r="L522" i="1"/>
  <c r="F522" i="1" l="1"/>
  <c r="B523" i="1"/>
  <c r="J523" i="1" s="1"/>
  <c r="C523" i="1"/>
  <c r="L523" i="1"/>
  <c r="O524" i="1"/>
  <c r="R524" i="1" s="1"/>
  <c r="H523" i="1"/>
  <c r="F523" i="1" s="1"/>
  <c r="P524" i="1"/>
  <c r="S524" i="1" s="1"/>
  <c r="N524" i="1" l="1"/>
  <c r="Q524" i="1" s="1"/>
  <c r="D523" i="1"/>
  <c r="K523" i="1"/>
  <c r="M523" i="1"/>
  <c r="I523" i="1"/>
  <c r="G523" i="1" l="1"/>
  <c r="D524" i="1"/>
  <c r="B524" i="1"/>
  <c r="C524" i="1" l="1"/>
  <c r="E524" i="1"/>
  <c r="I524" i="1"/>
  <c r="M524" i="1"/>
  <c r="K524" i="1"/>
  <c r="O525" i="1"/>
  <c r="R525" i="1" s="1"/>
  <c r="J524" i="1"/>
  <c r="P525" i="1"/>
  <c r="S525" i="1" s="1"/>
  <c r="L524" i="1"/>
  <c r="N525" i="1"/>
  <c r="Q525" i="1" s="1"/>
  <c r="H524" i="1"/>
  <c r="F524" i="1" l="1"/>
  <c r="G524" i="1"/>
  <c r="E525" i="1" s="1"/>
  <c r="B525" i="1"/>
  <c r="L525" i="1" s="1"/>
  <c r="C525" i="1" l="1"/>
  <c r="P526" i="1" s="1"/>
  <c r="S526" i="1" s="1"/>
  <c r="H525" i="1"/>
  <c r="O526" i="1"/>
  <c r="R526" i="1" s="1"/>
  <c r="J525" i="1"/>
  <c r="D525" i="1"/>
  <c r="F525" i="1" l="1"/>
  <c r="B526" i="1" s="1"/>
  <c r="D526" i="1"/>
  <c r="I525" i="1"/>
  <c r="K525" i="1"/>
  <c r="M525" i="1"/>
  <c r="N526" i="1"/>
  <c r="Q526" i="1" s="1"/>
  <c r="L526" i="1" l="1"/>
  <c r="J526" i="1"/>
  <c r="G525" i="1"/>
  <c r="E526" i="1" s="1"/>
  <c r="H526" i="1"/>
  <c r="F526" i="1" s="1"/>
  <c r="C526" i="1" l="1"/>
  <c r="D527" i="1"/>
  <c r="B527" i="1"/>
  <c r="M526" i="1" l="1"/>
  <c r="K526" i="1"/>
  <c r="O527" i="1"/>
  <c r="R527" i="1" s="1"/>
  <c r="N527" i="1"/>
  <c r="Q527" i="1" s="1"/>
  <c r="P527" i="1"/>
  <c r="S527" i="1" s="1"/>
  <c r="I526" i="1"/>
  <c r="J527" i="1"/>
  <c r="G526" i="1" l="1"/>
  <c r="E527" i="1" s="1"/>
  <c r="L527" i="1"/>
  <c r="H527" i="1"/>
  <c r="F527" i="1" s="1"/>
  <c r="C527" i="1" l="1"/>
  <c r="B528" i="1"/>
  <c r="D528" i="1"/>
  <c r="O528" i="1" l="1"/>
  <c r="R528" i="1" s="1"/>
  <c r="P528" i="1"/>
  <c r="S528" i="1" s="1"/>
  <c r="N528" i="1"/>
  <c r="Q528" i="1" s="1"/>
  <c r="M527" i="1"/>
  <c r="I527" i="1"/>
  <c r="K527" i="1"/>
  <c r="L528" i="1"/>
  <c r="J528" i="1"/>
  <c r="G527" i="1" l="1"/>
  <c r="E528" i="1" s="1"/>
  <c r="H528" i="1"/>
  <c r="F528" i="1" s="1"/>
  <c r="C528" i="1" l="1"/>
  <c r="D529" i="1"/>
  <c r="B529" i="1"/>
  <c r="N529" i="1" l="1"/>
  <c r="Q529" i="1" s="1"/>
  <c r="O529" i="1"/>
  <c r="R529" i="1" s="1"/>
  <c r="P529" i="1"/>
  <c r="S529" i="1" s="1"/>
  <c r="I528" i="1"/>
  <c r="M528" i="1"/>
  <c r="K528" i="1"/>
  <c r="H529" i="1"/>
  <c r="L529" i="1"/>
  <c r="G528" i="1" l="1"/>
  <c r="E529" i="1" s="1"/>
  <c r="J529" i="1"/>
  <c r="F529" i="1" s="1"/>
  <c r="D530" i="1" s="1"/>
  <c r="B530" i="1" l="1"/>
  <c r="C529" i="1"/>
  <c r="N530" i="1" l="1"/>
  <c r="Q530" i="1" s="1"/>
  <c r="P530" i="1"/>
  <c r="S530" i="1" s="1"/>
  <c r="O530" i="1"/>
  <c r="R530" i="1" s="1"/>
  <c r="M529" i="1"/>
  <c r="K529" i="1"/>
  <c r="I529" i="1"/>
  <c r="G529" i="1" l="1"/>
  <c r="E530" i="1" s="1"/>
  <c r="J530" i="1"/>
  <c r="L530" i="1"/>
  <c r="H530" i="1"/>
  <c r="C530" i="1"/>
  <c r="F530" i="1" l="1"/>
  <c r="B531" i="1" s="1"/>
  <c r="N531" i="1"/>
  <c r="Q531" i="1" s="1"/>
  <c r="P531" i="1"/>
  <c r="S531" i="1" s="1"/>
  <c r="O531" i="1"/>
  <c r="R531" i="1" s="1"/>
  <c r="I530" i="1"/>
  <c r="M530" i="1"/>
  <c r="K530" i="1"/>
  <c r="L531" i="1" l="1"/>
  <c r="J531" i="1"/>
  <c r="D531" i="1"/>
  <c r="G530" i="1"/>
  <c r="E531" i="1" s="1"/>
  <c r="H531" i="1"/>
  <c r="F531" i="1" l="1"/>
  <c r="D532" i="1" s="1"/>
  <c r="C531" i="1"/>
  <c r="B532" i="1"/>
  <c r="M531" i="1" l="1"/>
  <c r="O532" i="1"/>
  <c r="R532" i="1" s="1"/>
  <c r="J532" i="1" s="1"/>
  <c r="N532" i="1"/>
  <c r="Q532" i="1" s="1"/>
  <c r="H532" i="1" s="1"/>
  <c r="P532" i="1"/>
  <c r="S532" i="1" s="1"/>
  <c r="L532" i="1" s="1"/>
  <c r="K531" i="1"/>
  <c r="I531" i="1"/>
  <c r="G531" i="1" s="1"/>
  <c r="E532" i="1" s="1"/>
  <c r="F532" i="1" l="1"/>
  <c r="C532" i="1"/>
  <c r="N533" i="1" s="1"/>
  <c r="Q533" i="1" s="1"/>
  <c r="D533" i="1"/>
  <c r="B533" i="1"/>
  <c r="P533" i="1"/>
  <c r="S533" i="1" s="1"/>
  <c r="M532" i="1"/>
  <c r="I532" i="1"/>
  <c r="O533" i="1" l="1"/>
  <c r="R533" i="1" s="1"/>
  <c r="K532" i="1"/>
  <c r="G532" i="1"/>
  <c r="E533" i="1" s="1"/>
  <c r="H533" i="1"/>
  <c r="J533" i="1"/>
  <c r="L533" i="1"/>
  <c r="F533" i="1" l="1"/>
  <c r="C533" i="1"/>
  <c r="K533" i="1" l="1"/>
  <c r="M533" i="1"/>
  <c r="I533" i="1"/>
  <c r="G533" i="1" s="1"/>
  <c r="E534" i="1" s="1"/>
  <c r="P534" i="1"/>
  <c r="S534" i="1" s="1"/>
  <c r="N534" i="1"/>
  <c r="Q534" i="1" s="1"/>
  <c r="O534" i="1"/>
  <c r="R534" i="1" s="1"/>
  <c r="D534" i="1"/>
  <c r="B534" i="1"/>
  <c r="H534" i="1" l="1"/>
  <c r="J534" i="1"/>
  <c r="L534" i="1"/>
  <c r="C534" i="1"/>
  <c r="I534" i="1" s="1"/>
  <c r="P535" i="1" l="1"/>
  <c r="S535" i="1" s="1"/>
  <c r="O535" i="1"/>
  <c r="R535" i="1" s="1"/>
  <c r="F534" i="1"/>
  <c r="D535" i="1" s="1"/>
  <c r="M534" i="1"/>
  <c r="K534" i="1"/>
  <c r="G534" i="1" s="1"/>
  <c r="E535" i="1" s="1"/>
  <c r="N535" i="1"/>
  <c r="Q535" i="1" s="1"/>
  <c r="B535" i="1" l="1"/>
  <c r="C535" i="1"/>
  <c r="O536" i="1" s="1"/>
  <c r="R536" i="1" s="1"/>
  <c r="H535" i="1"/>
  <c r="J535" i="1"/>
  <c r="L535" i="1"/>
  <c r="N536" i="1"/>
  <c r="Q536" i="1" s="1"/>
  <c r="P536" i="1"/>
  <c r="S536" i="1" s="1"/>
  <c r="F535" i="1" l="1"/>
  <c r="K535" i="1"/>
  <c r="M535" i="1"/>
  <c r="I535" i="1"/>
  <c r="G535" i="1" l="1"/>
  <c r="E536" i="1" s="1"/>
  <c r="D536" i="1"/>
  <c r="B536" i="1"/>
  <c r="L536" i="1" l="1"/>
  <c r="H536" i="1"/>
  <c r="F536" i="1" s="1"/>
  <c r="J536" i="1"/>
  <c r="C536" i="1"/>
  <c r="K536" i="1" l="1"/>
  <c r="M536" i="1"/>
  <c r="I536" i="1"/>
  <c r="G536" i="1" s="1"/>
  <c r="E537" i="1" s="1"/>
  <c r="O537" i="1"/>
  <c r="R537" i="1" s="1"/>
  <c r="N537" i="1"/>
  <c r="Q537" i="1" s="1"/>
  <c r="P537" i="1"/>
  <c r="S537" i="1" s="1"/>
  <c r="B537" i="1" l="1"/>
  <c r="D537" i="1"/>
  <c r="C537" i="1"/>
  <c r="I537" i="1" l="1"/>
  <c r="N538" i="1"/>
  <c r="Q538" i="1" s="1"/>
  <c r="L537" i="1"/>
  <c r="O538" i="1"/>
  <c r="R538" i="1" s="1"/>
  <c r="J537" i="1"/>
  <c r="H537" i="1"/>
  <c r="P538" i="1"/>
  <c r="S538" i="1" s="1"/>
  <c r="K537" i="1"/>
  <c r="M537" i="1"/>
  <c r="F537" i="1" l="1"/>
  <c r="B538" i="1" s="1"/>
  <c r="G537" i="1"/>
  <c r="E538" i="1" s="1"/>
  <c r="D538" i="1"/>
  <c r="J538" i="1" l="1"/>
  <c r="H538" i="1"/>
  <c r="L538" i="1"/>
  <c r="C538" i="1"/>
  <c r="F538" i="1" l="1"/>
  <c r="N539" i="1"/>
  <c r="Q539" i="1" s="1"/>
  <c r="O539" i="1"/>
  <c r="R539" i="1" s="1"/>
  <c r="M538" i="1"/>
  <c r="P539" i="1"/>
  <c r="S539" i="1" s="1"/>
  <c r="K538" i="1"/>
  <c r="I538" i="1"/>
  <c r="G538" i="1" s="1"/>
  <c r="C539" i="1" l="1"/>
  <c r="E539" i="1"/>
  <c r="B539" i="1"/>
  <c r="H539" i="1" s="1"/>
  <c r="D539" i="1"/>
  <c r="I539" i="1"/>
  <c r="K539" i="1"/>
  <c r="P540" i="1"/>
  <c r="S540" i="1" s="1"/>
  <c r="N540" i="1"/>
  <c r="Q540" i="1" s="1"/>
  <c r="M539" i="1"/>
  <c r="J539" i="1" l="1"/>
  <c r="F539" i="1" s="1"/>
  <c r="L539" i="1"/>
  <c r="O540" i="1"/>
  <c r="R540" i="1" s="1"/>
  <c r="G539" i="1"/>
  <c r="C540" i="1" s="1"/>
  <c r="E540" i="1" l="1"/>
  <c r="B540" i="1"/>
  <c r="L540" i="1" s="1"/>
  <c r="D540" i="1"/>
  <c r="M540" i="1"/>
  <c r="K540" i="1"/>
  <c r="I540" i="1"/>
  <c r="P541" i="1"/>
  <c r="S541" i="1" s="1"/>
  <c r="O541" i="1"/>
  <c r="R541" i="1" s="1"/>
  <c r="J540" i="1"/>
  <c r="N541" i="1"/>
  <c r="Q541" i="1" s="1"/>
  <c r="H540" i="1" l="1"/>
  <c r="F540" i="1" s="1"/>
  <c r="G540" i="1"/>
  <c r="C541" i="1" s="1"/>
  <c r="E541" i="1" l="1"/>
  <c r="M541" i="1"/>
  <c r="I541" i="1"/>
  <c r="K541" i="1"/>
  <c r="B541" i="1"/>
  <c r="D541" i="1"/>
  <c r="P542" i="1" l="1"/>
  <c r="S542" i="1" s="1"/>
  <c r="J541" i="1"/>
  <c r="H541" i="1"/>
  <c r="L541" i="1"/>
  <c r="N542" i="1"/>
  <c r="Q542" i="1" s="1"/>
  <c r="O542" i="1"/>
  <c r="R542" i="1" s="1"/>
  <c r="G541" i="1"/>
  <c r="C542" i="1" s="1"/>
  <c r="E542" i="1" l="1"/>
  <c r="F541" i="1"/>
  <c r="B542" i="1" s="1"/>
  <c r="I542" i="1"/>
  <c r="M542" i="1"/>
  <c r="K542" i="1"/>
  <c r="D542" i="1"/>
  <c r="P543" i="1" l="1"/>
  <c r="S543" i="1" s="1"/>
  <c r="N543" i="1"/>
  <c r="Q543" i="1" s="1"/>
  <c r="J542" i="1"/>
  <c r="H542" i="1"/>
  <c r="F542" i="1" s="1"/>
  <c r="O543" i="1"/>
  <c r="R543" i="1" s="1"/>
  <c r="L542" i="1"/>
  <c r="G542" i="1"/>
  <c r="C543" i="1" s="1"/>
  <c r="E543" i="1" l="1"/>
  <c r="K543" i="1"/>
  <c r="I543" i="1"/>
  <c r="M543" i="1"/>
  <c r="D543" i="1"/>
  <c r="B543" i="1"/>
  <c r="G543" i="1" l="1"/>
  <c r="E544" i="1" s="1"/>
  <c r="O544" i="1"/>
  <c r="R544" i="1" s="1"/>
  <c r="H543" i="1"/>
  <c r="P544" i="1"/>
  <c r="S544" i="1" s="1"/>
  <c r="L543" i="1"/>
  <c r="J543" i="1"/>
  <c r="N544" i="1"/>
  <c r="Q544" i="1" s="1"/>
  <c r="F543" i="1" l="1"/>
  <c r="C544" i="1"/>
  <c r="K544" i="1"/>
  <c r="M544" i="1"/>
  <c r="I544" i="1"/>
  <c r="G544" i="1" s="1"/>
  <c r="E545" i="1" s="1"/>
  <c r="C545" i="1" l="1"/>
  <c r="B544" i="1"/>
  <c r="D544" i="1"/>
  <c r="H544" i="1" l="1"/>
  <c r="N545" i="1"/>
  <c r="Q545" i="1" s="1"/>
  <c r="I545" i="1" s="1"/>
  <c r="L544" i="1"/>
  <c r="J544" i="1"/>
  <c r="O545" i="1"/>
  <c r="R545" i="1" s="1"/>
  <c r="K545" i="1" s="1"/>
  <c r="P545" i="1"/>
  <c r="S545" i="1" s="1"/>
  <c r="M545" i="1" s="1"/>
  <c r="F544" i="1" l="1"/>
  <c r="G545" i="1"/>
  <c r="E546" i="1" s="1"/>
  <c r="D545" i="1" l="1"/>
  <c r="B545" i="1"/>
  <c r="C546" i="1"/>
  <c r="L545" i="1" l="1"/>
  <c r="O546" i="1"/>
  <c r="R546" i="1" s="1"/>
  <c r="P546" i="1"/>
  <c r="S546" i="1" s="1"/>
  <c r="M546" i="1" s="1"/>
  <c r="N546" i="1"/>
  <c r="Q546" i="1" s="1"/>
  <c r="I546" i="1" s="1"/>
  <c r="G546" i="1" s="1"/>
  <c r="E547" i="1" s="1"/>
  <c r="J545" i="1"/>
  <c r="H545" i="1"/>
  <c r="K546" i="1"/>
  <c r="F545" i="1" l="1"/>
  <c r="B546" i="1" s="1"/>
  <c r="C547" i="1"/>
  <c r="D546" i="1"/>
  <c r="H546" i="1" l="1"/>
  <c r="O547" i="1"/>
  <c r="R547" i="1" s="1"/>
  <c r="K547" i="1" s="1"/>
  <c r="P547" i="1"/>
  <c r="S547" i="1" s="1"/>
  <c r="M547" i="1" s="1"/>
  <c r="N547" i="1"/>
  <c r="Q547" i="1" s="1"/>
  <c r="I547" i="1" s="1"/>
  <c r="L546" i="1"/>
  <c r="J546" i="1"/>
  <c r="F546" i="1" l="1"/>
  <c r="B547" i="1" s="1"/>
  <c r="H547" i="1" s="1"/>
  <c r="O548" i="1"/>
  <c r="R548" i="1" s="1"/>
  <c r="N548" i="1"/>
  <c r="Q548" i="1" s="1"/>
  <c r="P548" i="1"/>
  <c r="S548" i="1" s="1"/>
  <c r="J547" i="1"/>
  <c r="L547" i="1"/>
  <c r="D547" i="1"/>
  <c r="G547" i="1"/>
  <c r="E548" i="1" s="1"/>
  <c r="F547" i="1" l="1"/>
  <c r="C548" i="1"/>
  <c r="D548" i="1"/>
  <c r="B548" i="1" l="1"/>
  <c r="K548" i="1"/>
  <c r="I548" i="1"/>
  <c r="M548" i="1"/>
  <c r="G548" i="1" l="1"/>
  <c r="E549" i="1" s="1"/>
  <c r="C549" i="1"/>
  <c r="O549" i="1"/>
  <c r="R549" i="1" s="1"/>
  <c r="H548" i="1"/>
  <c r="L548" i="1"/>
  <c r="N549" i="1"/>
  <c r="Q549" i="1" s="1"/>
  <c r="J548" i="1"/>
  <c r="P549" i="1"/>
  <c r="S549" i="1" s="1"/>
  <c r="F548" i="1" l="1"/>
  <c r="K549" i="1"/>
  <c r="M549" i="1"/>
  <c r="I549" i="1"/>
  <c r="G549" i="1" s="1"/>
  <c r="E550" i="1" s="1"/>
  <c r="C550" i="1" l="1"/>
  <c r="D549" i="1"/>
  <c r="B549" i="1"/>
  <c r="N550" i="1" l="1"/>
  <c r="Q550" i="1" s="1"/>
  <c r="I550" i="1" s="1"/>
  <c r="O550" i="1"/>
  <c r="R550" i="1" s="1"/>
  <c r="K550" i="1" s="1"/>
  <c r="P550" i="1"/>
  <c r="S550" i="1" s="1"/>
  <c r="M550" i="1" s="1"/>
  <c r="J549" i="1"/>
  <c r="H549" i="1"/>
  <c r="L549" i="1"/>
  <c r="F549" i="1" l="1"/>
  <c r="D550" i="1" s="1"/>
  <c r="B550" i="1"/>
  <c r="G550" i="1"/>
  <c r="E551" i="1" s="1"/>
  <c r="C551" i="1" l="1"/>
  <c r="P551" i="1"/>
  <c r="S551" i="1" s="1"/>
  <c r="N551" i="1"/>
  <c r="Q551" i="1" s="1"/>
  <c r="O551" i="1"/>
  <c r="R551" i="1" s="1"/>
  <c r="J550" i="1"/>
  <c r="H550" i="1"/>
  <c r="L550" i="1"/>
  <c r="F550" i="1" l="1"/>
  <c r="D551" i="1" s="1"/>
  <c r="B551" i="1"/>
  <c r="I551" i="1"/>
  <c r="M551" i="1"/>
  <c r="K551" i="1"/>
  <c r="P552" i="1" l="1"/>
  <c r="S552" i="1" s="1"/>
  <c r="O552" i="1"/>
  <c r="R552" i="1" s="1"/>
  <c r="N552" i="1"/>
  <c r="Q552" i="1" s="1"/>
  <c r="J551" i="1"/>
  <c r="H551" i="1"/>
  <c r="L551" i="1"/>
  <c r="G551" i="1"/>
  <c r="E552" i="1" s="1"/>
  <c r="F551" i="1" l="1"/>
  <c r="D552" i="1" s="1"/>
  <c r="B552" i="1"/>
  <c r="C552" i="1"/>
  <c r="K552" i="1" l="1"/>
  <c r="I552" i="1"/>
  <c r="M552" i="1"/>
  <c r="O553" i="1"/>
  <c r="R553" i="1" s="1"/>
  <c r="P553" i="1"/>
  <c r="S553" i="1" s="1"/>
  <c r="N553" i="1"/>
  <c r="Q553" i="1" s="1"/>
  <c r="L552" i="1"/>
  <c r="J552" i="1"/>
  <c r="H552" i="1"/>
  <c r="F552" i="1" l="1"/>
  <c r="D553" i="1" s="1"/>
  <c r="B553" i="1"/>
  <c r="G552" i="1"/>
  <c r="E553" i="1" s="1"/>
  <c r="C553" i="1" l="1"/>
  <c r="O554" i="1"/>
  <c r="R554" i="1" s="1"/>
  <c r="N554" i="1"/>
  <c r="Q554" i="1" s="1"/>
  <c r="L553" i="1"/>
  <c r="J553" i="1"/>
  <c r="H553" i="1"/>
  <c r="P554" i="1"/>
  <c r="S554" i="1" s="1"/>
  <c r="F553" i="1" l="1"/>
  <c r="D554" i="1" s="1"/>
  <c r="B554" i="1"/>
  <c r="I553" i="1"/>
  <c r="M553" i="1"/>
  <c r="K553" i="1"/>
  <c r="J554" i="1" l="1"/>
  <c r="L554" i="1"/>
  <c r="H554" i="1"/>
  <c r="G553" i="1"/>
  <c r="C554" i="1" l="1"/>
  <c r="P555" i="1" s="1"/>
  <c r="S555" i="1" s="1"/>
  <c r="E554" i="1"/>
  <c r="F554" i="1"/>
  <c r="D555" i="1" s="1"/>
  <c r="N555" i="1"/>
  <c r="Q555" i="1" s="1"/>
  <c r="O555" i="1"/>
  <c r="R555" i="1" s="1"/>
  <c r="B555" i="1"/>
  <c r="K554" i="1"/>
  <c r="I554" i="1"/>
  <c r="M554" i="1"/>
  <c r="G554" i="1" l="1"/>
  <c r="E555" i="1" s="1"/>
  <c r="L555" i="1"/>
  <c r="J555" i="1"/>
  <c r="H555" i="1"/>
  <c r="F555" i="1" l="1"/>
  <c r="D556" i="1" s="1"/>
  <c r="C555" i="1"/>
  <c r="B556" i="1" l="1"/>
  <c r="M555" i="1"/>
  <c r="K555" i="1"/>
  <c r="I555" i="1"/>
  <c r="N556" i="1"/>
  <c r="Q556" i="1" s="1"/>
  <c r="H556" i="1" s="1"/>
  <c r="F556" i="1" s="1"/>
  <c r="P556" i="1"/>
  <c r="S556" i="1" s="1"/>
  <c r="L556" i="1" s="1"/>
  <c r="O556" i="1"/>
  <c r="R556" i="1" s="1"/>
  <c r="J556" i="1" s="1"/>
  <c r="G555" i="1" l="1"/>
  <c r="C556" i="1" l="1"/>
  <c r="E556" i="1"/>
  <c r="I556" i="1"/>
  <c r="M556" i="1"/>
  <c r="K556" i="1"/>
  <c r="N557" i="1"/>
  <c r="Q557" i="1" s="1"/>
  <c r="O557" i="1"/>
  <c r="R557" i="1" s="1"/>
  <c r="P557" i="1"/>
  <c r="S557" i="1" s="1"/>
  <c r="D557" i="1"/>
  <c r="B557" i="1"/>
  <c r="H557" i="1" l="1"/>
  <c r="L557" i="1"/>
  <c r="J557" i="1"/>
  <c r="G556" i="1"/>
  <c r="C557" i="1" s="1"/>
  <c r="E557" i="1" l="1"/>
  <c r="F557" i="1"/>
  <c r="O558" i="1"/>
  <c r="R558" i="1" s="1"/>
  <c r="I557" i="1"/>
  <c r="N558" i="1"/>
  <c r="Q558" i="1" s="1"/>
  <c r="M557" i="1"/>
  <c r="P558" i="1"/>
  <c r="S558" i="1" s="1"/>
  <c r="K557" i="1"/>
  <c r="D558" i="1" l="1"/>
  <c r="B558" i="1"/>
  <c r="G557" i="1"/>
  <c r="C558" i="1" s="1"/>
  <c r="E558" i="1" l="1"/>
  <c r="M558" i="1"/>
  <c r="K558" i="1"/>
  <c r="I558" i="1"/>
  <c r="O559" i="1"/>
  <c r="R559" i="1" s="1"/>
  <c r="N559" i="1"/>
  <c r="Q559" i="1" s="1"/>
  <c r="P559" i="1"/>
  <c r="S559" i="1" s="1"/>
  <c r="J558" i="1"/>
  <c r="H558" i="1"/>
  <c r="L558" i="1"/>
  <c r="F558" i="1" l="1"/>
  <c r="G558" i="1"/>
  <c r="C559" i="1" s="1"/>
  <c r="E559" i="1" l="1"/>
  <c r="K559" i="1"/>
  <c r="I559" i="1"/>
  <c r="M559" i="1"/>
  <c r="D559" i="1"/>
  <c r="B559" i="1"/>
  <c r="N560" i="1" l="1"/>
  <c r="Q560" i="1" s="1"/>
  <c r="J559" i="1"/>
  <c r="O560" i="1"/>
  <c r="R560" i="1" s="1"/>
  <c r="P560" i="1"/>
  <c r="S560" i="1" s="1"/>
  <c r="H559" i="1"/>
  <c r="L559" i="1"/>
  <c r="G559" i="1"/>
  <c r="E560" i="1" s="1"/>
  <c r="C560" i="1" l="1"/>
  <c r="K560" i="1"/>
  <c r="F559" i="1"/>
  <c r="B560" i="1" s="1"/>
  <c r="I560" i="1"/>
  <c r="D560" i="1"/>
  <c r="M560" i="1" l="1"/>
  <c r="G560" i="1" s="1"/>
  <c r="E561" i="1" s="1"/>
  <c r="H560" i="1"/>
  <c r="J560" i="1"/>
  <c r="O561" i="1"/>
  <c r="R561" i="1" s="1"/>
  <c r="P561" i="1"/>
  <c r="S561" i="1" s="1"/>
  <c r="L560" i="1"/>
  <c r="N561" i="1"/>
  <c r="Q561" i="1" s="1"/>
  <c r="C561" i="1" l="1"/>
  <c r="M561" i="1" s="1"/>
  <c r="F560" i="1"/>
  <c r="I561" i="1" l="1"/>
  <c r="K561" i="1"/>
  <c r="B561" i="1"/>
  <c r="D561" i="1"/>
  <c r="G561" i="1" l="1"/>
  <c r="O562" i="1"/>
  <c r="R562" i="1" s="1"/>
  <c r="L561" i="1"/>
  <c r="J561" i="1"/>
  <c r="H561" i="1"/>
  <c r="F561" i="1" s="1"/>
  <c r="B562" i="1" s="1"/>
  <c r="P562" i="1"/>
  <c r="S562" i="1" s="1"/>
  <c r="N562" i="1"/>
  <c r="Q562" i="1" s="1"/>
  <c r="D562" i="1"/>
  <c r="E562" i="1" l="1"/>
  <c r="C562" i="1"/>
  <c r="I562" i="1" s="1"/>
  <c r="J562" i="1"/>
  <c r="H562" i="1"/>
  <c r="L562" i="1"/>
  <c r="P563" i="1" l="1"/>
  <c r="S563" i="1" s="1"/>
  <c r="K562" i="1"/>
  <c r="G562" i="1" s="1"/>
  <c r="M562" i="1"/>
  <c r="O563" i="1"/>
  <c r="R563" i="1" s="1"/>
  <c r="N563" i="1"/>
  <c r="Q563" i="1" s="1"/>
  <c r="F562" i="1"/>
  <c r="C563" i="1" l="1"/>
  <c r="E563" i="1"/>
  <c r="K563" i="1"/>
  <c r="M563" i="1"/>
  <c r="I563" i="1"/>
  <c r="G563" i="1" s="1"/>
  <c r="C564" i="1" s="1"/>
  <c r="B563" i="1"/>
  <c r="D563" i="1"/>
  <c r="E564" i="1" l="1"/>
  <c r="O564" i="1"/>
  <c r="R564" i="1" s="1"/>
  <c r="K564" i="1" s="1"/>
  <c r="N564" i="1"/>
  <c r="Q564" i="1" s="1"/>
  <c r="I564" i="1" s="1"/>
  <c r="P564" i="1"/>
  <c r="S564" i="1" s="1"/>
  <c r="M564" i="1" s="1"/>
  <c r="H563" i="1"/>
  <c r="L563" i="1"/>
  <c r="J563" i="1"/>
  <c r="F563" i="1" l="1"/>
  <c r="B564" i="1" s="1"/>
  <c r="G564" i="1"/>
  <c r="E565" i="1" s="1"/>
  <c r="N565" i="1" l="1"/>
  <c r="Q565" i="1" s="1"/>
  <c r="J564" i="1"/>
  <c r="P565" i="1"/>
  <c r="S565" i="1" s="1"/>
  <c r="H564" i="1"/>
  <c r="L564" i="1"/>
  <c r="O565" i="1"/>
  <c r="R565" i="1" s="1"/>
  <c r="D564" i="1"/>
  <c r="C565" i="1"/>
  <c r="I565" i="1" l="1"/>
  <c r="F564" i="1"/>
  <c r="B565" i="1" s="1"/>
  <c r="M565" i="1"/>
  <c r="K565" i="1"/>
  <c r="G565" i="1" s="1"/>
  <c r="E566" i="1" s="1"/>
  <c r="N566" i="1" l="1"/>
  <c r="Q566" i="1" s="1"/>
  <c r="L565" i="1"/>
  <c r="P566" i="1"/>
  <c r="S566" i="1" s="1"/>
  <c r="H565" i="1"/>
  <c r="O566" i="1"/>
  <c r="R566" i="1" s="1"/>
  <c r="J565" i="1"/>
  <c r="D565" i="1"/>
  <c r="C566" i="1"/>
  <c r="I566" i="1" l="1"/>
  <c r="F565" i="1"/>
  <c r="K566" i="1"/>
  <c r="M566" i="1"/>
  <c r="G566" i="1"/>
  <c r="E567" i="1" s="1"/>
  <c r="B566" i="1"/>
  <c r="D566" i="1"/>
  <c r="C567" i="1"/>
  <c r="O567" i="1" l="1"/>
  <c r="R567" i="1" s="1"/>
  <c r="K567" i="1" s="1"/>
  <c r="N567" i="1"/>
  <c r="Q567" i="1" s="1"/>
  <c r="I567" i="1" s="1"/>
  <c r="H566" i="1"/>
  <c r="L566" i="1"/>
  <c r="J566" i="1"/>
  <c r="P567" i="1"/>
  <c r="S567" i="1" s="1"/>
  <c r="M567" i="1" s="1"/>
  <c r="F566" i="1" l="1"/>
  <c r="G567" i="1"/>
  <c r="E568" i="1" s="1"/>
  <c r="C568" i="1" l="1"/>
  <c r="D567" i="1"/>
  <c r="B567" i="1"/>
  <c r="J567" i="1" l="1"/>
  <c r="N568" i="1"/>
  <c r="Q568" i="1" s="1"/>
  <c r="I568" i="1" s="1"/>
  <c r="P568" i="1"/>
  <c r="S568" i="1" s="1"/>
  <c r="M568" i="1" s="1"/>
  <c r="L567" i="1"/>
  <c r="H567" i="1"/>
  <c r="O568" i="1"/>
  <c r="R568" i="1" s="1"/>
  <c r="K568" i="1" s="1"/>
  <c r="F567" i="1" l="1"/>
  <c r="D568" i="1" s="1"/>
  <c r="B568" i="1"/>
  <c r="G568" i="1"/>
  <c r="E569" i="1" s="1"/>
  <c r="C569" i="1" l="1"/>
  <c r="O569" i="1"/>
  <c r="R569" i="1" s="1"/>
  <c r="K569" i="1" s="1"/>
  <c r="J568" i="1"/>
  <c r="L568" i="1"/>
  <c r="N569" i="1"/>
  <c r="Q569" i="1" s="1"/>
  <c r="I569" i="1" s="1"/>
  <c r="H568" i="1"/>
  <c r="F568" i="1" s="1"/>
  <c r="P569" i="1"/>
  <c r="S569" i="1" s="1"/>
  <c r="B569" i="1" l="1"/>
  <c r="D569" i="1"/>
  <c r="M569" i="1"/>
  <c r="G569" i="1" s="1"/>
  <c r="E570" i="1" s="1"/>
  <c r="C570" i="1" l="1"/>
  <c r="H569" i="1"/>
  <c r="L569" i="1"/>
  <c r="J569" i="1"/>
  <c r="P570" i="1"/>
  <c r="S570" i="1" s="1"/>
  <c r="M570" i="1" s="1"/>
  <c r="N570" i="1"/>
  <c r="Q570" i="1" s="1"/>
  <c r="I570" i="1" s="1"/>
  <c r="O570" i="1"/>
  <c r="R570" i="1" s="1"/>
  <c r="K570" i="1" s="1"/>
  <c r="F569" i="1" l="1"/>
  <c r="G570" i="1"/>
  <c r="E571" i="1" s="1"/>
  <c r="D570" i="1" l="1"/>
  <c r="B570" i="1"/>
  <c r="C571" i="1"/>
  <c r="L570" i="1" l="1"/>
  <c r="O571" i="1"/>
  <c r="R571" i="1" s="1"/>
  <c r="K571" i="1" s="1"/>
  <c r="J570" i="1"/>
  <c r="N571" i="1"/>
  <c r="Q571" i="1" s="1"/>
  <c r="I571" i="1" s="1"/>
  <c r="P571" i="1"/>
  <c r="S571" i="1" s="1"/>
  <c r="M571" i="1" s="1"/>
  <c r="H570" i="1"/>
  <c r="F570" i="1" l="1"/>
  <c r="D571" i="1" s="1"/>
  <c r="G571" i="1"/>
  <c r="E572" i="1" s="1"/>
  <c r="C572" i="1" l="1"/>
  <c r="B571" i="1"/>
  <c r="H571" i="1" l="1"/>
  <c r="L571" i="1"/>
  <c r="N572" i="1"/>
  <c r="Q572" i="1" s="1"/>
  <c r="I572" i="1" s="1"/>
  <c r="P572" i="1"/>
  <c r="S572" i="1" s="1"/>
  <c r="M572" i="1" s="1"/>
  <c r="J571" i="1"/>
  <c r="O572" i="1"/>
  <c r="R572" i="1" s="1"/>
  <c r="K572" i="1" s="1"/>
  <c r="G572" i="1" l="1"/>
  <c r="E573" i="1" s="1"/>
  <c r="F571" i="1"/>
  <c r="C573" i="1"/>
  <c r="B572" i="1" l="1"/>
  <c r="D572" i="1"/>
  <c r="P573" i="1" l="1"/>
  <c r="S573" i="1" s="1"/>
  <c r="M573" i="1" s="1"/>
  <c r="N573" i="1"/>
  <c r="Q573" i="1" s="1"/>
  <c r="I573" i="1" s="1"/>
  <c r="L572" i="1"/>
  <c r="H572" i="1"/>
  <c r="J572" i="1"/>
  <c r="O573" i="1"/>
  <c r="R573" i="1" s="1"/>
  <c r="K573" i="1" s="1"/>
  <c r="F572" i="1" l="1"/>
  <c r="G573" i="1"/>
  <c r="E574" i="1" s="1"/>
  <c r="C574" i="1" l="1"/>
  <c r="D573" i="1"/>
  <c r="B573" i="1"/>
  <c r="P574" i="1" l="1"/>
  <c r="S574" i="1" s="1"/>
  <c r="M574" i="1" s="1"/>
  <c r="O574" i="1"/>
  <c r="R574" i="1" s="1"/>
  <c r="K574" i="1" s="1"/>
  <c r="J573" i="1"/>
  <c r="N574" i="1"/>
  <c r="Q574" i="1" s="1"/>
  <c r="I574" i="1" s="1"/>
  <c r="G574" i="1" s="1"/>
  <c r="E575" i="1" s="1"/>
  <c r="L573" i="1"/>
  <c r="H573" i="1"/>
  <c r="F573" i="1" l="1"/>
  <c r="D574" i="1" s="1"/>
  <c r="C575" i="1"/>
  <c r="B574" i="1" l="1"/>
  <c r="J574" i="1" l="1"/>
  <c r="P575" i="1"/>
  <c r="S575" i="1" s="1"/>
  <c r="M575" i="1" s="1"/>
  <c r="L574" i="1"/>
  <c r="N575" i="1"/>
  <c r="Q575" i="1" s="1"/>
  <c r="I575" i="1" s="1"/>
  <c r="G575" i="1" s="1"/>
  <c r="E576" i="1" s="1"/>
  <c r="O575" i="1"/>
  <c r="R575" i="1" s="1"/>
  <c r="K575" i="1" s="1"/>
  <c r="H574" i="1"/>
  <c r="F574" i="1" s="1"/>
  <c r="D575" i="1" s="1"/>
  <c r="B575" i="1" l="1"/>
  <c r="C576" i="1"/>
  <c r="O576" i="1" l="1"/>
  <c r="R576" i="1" s="1"/>
  <c r="N576" i="1"/>
  <c r="Q576" i="1" s="1"/>
  <c r="I576" i="1" s="1"/>
  <c r="P576" i="1"/>
  <c r="S576" i="1" s="1"/>
  <c r="M576" i="1" s="1"/>
  <c r="H575" i="1"/>
  <c r="F575" i="1" s="1"/>
  <c r="D576" i="1" s="1"/>
  <c r="L575" i="1"/>
  <c r="J575" i="1"/>
  <c r="K576" i="1"/>
  <c r="G576" i="1" l="1"/>
  <c r="E577" i="1" s="1"/>
  <c r="B576" i="1"/>
  <c r="L576" i="1" l="1"/>
  <c r="J576" i="1"/>
  <c r="P577" i="1"/>
  <c r="S577" i="1" s="1"/>
  <c r="N577" i="1"/>
  <c r="Q577" i="1" s="1"/>
  <c r="O577" i="1"/>
  <c r="R577" i="1" s="1"/>
  <c r="H576" i="1"/>
  <c r="F576" i="1" s="1"/>
  <c r="D577" i="1" s="1"/>
  <c r="C577" i="1"/>
  <c r="I577" i="1" l="1"/>
  <c r="B577" i="1"/>
  <c r="K577" i="1"/>
  <c r="G577" i="1" s="1"/>
  <c r="E578" i="1" s="1"/>
  <c r="M577" i="1"/>
  <c r="C578" i="1" l="1"/>
  <c r="J577" i="1"/>
  <c r="P578" i="1"/>
  <c r="S578" i="1" s="1"/>
  <c r="M578" i="1" s="1"/>
  <c r="O578" i="1"/>
  <c r="R578" i="1" s="1"/>
  <c r="K578" i="1" s="1"/>
  <c r="N578" i="1"/>
  <c r="Q578" i="1" s="1"/>
  <c r="I578" i="1" s="1"/>
  <c r="G578" i="1" s="1"/>
  <c r="E579" i="1" s="1"/>
  <c r="H577" i="1"/>
  <c r="F577" i="1" s="1"/>
  <c r="D578" i="1" s="1"/>
  <c r="L577" i="1"/>
  <c r="C579" i="1" l="1"/>
  <c r="B578" i="1"/>
  <c r="J578" i="1" s="1"/>
  <c r="H578" i="1"/>
  <c r="N579" i="1"/>
  <c r="Q579" i="1" s="1"/>
  <c r="I579" i="1" s="1"/>
  <c r="O579" i="1"/>
  <c r="R579" i="1" s="1"/>
  <c r="K579" i="1" s="1"/>
  <c r="P579" i="1"/>
  <c r="S579" i="1" s="1"/>
  <c r="M579" i="1" s="1"/>
  <c r="L578" i="1" l="1"/>
  <c r="F578" i="1"/>
  <c r="D579" i="1" s="1"/>
  <c r="G579" i="1"/>
  <c r="E580" i="1" s="1"/>
  <c r="B579" i="1" l="1"/>
  <c r="C580" i="1"/>
  <c r="J579" i="1" l="1"/>
  <c r="L579" i="1"/>
  <c r="P580" i="1"/>
  <c r="S580" i="1" s="1"/>
  <c r="M580" i="1" s="1"/>
  <c r="N580" i="1"/>
  <c r="Q580" i="1" s="1"/>
  <c r="I580" i="1" s="1"/>
  <c r="H579" i="1"/>
  <c r="O580" i="1"/>
  <c r="R580" i="1" s="1"/>
  <c r="K580" i="1" s="1"/>
  <c r="F579" i="1" l="1"/>
  <c r="D580" i="1" s="1"/>
  <c r="G580" i="1"/>
  <c r="E581" i="1" s="1"/>
  <c r="B580" i="1" l="1"/>
  <c r="C581" i="1"/>
  <c r="J580" i="1" l="1"/>
  <c r="L580" i="1"/>
  <c r="H580" i="1"/>
  <c r="P581" i="1"/>
  <c r="S581" i="1" s="1"/>
  <c r="M581" i="1" s="1"/>
  <c r="N581" i="1"/>
  <c r="Q581" i="1" s="1"/>
  <c r="I581" i="1" s="1"/>
  <c r="O581" i="1"/>
  <c r="R581" i="1" s="1"/>
  <c r="K581" i="1" s="1"/>
  <c r="G581" i="1" l="1"/>
  <c r="E582" i="1" s="1"/>
  <c r="F580" i="1"/>
  <c r="B581" i="1" s="1"/>
  <c r="D581" i="1" l="1"/>
  <c r="H581" i="1"/>
  <c r="L581" i="1"/>
  <c r="J581" i="1"/>
  <c r="P582" i="1"/>
  <c r="S582" i="1" s="1"/>
  <c r="N582" i="1"/>
  <c r="Q582" i="1" s="1"/>
  <c r="O582" i="1"/>
  <c r="R582" i="1" s="1"/>
  <c r="C582" i="1"/>
  <c r="F581" i="1" l="1"/>
  <c r="B582" i="1" s="1"/>
  <c r="M582" i="1"/>
  <c r="K582" i="1"/>
  <c r="I582" i="1"/>
  <c r="G582" i="1" s="1"/>
  <c r="D582" i="1"/>
  <c r="C583" i="1" l="1"/>
  <c r="E583" i="1"/>
  <c r="N583" i="1"/>
  <c r="Q583" i="1" s="1"/>
  <c r="I583" i="1" s="1"/>
  <c r="O583" i="1"/>
  <c r="R583" i="1" s="1"/>
  <c r="K583" i="1" s="1"/>
  <c r="G583" i="1" s="1"/>
  <c r="C584" i="1" s="1"/>
  <c r="L582" i="1"/>
  <c r="P583" i="1"/>
  <c r="S583" i="1" s="1"/>
  <c r="M583" i="1" s="1"/>
  <c r="J582" i="1"/>
  <c r="H582" i="1"/>
  <c r="E584" i="1" l="1"/>
  <c r="F582" i="1"/>
  <c r="D583" i="1" l="1"/>
  <c r="B583" i="1"/>
  <c r="O584" i="1" l="1"/>
  <c r="R584" i="1" s="1"/>
  <c r="K584" i="1" s="1"/>
  <c r="H583" i="1"/>
  <c r="J583" i="1"/>
  <c r="N584" i="1"/>
  <c r="Q584" i="1" s="1"/>
  <c r="I584" i="1" s="1"/>
  <c r="P584" i="1"/>
  <c r="S584" i="1" s="1"/>
  <c r="M584" i="1" s="1"/>
  <c r="L583" i="1"/>
  <c r="F583" i="1" l="1"/>
  <c r="G584" i="1"/>
  <c r="E585" i="1" s="1"/>
  <c r="C585" i="1" l="1"/>
  <c r="B584" i="1"/>
  <c r="D584" i="1"/>
  <c r="H584" i="1" l="1"/>
  <c r="O585" i="1"/>
  <c r="R585" i="1" s="1"/>
  <c r="K585" i="1" s="1"/>
  <c r="J584" i="1"/>
  <c r="P585" i="1"/>
  <c r="S585" i="1" s="1"/>
  <c r="M585" i="1" s="1"/>
  <c r="L584" i="1"/>
  <c r="N585" i="1"/>
  <c r="Q585" i="1" s="1"/>
  <c r="I585" i="1" s="1"/>
  <c r="G585" i="1" s="1"/>
  <c r="E586" i="1" s="1"/>
  <c r="C586" i="1" l="1"/>
  <c r="F584" i="1"/>
  <c r="B585" i="1" l="1"/>
  <c r="D585" i="1"/>
  <c r="O586" i="1" l="1"/>
  <c r="R586" i="1" s="1"/>
  <c r="K586" i="1" s="1"/>
  <c r="N586" i="1"/>
  <c r="Q586" i="1" s="1"/>
  <c r="I586" i="1" s="1"/>
  <c r="J585" i="1"/>
  <c r="L585" i="1"/>
  <c r="H585" i="1"/>
  <c r="P586" i="1"/>
  <c r="S586" i="1" s="1"/>
  <c r="M586" i="1" s="1"/>
  <c r="F585" i="1" l="1"/>
  <c r="D586" i="1" s="1"/>
  <c r="G586" i="1"/>
  <c r="E587" i="1" s="1"/>
  <c r="C587" i="1" l="1"/>
  <c r="B586" i="1"/>
  <c r="P587" i="1" l="1"/>
  <c r="S587" i="1" s="1"/>
  <c r="J586" i="1"/>
  <c r="O587" i="1"/>
  <c r="R587" i="1" s="1"/>
  <c r="K587" i="1" s="1"/>
  <c r="H586" i="1"/>
  <c r="N587" i="1"/>
  <c r="Q587" i="1" s="1"/>
  <c r="I587" i="1" s="1"/>
  <c r="G587" i="1" s="1"/>
  <c r="E588" i="1" s="1"/>
  <c r="L586" i="1"/>
  <c r="M587" i="1"/>
  <c r="C588" i="1" l="1"/>
  <c r="F586" i="1"/>
  <c r="B587" i="1" s="1"/>
  <c r="N588" i="1" l="1"/>
  <c r="Q588" i="1" s="1"/>
  <c r="H587" i="1"/>
  <c r="J587" i="1"/>
  <c r="P588" i="1"/>
  <c r="S588" i="1" s="1"/>
  <c r="M588" i="1" s="1"/>
  <c r="L587" i="1"/>
  <c r="O588" i="1"/>
  <c r="R588" i="1" s="1"/>
  <c r="K588" i="1" s="1"/>
  <c r="D587" i="1"/>
  <c r="I588" i="1"/>
  <c r="G588" i="1" l="1"/>
  <c r="E589" i="1" s="1"/>
  <c r="F587" i="1"/>
  <c r="D588" i="1" s="1"/>
  <c r="C589" i="1" l="1"/>
  <c r="B588" i="1"/>
  <c r="J588" i="1" l="1"/>
  <c r="H588" i="1"/>
  <c r="O589" i="1"/>
  <c r="R589" i="1" s="1"/>
  <c r="K589" i="1" s="1"/>
  <c r="P589" i="1"/>
  <c r="S589" i="1" s="1"/>
  <c r="M589" i="1" s="1"/>
  <c r="L588" i="1"/>
  <c r="N589" i="1"/>
  <c r="Q589" i="1" s="1"/>
  <c r="I589" i="1" s="1"/>
  <c r="G589" i="1" s="1"/>
  <c r="E590" i="1" s="1"/>
  <c r="C590" i="1" l="1"/>
  <c r="F588" i="1"/>
  <c r="D589" i="1" s="1"/>
  <c r="B589" i="1" l="1"/>
  <c r="P590" i="1" l="1"/>
  <c r="S590" i="1" s="1"/>
  <c r="M590" i="1" s="1"/>
  <c r="O590" i="1"/>
  <c r="R590" i="1" s="1"/>
  <c r="K590" i="1" s="1"/>
  <c r="H589" i="1"/>
  <c r="L589" i="1"/>
  <c r="J589" i="1"/>
  <c r="N590" i="1"/>
  <c r="Q590" i="1" s="1"/>
  <c r="I590" i="1" s="1"/>
  <c r="G590" i="1" s="1"/>
  <c r="E591" i="1" s="1"/>
  <c r="C591" i="1" l="1"/>
  <c r="F589" i="1"/>
  <c r="D590" i="1" l="1"/>
  <c r="B590" i="1"/>
  <c r="P591" i="1" l="1"/>
  <c r="S591" i="1" s="1"/>
  <c r="M591" i="1" s="1"/>
  <c r="L590" i="1"/>
  <c r="H590" i="1"/>
  <c r="O591" i="1"/>
  <c r="R591" i="1" s="1"/>
  <c r="K591" i="1" s="1"/>
  <c r="J590" i="1"/>
  <c r="N591" i="1"/>
  <c r="Q591" i="1" s="1"/>
  <c r="I591" i="1" s="1"/>
  <c r="G591" i="1" s="1"/>
  <c r="E592" i="1" s="1"/>
  <c r="C592" i="1" l="1"/>
  <c r="F590" i="1"/>
  <c r="D591" i="1" l="1"/>
  <c r="B591" i="1"/>
  <c r="O592" i="1" l="1"/>
  <c r="R592" i="1" s="1"/>
  <c r="K592" i="1" s="1"/>
  <c r="L591" i="1"/>
  <c r="H591" i="1"/>
  <c r="P592" i="1"/>
  <c r="S592" i="1" s="1"/>
  <c r="M592" i="1" s="1"/>
  <c r="N592" i="1"/>
  <c r="Q592" i="1" s="1"/>
  <c r="I592" i="1" s="1"/>
  <c r="G592" i="1" s="1"/>
  <c r="E593" i="1" s="1"/>
  <c r="J591" i="1"/>
  <c r="C593" i="1" l="1"/>
  <c r="F591" i="1"/>
  <c r="B592" i="1" l="1"/>
  <c r="D592" i="1"/>
  <c r="J592" i="1" l="1"/>
  <c r="O593" i="1"/>
  <c r="R593" i="1" s="1"/>
  <c r="K593" i="1" s="1"/>
  <c r="H592" i="1"/>
  <c r="P593" i="1"/>
  <c r="S593" i="1" s="1"/>
  <c r="L592" i="1"/>
  <c r="N593" i="1"/>
  <c r="Q593" i="1" s="1"/>
  <c r="I593" i="1" l="1"/>
  <c r="M593" i="1"/>
  <c r="F592" i="1"/>
  <c r="D593" i="1" s="1"/>
  <c r="B593" i="1" l="1"/>
  <c r="G593" i="1"/>
  <c r="E594" i="1" s="1"/>
  <c r="C594" i="1" l="1"/>
  <c r="J593" i="1"/>
  <c r="O594" i="1"/>
  <c r="R594" i="1" s="1"/>
  <c r="N594" i="1"/>
  <c r="Q594" i="1" s="1"/>
  <c r="P594" i="1"/>
  <c r="S594" i="1" s="1"/>
  <c r="H593" i="1"/>
  <c r="L593" i="1"/>
  <c r="F593" i="1" l="1"/>
  <c r="B594" i="1" s="1"/>
  <c r="N595" i="1"/>
  <c r="Q595" i="1" s="1"/>
  <c r="O595" i="1"/>
  <c r="R595" i="1" s="1"/>
  <c r="P595" i="1"/>
  <c r="S595" i="1" s="1"/>
  <c r="L594" i="1"/>
  <c r="H594" i="1"/>
  <c r="J594" i="1"/>
  <c r="D594" i="1"/>
  <c r="K594" i="1"/>
  <c r="M594" i="1"/>
  <c r="I594" i="1"/>
  <c r="G594" i="1" s="1"/>
  <c r="F594" i="1" l="1"/>
  <c r="C595" i="1"/>
  <c r="E595" i="1"/>
  <c r="M595" i="1"/>
  <c r="I595" i="1"/>
  <c r="K595" i="1"/>
  <c r="L595" i="1"/>
  <c r="J595" i="1"/>
  <c r="D595" i="1"/>
  <c r="B595" i="1"/>
  <c r="H595" i="1" s="1"/>
  <c r="F595" i="1" s="1"/>
  <c r="G595" i="1" l="1"/>
  <c r="E596" i="1" s="1"/>
  <c r="B596" i="1"/>
  <c r="O596" i="1"/>
  <c r="R596" i="1" s="1"/>
  <c r="J596" i="1" s="1"/>
  <c r="N596" i="1"/>
  <c r="Q596" i="1" s="1"/>
  <c r="H596" i="1" s="1"/>
  <c r="P596" i="1"/>
  <c r="S596" i="1" s="1"/>
  <c r="L596" i="1" s="1"/>
  <c r="D596" i="1"/>
  <c r="F596" i="1" l="1"/>
  <c r="D597" i="1" s="1"/>
  <c r="B597" i="1"/>
  <c r="C596" i="1"/>
  <c r="N597" i="1" s="1"/>
  <c r="Q597" i="1" s="1"/>
  <c r="H597" i="1" s="1"/>
  <c r="O597" i="1" l="1"/>
  <c r="R597" i="1" s="1"/>
  <c r="K596" i="1"/>
  <c r="M596" i="1"/>
  <c r="I596" i="1"/>
  <c r="G596" i="1" s="1"/>
  <c r="E597" i="1" s="1"/>
  <c r="J597" i="1"/>
  <c r="P597" i="1"/>
  <c r="S597" i="1" s="1"/>
  <c r="L597" i="1" s="1"/>
  <c r="C597" i="1" l="1"/>
  <c r="O598" i="1" s="1"/>
  <c r="R598" i="1" s="1"/>
  <c r="F597" i="1"/>
  <c r="K597" i="1"/>
  <c r="I597" i="1"/>
  <c r="M597" i="1"/>
  <c r="N598" i="1"/>
  <c r="Q598" i="1" s="1"/>
  <c r="P598" i="1"/>
  <c r="S598" i="1" s="1"/>
  <c r="G597" i="1" l="1"/>
  <c r="B598" i="1"/>
  <c r="D598" i="1"/>
  <c r="C598" i="1" l="1"/>
  <c r="E598" i="1"/>
  <c r="L598" i="1"/>
  <c r="J598" i="1"/>
  <c r="H598" i="1"/>
  <c r="F598" i="1" s="1"/>
  <c r="D599" i="1" s="1"/>
  <c r="O599" i="1"/>
  <c r="R599" i="1" s="1"/>
  <c r="P599" i="1"/>
  <c r="S599" i="1" s="1"/>
  <c r="N599" i="1"/>
  <c r="Q599" i="1" s="1"/>
  <c r="K598" i="1" l="1"/>
  <c r="M598" i="1"/>
  <c r="I598" i="1"/>
  <c r="G598" i="1" s="1"/>
  <c r="E599" i="1" s="1"/>
  <c r="B599" i="1"/>
  <c r="C599" i="1" l="1"/>
  <c r="L599" i="1"/>
  <c r="H599" i="1"/>
  <c r="O600" i="1"/>
  <c r="R600" i="1" s="1"/>
  <c r="P600" i="1"/>
  <c r="S600" i="1" s="1"/>
  <c r="N600" i="1"/>
  <c r="Q600" i="1" s="1"/>
  <c r="J599" i="1"/>
  <c r="K599" i="1" l="1"/>
  <c r="M599" i="1"/>
  <c r="I599" i="1"/>
  <c r="G599" i="1" s="1"/>
  <c r="E600" i="1" s="1"/>
  <c r="F599" i="1"/>
  <c r="C600" i="1" l="1"/>
  <c r="D600" i="1"/>
  <c r="B600" i="1"/>
  <c r="M600" i="1" l="1"/>
  <c r="I600" i="1"/>
  <c r="K600" i="1"/>
  <c r="L600" i="1"/>
  <c r="H600" i="1"/>
  <c r="J600" i="1"/>
  <c r="P601" i="1"/>
  <c r="S601" i="1" s="1"/>
  <c r="N601" i="1"/>
  <c r="Q601" i="1" s="1"/>
  <c r="O601" i="1"/>
  <c r="R601" i="1" s="1"/>
  <c r="G600" i="1" l="1"/>
  <c r="F600" i="1"/>
  <c r="E601" i="1" l="1"/>
  <c r="C601" i="1"/>
  <c r="D601" i="1"/>
  <c r="B601" i="1"/>
  <c r="I601" i="1" l="1"/>
  <c r="M601" i="1"/>
  <c r="K601" i="1"/>
  <c r="L601" i="1"/>
  <c r="N602" i="1"/>
  <c r="Q602" i="1" s="1"/>
  <c r="O602" i="1"/>
  <c r="R602" i="1" s="1"/>
  <c r="P602" i="1"/>
  <c r="S602" i="1" s="1"/>
  <c r="H601" i="1"/>
  <c r="J601" i="1"/>
  <c r="F601" i="1" l="1"/>
  <c r="D602" i="1" s="1"/>
  <c r="G601" i="1"/>
  <c r="B602" i="1"/>
  <c r="C602" i="1" l="1"/>
  <c r="E602" i="1"/>
  <c r="J602" i="1"/>
  <c r="H602" i="1"/>
  <c r="L602" i="1"/>
  <c r="P603" i="1"/>
  <c r="S603" i="1" s="1"/>
  <c r="N603" i="1"/>
  <c r="Q603" i="1" s="1"/>
  <c r="O603" i="1"/>
  <c r="R603" i="1" s="1"/>
  <c r="I602" i="1" l="1"/>
  <c r="K602" i="1"/>
  <c r="M602" i="1"/>
  <c r="F602" i="1"/>
  <c r="G602" i="1" l="1"/>
  <c r="D603" i="1"/>
  <c r="B603" i="1"/>
  <c r="E603" i="1" l="1"/>
  <c r="C603" i="1"/>
  <c r="P604" i="1"/>
  <c r="S604" i="1" s="1"/>
  <c r="N604" i="1"/>
  <c r="Q604" i="1" s="1"/>
  <c r="O604" i="1"/>
  <c r="R604" i="1" s="1"/>
  <c r="L603" i="1"/>
  <c r="J603" i="1"/>
  <c r="H603" i="1"/>
  <c r="F603" i="1" s="1"/>
  <c r="D604" i="1" s="1"/>
  <c r="M603" i="1" l="1"/>
  <c r="K603" i="1"/>
  <c r="I603" i="1"/>
  <c r="G603" i="1" s="1"/>
  <c r="C604" i="1" s="1"/>
  <c r="B604" i="1"/>
  <c r="M604" i="1" l="1"/>
  <c r="I604" i="1"/>
  <c r="G604" i="1" s="1"/>
  <c r="K604" i="1"/>
  <c r="E604" i="1"/>
  <c r="E605" i="1" s="1"/>
  <c r="O605" i="1"/>
  <c r="R605" i="1" s="1"/>
  <c r="P605" i="1"/>
  <c r="S605" i="1" s="1"/>
  <c r="N605" i="1"/>
  <c r="Q605" i="1" s="1"/>
  <c r="L604" i="1"/>
  <c r="H604" i="1"/>
  <c r="J604" i="1"/>
  <c r="C605" i="1" l="1"/>
  <c r="F604" i="1"/>
  <c r="K605" i="1"/>
  <c r="I605" i="1"/>
  <c r="M605" i="1"/>
  <c r="G605" i="1" l="1"/>
  <c r="E606" i="1" s="1"/>
  <c r="D605" i="1"/>
  <c r="B605" i="1"/>
  <c r="P606" i="1" l="1"/>
  <c r="S606" i="1" s="1"/>
  <c r="O606" i="1"/>
  <c r="R606" i="1" s="1"/>
  <c r="N606" i="1"/>
  <c r="Q606" i="1" s="1"/>
  <c r="H605" i="1"/>
  <c r="F605" i="1" s="1"/>
  <c r="D606" i="1" s="1"/>
  <c r="J605" i="1"/>
  <c r="L605" i="1"/>
  <c r="C606" i="1"/>
  <c r="B606" i="1" l="1"/>
  <c r="L606" i="1"/>
  <c r="N607" i="1"/>
  <c r="Q607" i="1" s="1"/>
  <c r="I606" i="1"/>
  <c r="K606" i="1"/>
  <c r="M606" i="1"/>
  <c r="G606" i="1" l="1"/>
  <c r="P607" i="1"/>
  <c r="S607" i="1" s="1"/>
  <c r="O607" i="1"/>
  <c r="R607" i="1" s="1"/>
  <c r="H606" i="1"/>
  <c r="J606" i="1"/>
  <c r="C607" i="1" l="1"/>
  <c r="I607" i="1" s="1"/>
  <c r="E607" i="1"/>
  <c r="F606" i="1"/>
  <c r="K607" i="1"/>
  <c r="M607" i="1" l="1"/>
  <c r="G607" i="1" s="1"/>
  <c r="C608" i="1" s="1"/>
  <c r="D607" i="1"/>
  <c r="B607" i="1"/>
  <c r="E608" i="1" l="1"/>
  <c r="L607" i="1"/>
  <c r="P608" i="1"/>
  <c r="S608" i="1" s="1"/>
  <c r="N608" i="1"/>
  <c r="Q608" i="1" s="1"/>
  <c r="O608" i="1"/>
  <c r="R608" i="1" s="1"/>
  <c r="H607" i="1"/>
  <c r="J607" i="1"/>
  <c r="I608" i="1" l="1"/>
  <c r="F607" i="1"/>
  <c r="D608" i="1" s="1"/>
  <c r="M608" i="1"/>
  <c r="K608" i="1"/>
  <c r="B608" i="1"/>
  <c r="O609" i="1" l="1"/>
  <c r="R609" i="1" s="1"/>
  <c r="N609" i="1"/>
  <c r="Q609" i="1" s="1"/>
  <c r="P609" i="1"/>
  <c r="S609" i="1" s="1"/>
  <c r="L608" i="1"/>
  <c r="J608" i="1"/>
  <c r="G608" i="1"/>
  <c r="E609" i="1" s="1"/>
  <c r="H608" i="1"/>
  <c r="C609" i="1" l="1"/>
  <c r="F608" i="1"/>
  <c r="B609" i="1" l="1"/>
  <c r="D609" i="1"/>
  <c r="K609" i="1"/>
  <c r="M609" i="1"/>
  <c r="I609" i="1"/>
  <c r="G609" i="1" s="1"/>
  <c r="E610" i="1" s="1"/>
  <c r="C610" i="1" l="1"/>
  <c r="P610" i="1"/>
  <c r="S610" i="1" s="1"/>
  <c r="N610" i="1"/>
  <c r="Q610" i="1" s="1"/>
  <c r="O610" i="1"/>
  <c r="R610" i="1" s="1"/>
  <c r="J609" i="1"/>
  <c r="H609" i="1"/>
  <c r="L609" i="1"/>
  <c r="F609" i="1" l="1"/>
  <c r="B610" i="1" s="1"/>
  <c r="I610" i="1"/>
  <c r="G610" i="1" s="1"/>
  <c r="E611" i="1" s="1"/>
  <c r="M610" i="1"/>
  <c r="K610" i="1"/>
  <c r="L610" i="1"/>
  <c r="P611" i="1" l="1"/>
  <c r="S611" i="1" s="1"/>
  <c r="O611" i="1"/>
  <c r="R611" i="1" s="1"/>
  <c r="N611" i="1"/>
  <c r="Q611" i="1" s="1"/>
  <c r="C611" i="1"/>
  <c r="J610" i="1"/>
  <c r="H610" i="1"/>
  <c r="D610" i="1"/>
  <c r="F610" i="1" l="1"/>
  <c r="B611" i="1" s="1"/>
  <c r="K611" i="1"/>
  <c r="I611" i="1"/>
  <c r="M611" i="1"/>
  <c r="O612" i="1" l="1"/>
  <c r="R612" i="1" s="1"/>
  <c r="N612" i="1"/>
  <c r="Q612" i="1" s="1"/>
  <c r="P612" i="1"/>
  <c r="S612" i="1" s="1"/>
  <c r="L611" i="1"/>
  <c r="J611" i="1"/>
  <c r="H611" i="1"/>
  <c r="G611" i="1"/>
  <c r="E612" i="1" s="1"/>
  <c r="D611" i="1"/>
  <c r="F611" i="1" l="1"/>
  <c r="B612" i="1" s="1"/>
  <c r="C612" i="1"/>
  <c r="L612" i="1" l="1"/>
  <c r="J612" i="1"/>
  <c r="O613" i="1"/>
  <c r="R613" i="1" s="1"/>
  <c r="N613" i="1"/>
  <c r="Q613" i="1" s="1"/>
  <c r="P613" i="1"/>
  <c r="S613" i="1" s="1"/>
  <c r="H612" i="1"/>
  <c r="F612" i="1" s="1"/>
  <c r="B613" i="1" s="1"/>
  <c r="K612" i="1"/>
  <c r="M612" i="1"/>
  <c r="I612" i="1"/>
  <c r="D612" i="1"/>
  <c r="H613" i="1" l="1"/>
  <c r="J613" i="1"/>
  <c r="D613" i="1"/>
  <c r="L613" i="1"/>
  <c r="G612" i="1"/>
  <c r="E613" i="1" s="1"/>
  <c r="C613" i="1" l="1"/>
  <c r="F613" i="1"/>
  <c r="B614" i="1" s="1"/>
  <c r="D614" i="1" l="1"/>
  <c r="I613" i="1"/>
  <c r="M613" i="1"/>
  <c r="K613" i="1"/>
  <c r="N614" i="1"/>
  <c r="Q614" i="1" s="1"/>
  <c r="H614" i="1" s="1"/>
  <c r="P614" i="1"/>
  <c r="S614" i="1" s="1"/>
  <c r="L614" i="1" s="1"/>
  <c r="O614" i="1"/>
  <c r="R614" i="1" s="1"/>
  <c r="J614" i="1" s="1"/>
  <c r="F614" i="1" l="1"/>
  <c r="D615" i="1" s="1"/>
  <c r="G613" i="1"/>
  <c r="E614" i="1" s="1"/>
  <c r="C614" i="1" l="1"/>
  <c r="B615" i="1"/>
  <c r="M614" i="1" l="1"/>
  <c r="I614" i="1"/>
  <c r="K614" i="1"/>
  <c r="N615" i="1"/>
  <c r="Q615" i="1" s="1"/>
  <c r="P615" i="1"/>
  <c r="S615" i="1" s="1"/>
  <c r="L615" i="1" s="1"/>
  <c r="O615" i="1"/>
  <c r="R615" i="1" s="1"/>
  <c r="J615" i="1" s="1"/>
  <c r="H615" i="1"/>
  <c r="G614" i="1" l="1"/>
  <c r="E615" i="1" s="1"/>
  <c r="F615" i="1"/>
  <c r="D616" i="1" l="1"/>
  <c r="B616" i="1"/>
  <c r="C615" i="1"/>
  <c r="M615" i="1" l="1"/>
  <c r="K615" i="1"/>
  <c r="I615" i="1"/>
  <c r="G615" i="1" s="1"/>
  <c r="E616" i="1" s="1"/>
  <c r="O616" i="1"/>
  <c r="R616" i="1" s="1"/>
  <c r="J616" i="1" s="1"/>
  <c r="P616" i="1"/>
  <c r="S616" i="1" s="1"/>
  <c r="L616" i="1" s="1"/>
  <c r="N616" i="1"/>
  <c r="Q616" i="1" s="1"/>
  <c r="H616" i="1" s="1"/>
  <c r="F616" i="1" s="1"/>
  <c r="D617" i="1" l="1"/>
  <c r="B617" i="1"/>
  <c r="C616" i="1"/>
  <c r="I616" i="1" l="1"/>
  <c r="K616" i="1"/>
  <c r="M616" i="1"/>
  <c r="P617" i="1"/>
  <c r="S617" i="1" s="1"/>
  <c r="L617" i="1" s="1"/>
  <c r="O617" i="1"/>
  <c r="R617" i="1" s="1"/>
  <c r="J617" i="1" s="1"/>
  <c r="N617" i="1"/>
  <c r="Q617" i="1" s="1"/>
  <c r="H617" i="1" s="1"/>
  <c r="G616" i="1" l="1"/>
  <c r="E617" i="1" s="1"/>
  <c r="F617" i="1"/>
  <c r="B618" i="1" s="1"/>
  <c r="C617" i="1"/>
  <c r="K617" i="1" l="1"/>
  <c r="I617" i="1"/>
  <c r="M617" i="1"/>
  <c r="N618" i="1"/>
  <c r="Q618" i="1" s="1"/>
  <c r="H618" i="1" s="1"/>
  <c r="O618" i="1"/>
  <c r="R618" i="1" s="1"/>
  <c r="J618" i="1" s="1"/>
  <c r="P618" i="1"/>
  <c r="S618" i="1" s="1"/>
  <c r="L618" i="1" s="1"/>
  <c r="D618" i="1"/>
  <c r="F618" i="1" l="1"/>
  <c r="B619" i="1" s="1"/>
  <c r="G617" i="1"/>
  <c r="E618" i="1" s="1"/>
  <c r="D619" i="1" l="1"/>
  <c r="C618" i="1"/>
  <c r="K618" i="1" l="1"/>
  <c r="M618" i="1"/>
  <c r="I618" i="1"/>
  <c r="G618" i="1" s="1"/>
  <c r="P619" i="1"/>
  <c r="S619" i="1" s="1"/>
  <c r="L619" i="1" s="1"/>
  <c r="N619" i="1"/>
  <c r="Q619" i="1" s="1"/>
  <c r="H619" i="1" s="1"/>
  <c r="O619" i="1"/>
  <c r="R619" i="1" s="1"/>
  <c r="J619" i="1" s="1"/>
  <c r="C619" i="1" l="1"/>
  <c r="E619" i="1"/>
  <c r="F619" i="1"/>
  <c r="M619" i="1"/>
  <c r="I619" i="1"/>
  <c r="K619" i="1"/>
  <c r="O620" i="1"/>
  <c r="R620" i="1" s="1"/>
  <c r="N620" i="1"/>
  <c r="Q620" i="1" s="1"/>
  <c r="P620" i="1"/>
  <c r="S620" i="1" s="1"/>
  <c r="G619" i="1" l="1"/>
  <c r="E620" i="1" s="1"/>
  <c r="B620" i="1"/>
  <c r="D620" i="1"/>
  <c r="J620" i="1" l="1"/>
  <c r="C620" i="1"/>
  <c r="L620" i="1"/>
  <c r="H620" i="1"/>
  <c r="I620" i="1" l="1"/>
  <c r="K620" i="1"/>
  <c r="M620" i="1"/>
  <c r="O621" i="1"/>
  <c r="R621" i="1" s="1"/>
  <c r="N621" i="1"/>
  <c r="Q621" i="1" s="1"/>
  <c r="P621" i="1"/>
  <c r="S621" i="1" s="1"/>
  <c r="F620" i="1"/>
  <c r="D621" i="1" l="1"/>
  <c r="B621" i="1"/>
  <c r="G620" i="1"/>
  <c r="E621" i="1" s="1"/>
  <c r="L621" i="1" l="1"/>
  <c r="H621" i="1"/>
  <c r="J621" i="1"/>
  <c r="N622" i="1"/>
  <c r="Q622" i="1" s="1"/>
  <c r="P622" i="1"/>
  <c r="S622" i="1" s="1"/>
  <c r="O622" i="1"/>
  <c r="R622" i="1" s="1"/>
  <c r="C621" i="1"/>
  <c r="F621" i="1" l="1"/>
  <c r="M621" i="1"/>
  <c r="K621" i="1"/>
  <c r="I621" i="1"/>
  <c r="G621" i="1" s="1"/>
  <c r="E622" i="1" s="1"/>
  <c r="D622" i="1" l="1"/>
  <c r="B622" i="1"/>
  <c r="C622" i="1"/>
  <c r="H622" i="1" l="1"/>
  <c r="J622" i="1"/>
  <c r="L622" i="1"/>
  <c r="K622" i="1"/>
  <c r="M622" i="1"/>
  <c r="I622" i="1"/>
  <c r="P623" i="1"/>
  <c r="S623" i="1" s="1"/>
  <c r="O623" i="1"/>
  <c r="R623" i="1" s="1"/>
  <c r="N623" i="1"/>
  <c r="Q623" i="1" s="1"/>
  <c r="F622" i="1" l="1"/>
  <c r="G622" i="1"/>
  <c r="E623" i="1" s="1"/>
  <c r="D623" i="1" l="1"/>
  <c r="B623" i="1"/>
  <c r="C623" i="1"/>
  <c r="J623" i="1" l="1"/>
  <c r="H623" i="1"/>
  <c r="L623" i="1"/>
  <c r="I623" i="1"/>
  <c r="K623" i="1"/>
  <c r="M623" i="1"/>
  <c r="P624" i="1"/>
  <c r="S624" i="1" s="1"/>
  <c r="O624" i="1"/>
  <c r="R624" i="1" s="1"/>
  <c r="N624" i="1"/>
  <c r="Q624" i="1" s="1"/>
  <c r="F623" i="1" l="1"/>
  <c r="G623" i="1"/>
  <c r="E624" i="1" s="1"/>
  <c r="D624" i="1" l="1"/>
  <c r="B624" i="1"/>
  <c r="C624" i="1"/>
  <c r="J624" i="1" l="1"/>
  <c r="L624" i="1"/>
  <c r="H624" i="1"/>
  <c r="F624" i="1" s="1"/>
  <c r="B625" i="1"/>
  <c r="D625" i="1"/>
  <c r="K624" i="1"/>
  <c r="I624" i="1"/>
  <c r="M624" i="1"/>
  <c r="O625" i="1"/>
  <c r="R625" i="1" s="1"/>
  <c r="P625" i="1"/>
  <c r="S625" i="1" s="1"/>
  <c r="N625" i="1"/>
  <c r="Q625" i="1" s="1"/>
  <c r="H625" i="1" s="1"/>
  <c r="L625" i="1" l="1"/>
  <c r="J625" i="1"/>
  <c r="F625" i="1" s="1"/>
  <c r="G624" i="1"/>
  <c r="E625" i="1" s="1"/>
  <c r="D626" i="1" l="1"/>
  <c r="B626" i="1"/>
  <c r="C625" i="1"/>
  <c r="I625" i="1" l="1"/>
  <c r="M625" i="1"/>
  <c r="K625" i="1"/>
  <c r="G625" i="1" s="1"/>
  <c r="N626" i="1"/>
  <c r="Q626" i="1" s="1"/>
  <c r="P626" i="1"/>
  <c r="S626" i="1" s="1"/>
  <c r="L626" i="1" s="1"/>
  <c r="O626" i="1"/>
  <c r="R626" i="1" s="1"/>
  <c r="C626" i="1" l="1"/>
  <c r="E626" i="1"/>
  <c r="M626" i="1"/>
  <c r="N627" i="1"/>
  <c r="Q627" i="1" s="1"/>
  <c r="O627" i="1"/>
  <c r="R627" i="1" s="1"/>
  <c r="P627" i="1"/>
  <c r="S627" i="1" s="1"/>
  <c r="K626" i="1"/>
  <c r="J626" i="1"/>
  <c r="I626" i="1"/>
  <c r="H626" i="1"/>
  <c r="F626" i="1" l="1"/>
  <c r="G626" i="1"/>
  <c r="E627" i="1" s="1"/>
  <c r="C627" i="1" l="1"/>
  <c r="D627" i="1"/>
  <c r="B627" i="1"/>
  <c r="J627" i="1" l="1"/>
  <c r="H627" i="1"/>
  <c r="N628" i="1"/>
  <c r="Q628" i="1" s="1"/>
  <c r="P628" i="1"/>
  <c r="S628" i="1" s="1"/>
  <c r="L627" i="1"/>
  <c r="O628" i="1"/>
  <c r="R628" i="1" s="1"/>
  <c r="M627" i="1"/>
  <c r="K627" i="1"/>
  <c r="I627" i="1"/>
  <c r="F627" i="1" l="1"/>
  <c r="G627" i="1"/>
  <c r="E628" i="1" s="1"/>
  <c r="B628" i="1" l="1"/>
  <c r="D628" i="1"/>
  <c r="C628" i="1"/>
  <c r="K628" i="1" l="1"/>
  <c r="I628" i="1"/>
  <c r="M628" i="1"/>
  <c r="J628" i="1"/>
  <c r="L628" i="1"/>
  <c r="P629" i="1"/>
  <c r="S629" i="1" s="1"/>
  <c r="O629" i="1"/>
  <c r="R629" i="1" s="1"/>
  <c r="H628" i="1"/>
  <c r="N629" i="1"/>
  <c r="Q629" i="1" s="1"/>
  <c r="G628" i="1" l="1"/>
  <c r="E629" i="1" s="1"/>
  <c r="F628" i="1"/>
  <c r="D629" i="1" l="1"/>
  <c r="B629" i="1"/>
  <c r="C629" i="1"/>
  <c r="K629" i="1" l="1"/>
  <c r="I629" i="1"/>
  <c r="G629" i="1" s="1"/>
  <c r="E630" i="1" s="1"/>
  <c r="M629" i="1"/>
  <c r="H629" i="1"/>
  <c r="O630" i="1"/>
  <c r="R630" i="1" s="1"/>
  <c r="P630" i="1"/>
  <c r="S630" i="1" s="1"/>
  <c r="L629" i="1"/>
  <c r="N630" i="1"/>
  <c r="Q630" i="1" s="1"/>
  <c r="J629" i="1"/>
  <c r="F629" i="1" l="1"/>
  <c r="B630" i="1" s="1"/>
  <c r="H630" i="1" s="1"/>
  <c r="J630" i="1"/>
  <c r="O631" i="1"/>
  <c r="R631" i="1" s="1"/>
  <c r="N631" i="1"/>
  <c r="Q631" i="1" s="1"/>
  <c r="P631" i="1"/>
  <c r="S631" i="1" s="1"/>
  <c r="C630" i="1"/>
  <c r="L630" i="1" l="1"/>
  <c r="D630" i="1"/>
  <c r="K630" i="1"/>
  <c r="M630" i="1"/>
  <c r="I630" i="1"/>
  <c r="G630" i="1" s="1"/>
  <c r="E631" i="1" s="1"/>
  <c r="F630" i="1"/>
  <c r="B631" i="1" s="1"/>
  <c r="H631" i="1" l="1"/>
  <c r="J631" i="1"/>
  <c r="L631" i="1"/>
  <c r="D631" i="1"/>
  <c r="C631" i="1"/>
  <c r="N632" i="1" s="1"/>
  <c r="Q632" i="1" s="1"/>
  <c r="P632" i="1" l="1"/>
  <c r="S632" i="1" s="1"/>
  <c r="F631" i="1"/>
  <c r="D632" i="1" s="1"/>
  <c r="K631" i="1"/>
  <c r="I631" i="1"/>
  <c r="M631" i="1"/>
  <c r="O632" i="1"/>
  <c r="R632" i="1" s="1"/>
  <c r="G631" i="1" l="1"/>
  <c r="E632" i="1" s="1"/>
  <c r="C632" i="1"/>
  <c r="B632" i="1"/>
  <c r="K632" i="1" l="1"/>
  <c r="M632" i="1"/>
  <c r="I632" i="1"/>
  <c r="G632" i="1" s="1"/>
  <c r="E633" i="1" s="1"/>
  <c r="N633" i="1"/>
  <c r="Q633" i="1" s="1"/>
  <c r="J632" i="1"/>
  <c r="L632" i="1"/>
  <c r="H632" i="1"/>
  <c r="O633" i="1"/>
  <c r="R633" i="1" s="1"/>
  <c r="P633" i="1"/>
  <c r="S633" i="1" s="1"/>
  <c r="C633" i="1" l="1"/>
  <c r="F632" i="1"/>
  <c r="D633" i="1" s="1"/>
  <c r="I633" i="1"/>
  <c r="K633" i="1"/>
  <c r="M633" i="1"/>
  <c r="B633" i="1"/>
  <c r="J633" i="1" l="1"/>
  <c r="H633" i="1"/>
  <c r="L633" i="1"/>
  <c r="N634" i="1"/>
  <c r="Q634" i="1" s="1"/>
  <c r="O634" i="1"/>
  <c r="R634" i="1" s="1"/>
  <c r="P634" i="1"/>
  <c r="S634" i="1" s="1"/>
  <c r="G633" i="1"/>
  <c r="E634" i="1" s="1"/>
  <c r="F633" i="1" l="1"/>
  <c r="D634" i="1" s="1"/>
  <c r="C634" i="1"/>
  <c r="B634" i="1"/>
  <c r="L634" i="1" l="1"/>
  <c r="O635" i="1"/>
  <c r="R635" i="1" s="1"/>
  <c r="P635" i="1"/>
  <c r="S635" i="1" s="1"/>
  <c r="N635" i="1"/>
  <c r="Q635" i="1" s="1"/>
  <c r="J634" i="1"/>
  <c r="H634" i="1"/>
  <c r="M634" i="1"/>
  <c r="I634" i="1"/>
  <c r="K634" i="1"/>
  <c r="F634" i="1" l="1"/>
  <c r="D635" i="1" s="1"/>
  <c r="B635" i="1"/>
  <c r="G634" i="1"/>
  <c r="E635" i="1" s="1"/>
  <c r="C635" i="1" l="1"/>
  <c r="N636" i="1" s="1"/>
  <c r="Q636" i="1" s="1"/>
  <c r="J635" i="1"/>
  <c r="L635" i="1"/>
  <c r="H635" i="1"/>
  <c r="M635" i="1" l="1"/>
  <c r="I635" i="1"/>
  <c r="K635" i="1"/>
  <c r="O636" i="1"/>
  <c r="R636" i="1" s="1"/>
  <c r="P636" i="1"/>
  <c r="S636" i="1" s="1"/>
  <c r="F635" i="1"/>
  <c r="G635" i="1" l="1"/>
  <c r="E636" i="1" s="1"/>
  <c r="D636" i="1"/>
  <c r="B636" i="1"/>
  <c r="J636" i="1" s="1"/>
  <c r="H636" i="1" l="1"/>
  <c r="C636" i="1"/>
  <c r="N637" i="1" s="1"/>
  <c r="Q637" i="1" s="1"/>
  <c r="L636" i="1"/>
  <c r="F636" i="1" l="1"/>
  <c r="D637" i="1" s="1"/>
  <c r="I636" i="1"/>
  <c r="G636" i="1" s="1"/>
  <c r="K636" i="1"/>
  <c r="M636" i="1"/>
  <c r="P637" i="1"/>
  <c r="S637" i="1" s="1"/>
  <c r="L637" i="1" s="1"/>
  <c r="O637" i="1"/>
  <c r="R637" i="1" s="1"/>
  <c r="J637" i="1" s="1"/>
  <c r="B637" i="1"/>
  <c r="C637" i="1" l="1"/>
  <c r="E637" i="1"/>
  <c r="K637" i="1"/>
  <c r="M637" i="1"/>
  <c r="I637" i="1"/>
  <c r="G637" i="1" s="1"/>
  <c r="C638" i="1" s="1"/>
  <c r="B638" i="1"/>
  <c r="N638" i="1"/>
  <c r="Q638" i="1" s="1"/>
  <c r="P638" i="1"/>
  <c r="S638" i="1" s="1"/>
  <c r="O638" i="1"/>
  <c r="R638" i="1" s="1"/>
  <c r="H637" i="1"/>
  <c r="F637" i="1" s="1"/>
  <c r="D638" i="1" s="1"/>
  <c r="E638" i="1" l="1"/>
  <c r="L638" i="1"/>
  <c r="M638" i="1"/>
  <c r="I638" i="1"/>
  <c r="K638" i="1"/>
  <c r="H638" i="1"/>
  <c r="F638" i="1" s="1"/>
  <c r="B639" i="1" s="1"/>
  <c r="P639" i="1"/>
  <c r="S639" i="1" s="1"/>
  <c r="N639" i="1"/>
  <c r="Q639" i="1" s="1"/>
  <c r="O639" i="1"/>
  <c r="R639" i="1" s="1"/>
  <c r="J638" i="1"/>
  <c r="J639" i="1" l="1"/>
  <c r="H639" i="1"/>
  <c r="F639" i="1" s="1"/>
  <c r="L639" i="1"/>
  <c r="D639" i="1"/>
  <c r="D640" i="1" s="1"/>
  <c r="G638" i="1"/>
  <c r="E639" i="1" s="1"/>
  <c r="C639" i="1" l="1"/>
  <c r="B640" i="1"/>
  <c r="I639" i="1" l="1"/>
  <c r="M639" i="1"/>
  <c r="K639" i="1"/>
  <c r="N640" i="1"/>
  <c r="Q640" i="1" s="1"/>
  <c r="P640" i="1"/>
  <c r="S640" i="1" s="1"/>
  <c r="L640" i="1" s="1"/>
  <c r="O640" i="1"/>
  <c r="R640" i="1" s="1"/>
  <c r="J640" i="1" s="1"/>
  <c r="H640" i="1"/>
  <c r="F640" i="1" l="1"/>
  <c r="G639" i="1"/>
  <c r="E640" i="1" s="1"/>
  <c r="C640" i="1" l="1"/>
  <c r="D641" i="1"/>
  <c r="B641" i="1"/>
  <c r="I640" i="1" l="1"/>
  <c r="O641" i="1"/>
  <c r="R641" i="1" s="1"/>
  <c r="M640" i="1"/>
  <c r="P641" i="1"/>
  <c r="S641" i="1" s="1"/>
  <c r="L641" i="1" s="1"/>
  <c r="N641" i="1"/>
  <c r="Q641" i="1" s="1"/>
  <c r="H641" i="1" s="1"/>
  <c r="K640" i="1"/>
  <c r="J641" i="1"/>
  <c r="F641" i="1" l="1"/>
  <c r="B642" i="1" s="1"/>
  <c r="G640" i="1"/>
  <c r="E641" i="1" s="1"/>
  <c r="D642" i="1"/>
  <c r="C641" i="1" l="1"/>
  <c r="O642" i="1" l="1"/>
  <c r="R642" i="1" s="1"/>
  <c r="J642" i="1" s="1"/>
  <c r="N642" i="1"/>
  <c r="Q642" i="1" s="1"/>
  <c r="H642" i="1" s="1"/>
  <c r="P642" i="1"/>
  <c r="S642" i="1" s="1"/>
  <c r="L642" i="1" s="1"/>
  <c r="I641" i="1"/>
  <c r="K641" i="1"/>
  <c r="M641" i="1"/>
  <c r="G641" i="1" l="1"/>
  <c r="E642" i="1" s="1"/>
  <c r="F642" i="1"/>
  <c r="D643" i="1" l="1"/>
  <c r="B643" i="1"/>
  <c r="C642" i="1"/>
  <c r="P643" i="1" l="1"/>
  <c r="S643" i="1" s="1"/>
  <c r="L643" i="1" s="1"/>
  <c r="I642" i="1"/>
  <c r="K642" i="1"/>
  <c r="M642" i="1"/>
  <c r="N643" i="1"/>
  <c r="Q643" i="1" s="1"/>
  <c r="H643" i="1" s="1"/>
  <c r="F643" i="1" s="1"/>
  <c r="O643" i="1"/>
  <c r="R643" i="1" s="1"/>
  <c r="J643" i="1" s="1"/>
  <c r="G642" i="1" l="1"/>
  <c r="D644" i="1"/>
  <c r="B644" i="1"/>
  <c r="E643" i="1" l="1"/>
  <c r="C643" i="1"/>
  <c r="P644" i="1" l="1"/>
  <c r="S644" i="1" s="1"/>
  <c r="L644" i="1" s="1"/>
  <c r="I643" i="1"/>
  <c r="K643" i="1"/>
  <c r="M643" i="1"/>
  <c r="O644" i="1"/>
  <c r="R644" i="1" s="1"/>
  <c r="J644" i="1" s="1"/>
  <c r="N644" i="1"/>
  <c r="Q644" i="1" s="1"/>
  <c r="H644" i="1" s="1"/>
  <c r="F644" i="1" s="1"/>
  <c r="D645" i="1" l="1"/>
  <c r="B645" i="1"/>
  <c r="G643" i="1"/>
  <c r="E644" i="1" l="1"/>
  <c r="C644" i="1"/>
  <c r="O645" i="1" l="1"/>
  <c r="R645" i="1" s="1"/>
  <c r="J645" i="1" s="1"/>
  <c r="M644" i="1"/>
  <c r="K644" i="1"/>
  <c r="N645" i="1"/>
  <c r="Q645" i="1" s="1"/>
  <c r="H645" i="1" s="1"/>
  <c r="F645" i="1" s="1"/>
  <c r="B646" i="1" s="1"/>
  <c r="I644" i="1"/>
  <c r="G644" i="1" s="1"/>
  <c r="C645" i="1" s="1"/>
  <c r="P645" i="1"/>
  <c r="S645" i="1" s="1"/>
  <c r="L645" i="1" s="1"/>
  <c r="D646" i="1" l="1"/>
  <c r="E645" i="1"/>
  <c r="P646" i="1"/>
  <c r="S646" i="1" s="1"/>
  <c r="L646" i="1" s="1"/>
  <c r="K645" i="1"/>
  <c r="M645" i="1"/>
  <c r="N646" i="1"/>
  <c r="Q646" i="1" s="1"/>
  <c r="H646" i="1" s="1"/>
  <c r="I645" i="1"/>
  <c r="G645" i="1" s="1"/>
  <c r="O646" i="1"/>
  <c r="R646" i="1" s="1"/>
  <c r="J646" i="1" s="1"/>
  <c r="E646" i="1" l="1"/>
  <c r="C646" i="1"/>
  <c r="F646" i="1"/>
  <c r="B647" i="1" l="1"/>
  <c r="D647" i="1"/>
  <c r="I646" i="1"/>
  <c r="N647" i="1"/>
  <c r="Q647" i="1" s="1"/>
  <c r="H647" i="1" s="1"/>
  <c r="K646" i="1"/>
  <c r="M646" i="1"/>
  <c r="P647" i="1"/>
  <c r="S647" i="1" s="1"/>
  <c r="L647" i="1" s="1"/>
  <c r="O647" i="1"/>
  <c r="R647" i="1" s="1"/>
  <c r="J647" i="1" s="1"/>
  <c r="F647" i="1" l="1"/>
  <c r="D648" i="1"/>
  <c r="G646" i="1"/>
  <c r="E647" i="1" s="1"/>
  <c r="B648" i="1"/>
  <c r="C647" i="1" l="1"/>
  <c r="I647" i="1" l="1"/>
  <c r="K647" i="1"/>
  <c r="M647" i="1"/>
  <c r="N648" i="1"/>
  <c r="Q648" i="1" s="1"/>
  <c r="H648" i="1" s="1"/>
  <c r="P648" i="1"/>
  <c r="S648" i="1" s="1"/>
  <c r="L648" i="1" s="1"/>
  <c r="O648" i="1"/>
  <c r="R648" i="1" s="1"/>
  <c r="J648" i="1" s="1"/>
  <c r="F648" i="1" l="1"/>
  <c r="D649" i="1"/>
  <c r="B649" i="1"/>
  <c r="G647" i="1"/>
  <c r="E648" i="1" s="1"/>
  <c r="C648" i="1" l="1"/>
  <c r="M648" i="1" l="1"/>
  <c r="P649" i="1"/>
  <c r="S649" i="1" s="1"/>
  <c r="L649" i="1" s="1"/>
  <c r="K648" i="1"/>
  <c r="N649" i="1"/>
  <c r="Q649" i="1" s="1"/>
  <c r="H649" i="1" s="1"/>
  <c r="O649" i="1"/>
  <c r="R649" i="1" s="1"/>
  <c r="J649" i="1" s="1"/>
  <c r="I648" i="1"/>
  <c r="G648" i="1" s="1"/>
  <c r="C649" i="1" l="1"/>
  <c r="K649" i="1" s="1"/>
  <c r="E649" i="1"/>
  <c r="F649" i="1"/>
  <c r="N650" i="1"/>
  <c r="Q650" i="1" s="1"/>
  <c r="P650" i="1"/>
  <c r="S650" i="1" s="1"/>
  <c r="D650" i="1"/>
  <c r="B650" i="1"/>
  <c r="O650" i="1"/>
  <c r="R650" i="1" s="1"/>
  <c r="J650" i="1" s="1"/>
  <c r="I649" i="1"/>
  <c r="M649" i="1"/>
  <c r="G649" i="1" l="1"/>
  <c r="E650" i="1" s="1"/>
  <c r="L650" i="1"/>
  <c r="H650" i="1"/>
  <c r="F650" i="1" s="1"/>
  <c r="D651" i="1" s="1"/>
  <c r="C650" i="1"/>
  <c r="B651" i="1" l="1"/>
  <c r="I650" i="1"/>
  <c r="K650" i="1"/>
  <c r="M650" i="1"/>
  <c r="P651" i="1"/>
  <c r="S651" i="1" s="1"/>
  <c r="L651" i="1" s="1"/>
  <c r="N651" i="1"/>
  <c r="Q651" i="1" s="1"/>
  <c r="H651" i="1" s="1"/>
  <c r="O651" i="1"/>
  <c r="R651" i="1" s="1"/>
  <c r="J651" i="1" s="1"/>
  <c r="F651" i="1" l="1"/>
  <c r="G650" i="1"/>
  <c r="E651" i="1" s="1"/>
  <c r="D652" i="1"/>
  <c r="B652" i="1"/>
  <c r="C651" i="1" l="1"/>
  <c r="I651" i="1"/>
  <c r="K651" i="1"/>
  <c r="M651" i="1"/>
  <c r="N652" i="1"/>
  <c r="Q652" i="1" s="1"/>
  <c r="H652" i="1" s="1"/>
  <c r="P652" i="1"/>
  <c r="S652" i="1" s="1"/>
  <c r="L652" i="1" s="1"/>
  <c r="O652" i="1"/>
  <c r="R652" i="1" s="1"/>
  <c r="J652" i="1" s="1"/>
  <c r="F652" i="1" l="1"/>
  <c r="G651" i="1"/>
  <c r="E652" i="1" s="1"/>
  <c r="D653" i="1"/>
  <c r="C652" i="1" l="1"/>
  <c r="B653" i="1"/>
  <c r="I652" i="1" l="1"/>
  <c r="M652" i="1"/>
  <c r="K652" i="1"/>
  <c r="O653" i="1"/>
  <c r="R653" i="1" s="1"/>
  <c r="J653" i="1" s="1"/>
  <c r="N653" i="1"/>
  <c r="Q653" i="1" s="1"/>
  <c r="H653" i="1" s="1"/>
  <c r="P653" i="1"/>
  <c r="S653" i="1" s="1"/>
  <c r="L653" i="1" s="1"/>
  <c r="F653" i="1" l="1"/>
  <c r="G652" i="1"/>
  <c r="E653" i="1" s="1"/>
  <c r="D654" i="1"/>
  <c r="C653" i="1" l="1"/>
  <c r="B654" i="1"/>
  <c r="I653" i="1" l="1"/>
  <c r="M653" i="1"/>
  <c r="K653" i="1"/>
  <c r="P654" i="1"/>
  <c r="S654" i="1" s="1"/>
  <c r="L654" i="1" s="1"/>
  <c r="O654" i="1"/>
  <c r="R654" i="1" s="1"/>
  <c r="J654" i="1" s="1"/>
  <c r="N654" i="1"/>
  <c r="Q654" i="1" s="1"/>
  <c r="H654" i="1" s="1"/>
  <c r="F654" i="1" s="1"/>
  <c r="G653" i="1" l="1"/>
  <c r="E654" i="1" s="1"/>
  <c r="D655" i="1"/>
  <c r="B655" i="1" l="1"/>
  <c r="C654" i="1"/>
  <c r="K654" i="1" l="1"/>
  <c r="I654" i="1"/>
  <c r="M654" i="1"/>
  <c r="N655" i="1"/>
  <c r="Q655" i="1" s="1"/>
  <c r="H655" i="1" s="1"/>
  <c r="P655" i="1"/>
  <c r="S655" i="1" s="1"/>
  <c r="L655" i="1" s="1"/>
  <c r="O655" i="1"/>
  <c r="R655" i="1" s="1"/>
  <c r="J655" i="1" s="1"/>
  <c r="F655" i="1" l="1"/>
  <c r="G654" i="1"/>
  <c r="E655" i="1" s="1"/>
  <c r="D656" i="1"/>
  <c r="C655" i="1" l="1"/>
  <c r="B656" i="1"/>
  <c r="K655" i="1" l="1"/>
  <c r="I655" i="1"/>
  <c r="O656" i="1"/>
  <c r="R656" i="1" s="1"/>
  <c r="N656" i="1"/>
  <c r="Q656" i="1" s="1"/>
  <c r="H656" i="1" s="1"/>
  <c r="M655" i="1"/>
  <c r="P656" i="1"/>
  <c r="S656" i="1" s="1"/>
  <c r="L656" i="1" s="1"/>
  <c r="J656" i="1"/>
  <c r="F656" i="1" l="1"/>
  <c r="G655" i="1"/>
  <c r="E656" i="1" s="1"/>
  <c r="D657" i="1"/>
  <c r="C656" i="1" l="1"/>
  <c r="B657" i="1"/>
  <c r="I656" i="1" l="1"/>
  <c r="M656" i="1"/>
  <c r="K656" i="1"/>
  <c r="N657" i="1"/>
  <c r="Q657" i="1" s="1"/>
  <c r="H657" i="1" s="1"/>
  <c r="P657" i="1"/>
  <c r="S657" i="1" s="1"/>
  <c r="L657" i="1" s="1"/>
  <c r="O657" i="1"/>
  <c r="R657" i="1" s="1"/>
  <c r="J657" i="1" s="1"/>
  <c r="F657" i="1" l="1"/>
  <c r="G656" i="1"/>
  <c r="E657" i="1" s="1"/>
  <c r="D658" i="1"/>
  <c r="C657" i="1" l="1"/>
  <c r="B658" i="1"/>
  <c r="I657" i="1" l="1"/>
  <c r="K657" i="1"/>
  <c r="M657" i="1"/>
  <c r="P658" i="1"/>
  <c r="S658" i="1" s="1"/>
  <c r="L658" i="1" s="1"/>
  <c r="N658" i="1"/>
  <c r="Q658" i="1" s="1"/>
  <c r="H658" i="1" s="1"/>
  <c r="O658" i="1"/>
  <c r="R658" i="1" s="1"/>
  <c r="J658" i="1" s="1"/>
  <c r="F658" i="1" l="1"/>
  <c r="G657" i="1"/>
  <c r="E658" i="1" s="1"/>
  <c r="D659" i="1"/>
  <c r="C658" i="1" l="1"/>
  <c r="B659" i="1"/>
  <c r="M658" i="1" l="1"/>
  <c r="I658" i="1"/>
  <c r="K658" i="1"/>
  <c r="N659" i="1"/>
  <c r="Q659" i="1" s="1"/>
  <c r="P659" i="1"/>
  <c r="S659" i="1" s="1"/>
  <c r="L659" i="1" s="1"/>
  <c r="O659" i="1"/>
  <c r="R659" i="1" s="1"/>
  <c r="G658" i="1" l="1"/>
  <c r="E659" i="1" s="1"/>
  <c r="J659" i="1"/>
  <c r="H659" i="1"/>
  <c r="F659" i="1" s="1"/>
  <c r="D660" i="1" l="1"/>
  <c r="C659" i="1"/>
  <c r="B660" i="1"/>
  <c r="P660" i="1" l="1"/>
  <c r="S660" i="1" s="1"/>
  <c r="L660" i="1" s="1"/>
  <c r="K659" i="1"/>
  <c r="I659" i="1"/>
  <c r="M659" i="1"/>
  <c r="N660" i="1"/>
  <c r="Q660" i="1" s="1"/>
  <c r="H660" i="1" s="1"/>
  <c r="O660" i="1"/>
  <c r="R660" i="1" s="1"/>
  <c r="J660" i="1" s="1"/>
  <c r="F660" i="1" l="1"/>
  <c r="G659" i="1"/>
  <c r="E660" i="1" s="1"/>
  <c r="D661" i="1"/>
  <c r="C660" i="1" l="1"/>
  <c r="B661" i="1"/>
  <c r="I660" i="1" l="1"/>
  <c r="M660" i="1"/>
  <c r="K660" i="1"/>
  <c r="N661" i="1"/>
  <c r="Q661" i="1" s="1"/>
  <c r="H661" i="1" s="1"/>
  <c r="O661" i="1"/>
  <c r="R661" i="1" s="1"/>
  <c r="J661" i="1" s="1"/>
  <c r="P661" i="1"/>
  <c r="S661" i="1" s="1"/>
  <c r="L661" i="1" s="1"/>
  <c r="F661" i="1" l="1"/>
  <c r="G660" i="1"/>
  <c r="E661" i="1" s="1"/>
  <c r="B662" i="1"/>
  <c r="D662" i="1"/>
  <c r="C661" i="1" l="1"/>
  <c r="I661" i="1" l="1"/>
  <c r="K661" i="1"/>
  <c r="M661" i="1"/>
  <c r="P662" i="1"/>
  <c r="S662" i="1" s="1"/>
  <c r="N662" i="1"/>
  <c r="Q662" i="1" s="1"/>
  <c r="O662" i="1"/>
  <c r="R662" i="1" s="1"/>
  <c r="J662" i="1" l="1"/>
  <c r="H662" i="1"/>
  <c r="L662" i="1"/>
  <c r="G661" i="1"/>
  <c r="E662" i="1" s="1"/>
  <c r="F662" i="1" l="1"/>
  <c r="C662" i="1"/>
  <c r="D663" i="1" l="1"/>
  <c r="B663" i="1"/>
  <c r="N663" i="1"/>
  <c r="Q663" i="1" s="1"/>
  <c r="O663" i="1"/>
  <c r="R663" i="1" s="1"/>
  <c r="P663" i="1"/>
  <c r="S663" i="1" s="1"/>
  <c r="K662" i="1"/>
  <c r="I662" i="1"/>
  <c r="M662" i="1"/>
  <c r="G662" i="1" l="1"/>
  <c r="E663" i="1" s="1"/>
  <c r="C663" i="1"/>
  <c r="L663" i="1"/>
  <c r="N664" i="1"/>
  <c r="Q664" i="1" s="1"/>
  <c r="J663" i="1"/>
  <c r="H663" i="1"/>
  <c r="O664" i="1"/>
  <c r="R664" i="1" s="1"/>
  <c r="P664" i="1"/>
  <c r="S664" i="1" s="1"/>
  <c r="F663" i="1" l="1"/>
  <c r="D664" i="1" s="1"/>
  <c r="I663" i="1"/>
  <c r="M663" i="1"/>
  <c r="K663" i="1"/>
  <c r="B664" i="1"/>
  <c r="L664" i="1" l="1"/>
  <c r="H664" i="1"/>
  <c r="J664" i="1"/>
  <c r="G663" i="1"/>
  <c r="E664" i="1" s="1"/>
  <c r="F664" i="1" l="1"/>
  <c r="C664" i="1"/>
  <c r="D665" i="1" l="1"/>
  <c r="B665" i="1"/>
  <c r="M664" i="1"/>
  <c r="K664" i="1"/>
  <c r="I664" i="1"/>
  <c r="G664" i="1" s="1"/>
  <c r="E665" i="1" s="1"/>
  <c r="N665" i="1"/>
  <c r="Q665" i="1" s="1"/>
  <c r="H665" i="1" s="1"/>
  <c r="O665" i="1"/>
  <c r="R665" i="1" s="1"/>
  <c r="J665" i="1" s="1"/>
  <c r="P665" i="1"/>
  <c r="S665" i="1" s="1"/>
  <c r="L665" i="1" s="1"/>
  <c r="F665" i="1" l="1"/>
  <c r="C665" i="1"/>
  <c r="B666" i="1"/>
  <c r="N666" i="1"/>
  <c r="Q666" i="1" s="1"/>
  <c r="H666" i="1" s="1"/>
  <c r="F666" i="1" s="1"/>
  <c r="O666" i="1"/>
  <c r="R666" i="1" s="1"/>
  <c r="J666" i="1" s="1"/>
  <c r="P666" i="1"/>
  <c r="S666" i="1" s="1"/>
  <c r="L666" i="1" s="1"/>
  <c r="D666" i="1"/>
  <c r="D667" i="1" l="1"/>
  <c r="B667" i="1"/>
  <c r="M665" i="1"/>
  <c r="I665" i="1"/>
  <c r="G665" i="1" s="1"/>
  <c r="E666" i="1" s="1"/>
  <c r="K665" i="1"/>
  <c r="C666" i="1" l="1"/>
  <c r="M666" i="1" l="1"/>
  <c r="N667" i="1"/>
  <c r="Q667" i="1" s="1"/>
  <c r="H667" i="1" s="1"/>
  <c r="I666" i="1"/>
  <c r="K666" i="1"/>
  <c r="O667" i="1"/>
  <c r="R667" i="1" s="1"/>
  <c r="J667" i="1" s="1"/>
  <c r="P667" i="1"/>
  <c r="S667" i="1" s="1"/>
  <c r="L667" i="1" s="1"/>
  <c r="G666" i="1" l="1"/>
  <c r="E667" i="1" s="1"/>
  <c r="F667" i="1"/>
  <c r="C667" i="1"/>
  <c r="D668" i="1" l="1"/>
  <c r="B668" i="1"/>
  <c r="M667" i="1"/>
  <c r="P668" i="1"/>
  <c r="S668" i="1" s="1"/>
  <c r="L668" i="1" s="1"/>
  <c r="I667" i="1"/>
  <c r="O668" i="1"/>
  <c r="R668" i="1" s="1"/>
  <c r="J668" i="1" s="1"/>
  <c r="K667" i="1"/>
  <c r="N668" i="1"/>
  <c r="Q668" i="1" s="1"/>
  <c r="H668" i="1" s="1"/>
  <c r="F668" i="1" l="1"/>
  <c r="D669" i="1" s="1"/>
  <c r="B669" i="1"/>
  <c r="G667" i="1"/>
  <c r="E668" i="1" s="1"/>
  <c r="C668" i="1" l="1"/>
  <c r="N669" i="1" l="1"/>
  <c r="Q669" i="1" s="1"/>
  <c r="H669" i="1" s="1"/>
  <c r="P669" i="1"/>
  <c r="S669" i="1" s="1"/>
  <c r="L669" i="1" s="1"/>
  <c r="M668" i="1"/>
  <c r="K668" i="1"/>
  <c r="I668" i="1"/>
  <c r="O669" i="1"/>
  <c r="R669" i="1" s="1"/>
  <c r="J669" i="1" s="1"/>
  <c r="F669" i="1" l="1"/>
  <c r="G668" i="1"/>
  <c r="E669" i="1" s="1"/>
  <c r="B670" i="1" l="1"/>
  <c r="D670" i="1"/>
  <c r="C669" i="1"/>
  <c r="N670" i="1" l="1"/>
  <c r="Q670" i="1" s="1"/>
  <c r="M669" i="1"/>
  <c r="O670" i="1"/>
  <c r="R670" i="1" s="1"/>
  <c r="J670" i="1" s="1"/>
  <c r="P670" i="1"/>
  <c r="S670" i="1" s="1"/>
  <c r="I669" i="1"/>
  <c r="K669" i="1"/>
  <c r="L670" i="1"/>
  <c r="H670" i="1"/>
  <c r="F670" i="1" l="1"/>
  <c r="G669" i="1"/>
  <c r="E670" i="1" s="1"/>
  <c r="D671" i="1" l="1"/>
  <c r="B671" i="1"/>
  <c r="C670" i="1"/>
  <c r="I670" i="1" l="1"/>
  <c r="N671" i="1"/>
  <c r="Q671" i="1" s="1"/>
  <c r="M670" i="1"/>
  <c r="K670" i="1"/>
  <c r="P671" i="1"/>
  <c r="S671" i="1" s="1"/>
  <c r="L671" i="1" s="1"/>
  <c r="O671" i="1"/>
  <c r="R671" i="1" s="1"/>
  <c r="J671" i="1" s="1"/>
  <c r="H671" i="1"/>
  <c r="F671" i="1" l="1"/>
  <c r="G670" i="1"/>
  <c r="C671" i="1" l="1"/>
  <c r="E671" i="1"/>
  <c r="K671" i="1"/>
  <c r="M671" i="1"/>
  <c r="I671" i="1"/>
  <c r="G671" i="1" s="1"/>
  <c r="C672" i="1" s="1"/>
  <c r="N672" i="1"/>
  <c r="Q672" i="1" s="1"/>
  <c r="O672" i="1"/>
  <c r="R672" i="1" s="1"/>
  <c r="P672" i="1"/>
  <c r="S672" i="1" s="1"/>
  <c r="B672" i="1"/>
  <c r="D672" i="1"/>
  <c r="E672" i="1" l="1"/>
  <c r="I672" i="1"/>
  <c r="M672" i="1"/>
  <c r="K672" i="1"/>
  <c r="H672" i="1"/>
  <c r="N673" i="1"/>
  <c r="Q673" i="1" s="1"/>
  <c r="O673" i="1"/>
  <c r="R673" i="1" s="1"/>
  <c r="P673" i="1"/>
  <c r="S673" i="1" s="1"/>
  <c r="J672" i="1"/>
  <c r="L672" i="1"/>
  <c r="F672" i="1" l="1"/>
  <c r="G672" i="1"/>
  <c r="E673" i="1" s="1"/>
  <c r="C673" i="1" l="1"/>
  <c r="D673" i="1"/>
  <c r="B673" i="1"/>
  <c r="M673" i="1" l="1"/>
  <c r="I673" i="1"/>
  <c r="K673" i="1"/>
  <c r="J673" i="1"/>
  <c r="L673" i="1"/>
  <c r="H673" i="1"/>
  <c r="N674" i="1"/>
  <c r="Q674" i="1" s="1"/>
  <c r="O674" i="1"/>
  <c r="R674" i="1" s="1"/>
  <c r="P674" i="1"/>
  <c r="S674" i="1" s="1"/>
  <c r="F673" i="1" l="1"/>
  <c r="B674" i="1" s="1"/>
  <c r="D674" i="1"/>
  <c r="G673" i="1"/>
  <c r="E674" i="1" s="1"/>
  <c r="H674" i="1" l="1"/>
  <c r="L674" i="1"/>
  <c r="J674" i="1"/>
  <c r="C674" i="1"/>
  <c r="F674" i="1" l="1"/>
  <c r="D675" i="1" s="1"/>
  <c r="B675" i="1"/>
  <c r="I674" i="1"/>
  <c r="K674" i="1"/>
  <c r="M674" i="1"/>
  <c r="N675" i="1"/>
  <c r="Q675" i="1" s="1"/>
  <c r="O675" i="1"/>
  <c r="R675" i="1" s="1"/>
  <c r="J675" i="1" s="1"/>
  <c r="P675" i="1"/>
  <c r="S675" i="1" s="1"/>
  <c r="L675" i="1" s="1"/>
  <c r="G674" i="1" l="1"/>
  <c r="E675" i="1" s="1"/>
  <c r="H675" i="1"/>
  <c r="F675" i="1" l="1"/>
  <c r="D676" i="1" s="1"/>
  <c r="C675" i="1"/>
  <c r="B676" i="1" l="1"/>
  <c r="I675" i="1"/>
  <c r="M675" i="1"/>
  <c r="K675" i="1"/>
  <c r="N676" i="1"/>
  <c r="Q676" i="1" s="1"/>
  <c r="H676" i="1" s="1"/>
  <c r="F676" i="1" s="1"/>
  <c r="O676" i="1"/>
  <c r="R676" i="1" s="1"/>
  <c r="J676" i="1" s="1"/>
  <c r="P676" i="1"/>
  <c r="S676" i="1" s="1"/>
  <c r="L676" i="1" s="1"/>
  <c r="G675" i="1" l="1"/>
  <c r="E676" i="1" s="1"/>
  <c r="C676" i="1"/>
  <c r="D677" i="1" l="1"/>
  <c r="B677" i="1"/>
  <c r="M676" i="1"/>
  <c r="O677" i="1"/>
  <c r="R677" i="1" s="1"/>
  <c r="J677" i="1" s="1"/>
  <c r="P677" i="1"/>
  <c r="S677" i="1" s="1"/>
  <c r="L677" i="1" s="1"/>
  <c r="K676" i="1"/>
  <c r="I676" i="1"/>
  <c r="G676" i="1" s="1"/>
  <c r="E677" i="1" s="1"/>
  <c r="N677" i="1"/>
  <c r="Q677" i="1" s="1"/>
  <c r="C677" i="1" l="1"/>
  <c r="H677" i="1"/>
  <c r="F677" i="1" s="1"/>
  <c r="N678" i="1"/>
  <c r="Q678" i="1" s="1"/>
  <c r="D678" i="1" l="1"/>
  <c r="B678" i="1"/>
  <c r="P678" i="1"/>
  <c r="S678" i="1" s="1"/>
  <c r="L678" i="1" s="1"/>
  <c r="O678" i="1"/>
  <c r="R678" i="1" s="1"/>
  <c r="I677" i="1"/>
  <c r="M677" i="1"/>
  <c r="K677" i="1"/>
  <c r="G677" i="1" l="1"/>
  <c r="E678" i="1" s="1"/>
  <c r="H678" i="1"/>
  <c r="J678" i="1"/>
  <c r="F678" i="1" l="1"/>
  <c r="B679" i="1" s="1"/>
  <c r="D679" i="1"/>
  <c r="C678" i="1"/>
  <c r="N679" i="1" l="1"/>
  <c r="Q679" i="1" s="1"/>
  <c r="M678" i="1"/>
  <c r="P679" i="1"/>
  <c r="S679" i="1" s="1"/>
  <c r="L679" i="1" s="1"/>
  <c r="O679" i="1"/>
  <c r="R679" i="1" s="1"/>
  <c r="J679" i="1" s="1"/>
  <c r="K678" i="1"/>
  <c r="I678" i="1"/>
  <c r="G678" i="1" s="1"/>
  <c r="E679" i="1" s="1"/>
  <c r="H679" i="1"/>
  <c r="C679" i="1"/>
  <c r="N680" i="1" s="1"/>
  <c r="Q680" i="1" s="1"/>
  <c r="F679" i="1" l="1"/>
  <c r="B680" i="1" s="1"/>
  <c r="H680" i="1" s="1"/>
  <c r="P680" i="1"/>
  <c r="S680" i="1" s="1"/>
  <c r="O680" i="1"/>
  <c r="R680" i="1" s="1"/>
  <c r="K679" i="1"/>
  <c r="I679" i="1"/>
  <c r="M679" i="1"/>
  <c r="J680" i="1" l="1"/>
  <c r="L680" i="1"/>
  <c r="D680" i="1"/>
  <c r="G679" i="1"/>
  <c r="E680" i="1" s="1"/>
  <c r="F680" i="1"/>
  <c r="B681" i="1"/>
  <c r="D681" i="1" l="1"/>
  <c r="C680" i="1"/>
  <c r="P681" i="1"/>
  <c r="S681" i="1" s="1"/>
  <c r="L681" i="1" s="1"/>
  <c r="O681" i="1"/>
  <c r="R681" i="1" s="1"/>
  <c r="J681" i="1" s="1"/>
  <c r="N681" i="1" l="1"/>
  <c r="Q681" i="1" s="1"/>
  <c r="H681" i="1" s="1"/>
  <c r="F681" i="1" s="1"/>
  <c r="I680" i="1"/>
  <c r="M680" i="1"/>
  <c r="K680" i="1"/>
  <c r="D682" i="1"/>
  <c r="G680" i="1" l="1"/>
  <c r="E681" i="1" s="1"/>
  <c r="B682" i="1"/>
  <c r="C681" i="1" l="1"/>
  <c r="N682" i="1" l="1"/>
  <c r="Q682" i="1" s="1"/>
  <c r="H682" i="1" s="1"/>
  <c r="P682" i="1"/>
  <c r="S682" i="1" s="1"/>
  <c r="L682" i="1" s="1"/>
  <c r="I681" i="1"/>
  <c r="M681" i="1"/>
  <c r="O682" i="1"/>
  <c r="R682" i="1" s="1"/>
  <c r="J682" i="1" s="1"/>
  <c r="K681" i="1"/>
  <c r="F682" i="1" l="1"/>
  <c r="G681" i="1"/>
  <c r="E682" i="1" s="1"/>
  <c r="D683" i="1"/>
  <c r="B683" i="1" l="1"/>
  <c r="C682" i="1"/>
  <c r="N683" i="1" l="1"/>
  <c r="Q683" i="1" s="1"/>
  <c r="H683" i="1" s="1"/>
  <c r="P683" i="1"/>
  <c r="S683" i="1" s="1"/>
  <c r="L683" i="1" s="1"/>
  <c r="O683" i="1"/>
  <c r="R683" i="1" s="1"/>
  <c r="J683" i="1" s="1"/>
  <c r="K682" i="1"/>
  <c r="I682" i="1"/>
  <c r="M682" i="1"/>
  <c r="G682" i="1" l="1"/>
  <c r="E683" i="1" s="1"/>
  <c r="F683" i="1"/>
  <c r="D684" i="1" s="1"/>
  <c r="C683" i="1" l="1"/>
  <c r="B684" i="1"/>
  <c r="I683" i="1" l="1"/>
  <c r="M683" i="1"/>
  <c r="K683" i="1"/>
  <c r="P684" i="1"/>
  <c r="S684" i="1" s="1"/>
  <c r="L684" i="1" s="1"/>
  <c r="O684" i="1"/>
  <c r="R684" i="1" s="1"/>
  <c r="J684" i="1" s="1"/>
  <c r="N684" i="1"/>
  <c r="Q684" i="1" s="1"/>
  <c r="H684" i="1" s="1"/>
  <c r="F684" i="1" s="1"/>
  <c r="G683" i="1" l="1"/>
  <c r="E684" i="1" s="1"/>
  <c r="D685" i="1"/>
  <c r="C684" i="1" l="1"/>
  <c r="B685" i="1"/>
  <c r="I684" i="1" l="1"/>
  <c r="K684" i="1"/>
  <c r="N685" i="1"/>
  <c r="Q685" i="1" s="1"/>
  <c r="H685" i="1" s="1"/>
  <c r="O685" i="1"/>
  <c r="R685" i="1" s="1"/>
  <c r="J685" i="1" s="1"/>
  <c r="M684" i="1"/>
  <c r="P685" i="1"/>
  <c r="S685" i="1" s="1"/>
  <c r="L685" i="1" s="1"/>
  <c r="F685" i="1" l="1"/>
  <c r="G684" i="1"/>
  <c r="E685" i="1" s="1"/>
  <c r="D686" i="1"/>
  <c r="C685" i="1"/>
  <c r="B686" i="1" l="1"/>
  <c r="K685" i="1"/>
  <c r="I685" i="1"/>
  <c r="M685" i="1"/>
  <c r="N686" i="1"/>
  <c r="Q686" i="1" s="1"/>
  <c r="O686" i="1"/>
  <c r="R686" i="1" s="1"/>
  <c r="P686" i="1"/>
  <c r="S686" i="1" s="1"/>
  <c r="G685" i="1" l="1"/>
  <c r="E686" i="1" s="1"/>
  <c r="H686" i="1"/>
  <c r="J686" i="1"/>
  <c r="L686" i="1"/>
  <c r="F686" i="1" l="1"/>
  <c r="C686" i="1"/>
  <c r="B687" i="1"/>
  <c r="D687" i="1"/>
  <c r="K686" i="1"/>
  <c r="I686" i="1"/>
  <c r="M686" i="1"/>
  <c r="G686" i="1" l="1"/>
  <c r="E687" i="1" s="1"/>
  <c r="N687" i="1"/>
  <c r="Q687" i="1" s="1"/>
  <c r="H687" i="1" s="1"/>
  <c r="P687" i="1"/>
  <c r="S687" i="1" s="1"/>
  <c r="L687" i="1" s="1"/>
  <c r="O687" i="1"/>
  <c r="R687" i="1" s="1"/>
  <c r="J687" i="1" s="1"/>
  <c r="C687" i="1"/>
  <c r="F687" i="1" l="1"/>
  <c r="B688" i="1" s="1"/>
  <c r="I687" i="1"/>
  <c r="P688" i="1"/>
  <c r="S688" i="1" s="1"/>
  <c r="N688" i="1"/>
  <c r="Q688" i="1" s="1"/>
  <c r="K687" i="1"/>
  <c r="O688" i="1"/>
  <c r="R688" i="1" s="1"/>
  <c r="M687" i="1"/>
  <c r="J688" i="1" l="1"/>
  <c r="H688" i="1"/>
  <c r="L688" i="1"/>
  <c r="D688" i="1"/>
  <c r="G687" i="1"/>
  <c r="E688" i="1" s="1"/>
  <c r="F688" i="1" l="1"/>
  <c r="C688" i="1"/>
  <c r="B689" i="1" l="1"/>
  <c r="D689" i="1"/>
  <c r="N689" i="1"/>
  <c r="Q689" i="1" s="1"/>
  <c r="H689" i="1" s="1"/>
  <c r="F689" i="1" s="1"/>
  <c r="K688" i="1"/>
  <c r="M688" i="1"/>
  <c r="O689" i="1"/>
  <c r="R689" i="1" s="1"/>
  <c r="J689" i="1" s="1"/>
  <c r="P689" i="1"/>
  <c r="S689" i="1" s="1"/>
  <c r="L689" i="1" s="1"/>
  <c r="I688" i="1"/>
  <c r="G688" i="1" l="1"/>
  <c r="E689" i="1" s="1"/>
  <c r="D690" i="1"/>
  <c r="C689" i="1"/>
  <c r="I689" i="1" l="1"/>
  <c r="M689" i="1"/>
  <c r="N690" i="1"/>
  <c r="Q690" i="1" s="1"/>
  <c r="O690" i="1"/>
  <c r="R690" i="1" s="1"/>
  <c r="P690" i="1"/>
  <c r="S690" i="1" s="1"/>
  <c r="B690" i="1"/>
  <c r="K689" i="1"/>
  <c r="G689" i="1" l="1"/>
  <c r="E690" i="1" s="1"/>
  <c r="J690" i="1"/>
  <c r="L690" i="1"/>
  <c r="H690" i="1"/>
  <c r="F690" i="1" s="1"/>
  <c r="B691" i="1" l="1"/>
  <c r="D691" i="1"/>
  <c r="C690" i="1"/>
  <c r="I690" i="1" l="1"/>
  <c r="M690" i="1"/>
  <c r="K690" i="1"/>
  <c r="O691" i="1"/>
  <c r="R691" i="1" s="1"/>
  <c r="J691" i="1" s="1"/>
  <c r="P691" i="1"/>
  <c r="S691" i="1" s="1"/>
  <c r="L691" i="1" s="1"/>
  <c r="N691" i="1"/>
  <c r="Q691" i="1" s="1"/>
  <c r="H691" i="1" s="1"/>
  <c r="F691" i="1" s="1"/>
  <c r="G690" i="1" l="1"/>
  <c r="E691" i="1" s="1"/>
  <c r="B692" i="1"/>
  <c r="C691" i="1"/>
  <c r="K691" i="1" s="1"/>
  <c r="D692" i="1"/>
  <c r="I691" i="1"/>
  <c r="N692" i="1"/>
  <c r="Q692" i="1" s="1"/>
  <c r="H692" i="1" s="1"/>
  <c r="M691" i="1" l="1"/>
  <c r="G691" i="1" s="1"/>
  <c r="E692" i="1" s="1"/>
  <c r="O692" i="1"/>
  <c r="R692" i="1" s="1"/>
  <c r="J692" i="1" s="1"/>
  <c r="P692" i="1"/>
  <c r="S692" i="1" s="1"/>
  <c r="L692" i="1" s="1"/>
  <c r="F692" i="1" l="1"/>
  <c r="B693" i="1"/>
  <c r="D693" i="1"/>
  <c r="C692" i="1"/>
  <c r="I692" i="1" l="1"/>
  <c r="M692" i="1"/>
  <c r="N693" i="1"/>
  <c r="Q693" i="1" s="1"/>
  <c r="H693" i="1" s="1"/>
  <c r="P693" i="1"/>
  <c r="S693" i="1" s="1"/>
  <c r="L693" i="1" s="1"/>
  <c r="K692" i="1"/>
  <c r="O693" i="1"/>
  <c r="R693" i="1" s="1"/>
  <c r="J693" i="1" s="1"/>
  <c r="F693" i="1" l="1"/>
  <c r="G692" i="1"/>
  <c r="E693" i="1" s="1"/>
  <c r="D694" i="1"/>
  <c r="C693" i="1" l="1"/>
  <c r="B694" i="1"/>
  <c r="I693" i="1" l="1"/>
  <c r="K693" i="1"/>
  <c r="M693" i="1"/>
  <c r="N694" i="1"/>
  <c r="Q694" i="1" s="1"/>
  <c r="H694" i="1" s="1"/>
  <c r="P694" i="1"/>
  <c r="S694" i="1" s="1"/>
  <c r="L694" i="1" s="1"/>
  <c r="O694" i="1"/>
  <c r="R694" i="1" s="1"/>
  <c r="J694" i="1" s="1"/>
  <c r="F694" i="1" l="1"/>
  <c r="G693" i="1"/>
  <c r="E694" i="1" s="1"/>
  <c r="D695" i="1"/>
  <c r="B695" i="1"/>
  <c r="C694" i="1" l="1"/>
  <c r="O695" i="1" l="1"/>
  <c r="R695" i="1" s="1"/>
  <c r="J695" i="1" s="1"/>
  <c r="M694" i="1"/>
  <c r="P695" i="1"/>
  <c r="S695" i="1" s="1"/>
  <c r="L695" i="1" s="1"/>
  <c r="I694" i="1"/>
  <c r="N695" i="1"/>
  <c r="Q695" i="1" s="1"/>
  <c r="H695" i="1" s="1"/>
  <c r="F695" i="1" s="1"/>
  <c r="K694" i="1"/>
  <c r="G694" i="1" l="1"/>
  <c r="E695" i="1" s="1"/>
  <c r="B696" i="1"/>
  <c r="D696" i="1" l="1"/>
  <c r="C695" i="1"/>
  <c r="N696" i="1" l="1"/>
  <c r="Q696" i="1" s="1"/>
  <c r="H696" i="1" s="1"/>
  <c r="O696" i="1"/>
  <c r="R696" i="1" s="1"/>
  <c r="J696" i="1" s="1"/>
  <c r="K695" i="1"/>
  <c r="M695" i="1"/>
  <c r="P696" i="1"/>
  <c r="S696" i="1" s="1"/>
  <c r="L696" i="1" s="1"/>
  <c r="I695" i="1"/>
  <c r="G695" i="1" l="1"/>
  <c r="E696" i="1" s="1"/>
  <c r="F696" i="1"/>
  <c r="C696" i="1"/>
  <c r="P697" i="1" l="1"/>
  <c r="S697" i="1" s="1"/>
  <c r="O697" i="1"/>
  <c r="R697" i="1" s="1"/>
  <c r="M696" i="1"/>
  <c r="K696" i="1"/>
  <c r="I696" i="1"/>
  <c r="N697" i="1"/>
  <c r="Q697" i="1" s="1"/>
  <c r="B697" i="1"/>
  <c r="D697" i="1"/>
  <c r="G696" i="1" l="1"/>
  <c r="E697" i="1" s="1"/>
  <c r="H697" i="1"/>
  <c r="J697" i="1"/>
  <c r="L697" i="1"/>
  <c r="C697" i="1"/>
  <c r="P698" i="1" s="1"/>
  <c r="S698" i="1" s="1"/>
  <c r="F697" i="1" l="1"/>
  <c r="N698" i="1"/>
  <c r="Q698" i="1" s="1"/>
  <c r="O698" i="1"/>
  <c r="R698" i="1" s="1"/>
  <c r="I697" i="1"/>
  <c r="M697" i="1"/>
  <c r="K697" i="1"/>
  <c r="G697" i="1" l="1"/>
  <c r="E698" i="1" s="1"/>
  <c r="D698" i="1"/>
  <c r="B698" i="1"/>
  <c r="J698" i="1" l="1"/>
  <c r="L698" i="1"/>
  <c r="H698" i="1"/>
  <c r="F698" i="1" s="1"/>
  <c r="C698" i="1"/>
  <c r="P699" i="1" s="1"/>
  <c r="S699" i="1" s="1"/>
  <c r="K698" i="1" l="1"/>
  <c r="M698" i="1"/>
  <c r="I698" i="1"/>
  <c r="N699" i="1"/>
  <c r="Q699" i="1" s="1"/>
  <c r="O699" i="1"/>
  <c r="R699" i="1" s="1"/>
  <c r="D699" i="1"/>
  <c r="B699" i="1"/>
  <c r="G698" i="1" l="1"/>
  <c r="E699" i="1" s="1"/>
  <c r="J699" i="1"/>
  <c r="H699" i="1"/>
  <c r="L699" i="1"/>
  <c r="F699" i="1" l="1"/>
  <c r="C699" i="1"/>
  <c r="B700" i="1"/>
  <c r="D700" i="1"/>
  <c r="P700" i="1" l="1"/>
  <c r="S700" i="1" s="1"/>
  <c r="O700" i="1"/>
  <c r="R700" i="1" s="1"/>
  <c r="J700" i="1" s="1"/>
  <c r="K699" i="1"/>
  <c r="N700" i="1"/>
  <c r="Q700" i="1" s="1"/>
  <c r="H700" i="1" s="1"/>
  <c r="F700" i="1" s="1"/>
  <c r="M699" i="1"/>
  <c r="I699" i="1"/>
  <c r="L700" i="1"/>
  <c r="G699" i="1" l="1"/>
  <c r="E700" i="1" s="1"/>
  <c r="C700" i="1" l="1"/>
  <c r="B701" i="1"/>
  <c r="D701" i="1"/>
  <c r="I700" i="1" l="1"/>
  <c r="K700" i="1"/>
  <c r="M700" i="1"/>
  <c r="P701" i="1"/>
  <c r="S701" i="1" s="1"/>
  <c r="L701" i="1" s="1"/>
  <c r="O701" i="1"/>
  <c r="R701" i="1" s="1"/>
  <c r="J701" i="1" s="1"/>
  <c r="N701" i="1"/>
  <c r="Q701" i="1" s="1"/>
  <c r="H701" i="1" s="1"/>
  <c r="F701" i="1" s="1"/>
  <c r="G700" i="1" l="1"/>
  <c r="E701" i="1" s="1"/>
  <c r="C701" i="1" l="1"/>
  <c r="D702" i="1"/>
  <c r="B702" i="1"/>
  <c r="K701" i="1" l="1"/>
  <c r="M701" i="1"/>
  <c r="I701" i="1"/>
  <c r="G701" i="1" s="1"/>
  <c r="E702" i="1" s="1"/>
  <c r="P702" i="1"/>
  <c r="S702" i="1" s="1"/>
  <c r="L702" i="1" s="1"/>
  <c r="C702" i="1"/>
  <c r="O703" i="1" s="1"/>
  <c r="R703" i="1" s="1"/>
  <c r="O702" i="1"/>
  <c r="R702" i="1" s="1"/>
  <c r="J702" i="1" s="1"/>
  <c r="N702" i="1"/>
  <c r="Q702" i="1" s="1"/>
  <c r="H702" i="1" s="1"/>
  <c r="F702" i="1" l="1"/>
  <c r="D703" i="1" s="1"/>
  <c r="N703" i="1"/>
  <c r="Q703" i="1" s="1"/>
  <c r="I702" i="1"/>
  <c r="M702" i="1"/>
  <c r="K702" i="1"/>
  <c r="P703" i="1"/>
  <c r="S703" i="1" s="1"/>
  <c r="B703" i="1"/>
  <c r="G702" i="1" l="1"/>
  <c r="E703" i="1" s="1"/>
  <c r="J703" i="1"/>
  <c r="L703" i="1"/>
  <c r="H703" i="1"/>
  <c r="F703" i="1" s="1"/>
  <c r="C703" i="1" l="1"/>
  <c r="D704" i="1"/>
  <c r="K703" i="1" l="1"/>
  <c r="I703" i="1"/>
  <c r="M703" i="1"/>
  <c r="O704" i="1"/>
  <c r="R704" i="1" s="1"/>
  <c r="P704" i="1"/>
  <c r="S704" i="1" s="1"/>
  <c r="N704" i="1"/>
  <c r="Q704" i="1" s="1"/>
  <c r="B704" i="1"/>
  <c r="G703" i="1" l="1"/>
  <c r="E704" i="1" s="1"/>
  <c r="C704" i="1"/>
  <c r="P705" i="1" s="1"/>
  <c r="S705" i="1" s="1"/>
  <c r="H704" i="1"/>
  <c r="L704" i="1"/>
  <c r="J704" i="1"/>
  <c r="F704" i="1" l="1"/>
  <c r="M704" i="1"/>
  <c r="K704" i="1"/>
  <c r="I704" i="1"/>
  <c r="G704" i="1" s="1"/>
  <c r="E705" i="1" s="1"/>
  <c r="N705" i="1"/>
  <c r="Q705" i="1" s="1"/>
  <c r="O705" i="1"/>
  <c r="R705" i="1" s="1"/>
  <c r="C705" i="1" l="1"/>
  <c r="B705" i="1"/>
  <c r="D705" i="1"/>
  <c r="M705" i="1" l="1"/>
  <c r="K705" i="1"/>
  <c r="I705" i="1"/>
  <c r="G705" i="1" s="1"/>
  <c r="E706" i="1" s="1"/>
  <c r="H705" i="1"/>
  <c r="N706" i="1"/>
  <c r="Q706" i="1" s="1"/>
  <c r="J705" i="1"/>
  <c r="L705" i="1"/>
  <c r="O706" i="1"/>
  <c r="R706" i="1" s="1"/>
  <c r="P706" i="1"/>
  <c r="S706" i="1" s="1"/>
  <c r="F705" i="1" l="1"/>
  <c r="C706" i="1"/>
  <c r="I706" i="1" s="1"/>
  <c r="K706" i="1"/>
  <c r="M706" i="1"/>
  <c r="D706" i="1"/>
  <c r="G706" i="1" l="1"/>
  <c r="E707" i="1" s="1"/>
  <c r="B706" i="1"/>
  <c r="C707" i="1"/>
  <c r="P707" i="1" l="1"/>
  <c r="S707" i="1" s="1"/>
  <c r="J706" i="1"/>
  <c r="L706" i="1"/>
  <c r="H706" i="1"/>
  <c r="F706" i="1" s="1"/>
  <c r="N707" i="1"/>
  <c r="Q707" i="1" s="1"/>
  <c r="I707" i="1" s="1"/>
  <c r="G707" i="1" s="1"/>
  <c r="E708" i="1" s="1"/>
  <c r="O707" i="1"/>
  <c r="R707" i="1" s="1"/>
  <c r="K707" i="1" s="1"/>
  <c r="M707" i="1"/>
  <c r="B707" i="1" l="1"/>
  <c r="H707" i="1" l="1"/>
  <c r="L707" i="1"/>
  <c r="J707" i="1"/>
  <c r="N708" i="1"/>
  <c r="Q708" i="1" s="1"/>
  <c r="O708" i="1"/>
  <c r="R708" i="1" s="1"/>
  <c r="P708" i="1"/>
  <c r="S708" i="1" s="1"/>
  <c r="D707" i="1"/>
  <c r="C708" i="1"/>
  <c r="F707" i="1" l="1"/>
  <c r="D708" i="1"/>
  <c r="I708" i="1"/>
  <c r="M708" i="1"/>
  <c r="K708" i="1"/>
  <c r="G708" i="1" l="1"/>
  <c r="E709" i="1" s="1"/>
  <c r="B708" i="1"/>
  <c r="L708" i="1" l="1"/>
  <c r="H708" i="1"/>
  <c r="N709" i="1"/>
  <c r="Q709" i="1" s="1"/>
  <c r="P709" i="1"/>
  <c r="S709" i="1" s="1"/>
  <c r="O709" i="1"/>
  <c r="R709" i="1" s="1"/>
  <c r="J708" i="1"/>
  <c r="C709" i="1"/>
  <c r="F708" i="1" l="1"/>
  <c r="K709" i="1"/>
  <c r="I709" i="1"/>
  <c r="M709" i="1"/>
  <c r="G709" i="1" l="1"/>
  <c r="E710" i="1" s="1"/>
  <c r="D709" i="1"/>
  <c r="B709" i="1"/>
  <c r="L709" i="1" l="1"/>
  <c r="H709" i="1"/>
  <c r="N710" i="1"/>
  <c r="Q710" i="1" s="1"/>
  <c r="J709" i="1"/>
  <c r="O710" i="1"/>
  <c r="R710" i="1" s="1"/>
  <c r="P710" i="1"/>
  <c r="S710" i="1" s="1"/>
  <c r="C710" i="1"/>
  <c r="F709" i="1" l="1"/>
  <c r="I710" i="1"/>
  <c r="K710" i="1"/>
  <c r="M710" i="1"/>
  <c r="G710" i="1" l="1"/>
  <c r="E711" i="1" s="1"/>
  <c r="B710" i="1"/>
  <c r="D710" i="1"/>
  <c r="H710" i="1" l="1"/>
  <c r="N711" i="1"/>
  <c r="Q711" i="1" s="1"/>
  <c r="J710" i="1"/>
  <c r="O711" i="1"/>
  <c r="R711" i="1" s="1"/>
  <c r="L710" i="1"/>
  <c r="P711" i="1"/>
  <c r="S711" i="1" s="1"/>
  <c r="C711" i="1"/>
  <c r="F710" i="1" l="1"/>
  <c r="I711" i="1"/>
  <c r="M711" i="1"/>
  <c r="K711" i="1"/>
  <c r="G711" i="1" l="1"/>
  <c r="E712" i="1" s="1"/>
  <c r="D711" i="1"/>
  <c r="B711" i="1"/>
  <c r="H711" i="1" l="1"/>
  <c r="N712" i="1"/>
  <c r="Q712" i="1" s="1"/>
  <c r="J711" i="1"/>
  <c r="L711" i="1"/>
  <c r="O712" i="1"/>
  <c r="R712" i="1" s="1"/>
  <c r="P712" i="1"/>
  <c r="S712" i="1" s="1"/>
  <c r="C712" i="1"/>
  <c r="I712" i="1" s="1"/>
  <c r="F711" i="1" l="1"/>
  <c r="M712" i="1"/>
  <c r="K712" i="1"/>
  <c r="G712" i="1" l="1"/>
  <c r="E713" i="1" s="1"/>
  <c r="B712" i="1"/>
  <c r="D712" i="1"/>
  <c r="C713" i="1"/>
  <c r="H712" i="1" l="1"/>
  <c r="O713" i="1"/>
  <c r="R713" i="1" s="1"/>
  <c r="N713" i="1"/>
  <c r="Q713" i="1" s="1"/>
  <c r="P713" i="1"/>
  <c r="S713" i="1" s="1"/>
  <c r="L712" i="1"/>
  <c r="J712" i="1"/>
  <c r="K713" i="1"/>
  <c r="F712" i="1" l="1"/>
  <c r="M713" i="1"/>
  <c r="I713" i="1"/>
  <c r="G713" i="1" s="1"/>
  <c r="E714" i="1" s="1"/>
  <c r="D713" i="1" l="1"/>
  <c r="B713" i="1"/>
  <c r="C714" i="1"/>
  <c r="O714" i="1" l="1"/>
  <c r="R714" i="1" s="1"/>
  <c r="K714" i="1" s="1"/>
  <c r="N714" i="1"/>
  <c r="Q714" i="1" s="1"/>
  <c r="I714" i="1" s="1"/>
  <c r="P714" i="1"/>
  <c r="S714" i="1" s="1"/>
  <c r="L713" i="1"/>
  <c r="J713" i="1"/>
  <c r="H713" i="1"/>
  <c r="F713" i="1" l="1"/>
  <c r="M714" i="1"/>
  <c r="G714" i="1" s="1"/>
  <c r="E715" i="1" s="1"/>
  <c r="C715" i="1" l="1"/>
  <c r="D714" i="1"/>
  <c r="B714" i="1"/>
  <c r="J714" i="1" l="1"/>
  <c r="H714" i="1"/>
  <c r="P715" i="1"/>
  <c r="S715" i="1" s="1"/>
  <c r="N715" i="1"/>
  <c r="Q715" i="1" s="1"/>
  <c r="O715" i="1"/>
  <c r="R715" i="1" s="1"/>
  <c r="K715" i="1" s="1"/>
  <c r="L714" i="1"/>
  <c r="F714" i="1" l="1"/>
  <c r="D715" i="1"/>
  <c r="B715" i="1"/>
  <c r="H715" i="1" s="1"/>
  <c r="M715" i="1"/>
  <c r="J715" i="1"/>
  <c r="I715" i="1"/>
  <c r="G715" i="1" s="1"/>
  <c r="E716" i="1" s="1"/>
  <c r="L715" i="1" l="1"/>
  <c r="F715" i="1" s="1"/>
  <c r="C716" i="1"/>
  <c r="P716" i="1"/>
  <c r="S716" i="1" s="1"/>
  <c r="O716" i="1"/>
  <c r="R716" i="1" s="1"/>
  <c r="N716" i="1"/>
  <c r="Q716" i="1" s="1"/>
  <c r="D716" i="1" l="1"/>
  <c r="B716" i="1"/>
  <c r="N717" i="1" s="1"/>
  <c r="Q717" i="1" s="1"/>
  <c r="J716" i="1"/>
  <c r="H716" i="1"/>
  <c r="P717" i="1"/>
  <c r="S717" i="1" s="1"/>
  <c r="O717" i="1"/>
  <c r="R717" i="1" s="1"/>
  <c r="K716" i="1"/>
  <c r="I716" i="1"/>
  <c r="M716" i="1"/>
  <c r="L716" i="1" l="1"/>
  <c r="F716" i="1" s="1"/>
  <c r="G716" i="1"/>
  <c r="E717" i="1" s="1"/>
  <c r="C717" i="1"/>
  <c r="D717" i="1" l="1"/>
  <c r="B717" i="1"/>
  <c r="I717" i="1"/>
  <c r="K717" i="1"/>
  <c r="M717" i="1"/>
  <c r="J717" i="1" l="1"/>
  <c r="O718" i="1"/>
  <c r="R718" i="1" s="1"/>
  <c r="N718" i="1"/>
  <c r="Q718" i="1" s="1"/>
  <c r="H717" i="1"/>
  <c r="L717" i="1"/>
  <c r="P718" i="1"/>
  <c r="S718" i="1" s="1"/>
  <c r="G717" i="1"/>
  <c r="E718" i="1" s="1"/>
  <c r="C718" i="1"/>
  <c r="F717" i="1" l="1"/>
  <c r="M718" i="1"/>
  <c r="K718" i="1"/>
  <c r="I718" i="1"/>
  <c r="G718" i="1" s="1"/>
  <c r="E719" i="1" s="1"/>
  <c r="D718" i="1" l="1"/>
  <c r="B718" i="1"/>
  <c r="C719" i="1"/>
  <c r="H718" i="1" l="1"/>
  <c r="J718" i="1"/>
  <c r="O719" i="1"/>
  <c r="R719" i="1" s="1"/>
  <c r="K719" i="1" s="1"/>
  <c r="P719" i="1"/>
  <c r="S719" i="1" s="1"/>
  <c r="L718" i="1"/>
  <c r="N719" i="1"/>
  <c r="Q719" i="1" s="1"/>
  <c r="I719" i="1" s="1"/>
  <c r="M719" i="1" l="1"/>
  <c r="F718" i="1"/>
  <c r="G719" i="1"/>
  <c r="C720" i="1" l="1"/>
  <c r="E720" i="1"/>
  <c r="D719" i="1"/>
  <c r="B719" i="1"/>
  <c r="H719" i="1" l="1"/>
  <c r="N720" i="1"/>
  <c r="Q720" i="1" s="1"/>
  <c r="I720" i="1" s="1"/>
  <c r="J719" i="1"/>
  <c r="O720" i="1"/>
  <c r="R720" i="1" s="1"/>
  <c r="K720" i="1" s="1"/>
  <c r="P720" i="1"/>
  <c r="S720" i="1" s="1"/>
  <c r="M720" i="1" s="1"/>
  <c r="L719" i="1"/>
  <c r="F719" i="1" l="1"/>
  <c r="G720" i="1"/>
  <c r="E721" i="1" l="1"/>
  <c r="C721" i="1"/>
  <c r="D720" i="1"/>
  <c r="B720" i="1"/>
  <c r="I721" i="1" l="1"/>
  <c r="H720" i="1"/>
  <c r="J720" i="1"/>
  <c r="O721" i="1"/>
  <c r="R721" i="1" s="1"/>
  <c r="K721" i="1" s="1"/>
  <c r="P721" i="1"/>
  <c r="S721" i="1" s="1"/>
  <c r="M721" i="1" s="1"/>
  <c r="L720" i="1"/>
  <c r="F720" i="1" s="1"/>
  <c r="B721" i="1" s="1"/>
  <c r="N721" i="1"/>
  <c r="Q721" i="1" s="1"/>
  <c r="H721" i="1" l="1"/>
  <c r="L721" i="1"/>
  <c r="N722" i="1"/>
  <c r="Q722" i="1" s="1"/>
  <c r="J721" i="1"/>
  <c r="P722" i="1"/>
  <c r="S722" i="1" s="1"/>
  <c r="O722" i="1"/>
  <c r="R722" i="1" s="1"/>
  <c r="G721" i="1"/>
  <c r="D721" i="1"/>
  <c r="C722" i="1" l="1"/>
  <c r="E722" i="1"/>
  <c r="F721" i="1"/>
  <c r="B722" i="1" s="1"/>
  <c r="D722" i="1" l="1"/>
  <c r="H722" i="1"/>
  <c r="L722" i="1"/>
  <c r="P723" i="1"/>
  <c r="S723" i="1" s="1"/>
  <c r="O723" i="1"/>
  <c r="R723" i="1" s="1"/>
  <c r="J722" i="1"/>
  <c r="N723" i="1"/>
  <c r="Q723" i="1" s="1"/>
  <c r="M722" i="1"/>
  <c r="K722" i="1"/>
  <c r="I722" i="1"/>
  <c r="G722" i="1" s="1"/>
  <c r="E723" i="1" s="1"/>
  <c r="C723" i="1"/>
  <c r="I723" i="1" l="1"/>
  <c r="M723" i="1"/>
  <c r="K723" i="1"/>
  <c r="F722" i="1"/>
  <c r="B723" i="1" s="1"/>
  <c r="J723" i="1" s="1"/>
  <c r="D723" i="1" l="1"/>
  <c r="G723" i="1"/>
  <c r="H723" i="1"/>
  <c r="N724" i="1"/>
  <c r="Q724" i="1" s="1"/>
  <c r="O724" i="1"/>
  <c r="R724" i="1" s="1"/>
  <c r="P724" i="1"/>
  <c r="S724" i="1" s="1"/>
  <c r="L723" i="1"/>
  <c r="F723" i="1" s="1"/>
  <c r="B724" i="1" s="1"/>
  <c r="H724" i="1" l="1"/>
  <c r="J724" i="1"/>
  <c r="L724" i="1"/>
  <c r="N725" i="1"/>
  <c r="Q725" i="1" s="1"/>
  <c r="P725" i="1"/>
  <c r="S725" i="1" s="1"/>
  <c r="O725" i="1"/>
  <c r="R725" i="1" s="1"/>
  <c r="E724" i="1"/>
  <c r="C724" i="1"/>
  <c r="D724" i="1"/>
  <c r="F724" i="1" l="1"/>
  <c r="B725" i="1" s="1"/>
  <c r="D725" i="1"/>
  <c r="I724" i="1"/>
  <c r="K724" i="1"/>
  <c r="M724" i="1"/>
  <c r="G724" i="1" l="1"/>
  <c r="H725" i="1"/>
  <c r="L725" i="1"/>
  <c r="J725" i="1"/>
  <c r="F725" i="1" s="1"/>
  <c r="D726" i="1" s="1"/>
  <c r="E725" i="1" l="1"/>
  <c r="C725" i="1"/>
  <c r="B726" i="1"/>
  <c r="N726" i="1" l="1"/>
  <c r="Q726" i="1" s="1"/>
  <c r="K725" i="1"/>
  <c r="M725" i="1"/>
  <c r="I725" i="1"/>
  <c r="G725" i="1" s="1"/>
  <c r="E726" i="1" s="1"/>
  <c r="P726" i="1"/>
  <c r="S726" i="1" s="1"/>
  <c r="L726" i="1" s="1"/>
  <c r="O726" i="1"/>
  <c r="R726" i="1" s="1"/>
  <c r="J726" i="1" s="1"/>
  <c r="H726" i="1"/>
  <c r="F726" i="1" l="1"/>
  <c r="C726" i="1"/>
  <c r="I726" i="1"/>
  <c r="K726" i="1"/>
  <c r="M726" i="1"/>
  <c r="O727" i="1" l="1"/>
  <c r="R727" i="1" s="1"/>
  <c r="N727" i="1"/>
  <c r="Q727" i="1" s="1"/>
  <c r="P727" i="1"/>
  <c r="S727" i="1" s="1"/>
  <c r="L727" i="1" s="1"/>
  <c r="D727" i="1"/>
  <c r="B727" i="1"/>
  <c r="J727" i="1" s="1"/>
  <c r="G726" i="1"/>
  <c r="E727" i="1" s="1"/>
  <c r="H727" i="1" l="1"/>
  <c r="F727" i="1" s="1"/>
  <c r="C727" i="1"/>
  <c r="B728" i="1" l="1"/>
  <c r="D728" i="1"/>
  <c r="I727" i="1"/>
  <c r="M727" i="1"/>
  <c r="O728" i="1"/>
  <c r="R728" i="1" s="1"/>
  <c r="J728" i="1" s="1"/>
  <c r="P728" i="1"/>
  <c r="S728" i="1" s="1"/>
  <c r="L728" i="1" s="1"/>
  <c r="N728" i="1"/>
  <c r="Q728" i="1" s="1"/>
  <c r="H728" i="1" s="1"/>
  <c r="F728" i="1" s="1"/>
  <c r="K727" i="1"/>
  <c r="G727" i="1" l="1"/>
  <c r="E728" i="1" s="1"/>
  <c r="D729" i="1"/>
  <c r="B729" i="1" l="1"/>
  <c r="C728" i="1"/>
  <c r="O729" i="1" l="1"/>
  <c r="R729" i="1" s="1"/>
  <c r="J729" i="1" s="1"/>
  <c r="K728" i="1"/>
  <c r="M728" i="1"/>
  <c r="N729" i="1"/>
  <c r="Q729" i="1" s="1"/>
  <c r="H729" i="1" s="1"/>
  <c r="F729" i="1" s="1"/>
  <c r="P729" i="1"/>
  <c r="S729" i="1" s="1"/>
  <c r="L729" i="1" s="1"/>
  <c r="I728" i="1"/>
  <c r="G728" i="1" l="1"/>
  <c r="E729" i="1" s="1"/>
  <c r="D730" i="1"/>
  <c r="C729" i="1"/>
  <c r="P730" i="1" l="1"/>
  <c r="S730" i="1" s="1"/>
  <c r="N730" i="1"/>
  <c r="Q730" i="1" s="1"/>
  <c r="O730" i="1"/>
  <c r="R730" i="1" s="1"/>
  <c r="I729" i="1"/>
  <c r="K729" i="1"/>
  <c r="M729" i="1"/>
  <c r="B730" i="1"/>
  <c r="G729" i="1" l="1"/>
  <c r="E730" i="1" s="1"/>
  <c r="L730" i="1"/>
  <c r="H730" i="1"/>
  <c r="F730" i="1" s="1"/>
  <c r="J730" i="1"/>
  <c r="B731" i="1" l="1"/>
  <c r="D731" i="1"/>
  <c r="C730" i="1"/>
  <c r="M730" i="1" l="1"/>
  <c r="I730" i="1"/>
  <c r="K730" i="1"/>
  <c r="P731" i="1"/>
  <c r="S731" i="1" s="1"/>
  <c r="L731" i="1" s="1"/>
  <c r="O731" i="1"/>
  <c r="R731" i="1" s="1"/>
  <c r="J731" i="1" s="1"/>
  <c r="N731" i="1"/>
  <c r="Q731" i="1" s="1"/>
  <c r="H731" i="1" s="1"/>
  <c r="F731" i="1" s="1"/>
  <c r="G730" i="1" l="1"/>
  <c r="E731" i="1" s="1"/>
  <c r="D732" i="1"/>
  <c r="B732" i="1"/>
  <c r="C731" i="1"/>
  <c r="O732" i="1" l="1"/>
  <c r="R732" i="1" s="1"/>
  <c r="J732" i="1" s="1"/>
  <c r="N732" i="1"/>
  <c r="Q732" i="1" s="1"/>
  <c r="H732" i="1" s="1"/>
  <c r="P732" i="1"/>
  <c r="S732" i="1" s="1"/>
  <c r="L732" i="1" s="1"/>
  <c r="I731" i="1"/>
  <c r="K731" i="1"/>
  <c r="M731" i="1"/>
  <c r="F732" i="1" l="1"/>
  <c r="G731" i="1"/>
  <c r="E732" i="1" s="1"/>
  <c r="B733" i="1"/>
  <c r="D733" i="1"/>
  <c r="C732" i="1" l="1"/>
  <c r="K732" i="1" l="1"/>
  <c r="P733" i="1"/>
  <c r="S733" i="1" s="1"/>
  <c r="L733" i="1" s="1"/>
  <c r="O733" i="1"/>
  <c r="R733" i="1" s="1"/>
  <c r="J733" i="1" s="1"/>
  <c r="N733" i="1"/>
  <c r="Q733" i="1" s="1"/>
  <c r="H733" i="1" s="1"/>
  <c r="F733" i="1" s="1"/>
  <c r="M732" i="1"/>
  <c r="I732" i="1"/>
  <c r="G732" i="1" l="1"/>
  <c r="E733" i="1" s="1"/>
  <c r="C733" i="1"/>
  <c r="B734" i="1"/>
  <c r="D734" i="1"/>
  <c r="N734" i="1"/>
  <c r="P734" i="1"/>
  <c r="I733" i="1"/>
  <c r="K733" i="1"/>
  <c r="O734" i="1"/>
  <c r="M733" i="1"/>
  <c r="G733" i="1" l="1"/>
  <c r="E734" i="1" s="1"/>
  <c r="Q734" i="1"/>
  <c r="H734" i="1" s="1"/>
  <c r="R734" i="1"/>
  <c r="J734" i="1" s="1"/>
  <c r="S734" i="1"/>
  <c r="L734" i="1" s="1"/>
  <c r="C734" i="1"/>
  <c r="F734" i="1" l="1"/>
  <c r="B735" i="1" l="1"/>
  <c r="D735" i="1"/>
  <c r="N735" i="1"/>
  <c r="P735" i="1"/>
  <c r="O735" i="1"/>
  <c r="K734" i="1"/>
  <c r="M734" i="1"/>
  <c r="I734" i="1"/>
  <c r="G734" i="1" l="1"/>
  <c r="E735" i="1" s="1"/>
  <c r="Q735" i="1"/>
  <c r="H735" i="1" s="1"/>
  <c r="R735" i="1"/>
  <c r="J735" i="1" s="1"/>
  <c r="S735" i="1"/>
  <c r="L735" i="1" s="1"/>
  <c r="F735" i="1" l="1"/>
  <c r="C735" i="1"/>
  <c r="P736" i="1" s="1"/>
  <c r="S736" i="1" s="1"/>
  <c r="K735" i="1" l="1"/>
  <c r="M735" i="1"/>
  <c r="B736" i="1"/>
  <c r="D736" i="1"/>
  <c r="I735" i="1"/>
  <c r="N736" i="1"/>
  <c r="Q736" i="1" s="1"/>
  <c r="H736" i="1" s="1"/>
  <c r="F736" i="1" s="1"/>
  <c r="O736" i="1"/>
  <c r="R736" i="1" s="1"/>
  <c r="J736" i="1" s="1"/>
  <c r="L736" i="1"/>
  <c r="G735" i="1" l="1"/>
  <c r="E736" i="1" s="1"/>
  <c r="D737" i="1"/>
  <c r="C736" i="1"/>
  <c r="M736" i="1" s="1"/>
  <c r="B737" i="1"/>
  <c r="P737" i="1"/>
  <c r="S737" i="1" s="1"/>
  <c r="O737" i="1"/>
  <c r="R737" i="1" s="1"/>
  <c r="J737" i="1" s="1"/>
  <c r="K736" i="1" l="1"/>
  <c r="I736" i="1"/>
  <c r="G736" i="1" s="1"/>
  <c r="E737" i="1" s="1"/>
  <c r="L737" i="1"/>
  <c r="N737" i="1"/>
  <c r="Q737" i="1" s="1"/>
  <c r="H737" i="1" s="1"/>
  <c r="F737" i="1" s="1"/>
  <c r="D738" i="1" l="1"/>
  <c r="C737" i="1"/>
  <c r="N738" i="1" s="1"/>
  <c r="Q738" i="1" s="1"/>
  <c r="B738" i="1"/>
  <c r="P738" i="1" l="1"/>
  <c r="S738" i="1" s="1"/>
  <c r="L738" i="1" s="1"/>
  <c r="O738" i="1"/>
  <c r="R738" i="1" s="1"/>
  <c r="I737" i="1"/>
  <c r="M737" i="1"/>
  <c r="K737" i="1"/>
  <c r="H738" i="1"/>
  <c r="F738" i="1" s="1"/>
  <c r="J738" i="1"/>
  <c r="G737" i="1" l="1"/>
  <c r="E738" i="1" s="1"/>
  <c r="B739" i="1" l="1"/>
  <c r="D739" i="1"/>
  <c r="C738" i="1"/>
  <c r="M738" i="1" s="1"/>
  <c r="O739" i="1"/>
  <c r="I738" i="1"/>
  <c r="K738" i="1"/>
  <c r="G738" i="1" l="1"/>
  <c r="E739" i="1" s="1"/>
  <c r="P739" i="1"/>
  <c r="N739" i="1"/>
  <c r="Q739" i="1" s="1"/>
  <c r="H739" i="1" s="1"/>
  <c r="R739" i="1"/>
  <c r="J739" i="1" s="1"/>
  <c r="S739" i="1"/>
  <c r="L739" i="1" s="1"/>
  <c r="F739" i="1" l="1"/>
  <c r="C739" i="1"/>
  <c r="N740" i="1"/>
  <c r="Q740" i="1" s="1"/>
  <c r="B740" i="1" l="1"/>
  <c r="H740" i="1" s="1"/>
  <c r="D740" i="1"/>
  <c r="P740" i="1"/>
  <c r="O740" i="1"/>
  <c r="I739" i="1"/>
  <c r="M739" i="1"/>
  <c r="K739" i="1"/>
  <c r="G739" i="1" l="1"/>
  <c r="E740" i="1" s="1"/>
  <c r="R740" i="1"/>
  <c r="J740" i="1" s="1"/>
  <c r="F740" i="1" s="1"/>
  <c r="S740" i="1"/>
  <c r="L740" i="1" s="1"/>
  <c r="C740" i="1" l="1"/>
  <c r="N741" i="1"/>
  <c r="Q741" i="1" s="1"/>
  <c r="K740" i="1"/>
  <c r="M740" i="1"/>
  <c r="B741" i="1" l="1"/>
  <c r="H741" i="1" s="1"/>
  <c r="D741" i="1"/>
  <c r="I740" i="1"/>
  <c r="G740" i="1" s="1"/>
  <c r="E741" i="1" s="1"/>
  <c r="P741" i="1"/>
  <c r="O741" i="1"/>
  <c r="C741" i="1" l="1"/>
  <c r="R741" i="1"/>
  <c r="J741" i="1" s="1"/>
  <c r="S741" i="1"/>
  <c r="L741" i="1" s="1"/>
  <c r="N742" i="1"/>
  <c r="Q742" i="1" s="1"/>
  <c r="F741" i="1" l="1"/>
  <c r="P742" i="1"/>
  <c r="S742" i="1" s="1"/>
  <c r="O742" i="1"/>
  <c r="I741" i="1"/>
  <c r="K741" i="1"/>
  <c r="M741" i="1"/>
  <c r="G741" i="1" l="1"/>
  <c r="E742" i="1" s="1"/>
  <c r="B742" i="1"/>
  <c r="D742" i="1"/>
  <c r="R742" i="1"/>
  <c r="J742" i="1" s="1"/>
  <c r="L742" i="1"/>
  <c r="H742" i="1"/>
  <c r="F742" i="1" l="1"/>
  <c r="C742" i="1"/>
  <c r="B743" i="1"/>
  <c r="N743" i="1"/>
  <c r="Q743" i="1" s="1"/>
  <c r="D743" i="1" l="1"/>
  <c r="P743" i="1"/>
  <c r="S743" i="1" s="1"/>
  <c r="L743" i="1" s="1"/>
  <c r="O743" i="1"/>
  <c r="R743" i="1" s="1"/>
  <c r="J743" i="1" s="1"/>
  <c r="I742" i="1"/>
  <c r="M742" i="1"/>
  <c r="K742" i="1"/>
  <c r="H743" i="1"/>
  <c r="F743" i="1" s="1"/>
  <c r="G742" i="1" l="1"/>
  <c r="E743" i="1" s="1"/>
  <c r="B744" i="1"/>
  <c r="C743" i="1" l="1"/>
  <c r="D744" i="1"/>
  <c r="N744" i="1"/>
  <c r="Q744" i="1" s="1"/>
  <c r="P744" i="1" l="1"/>
  <c r="S744" i="1" s="1"/>
  <c r="O744" i="1"/>
  <c r="R744" i="1" s="1"/>
  <c r="K743" i="1"/>
  <c r="I743" i="1"/>
  <c r="G743" i="1" s="1"/>
  <c r="E744" i="1" s="1"/>
  <c r="M743" i="1"/>
  <c r="H744" i="1"/>
  <c r="L744" i="1" l="1"/>
  <c r="J744" i="1"/>
  <c r="F744" i="1" s="1"/>
  <c r="C744" i="1" l="1"/>
  <c r="B745" i="1"/>
  <c r="D745" i="1"/>
  <c r="N745" i="1"/>
  <c r="Q745" i="1" s="1"/>
  <c r="P745" i="1" l="1"/>
  <c r="S745" i="1" s="1"/>
  <c r="O745" i="1"/>
  <c r="R745" i="1" s="1"/>
  <c r="I744" i="1"/>
  <c r="L745" i="1"/>
  <c r="H745" i="1"/>
  <c r="M744" i="1"/>
  <c r="K744" i="1"/>
  <c r="G744" i="1" l="1"/>
  <c r="E745" i="1" s="1"/>
  <c r="J745" i="1"/>
  <c r="F745" i="1" s="1"/>
  <c r="C745" i="1" l="1"/>
  <c r="B746" i="1"/>
  <c r="D746" i="1"/>
  <c r="N746" i="1"/>
  <c r="Q746" i="1" s="1"/>
  <c r="P746" i="1" l="1"/>
  <c r="S746" i="1" s="1"/>
  <c r="O746" i="1"/>
  <c r="R746" i="1" s="1"/>
  <c r="I745" i="1"/>
  <c r="M745" i="1"/>
  <c r="H746" i="1"/>
  <c r="L746" i="1"/>
  <c r="K745" i="1"/>
  <c r="G745" i="1" l="1"/>
  <c r="E746" i="1" s="1"/>
  <c r="J746" i="1"/>
  <c r="F746" i="1" s="1"/>
  <c r="B747" i="1" l="1"/>
  <c r="D747" i="1"/>
  <c r="C746" i="1"/>
  <c r="P747" i="1"/>
  <c r="S747" i="1" s="1"/>
  <c r="O747" i="1"/>
  <c r="R747" i="1" s="1"/>
  <c r="I746" i="1" l="1"/>
  <c r="K746" i="1"/>
  <c r="M746" i="1"/>
  <c r="N747" i="1"/>
  <c r="Q747" i="1" s="1"/>
  <c r="H747" i="1" s="1"/>
  <c r="F747" i="1" s="1"/>
  <c r="J747" i="1"/>
  <c r="L747" i="1"/>
  <c r="G746" i="1" l="1"/>
  <c r="E747" i="1" s="1"/>
  <c r="D748" i="1"/>
  <c r="C747" i="1" l="1"/>
  <c r="B748" i="1"/>
  <c r="M747" i="1" l="1"/>
  <c r="I747" i="1"/>
  <c r="N748" i="1"/>
  <c r="Q748" i="1" s="1"/>
  <c r="H748" i="1" s="1"/>
  <c r="K747" i="1"/>
  <c r="P748" i="1"/>
  <c r="S748" i="1" s="1"/>
  <c r="L748" i="1" s="1"/>
  <c r="O748" i="1"/>
  <c r="R748" i="1" s="1"/>
  <c r="J748" i="1" s="1"/>
  <c r="F748" i="1" l="1"/>
  <c r="G747" i="1"/>
  <c r="E748" i="1" s="1"/>
  <c r="C748" i="1" l="1"/>
  <c r="N749" i="1" s="1"/>
  <c r="Q749" i="1" s="1"/>
  <c r="H749" i="1" s="1"/>
  <c r="B749" i="1"/>
  <c r="D749" i="1"/>
  <c r="M748" i="1"/>
  <c r="K748" i="1"/>
  <c r="P749" i="1"/>
  <c r="S749" i="1" s="1"/>
  <c r="L749" i="1" s="1"/>
  <c r="O749" i="1"/>
  <c r="R749" i="1" s="1"/>
  <c r="J749" i="1" s="1"/>
  <c r="I748" i="1"/>
  <c r="F749" i="1" l="1"/>
  <c r="G748" i="1"/>
  <c r="E749" i="1" s="1"/>
  <c r="B750" i="1"/>
  <c r="C749" i="1" l="1"/>
  <c r="D750" i="1"/>
  <c r="O750" i="1" l="1"/>
  <c r="R750" i="1" s="1"/>
  <c r="P750" i="1"/>
  <c r="S750" i="1" s="1"/>
  <c r="L750" i="1" s="1"/>
  <c r="I749" i="1"/>
  <c r="M749" i="1"/>
  <c r="N750" i="1"/>
  <c r="Q750" i="1" s="1"/>
  <c r="H750" i="1" s="1"/>
  <c r="F750" i="1" s="1"/>
  <c r="K749" i="1"/>
  <c r="J750" i="1"/>
  <c r="G749" i="1" l="1"/>
  <c r="E750" i="1" s="1"/>
  <c r="D751" i="1"/>
  <c r="C750" i="1" l="1"/>
  <c r="B751" i="1"/>
  <c r="I750" i="1" l="1"/>
  <c r="P751" i="1"/>
  <c r="S751" i="1" s="1"/>
  <c r="L751" i="1" s="1"/>
  <c r="O751" i="1"/>
  <c r="R751" i="1" s="1"/>
  <c r="J751" i="1" s="1"/>
  <c r="K750" i="1"/>
  <c r="N751" i="1"/>
  <c r="Q751" i="1" s="1"/>
  <c r="H751" i="1" s="1"/>
  <c r="F751" i="1" s="1"/>
  <c r="M750" i="1"/>
  <c r="G750" i="1" l="1"/>
  <c r="E751" i="1" s="1"/>
  <c r="D752" i="1"/>
  <c r="B752" i="1"/>
  <c r="C751" i="1" l="1"/>
  <c r="P752" i="1" l="1"/>
  <c r="S752" i="1" s="1"/>
  <c r="L752" i="1" s="1"/>
  <c r="O752" i="1"/>
  <c r="R752" i="1" s="1"/>
  <c r="J752" i="1" s="1"/>
  <c r="I751" i="1"/>
  <c r="M751" i="1"/>
  <c r="K751" i="1"/>
  <c r="N752" i="1"/>
  <c r="Q752" i="1" s="1"/>
  <c r="H752" i="1" s="1"/>
  <c r="F752" i="1" s="1"/>
  <c r="G751" i="1" l="1"/>
  <c r="E752" i="1" s="1"/>
  <c r="D753" i="1"/>
  <c r="B753" i="1"/>
  <c r="C752" i="1" l="1"/>
  <c r="N753" i="1" l="1"/>
  <c r="Q753" i="1" s="1"/>
  <c r="H753" i="1" s="1"/>
  <c r="P753" i="1"/>
  <c r="S753" i="1" s="1"/>
  <c r="L753" i="1" s="1"/>
  <c r="I752" i="1"/>
  <c r="O753" i="1"/>
  <c r="R753" i="1" s="1"/>
  <c r="J753" i="1" s="1"/>
  <c r="K752" i="1"/>
  <c r="M752" i="1"/>
  <c r="F753" i="1" l="1"/>
  <c r="G752" i="1"/>
  <c r="E753" i="1" s="1"/>
  <c r="D754" i="1" l="1"/>
  <c r="B754" i="1"/>
  <c r="C753" i="1"/>
  <c r="M753" i="1" l="1"/>
  <c r="N754" i="1"/>
  <c r="Q754" i="1" s="1"/>
  <c r="H754" i="1" s="1"/>
  <c r="O754" i="1"/>
  <c r="R754" i="1" s="1"/>
  <c r="I753" i="1"/>
  <c r="K753" i="1"/>
  <c r="P754" i="1"/>
  <c r="S754" i="1" s="1"/>
  <c r="L754" i="1" s="1"/>
  <c r="J754" i="1"/>
  <c r="G753" i="1" l="1"/>
  <c r="E754" i="1" s="1"/>
  <c r="F754" i="1"/>
  <c r="C754" i="1"/>
  <c r="D755" i="1"/>
  <c r="B755" i="1"/>
  <c r="I754" i="1" l="1"/>
  <c r="M754" i="1"/>
  <c r="P755" i="1"/>
  <c r="S755" i="1" s="1"/>
  <c r="L755" i="1" s="1"/>
  <c r="K754" i="1"/>
  <c r="O755" i="1"/>
  <c r="R755" i="1" s="1"/>
  <c r="J755" i="1" s="1"/>
  <c r="N755" i="1"/>
  <c r="Q755" i="1" s="1"/>
  <c r="H755" i="1" s="1"/>
  <c r="F755" i="1" s="1"/>
  <c r="G754" i="1" l="1"/>
  <c r="E755" i="1" s="1"/>
  <c r="C755" i="1"/>
  <c r="K755" i="1" s="1"/>
  <c r="M755" i="1"/>
  <c r="I755" i="1"/>
  <c r="P756" i="1"/>
  <c r="S756" i="1" s="1"/>
  <c r="O756" i="1"/>
  <c r="R756" i="1" s="1"/>
  <c r="N756" i="1"/>
  <c r="Q756" i="1" s="1"/>
  <c r="G755" i="1" l="1"/>
  <c r="E756" i="1" s="1"/>
  <c r="C756" i="1"/>
  <c r="K756" i="1" s="1"/>
  <c r="D756" i="1"/>
  <c r="B756" i="1"/>
  <c r="P757" i="1" s="1"/>
  <c r="S757" i="1" s="1"/>
  <c r="I756" i="1"/>
  <c r="M756" i="1"/>
  <c r="G756" i="1" l="1"/>
  <c r="E757" i="1" s="1"/>
  <c r="O757" i="1"/>
  <c r="H756" i="1"/>
  <c r="L756" i="1"/>
  <c r="N757" i="1"/>
  <c r="Q757" i="1" s="1"/>
  <c r="J756" i="1"/>
  <c r="R757" i="1"/>
  <c r="F756" i="1" l="1"/>
  <c r="D757" i="1" s="1"/>
  <c r="B757" i="1"/>
  <c r="C757" i="1"/>
  <c r="N758" i="1"/>
  <c r="Q758" i="1" s="1"/>
  <c r="H757" i="1" l="1"/>
  <c r="L757" i="1"/>
  <c r="J757" i="1"/>
  <c r="P758" i="1"/>
  <c r="S758" i="1" s="1"/>
  <c r="O758" i="1"/>
  <c r="R758" i="1" s="1"/>
  <c r="M757" i="1"/>
  <c r="K757" i="1"/>
  <c r="I757" i="1"/>
  <c r="F757" i="1" l="1"/>
  <c r="G757" i="1"/>
  <c r="E758" i="1" s="1"/>
  <c r="D758" i="1"/>
  <c r="B758" i="1"/>
  <c r="L758" i="1" l="1"/>
  <c r="J758" i="1"/>
  <c r="H758" i="1"/>
  <c r="F758" i="1" s="1"/>
  <c r="C758" i="1"/>
  <c r="K758" i="1" s="1"/>
  <c r="M758" i="1" l="1"/>
  <c r="B759" i="1"/>
  <c r="O759" i="1"/>
  <c r="P759" i="1"/>
  <c r="S759" i="1" s="1"/>
  <c r="N759" i="1"/>
  <c r="Q759" i="1" s="1"/>
  <c r="I758" i="1"/>
  <c r="R759" i="1"/>
  <c r="G758" i="1" l="1"/>
  <c r="E759" i="1" s="1"/>
  <c r="H759" i="1"/>
  <c r="J759" i="1"/>
  <c r="D759" i="1"/>
  <c r="L759" i="1"/>
  <c r="C759" i="1"/>
  <c r="I759" i="1" s="1"/>
  <c r="F759" i="1" l="1"/>
  <c r="B760" i="1" s="1"/>
  <c r="O760" i="1"/>
  <c r="R760" i="1" s="1"/>
  <c r="P760" i="1"/>
  <c r="S760" i="1" s="1"/>
  <c r="K759" i="1"/>
  <c r="N760" i="1"/>
  <c r="Q760" i="1" s="1"/>
  <c r="M759" i="1"/>
  <c r="H760" i="1" l="1"/>
  <c r="L760" i="1"/>
  <c r="J760" i="1"/>
  <c r="D760" i="1"/>
  <c r="G759" i="1"/>
  <c r="E760" i="1" s="1"/>
  <c r="F760" i="1" l="1"/>
  <c r="D761" i="1" s="1"/>
  <c r="C760" i="1"/>
  <c r="B761" i="1"/>
  <c r="P761" i="1" l="1"/>
  <c r="S761" i="1" s="1"/>
  <c r="L761" i="1" s="1"/>
  <c r="K760" i="1"/>
  <c r="M760" i="1"/>
  <c r="I760" i="1"/>
  <c r="O761" i="1"/>
  <c r="R761" i="1" s="1"/>
  <c r="J761" i="1" s="1"/>
  <c r="N761" i="1"/>
  <c r="Q761" i="1" s="1"/>
  <c r="H761" i="1" s="1"/>
  <c r="F761" i="1" s="1"/>
  <c r="G760" i="1" l="1"/>
  <c r="E761" i="1" s="1"/>
  <c r="C761" i="1" l="1"/>
  <c r="I761" i="1" s="1"/>
  <c r="G761" i="1" s="1"/>
  <c r="E762" i="1" s="1"/>
  <c r="B762" i="1"/>
  <c r="D762" i="1"/>
  <c r="P762" i="1"/>
  <c r="S762" i="1" s="1"/>
  <c r="M761" i="1"/>
  <c r="K761" i="1"/>
  <c r="O762" i="1"/>
  <c r="R762" i="1" s="1"/>
  <c r="N762" i="1"/>
  <c r="Q762" i="1" s="1"/>
  <c r="C762" i="1" l="1"/>
  <c r="I762" i="1" s="1"/>
  <c r="N763" i="1"/>
  <c r="Q763" i="1" s="1"/>
  <c r="L762" i="1"/>
  <c r="H762" i="1"/>
  <c r="J762" i="1"/>
  <c r="P763" i="1"/>
  <c r="S763" i="1" s="1"/>
  <c r="O763" i="1"/>
  <c r="R763" i="1" s="1"/>
  <c r="M762" i="1"/>
  <c r="K762" i="1"/>
  <c r="F762" i="1" l="1"/>
  <c r="G762" i="1"/>
  <c r="E763" i="1" s="1"/>
  <c r="B763" i="1" l="1"/>
  <c r="D763" i="1"/>
  <c r="C763" i="1"/>
  <c r="M763" i="1" s="1"/>
  <c r="O764" i="1"/>
  <c r="R764" i="1" s="1"/>
  <c r="K763" i="1"/>
  <c r="P764" i="1" l="1"/>
  <c r="S764" i="1" s="1"/>
  <c r="N764" i="1"/>
  <c r="Q764" i="1" s="1"/>
  <c r="I763" i="1"/>
  <c r="G763" i="1" s="1"/>
  <c r="E764" i="1" s="1"/>
  <c r="J763" i="1"/>
  <c r="L763" i="1"/>
  <c r="H763" i="1"/>
  <c r="F763" i="1" l="1"/>
  <c r="B764" i="1"/>
  <c r="C764" i="1"/>
  <c r="D764" i="1"/>
  <c r="N765" i="1" l="1"/>
  <c r="Q765" i="1" s="1"/>
  <c r="L764" i="1"/>
  <c r="J764" i="1"/>
  <c r="H764" i="1"/>
  <c r="P765" i="1"/>
  <c r="S765" i="1" s="1"/>
  <c r="O765" i="1"/>
  <c r="R765" i="1" s="1"/>
  <c r="I764" i="1"/>
  <c r="K764" i="1"/>
  <c r="M764" i="1"/>
  <c r="F764" i="1" l="1"/>
  <c r="B765" i="1" s="1"/>
  <c r="G764" i="1"/>
  <c r="E765" i="1" s="1"/>
  <c r="D765" i="1"/>
  <c r="H765" i="1" l="1"/>
  <c r="J765" i="1"/>
  <c r="L765" i="1"/>
  <c r="C765" i="1"/>
  <c r="K765" i="1" s="1"/>
  <c r="I765" i="1"/>
  <c r="O766" i="1" l="1"/>
  <c r="R766" i="1" s="1"/>
  <c r="N766" i="1"/>
  <c r="Q766" i="1" s="1"/>
  <c r="F765" i="1"/>
  <c r="D766" i="1" s="1"/>
  <c r="P766" i="1"/>
  <c r="S766" i="1" s="1"/>
  <c r="M765" i="1"/>
  <c r="G765" i="1" s="1"/>
  <c r="E766" i="1" s="1"/>
  <c r="B766" i="1"/>
  <c r="J766" i="1" s="1"/>
  <c r="L766" i="1" l="1"/>
  <c r="H766" i="1"/>
  <c r="F766" i="1"/>
  <c r="C766" i="1"/>
  <c r="D767" i="1"/>
  <c r="N767" i="1"/>
  <c r="Q767" i="1" s="1"/>
  <c r="B767" i="1" l="1"/>
  <c r="H767" i="1" s="1"/>
  <c r="P767" i="1"/>
  <c r="S767" i="1" s="1"/>
  <c r="O767" i="1"/>
  <c r="R767" i="1" s="1"/>
  <c r="J767" i="1" s="1"/>
  <c r="I766" i="1"/>
  <c r="M766" i="1"/>
  <c r="K766" i="1"/>
  <c r="L767" i="1"/>
  <c r="G766" i="1" l="1"/>
  <c r="E767" i="1" s="1"/>
  <c r="F767" i="1"/>
  <c r="C767" i="1"/>
  <c r="B768" i="1"/>
  <c r="D768" i="1"/>
  <c r="N768" i="1"/>
  <c r="Q768" i="1" s="1"/>
  <c r="P768" i="1" l="1"/>
  <c r="S768" i="1" s="1"/>
  <c r="O768" i="1"/>
  <c r="I767" i="1"/>
  <c r="K767" i="1"/>
  <c r="L768" i="1"/>
  <c r="H768" i="1"/>
  <c r="M767" i="1"/>
  <c r="G767" i="1" l="1"/>
  <c r="E768" i="1" s="1"/>
  <c r="R768" i="1"/>
  <c r="J768" i="1" s="1"/>
  <c r="F768" i="1" s="1"/>
  <c r="C768" i="1" l="1"/>
  <c r="B769" i="1"/>
  <c r="D769" i="1"/>
  <c r="N769" i="1"/>
  <c r="Q769" i="1" s="1"/>
  <c r="P769" i="1" l="1"/>
  <c r="S769" i="1" s="1"/>
  <c r="O769" i="1"/>
  <c r="R769" i="1" s="1"/>
  <c r="I768" i="1"/>
  <c r="M768" i="1"/>
  <c r="K768" i="1"/>
  <c r="H769" i="1"/>
  <c r="G768" i="1" l="1"/>
  <c r="E769" i="1" s="1"/>
  <c r="L769" i="1"/>
  <c r="J769" i="1"/>
  <c r="F769" i="1" s="1"/>
  <c r="C769" i="1" l="1"/>
  <c r="D770" i="1"/>
  <c r="N770" i="1"/>
  <c r="Q770" i="1" s="1"/>
  <c r="B770" i="1" l="1"/>
  <c r="P770" i="1"/>
  <c r="S770" i="1" s="1"/>
  <c r="O770" i="1"/>
  <c r="I769" i="1"/>
  <c r="H770" i="1"/>
  <c r="M769" i="1"/>
  <c r="K769" i="1"/>
  <c r="G769" i="1" l="1"/>
  <c r="E770" i="1" s="1"/>
  <c r="R770" i="1"/>
  <c r="J770" i="1" s="1"/>
  <c r="F770" i="1" s="1"/>
  <c r="L770" i="1"/>
  <c r="C770" i="1" l="1"/>
  <c r="N771" i="1"/>
  <c r="Q771" i="1" s="1"/>
  <c r="B771" i="1" l="1"/>
  <c r="D771" i="1"/>
  <c r="P771" i="1"/>
  <c r="S771" i="1" s="1"/>
  <c r="L771" i="1" s="1"/>
  <c r="O771" i="1"/>
  <c r="R771" i="1" s="1"/>
  <c r="I770" i="1"/>
  <c r="H771" i="1"/>
  <c r="M770" i="1"/>
  <c r="K770" i="1"/>
  <c r="G770" i="1" l="1"/>
  <c r="E771" i="1" s="1"/>
  <c r="J771" i="1"/>
  <c r="F771" i="1" s="1"/>
  <c r="B772" i="1" l="1"/>
  <c r="C771" i="1"/>
  <c r="D772" i="1"/>
  <c r="N772" i="1"/>
  <c r="Q772" i="1" s="1"/>
  <c r="P772" i="1" l="1"/>
  <c r="S772" i="1" s="1"/>
  <c r="O772" i="1"/>
  <c r="R772" i="1" s="1"/>
  <c r="I771" i="1"/>
  <c r="M771" i="1"/>
  <c r="L772" i="1"/>
  <c r="H772" i="1"/>
  <c r="K771" i="1"/>
  <c r="G771" i="1" l="1"/>
  <c r="E772" i="1" s="1"/>
  <c r="J772" i="1"/>
  <c r="F772" i="1" s="1"/>
  <c r="C772" i="1" l="1"/>
  <c r="B773" i="1"/>
  <c r="D773" i="1"/>
  <c r="N773" i="1"/>
  <c r="Q773" i="1" s="1"/>
  <c r="P773" i="1" l="1"/>
  <c r="S773" i="1" s="1"/>
  <c r="O773" i="1"/>
  <c r="I772" i="1"/>
  <c r="L773" i="1"/>
  <c r="H773" i="1"/>
  <c r="K772" i="1"/>
  <c r="M772" i="1"/>
  <c r="G772" i="1" l="1"/>
  <c r="E773" i="1" s="1"/>
  <c r="R773" i="1"/>
  <c r="J773" i="1" s="1"/>
  <c r="F773" i="1" s="1"/>
  <c r="C773" i="1" l="1"/>
  <c r="B774" i="1"/>
  <c r="D774" i="1"/>
  <c r="N774" i="1"/>
  <c r="Q774" i="1" s="1"/>
  <c r="P774" i="1" l="1"/>
  <c r="O774" i="1"/>
  <c r="R774" i="1" s="1"/>
  <c r="I773" i="1"/>
  <c r="H774" i="1"/>
  <c r="M773" i="1"/>
  <c r="K773" i="1"/>
  <c r="G773" i="1" l="1"/>
  <c r="E774" i="1" s="1"/>
  <c r="S774" i="1"/>
  <c r="L774" i="1" s="1"/>
  <c r="J774" i="1"/>
  <c r="F774" i="1" s="1"/>
  <c r="C774" i="1" l="1"/>
  <c r="N775" i="1"/>
  <c r="Q775" i="1" s="1"/>
  <c r="B775" i="1" l="1"/>
  <c r="H775" i="1" s="1"/>
  <c r="D775" i="1"/>
  <c r="P775" i="1"/>
  <c r="S775" i="1" s="1"/>
  <c r="L775" i="1" s="1"/>
  <c r="O775" i="1"/>
  <c r="R775" i="1" s="1"/>
  <c r="J775" i="1" s="1"/>
  <c r="I774" i="1"/>
  <c r="M774" i="1"/>
  <c r="K774" i="1"/>
  <c r="F775" i="1" l="1"/>
  <c r="G774" i="1"/>
  <c r="E775" i="1" s="1"/>
  <c r="B776" i="1"/>
  <c r="D776" i="1" l="1"/>
  <c r="C775" i="1"/>
  <c r="O776" i="1"/>
  <c r="R776" i="1" s="1"/>
  <c r="J776" i="1" s="1"/>
  <c r="K775" i="1"/>
  <c r="I775" i="1"/>
  <c r="M775" i="1"/>
  <c r="G775" i="1" l="1"/>
  <c r="E776" i="1" s="1"/>
  <c r="N776" i="1"/>
  <c r="Q776" i="1" s="1"/>
  <c r="H776" i="1" s="1"/>
  <c r="P776" i="1"/>
  <c r="S776" i="1" s="1"/>
  <c r="L776" i="1" s="1"/>
  <c r="F776" i="1" l="1"/>
  <c r="C776" i="1"/>
  <c r="B777" i="1"/>
  <c r="D777" i="1"/>
  <c r="N777" i="1"/>
  <c r="Q777" i="1" s="1"/>
  <c r="P777" i="1" l="1"/>
  <c r="S777" i="1" s="1"/>
  <c r="O777" i="1"/>
  <c r="R777" i="1" s="1"/>
  <c r="I776" i="1"/>
  <c r="M776" i="1"/>
  <c r="K776" i="1"/>
  <c r="L777" i="1"/>
  <c r="H777" i="1"/>
  <c r="G776" i="1" l="1"/>
  <c r="E777" i="1" s="1"/>
  <c r="J777" i="1"/>
  <c r="F777" i="1" s="1"/>
  <c r="C777" i="1" l="1"/>
  <c r="B778" i="1"/>
  <c r="D778" i="1"/>
  <c r="N778" i="1"/>
  <c r="Q778" i="1" s="1"/>
  <c r="P778" i="1" l="1"/>
  <c r="S778" i="1" s="1"/>
  <c r="O778" i="1"/>
  <c r="R778" i="1" s="1"/>
  <c r="J778" i="1" s="1"/>
  <c r="I777" i="1"/>
  <c r="M777" i="1"/>
  <c r="H778" i="1"/>
  <c r="K777" i="1"/>
  <c r="G777" i="1" l="1"/>
  <c r="E778" i="1" s="1"/>
  <c r="L778" i="1"/>
  <c r="F778" i="1" s="1"/>
  <c r="C778" i="1" l="1"/>
  <c r="B779" i="1"/>
  <c r="D779" i="1"/>
  <c r="N779" i="1"/>
  <c r="Q779" i="1" s="1"/>
  <c r="P779" i="1" l="1"/>
  <c r="S779" i="1" s="1"/>
  <c r="O779" i="1"/>
  <c r="R779" i="1" s="1"/>
  <c r="I778" i="1"/>
  <c r="K778" i="1"/>
  <c r="L779" i="1"/>
  <c r="H779" i="1"/>
  <c r="M778" i="1"/>
  <c r="G778" i="1" l="1"/>
  <c r="E779" i="1" s="1"/>
  <c r="J779" i="1"/>
  <c r="F779" i="1" s="1"/>
  <c r="C779" i="1" l="1"/>
  <c r="B780" i="1"/>
  <c r="D780" i="1"/>
  <c r="N780" i="1"/>
  <c r="Q780" i="1" s="1"/>
  <c r="P780" i="1" l="1"/>
  <c r="S780" i="1" s="1"/>
  <c r="O780" i="1"/>
  <c r="R780" i="1" s="1"/>
  <c r="I779" i="1"/>
  <c r="L780" i="1"/>
  <c r="H780" i="1"/>
  <c r="J780" i="1"/>
  <c r="K779" i="1"/>
  <c r="M779" i="1"/>
  <c r="F780" i="1" l="1"/>
  <c r="G779" i="1"/>
  <c r="E780" i="1" s="1"/>
  <c r="C780" i="1"/>
  <c r="B781" i="1"/>
  <c r="D781" i="1"/>
  <c r="N781" i="1"/>
  <c r="Q781" i="1" s="1"/>
  <c r="P781" i="1" l="1"/>
  <c r="S781" i="1" s="1"/>
  <c r="O781" i="1"/>
  <c r="R781" i="1" s="1"/>
  <c r="J781" i="1" s="1"/>
  <c r="I780" i="1"/>
  <c r="M780" i="1"/>
  <c r="L781" i="1"/>
  <c r="H781" i="1"/>
  <c r="K780" i="1"/>
  <c r="F781" i="1" l="1"/>
  <c r="G780" i="1"/>
  <c r="E781" i="1" s="1"/>
  <c r="D782" i="1"/>
  <c r="C781" i="1" l="1"/>
  <c r="B782" i="1"/>
  <c r="N782" i="1"/>
  <c r="Q782" i="1" s="1"/>
  <c r="P782" i="1" l="1"/>
  <c r="S782" i="1" s="1"/>
  <c r="O782" i="1"/>
  <c r="I781" i="1"/>
  <c r="L782" i="1"/>
  <c r="H782" i="1"/>
  <c r="K781" i="1"/>
  <c r="M781" i="1"/>
  <c r="G781" i="1" l="1"/>
  <c r="E782" i="1" s="1"/>
  <c r="R782" i="1"/>
  <c r="J782" i="1" s="1"/>
  <c r="F782" i="1" s="1"/>
  <c r="C782" i="1" l="1"/>
  <c r="B783" i="1"/>
  <c r="D783" i="1"/>
  <c r="N783" i="1"/>
  <c r="Q783" i="1" s="1"/>
  <c r="P783" i="1" l="1"/>
  <c r="S783" i="1" s="1"/>
  <c r="O783" i="1"/>
  <c r="R783" i="1" s="1"/>
  <c r="K782" i="1"/>
  <c r="I782" i="1"/>
  <c r="M782" i="1"/>
  <c r="H783" i="1"/>
  <c r="G782" i="1" l="1"/>
  <c r="E783" i="1" s="1"/>
  <c r="J783" i="1"/>
  <c r="F783" i="1" s="1"/>
  <c r="L783" i="1"/>
  <c r="C783" i="1" l="1"/>
  <c r="N784" i="1"/>
  <c r="Q784" i="1" s="1"/>
  <c r="B784" i="1" l="1"/>
  <c r="H784" i="1" s="1"/>
  <c r="D784" i="1"/>
  <c r="P784" i="1"/>
  <c r="S784" i="1" s="1"/>
  <c r="L784" i="1" s="1"/>
  <c r="O784" i="1"/>
  <c r="M783" i="1"/>
  <c r="I783" i="1"/>
  <c r="G783" i="1" s="1"/>
  <c r="E784" i="1" s="1"/>
  <c r="K783" i="1"/>
  <c r="R784" i="1" l="1"/>
  <c r="J784" i="1" s="1"/>
  <c r="F784" i="1" s="1"/>
  <c r="B785" i="1" l="1"/>
  <c r="C784" i="1"/>
  <c r="D785" i="1"/>
  <c r="N785" i="1"/>
  <c r="Q785" i="1" s="1"/>
  <c r="P785" i="1" l="1"/>
  <c r="S785" i="1" s="1"/>
  <c r="O785" i="1"/>
  <c r="M784" i="1"/>
  <c r="K784" i="1"/>
  <c r="H785" i="1"/>
  <c r="L785" i="1"/>
  <c r="I784" i="1"/>
  <c r="G784" i="1" s="1"/>
  <c r="E785" i="1" s="1"/>
  <c r="R785" i="1" l="1"/>
  <c r="J785" i="1" s="1"/>
  <c r="F785" i="1" s="1"/>
  <c r="D786" i="1" l="1"/>
  <c r="C785" i="1"/>
  <c r="B786" i="1"/>
  <c r="N786" i="1"/>
  <c r="Q786" i="1" s="1"/>
  <c r="H786" i="1" l="1"/>
  <c r="M785" i="1"/>
  <c r="K785" i="1"/>
  <c r="I785" i="1"/>
  <c r="G785" i="1" s="1"/>
  <c r="E786" i="1" s="1"/>
  <c r="O786" i="1"/>
  <c r="P786" i="1"/>
  <c r="C786" i="1" l="1"/>
  <c r="R786" i="1"/>
  <c r="J786" i="1" s="1"/>
  <c r="F786" i="1" s="1"/>
  <c r="S786" i="1"/>
  <c r="L786" i="1" s="1"/>
  <c r="N787" i="1"/>
  <c r="Q787" i="1" s="1"/>
  <c r="D787" i="1" l="1"/>
  <c r="P787" i="1"/>
  <c r="S787" i="1" s="1"/>
  <c r="O787" i="1"/>
  <c r="R787" i="1" s="1"/>
  <c r="M786" i="1"/>
  <c r="I786" i="1"/>
  <c r="K786" i="1"/>
  <c r="G786" i="1" l="1"/>
  <c r="E787" i="1" s="1"/>
  <c r="B787" i="1"/>
  <c r="L787" i="1" s="1"/>
  <c r="C787" i="1" l="1"/>
  <c r="H787" i="1"/>
  <c r="J787" i="1"/>
  <c r="N788" i="1"/>
  <c r="Q788" i="1" s="1"/>
  <c r="F787" i="1" l="1"/>
  <c r="D788" i="1"/>
  <c r="P788" i="1"/>
  <c r="S788" i="1" s="1"/>
  <c r="O788" i="1"/>
  <c r="R788" i="1" s="1"/>
  <c r="I787" i="1"/>
  <c r="M787" i="1"/>
  <c r="K787" i="1"/>
  <c r="G787" i="1" l="1"/>
  <c r="E788" i="1" s="1"/>
  <c r="B788" i="1"/>
  <c r="L788" i="1"/>
  <c r="H788" i="1"/>
  <c r="J788" i="1"/>
  <c r="F788" i="1" l="1"/>
  <c r="C788" i="1"/>
  <c r="I788" i="1" s="1"/>
  <c r="O789" i="1"/>
  <c r="R789" i="1" s="1"/>
  <c r="N789" i="1"/>
  <c r="Q789" i="1" s="1"/>
  <c r="P789" i="1"/>
  <c r="S789" i="1" s="1"/>
  <c r="D789" i="1"/>
  <c r="K788" i="1"/>
  <c r="M788" i="1" l="1"/>
  <c r="G788" i="1" s="1"/>
  <c r="E789" i="1" s="1"/>
  <c r="B789" i="1"/>
  <c r="J789" i="1"/>
  <c r="H789" i="1"/>
  <c r="F789" i="1" s="1"/>
  <c r="L789" i="1"/>
  <c r="C789" i="1" l="1"/>
  <c r="N790" i="1" s="1"/>
  <c r="Q790" i="1" s="1"/>
  <c r="M789" i="1"/>
  <c r="I789" i="1"/>
  <c r="K789" i="1"/>
  <c r="G789" i="1" l="1"/>
  <c r="E790" i="1" s="1"/>
  <c r="P790" i="1"/>
  <c r="S790" i="1" s="1"/>
  <c r="B790" i="1"/>
  <c r="D790" i="1"/>
  <c r="O790" i="1"/>
  <c r="R790" i="1" s="1"/>
  <c r="C790" i="1" l="1"/>
  <c r="N791" i="1" s="1"/>
  <c r="Q791" i="1" s="1"/>
  <c r="P791" i="1"/>
  <c r="S791" i="1" s="1"/>
  <c r="O791" i="1"/>
  <c r="R791" i="1" s="1"/>
  <c r="M790" i="1"/>
  <c r="I790" i="1"/>
  <c r="K790" i="1"/>
  <c r="L790" i="1"/>
  <c r="H790" i="1"/>
  <c r="J790" i="1"/>
  <c r="F790" i="1" l="1"/>
  <c r="G790" i="1"/>
  <c r="E791" i="1" s="1"/>
  <c r="B791" i="1" l="1"/>
  <c r="D791" i="1"/>
  <c r="C791" i="1"/>
  <c r="I791" i="1" s="1"/>
  <c r="K791" i="1"/>
  <c r="M791" i="1"/>
  <c r="N792" i="1"/>
  <c r="Q792" i="1" s="1"/>
  <c r="G791" i="1" l="1"/>
  <c r="E792" i="1" s="1"/>
  <c r="P792" i="1"/>
  <c r="S792" i="1" s="1"/>
  <c r="O792" i="1"/>
  <c r="R792" i="1" s="1"/>
  <c r="J791" i="1"/>
  <c r="L791" i="1"/>
  <c r="H791" i="1"/>
  <c r="F791" i="1" l="1"/>
  <c r="C792" i="1"/>
  <c r="K792" i="1"/>
  <c r="I792" i="1"/>
  <c r="M792" i="1"/>
  <c r="G792" i="1" l="1"/>
  <c r="E793" i="1" s="1"/>
  <c r="B792" i="1"/>
  <c r="D792" i="1"/>
  <c r="N793" i="1"/>
  <c r="Q793" i="1" s="1"/>
  <c r="C793" i="1" l="1"/>
  <c r="P793" i="1"/>
  <c r="S793" i="1" s="1"/>
  <c r="O793" i="1"/>
  <c r="J792" i="1"/>
  <c r="I793" i="1"/>
  <c r="L792" i="1"/>
  <c r="H792" i="1"/>
  <c r="F792" i="1" l="1"/>
  <c r="M793" i="1"/>
  <c r="R793" i="1"/>
  <c r="K793" i="1" s="1"/>
  <c r="G793" i="1" s="1"/>
  <c r="E794" i="1" s="1"/>
  <c r="D793" i="1"/>
  <c r="C794" i="1" l="1"/>
  <c r="B793" i="1"/>
  <c r="L793" i="1" s="1"/>
  <c r="H793" i="1"/>
  <c r="F793" i="1" s="1"/>
  <c r="J793" i="1"/>
  <c r="O794" i="1" l="1"/>
  <c r="R794" i="1" s="1"/>
  <c r="P794" i="1"/>
  <c r="S794" i="1" s="1"/>
  <c r="N794" i="1"/>
  <c r="Q794" i="1" s="1"/>
  <c r="I794" i="1" s="1"/>
  <c r="G794" i="1" s="1"/>
  <c r="E795" i="1" s="1"/>
  <c r="K794" i="1"/>
  <c r="M794" i="1"/>
  <c r="B794" i="1" l="1"/>
  <c r="D794" i="1"/>
  <c r="N795" i="1"/>
  <c r="Q795" i="1" s="1"/>
  <c r="C795" i="1" l="1"/>
  <c r="P795" i="1"/>
  <c r="S795" i="1" s="1"/>
  <c r="M795" i="1" s="1"/>
  <c r="O795" i="1"/>
  <c r="R795" i="1" s="1"/>
  <c r="K795" i="1" s="1"/>
  <c r="H794" i="1"/>
  <c r="J794" i="1"/>
  <c r="I795" i="1"/>
  <c r="G795" i="1" s="1"/>
  <c r="E796" i="1" s="1"/>
  <c r="L794" i="1"/>
  <c r="F794" i="1" l="1"/>
  <c r="C796" i="1"/>
  <c r="B795" i="1" l="1"/>
  <c r="D795" i="1"/>
  <c r="N796" i="1"/>
  <c r="Q796" i="1" s="1"/>
  <c r="P796" i="1" l="1"/>
  <c r="S796" i="1" s="1"/>
  <c r="M796" i="1" s="1"/>
  <c r="O796" i="1"/>
  <c r="R796" i="1" s="1"/>
  <c r="L795" i="1"/>
  <c r="J795" i="1"/>
  <c r="I796" i="1"/>
  <c r="G796" i="1" s="1"/>
  <c r="E797" i="1" s="1"/>
  <c r="K796" i="1"/>
  <c r="H795" i="1"/>
  <c r="F795" i="1" s="1"/>
  <c r="D796" i="1" l="1"/>
  <c r="C797" i="1" l="1"/>
  <c r="B796" i="1"/>
  <c r="O797" i="1"/>
  <c r="R797" i="1" s="1"/>
  <c r="K797" i="1" s="1"/>
  <c r="J796" i="1"/>
  <c r="H796" i="1"/>
  <c r="N797" i="1" l="1"/>
  <c r="Q797" i="1" s="1"/>
  <c r="I797" i="1" s="1"/>
  <c r="P797" i="1"/>
  <c r="S797" i="1" s="1"/>
  <c r="M797" i="1" s="1"/>
  <c r="L796" i="1"/>
  <c r="F796" i="1" s="1"/>
  <c r="G797" i="1" l="1"/>
  <c r="E798" i="1" s="1"/>
  <c r="D797" i="1"/>
  <c r="C798" i="1"/>
  <c r="B797" i="1"/>
  <c r="L797" i="1" s="1"/>
  <c r="O798" i="1"/>
  <c r="R798" i="1" s="1"/>
  <c r="P798" i="1" l="1"/>
  <c r="S798" i="1" s="1"/>
  <c r="J797" i="1"/>
  <c r="H797" i="1"/>
  <c r="F797" i="1" s="1"/>
  <c r="N798" i="1"/>
  <c r="Q798" i="1" s="1"/>
  <c r="I798" i="1" s="1"/>
  <c r="G798" i="1" s="1"/>
  <c r="E799" i="1" s="1"/>
  <c r="M798" i="1"/>
  <c r="K798" i="1"/>
  <c r="B798" i="1" l="1"/>
  <c r="D798" i="1"/>
  <c r="N799" i="1"/>
  <c r="Q799" i="1" s="1"/>
  <c r="C799" i="1" l="1"/>
  <c r="P799" i="1"/>
  <c r="S799" i="1" s="1"/>
  <c r="O799" i="1"/>
  <c r="R799" i="1" s="1"/>
  <c r="H798" i="1"/>
  <c r="J798" i="1"/>
  <c r="L798" i="1"/>
  <c r="F798" i="1" l="1"/>
  <c r="I799" i="1"/>
  <c r="K799" i="1"/>
  <c r="M799" i="1"/>
  <c r="G799" i="1" l="1"/>
  <c r="E800" i="1" s="1"/>
  <c r="B799" i="1"/>
  <c r="N800" i="1" s="1"/>
  <c r="Q800" i="1" s="1"/>
  <c r="D799" i="1"/>
  <c r="C800" i="1" l="1"/>
  <c r="P800" i="1"/>
  <c r="S800" i="1" s="1"/>
  <c r="O800" i="1"/>
  <c r="R800" i="1" s="1"/>
  <c r="L799" i="1"/>
  <c r="J799" i="1"/>
  <c r="H799" i="1"/>
  <c r="F799" i="1" l="1"/>
  <c r="D800" i="1"/>
  <c r="I800" i="1"/>
  <c r="K800" i="1"/>
  <c r="M800" i="1"/>
  <c r="G800" i="1" l="1"/>
  <c r="E801" i="1" s="1"/>
  <c r="B800" i="1"/>
  <c r="P801" i="1" s="1"/>
  <c r="S801" i="1" s="1"/>
  <c r="J800" i="1"/>
  <c r="L800" i="1"/>
  <c r="H800" i="1"/>
  <c r="F800" i="1" s="1"/>
  <c r="O801" i="1" l="1"/>
  <c r="R801" i="1" s="1"/>
  <c r="C801" i="1"/>
  <c r="N801" i="1"/>
  <c r="Q801" i="1" s="1"/>
  <c r="I801" i="1" s="1"/>
  <c r="G801" i="1" s="1"/>
  <c r="E802" i="1" s="1"/>
  <c r="K801" i="1"/>
  <c r="D801" i="1"/>
  <c r="M801" i="1"/>
  <c r="B801" i="1" l="1"/>
  <c r="P802" i="1" s="1"/>
  <c r="S802" i="1" s="1"/>
  <c r="O802" i="1"/>
  <c r="R802" i="1" s="1"/>
  <c r="L801" i="1"/>
  <c r="J801" i="1"/>
  <c r="H801" i="1"/>
  <c r="F801" i="1" s="1"/>
  <c r="C802" i="1" l="1"/>
  <c r="N802" i="1"/>
  <c r="Q802" i="1" s="1"/>
  <c r="I802" i="1" s="1"/>
  <c r="G802" i="1" s="1"/>
  <c r="E803" i="1" s="1"/>
  <c r="K802" i="1"/>
  <c r="M802" i="1"/>
  <c r="B802" i="1" l="1"/>
  <c r="D802" i="1"/>
  <c r="N803" i="1"/>
  <c r="Q803" i="1" s="1"/>
  <c r="C803" i="1" l="1"/>
  <c r="P803" i="1"/>
  <c r="S803" i="1" s="1"/>
  <c r="O803" i="1"/>
  <c r="R803" i="1" s="1"/>
  <c r="J802" i="1"/>
  <c r="H802" i="1"/>
  <c r="L802" i="1"/>
  <c r="F802" i="1" l="1"/>
  <c r="M803" i="1"/>
  <c r="I803" i="1"/>
  <c r="K803" i="1"/>
  <c r="G803" i="1" l="1"/>
  <c r="E804" i="1" s="1"/>
  <c r="B803" i="1"/>
  <c r="D803" i="1"/>
  <c r="N804" i="1"/>
  <c r="Q804" i="1" s="1"/>
  <c r="C804" i="1" l="1"/>
  <c r="P804" i="1"/>
  <c r="S804" i="1" s="1"/>
  <c r="O804" i="1"/>
  <c r="R804" i="1" s="1"/>
  <c r="J803" i="1"/>
  <c r="H803" i="1"/>
  <c r="F803" i="1" s="1"/>
  <c r="L803" i="1"/>
  <c r="M804" i="1" l="1"/>
  <c r="K804" i="1"/>
  <c r="I804" i="1"/>
  <c r="G804" i="1" l="1"/>
  <c r="B804" i="1"/>
  <c r="D804" i="1"/>
  <c r="N805" i="1"/>
  <c r="Q805" i="1" s="1"/>
  <c r="C805" i="1" l="1"/>
  <c r="E805" i="1"/>
  <c r="P805" i="1"/>
  <c r="S805" i="1" s="1"/>
  <c r="M805" i="1" s="1"/>
  <c r="O805" i="1"/>
  <c r="R805" i="1" s="1"/>
  <c r="J804" i="1"/>
  <c r="H804" i="1"/>
  <c r="L804" i="1"/>
  <c r="K805" i="1"/>
  <c r="I805" i="1"/>
  <c r="F804" i="1" l="1"/>
  <c r="G805" i="1"/>
  <c r="E806" i="1" s="1"/>
  <c r="C806" i="1"/>
  <c r="B805" i="1"/>
  <c r="D805" i="1"/>
  <c r="N806" i="1"/>
  <c r="Q806" i="1" s="1"/>
  <c r="P806" i="1" l="1"/>
  <c r="O806" i="1"/>
  <c r="R806" i="1" s="1"/>
  <c r="K806" i="1" s="1"/>
  <c r="I806" i="1"/>
  <c r="H805" i="1"/>
  <c r="J805" i="1"/>
  <c r="L805" i="1"/>
  <c r="F805" i="1" l="1"/>
  <c r="S806" i="1"/>
  <c r="M806" i="1" s="1"/>
  <c r="G806" i="1" s="1"/>
  <c r="E807" i="1" s="1"/>
  <c r="D806" i="1"/>
  <c r="C807" i="1" l="1"/>
  <c r="B806" i="1"/>
  <c r="H806" i="1" s="1"/>
  <c r="O807" i="1"/>
  <c r="P807" i="1" l="1"/>
  <c r="S807" i="1" s="1"/>
  <c r="J806" i="1"/>
  <c r="F806" i="1" s="1"/>
  <c r="L806" i="1"/>
  <c r="N807" i="1"/>
  <c r="Q807" i="1" s="1"/>
  <c r="I807" i="1" s="1"/>
  <c r="R807" i="1"/>
  <c r="M807" i="1"/>
  <c r="D807" i="1" l="1"/>
  <c r="B807" i="1"/>
  <c r="J807" i="1" s="1"/>
  <c r="K807" i="1"/>
  <c r="G807" i="1" s="1"/>
  <c r="E808" i="1" s="1"/>
  <c r="C808" i="1" l="1"/>
  <c r="H807" i="1"/>
  <c r="O808" i="1"/>
  <c r="R808" i="1" s="1"/>
  <c r="P808" i="1"/>
  <c r="S808" i="1" s="1"/>
  <c r="L807" i="1"/>
  <c r="N808" i="1"/>
  <c r="Q808" i="1" s="1"/>
  <c r="F807" i="1" l="1"/>
  <c r="D808" i="1"/>
  <c r="B808" i="1"/>
  <c r="O809" i="1" s="1"/>
  <c r="R809" i="1" s="1"/>
  <c r="M808" i="1"/>
  <c r="K808" i="1"/>
  <c r="I808" i="1"/>
  <c r="G808" i="1" s="1"/>
  <c r="E809" i="1" s="1"/>
  <c r="H808" i="1" l="1"/>
  <c r="J808" i="1"/>
  <c r="L808" i="1"/>
  <c r="N809" i="1"/>
  <c r="Q809" i="1" s="1"/>
  <c r="P809" i="1"/>
  <c r="S809" i="1" s="1"/>
  <c r="F808" i="1" l="1"/>
  <c r="C809" i="1"/>
  <c r="D809" i="1"/>
  <c r="B809" i="1" l="1"/>
  <c r="P810" i="1"/>
  <c r="O810" i="1"/>
  <c r="R810" i="1" s="1"/>
  <c r="K809" i="1"/>
  <c r="M809" i="1"/>
  <c r="I809" i="1"/>
  <c r="G809" i="1" s="1"/>
  <c r="E810" i="1" s="1"/>
  <c r="J809" i="1" l="1"/>
  <c r="H809" i="1"/>
  <c r="L809" i="1"/>
  <c r="N810" i="1"/>
  <c r="Q810" i="1" s="1"/>
  <c r="S810" i="1"/>
  <c r="F809" i="1" l="1"/>
  <c r="D810" i="1"/>
  <c r="C810" i="1"/>
  <c r="B810" i="1"/>
  <c r="N811" i="1" s="1"/>
  <c r="Q811" i="1" s="1"/>
  <c r="H810" i="1" l="1"/>
  <c r="J810" i="1"/>
  <c r="L810" i="1"/>
  <c r="P811" i="1"/>
  <c r="S811" i="1" s="1"/>
  <c r="O811" i="1"/>
  <c r="R811" i="1" s="1"/>
  <c r="M810" i="1"/>
  <c r="K810" i="1"/>
  <c r="I810" i="1"/>
  <c r="G810" i="1" s="1"/>
  <c r="E811" i="1" s="1"/>
  <c r="F810" i="1" l="1"/>
  <c r="D811" i="1"/>
  <c r="B811" i="1"/>
  <c r="C811" i="1" l="1"/>
  <c r="H811" i="1"/>
  <c r="J811" i="1"/>
  <c r="L811" i="1"/>
  <c r="N812" i="1"/>
  <c r="Q812" i="1" s="1"/>
  <c r="F811" i="1" l="1"/>
  <c r="O812" i="1"/>
  <c r="R812" i="1" s="1"/>
  <c r="I811" i="1"/>
  <c r="K811" i="1"/>
  <c r="M811" i="1"/>
  <c r="P812" i="1"/>
  <c r="S812" i="1" s="1"/>
  <c r="D812" i="1"/>
  <c r="G811" i="1" l="1"/>
  <c r="E812" i="1" s="1"/>
  <c r="B812" i="1"/>
  <c r="J812" i="1" s="1"/>
  <c r="L812" i="1"/>
  <c r="H812" i="1" l="1"/>
  <c r="F812" i="1"/>
  <c r="C812" i="1"/>
  <c r="D813" i="1"/>
  <c r="M812" i="1" l="1"/>
  <c r="I812" i="1"/>
  <c r="K812" i="1"/>
  <c r="O813" i="1"/>
  <c r="R813" i="1" s="1"/>
  <c r="N813" i="1"/>
  <c r="Q813" i="1" s="1"/>
  <c r="P813" i="1"/>
  <c r="S813" i="1" s="1"/>
  <c r="B813" i="1"/>
  <c r="J813" i="1" s="1"/>
  <c r="G812" i="1" l="1"/>
  <c r="E813" i="1" s="1"/>
  <c r="C813" i="1"/>
  <c r="N814" i="1"/>
  <c r="Q814" i="1" s="1"/>
  <c r="H813" i="1"/>
  <c r="I813" i="1"/>
  <c r="M813" i="1"/>
  <c r="K813" i="1"/>
  <c r="L813" i="1"/>
  <c r="O814" i="1"/>
  <c r="R814" i="1" s="1"/>
  <c r="P814" i="1"/>
  <c r="S814" i="1" s="1"/>
  <c r="F813" i="1" l="1"/>
  <c r="G813" i="1"/>
  <c r="C814" i="1" s="1"/>
  <c r="E814" i="1" l="1"/>
  <c r="I814" i="1"/>
  <c r="M814" i="1"/>
  <c r="K814" i="1"/>
  <c r="B814" i="1"/>
  <c r="D814" i="1"/>
  <c r="G814" i="1" l="1"/>
  <c r="E815" i="1" s="1"/>
  <c r="P815" i="1"/>
  <c r="S815" i="1" s="1"/>
  <c r="J814" i="1"/>
  <c r="L814" i="1"/>
  <c r="H814" i="1"/>
  <c r="N815" i="1"/>
  <c r="Q815" i="1" s="1"/>
  <c r="O815" i="1"/>
  <c r="R815" i="1" s="1"/>
  <c r="F814" i="1" l="1"/>
  <c r="C815" i="1"/>
  <c r="I815" i="1"/>
  <c r="K815" i="1"/>
  <c r="D815" i="1"/>
  <c r="B815" i="1"/>
  <c r="M815" i="1"/>
  <c r="G815" i="1" s="1"/>
  <c r="E816" i="1" s="1"/>
  <c r="C816" i="1" l="1"/>
  <c r="J815" i="1"/>
  <c r="H815" i="1"/>
  <c r="P816" i="1"/>
  <c r="S816" i="1" s="1"/>
  <c r="L815" i="1"/>
  <c r="O816" i="1"/>
  <c r="R816" i="1" s="1"/>
  <c r="N816" i="1"/>
  <c r="Q816" i="1" s="1"/>
  <c r="F815" i="1" l="1"/>
  <c r="D816" i="1"/>
  <c r="B816" i="1"/>
  <c r="O817" i="1" s="1"/>
  <c r="K816" i="1"/>
  <c r="M816" i="1"/>
  <c r="I816" i="1"/>
  <c r="G816" i="1" s="1"/>
  <c r="E817" i="1" s="1"/>
  <c r="N817" i="1" l="1"/>
  <c r="L816" i="1"/>
  <c r="H816" i="1"/>
  <c r="J816" i="1"/>
  <c r="P817" i="1"/>
  <c r="S817" i="1" s="1"/>
  <c r="Q817" i="1"/>
  <c r="R817" i="1"/>
  <c r="F816" i="1" l="1"/>
  <c r="D817" i="1"/>
  <c r="B817" i="1"/>
  <c r="L817" i="1" s="1"/>
  <c r="C817" i="1"/>
  <c r="I817" i="1" s="1"/>
  <c r="M817" i="1"/>
  <c r="K817" i="1" l="1"/>
  <c r="G817" i="1" s="1"/>
  <c r="E818" i="1" s="1"/>
  <c r="J817" i="1"/>
  <c r="P818" i="1"/>
  <c r="S818" i="1" s="1"/>
  <c r="H817" i="1"/>
  <c r="F817" i="1" s="1"/>
  <c r="N818" i="1"/>
  <c r="Q818" i="1" s="1"/>
  <c r="O818" i="1"/>
  <c r="R818" i="1" s="1"/>
  <c r="B818" i="1" l="1"/>
  <c r="C818" i="1"/>
  <c r="I818" i="1" s="1"/>
  <c r="D818" i="1"/>
  <c r="N819" i="1" l="1"/>
  <c r="Q819" i="1" s="1"/>
  <c r="O819" i="1"/>
  <c r="R819" i="1" s="1"/>
  <c r="H818" i="1"/>
  <c r="P819" i="1"/>
  <c r="S819" i="1" s="1"/>
  <c r="L818" i="1"/>
  <c r="J818" i="1"/>
  <c r="K818" i="1"/>
  <c r="M818" i="1"/>
  <c r="F818" i="1" l="1"/>
  <c r="G818" i="1"/>
  <c r="C819" i="1" l="1"/>
  <c r="E819" i="1"/>
  <c r="D819" i="1"/>
  <c r="B819" i="1"/>
  <c r="N820" i="1"/>
  <c r="Q820" i="1" s="1"/>
  <c r="K819" i="1"/>
  <c r="I819" i="1"/>
  <c r="M819" i="1"/>
  <c r="G819" i="1" l="1"/>
  <c r="E820" i="1" s="1"/>
  <c r="O820" i="1"/>
  <c r="R820" i="1" s="1"/>
  <c r="H819" i="1"/>
  <c r="L819" i="1"/>
  <c r="P820" i="1"/>
  <c r="S820" i="1" s="1"/>
  <c r="J819" i="1"/>
  <c r="F819" i="1" l="1"/>
  <c r="C820" i="1"/>
  <c r="B820" i="1" l="1"/>
  <c r="D820" i="1"/>
  <c r="M820" i="1"/>
  <c r="K820" i="1"/>
  <c r="I820" i="1"/>
  <c r="O821" i="1"/>
  <c r="R821" i="1" s="1"/>
  <c r="G820" i="1" l="1"/>
  <c r="N821" i="1"/>
  <c r="Q821" i="1" s="1"/>
  <c r="J820" i="1"/>
  <c r="L820" i="1"/>
  <c r="P821" i="1"/>
  <c r="S821" i="1" s="1"/>
  <c r="H820" i="1"/>
  <c r="C821" i="1" l="1"/>
  <c r="E821" i="1"/>
  <c r="F820" i="1"/>
  <c r="D821" i="1" s="1"/>
  <c r="K821" i="1"/>
  <c r="I821" i="1"/>
  <c r="M821" i="1"/>
  <c r="B821" i="1"/>
  <c r="L821" i="1" s="1"/>
  <c r="H821" i="1" l="1"/>
  <c r="N822" i="1"/>
  <c r="Q822" i="1" s="1"/>
  <c r="P822" i="1"/>
  <c r="S822" i="1" s="1"/>
  <c r="J821" i="1"/>
  <c r="G821" i="1"/>
  <c r="C822" i="1" s="1"/>
  <c r="O822" i="1"/>
  <c r="R822" i="1" s="1"/>
  <c r="E822" i="1" l="1"/>
  <c r="F821" i="1"/>
  <c r="B822" i="1" s="1"/>
  <c r="O823" i="1" s="1"/>
  <c r="R823" i="1" s="1"/>
  <c r="M822" i="1"/>
  <c r="I822" i="1"/>
  <c r="K822" i="1"/>
  <c r="P823" i="1"/>
  <c r="S823" i="1" s="1"/>
  <c r="D822" i="1" l="1"/>
  <c r="L822" i="1"/>
  <c r="H822" i="1"/>
  <c r="J822" i="1"/>
  <c r="N823" i="1"/>
  <c r="Q823" i="1" s="1"/>
  <c r="G822" i="1"/>
  <c r="E823" i="1" s="1"/>
  <c r="F822" i="1" l="1"/>
  <c r="C823" i="1"/>
  <c r="D823" i="1" l="1"/>
  <c r="B823" i="1"/>
  <c r="N824" i="1"/>
  <c r="Q824" i="1" s="1"/>
  <c r="P824" i="1"/>
  <c r="S824" i="1" s="1"/>
  <c r="M823" i="1"/>
  <c r="K823" i="1"/>
  <c r="I823" i="1"/>
  <c r="G823" i="1" s="1"/>
  <c r="E824" i="1" s="1"/>
  <c r="J823" i="1" l="1"/>
  <c r="L823" i="1"/>
  <c r="O824" i="1"/>
  <c r="R824" i="1" s="1"/>
  <c r="H823" i="1"/>
  <c r="F823" i="1" s="1"/>
  <c r="D824" i="1" s="1"/>
  <c r="B824" i="1"/>
  <c r="H824" i="1" s="1"/>
  <c r="L824" i="1"/>
  <c r="J824" i="1" l="1"/>
  <c r="F824" i="1" s="1"/>
  <c r="C824" i="1"/>
  <c r="P825" i="1" s="1"/>
  <c r="I824" i="1"/>
  <c r="N825" i="1" l="1"/>
  <c r="Q825" i="1" s="1"/>
  <c r="B825" i="1"/>
  <c r="D825" i="1"/>
  <c r="H825" i="1"/>
  <c r="K824" i="1"/>
  <c r="G824" i="1" s="1"/>
  <c r="E825" i="1" s="1"/>
  <c r="M824" i="1"/>
  <c r="O825" i="1"/>
  <c r="R825" i="1" s="1"/>
  <c r="J825" i="1" s="1"/>
  <c r="S825" i="1"/>
  <c r="L825" i="1" s="1"/>
  <c r="F825" i="1" l="1"/>
  <c r="C825" i="1"/>
  <c r="B826" i="1" l="1"/>
  <c r="D826" i="1"/>
  <c r="O826" i="1"/>
  <c r="R826" i="1" s="1"/>
  <c r="J826" i="1" s="1"/>
  <c r="N826" i="1"/>
  <c r="K825" i="1"/>
  <c r="M825" i="1"/>
  <c r="I825" i="1"/>
  <c r="P826" i="1"/>
  <c r="G825" i="1" l="1"/>
  <c r="E826" i="1" s="1"/>
  <c r="Q826" i="1"/>
  <c r="H826" i="1" s="1"/>
  <c r="F826" i="1" s="1"/>
  <c r="S826" i="1"/>
  <c r="L826" i="1" s="1"/>
  <c r="C826" i="1" l="1"/>
  <c r="N827" i="1" s="1"/>
  <c r="M826" i="1"/>
  <c r="O827" i="1"/>
  <c r="I826" i="1" l="1"/>
  <c r="B827" i="1"/>
  <c r="D827" i="1"/>
  <c r="K826" i="1"/>
  <c r="P827" i="1"/>
  <c r="Q827" i="1"/>
  <c r="H827" i="1" s="1"/>
  <c r="R827" i="1"/>
  <c r="J827" i="1" s="1"/>
  <c r="S827" i="1"/>
  <c r="L827" i="1" s="1"/>
  <c r="F827" i="1" l="1"/>
  <c r="G826" i="1"/>
  <c r="E827" i="1" s="1"/>
  <c r="B828" i="1"/>
  <c r="C827" i="1" l="1"/>
  <c r="I827" i="1"/>
  <c r="P828" i="1"/>
  <c r="D828" i="1"/>
  <c r="S828" i="1"/>
  <c r="L828" i="1" s="1"/>
  <c r="M827" i="1" l="1"/>
  <c r="N828" i="1"/>
  <c r="Q828" i="1" s="1"/>
  <c r="H828" i="1" s="1"/>
  <c r="K827" i="1"/>
  <c r="G827" i="1" s="1"/>
  <c r="E828" i="1" s="1"/>
  <c r="O828" i="1"/>
  <c r="R828" i="1" s="1"/>
  <c r="J828" i="1" s="1"/>
  <c r="F828" i="1" l="1"/>
  <c r="B829" i="1" s="1"/>
  <c r="C828" i="1"/>
  <c r="D829" i="1"/>
  <c r="O829" i="1"/>
  <c r="N829" i="1"/>
  <c r="I828" i="1" l="1"/>
  <c r="M828" i="1"/>
  <c r="P829" i="1"/>
  <c r="S829" i="1" s="1"/>
  <c r="L829" i="1" s="1"/>
  <c r="K828" i="1"/>
  <c r="Q829" i="1"/>
  <c r="H829" i="1" s="1"/>
  <c r="R829" i="1"/>
  <c r="G828" i="1" l="1"/>
  <c r="E829" i="1" s="1"/>
  <c r="J829" i="1"/>
  <c r="F829" i="1" s="1"/>
  <c r="C829" i="1" l="1"/>
  <c r="B830" i="1"/>
  <c r="D830" i="1"/>
  <c r="P830" i="1" l="1"/>
  <c r="S830" i="1" s="1"/>
  <c r="N830" i="1"/>
  <c r="Q830" i="1" s="1"/>
  <c r="H830" i="1" s="1"/>
  <c r="I829" i="1"/>
  <c r="M829" i="1"/>
  <c r="K829" i="1"/>
  <c r="O830" i="1"/>
  <c r="R830" i="1" s="1"/>
  <c r="J830" i="1" s="1"/>
  <c r="L830" i="1"/>
  <c r="F830" i="1" l="1"/>
  <c r="G829" i="1"/>
  <c r="E830" i="1" s="1"/>
  <c r="C830" i="1" l="1"/>
  <c r="B831" i="1"/>
  <c r="D831" i="1"/>
  <c r="K830" i="1" l="1"/>
  <c r="I830" i="1"/>
  <c r="M830" i="1"/>
  <c r="N831" i="1"/>
  <c r="Q831" i="1" s="1"/>
  <c r="H831" i="1" s="1"/>
  <c r="O831" i="1"/>
  <c r="R831" i="1" s="1"/>
  <c r="J831" i="1" s="1"/>
  <c r="P831" i="1"/>
  <c r="S831" i="1" s="1"/>
  <c r="L831" i="1" s="1"/>
  <c r="F831" i="1" l="1"/>
  <c r="G830" i="1"/>
  <c r="E831" i="1" s="1"/>
  <c r="B832" i="1"/>
  <c r="D832" i="1"/>
  <c r="C831" i="1" l="1"/>
  <c r="K831" i="1" l="1"/>
  <c r="I831" i="1"/>
  <c r="O832" i="1"/>
  <c r="R832" i="1" s="1"/>
  <c r="J832" i="1" s="1"/>
  <c r="M831" i="1"/>
  <c r="P832" i="1"/>
  <c r="S832" i="1" s="1"/>
  <c r="L832" i="1" s="1"/>
  <c r="N832" i="1"/>
  <c r="Q832" i="1" s="1"/>
  <c r="H832" i="1" s="1"/>
  <c r="F832" i="1" s="1"/>
  <c r="B833" i="1" s="1"/>
  <c r="G831" i="1" l="1"/>
  <c r="E832" i="1" s="1"/>
  <c r="D833" i="1"/>
  <c r="C832" i="1" l="1"/>
  <c r="N833" i="1" l="1"/>
  <c r="Q833" i="1" s="1"/>
  <c r="H833" i="1" s="1"/>
  <c r="M832" i="1"/>
  <c r="O833" i="1"/>
  <c r="R833" i="1" s="1"/>
  <c r="J833" i="1" s="1"/>
  <c r="P833" i="1"/>
  <c r="S833" i="1" s="1"/>
  <c r="L833" i="1" s="1"/>
  <c r="K832" i="1"/>
  <c r="I832" i="1"/>
  <c r="G832" i="1" l="1"/>
  <c r="E833" i="1" s="1"/>
  <c r="F833" i="1"/>
  <c r="D834" i="1" l="1"/>
  <c r="B834" i="1"/>
  <c r="C833" i="1"/>
  <c r="M833" i="1" l="1"/>
  <c r="N834" i="1"/>
  <c r="Q834" i="1" s="1"/>
  <c r="H834" i="1" s="1"/>
  <c r="O834" i="1"/>
  <c r="R834" i="1" s="1"/>
  <c r="J834" i="1" s="1"/>
  <c r="I833" i="1"/>
  <c r="P834" i="1"/>
  <c r="S834" i="1" s="1"/>
  <c r="L834" i="1" s="1"/>
  <c r="K833" i="1"/>
  <c r="G833" i="1" l="1"/>
  <c r="E834" i="1" s="1"/>
  <c r="F834" i="1"/>
  <c r="B835" i="1" l="1"/>
  <c r="D835" i="1"/>
  <c r="C834" i="1"/>
  <c r="K834" i="1" l="1"/>
  <c r="M834" i="1"/>
  <c r="I834" i="1"/>
  <c r="G834" i="1" s="1"/>
  <c r="E835" i="1" s="1"/>
  <c r="O835" i="1"/>
  <c r="R835" i="1" s="1"/>
  <c r="J835" i="1" s="1"/>
  <c r="P835" i="1"/>
  <c r="S835" i="1" s="1"/>
  <c r="L835" i="1" s="1"/>
  <c r="N835" i="1"/>
  <c r="Q835" i="1" s="1"/>
  <c r="H835" i="1" s="1"/>
  <c r="F835" i="1" s="1"/>
  <c r="C835" i="1"/>
  <c r="K835" i="1" l="1"/>
  <c r="M835" i="1"/>
  <c r="P836" i="1"/>
  <c r="S836" i="1" s="1"/>
  <c r="O836" i="1"/>
  <c r="R836" i="1" s="1"/>
  <c r="I835" i="1"/>
  <c r="G835" i="1" s="1"/>
  <c r="C836" i="1" s="1"/>
  <c r="N836" i="1"/>
  <c r="Q836" i="1" s="1"/>
  <c r="H836" i="1" s="1"/>
  <c r="B836" i="1"/>
  <c r="D836" i="1"/>
  <c r="E836" i="1" l="1"/>
  <c r="J836" i="1"/>
  <c r="L836" i="1"/>
  <c r="K836" i="1"/>
  <c r="I836" i="1"/>
  <c r="N837" i="1"/>
  <c r="O837" i="1"/>
  <c r="M836" i="1"/>
  <c r="P837" i="1"/>
  <c r="F836" i="1" l="1"/>
  <c r="B837" i="1"/>
  <c r="D837" i="1"/>
  <c r="G836" i="1"/>
  <c r="E837" i="1" s="1"/>
  <c r="Q837" i="1"/>
  <c r="H837" i="1" s="1"/>
  <c r="R837" i="1"/>
  <c r="J837" i="1" s="1"/>
  <c r="S837" i="1"/>
  <c r="L837" i="1" s="1"/>
  <c r="F837" i="1" l="1"/>
  <c r="C837" i="1"/>
  <c r="B838" i="1" l="1"/>
  <c r="D838" i="1"/>
  <c r="I837" i="1"/>
  <c r="K837" i="1"/>
  <c r="N838" i="1"/>
  <c r="O838" i="1"/>
  <c r="P838" i="1"/>
  <c r="M837" i="1"/>
  <c r="G837" i="1" l="1"/>
  <c r="E838" i="1" s="1"/>
  <c r="Q838" i="1"/>
  <c r="H838" i="1" s="1"/>
  <c r="R838" i="1"/>
  <c r="J838" i="1" s="1"/>
  <c r="S838" i="1"/>
  <c r="L838" i="1" s="1"/>
  <c r="F838" i="1" l="1"/>
  <c r="C838" i="1"/>
  <c r="B839" i="1" l="1"/>
  <c r="D839" i="1"/>
  <c r="M838" i="1"/>
  <c r="K838" i="1"/>
  <c r="I838" i="1"/>
  <c r="O839" i="1"/>
  <c r="N839" i="1"/>
  <c r="P839" i="1"/>
  <c r="G838" i="1" l="1"/>
  <c r="Q839" i="1"/>
  <c r="H839" i="1" s="1"/>
  <c r="R839" i="1"/>
  <c r="J839" i="1" s="1"/>
  <c r="S839" i="1"/>
  <c r="L839" i="1" s="1"/>
  <c r="C839" i="1" l="1"/>
  <c r="E839" i="1"/>
  <c r="F839" i="1"/>
  <c r="P840" i="1"/>
  <c r="S840" i="1" s="1"/>
  <c r="O840" i="1"/>
  <c r="R840" i="1" s="1"/>
  <c r="I839" i="1"/>
  <c r="N840" i="1"/>
  <c r="Q840" i="1" s="1"/>
  <c r="K839" i="1"/>
  <c r="M839" i="1"/>
  <c r="G839" i="1" l="1"/>
  <c r="C840" i="1" s="1"/>
  <c r="B840" i="1"/>
  <c r="D840" i="1"/>
  <c r="E840" i="1" l="1"/>
  <c r="L840" i="1"/>
  <c r="J840" i="1"/>
  <c r="H840" i="1"/>
  <c r="F840" i="1" s="1"/>
  <c r="M840" i="1"/>
  <c r="K840" i="1"/>
  <c r="I840" i="1"/>
  <c r="N841" i="1"/>
  <c r="Q841" i="1" s="1"/>
  <c r="P841" i="1"/>
  <c r="O841" i="1"/>
  <c r="G840" i="1" l="1"/>
  <c r="E841" i="1" s="1"/>
  <c r="B841" i="1"/>
  <c r="H841" i="1" s="1"/>
  <c r="C841" i="1"/>
  <c r="R841" i="1"/>
  <c r="S841" i="1"/>
  <c r="D841" i="1" l="1"/>
  <c r="J841" i="1"/>
  <c r="L841" i="1"/>
  <c r="I841" i="1"/>
  <c r="M841" i="1"/>
  <c r="K841" i="1"/>
  <c r="O842" i="1"/>
  <c r="R842" i="1" s="1"/>
  <c r="N842" i="1"/>
  <c r="Q842" i="1" s="1"/>
  <c r="P842" i="1"/>
  <c r="S842" i="1" s="1"/>
  <c r="F841" i="1" l="1"/>
  <c r="G841" i="1"/>
  <c r="E842" i="1" s="1"/>
  <c r="B842" i="1"/>
  <c r="D842" i="1"/>
  <c r="H842" i="1"/>
  <c r="L842" i="1"/>
  <c r="J842" i="1"/>
  <c r="F842" i="1" l="1"/>
  <c r="C842" i="1"/>
  <c r="B843" i="1"/>
  <c r="D843" i="1" l="1"/>
  <c r="O843" i="1"/>
  <c r="R843" i="1" s="1"/>
  <c r="M842" i="1"/>
  <c r="K842" i="1"/>
  <c r="I842" i="1"/>
  <c r="P843" i="1"/>
  <c r="S843" i="1" s="1"/>
  <c r="N843" i="1"/>
  <c r="Q843" i="1" s="1"/>
  <c r="G842" i="1" l="1"/>
  <c r="E843" i="1" s="1"/>
  <c r="C843" i="1"/>
  <c r="O844" i="1" s="1"/>
  <c r="R844" i="1" s="1"/>
  <c r="H843" i="1"/>
  <c r="J843" i="1"/>
  <c r="L843" i="1"/>
  <c r="P844" i="1"/>
  <c r="S844" i="1" s="1"/>
  <c r="F843" i="1" l="1"/>
  <c r="N844" i="1"/>
  <c r="Q844" i="1" s="1"/>
  <c r="K843" i="1"/>
  <c r="I843" i="1"/>
  <c r="M843" i="1"/>
  <c r="G843" i="1" l="1"/>
  <c r="E844" i="1" s="1"/>
  <c r="B844" i="1"/>
  <c r="D844" i="1"/>
  <c r="C844" i="1" l="1"/>
  <c r="I844" i="1" s="1"/>
  <c r="L844" i="1"/>
  <c r="P845" i="1"/>
  <c r="S845" i="1" s="1"/>
  <c r="O845" i="1"/>
  <c r="R845" i="1" s="1"/>
  <c r="J844" i="1"/>
  <c r="H844" i="1"/>
  <c r="F844" i="1" s="1"/>
  <c r="N845" i="1" l="1"/>
  <c r="Q845" i="1" s="1"/>
  <c r="K844" i="1"/>
  <c r="G844" i="1" s="1"/>
  <c r="E845" i="1" s="1"/>
  <c r="M844" i="1"/>
  <c r="D845" i="1"/>
  <c r="C845" i="1" l="1"/>
  <c r="B845" i="1"/>
  <c r="P846" i="1" s="1"/>
  <c r="S846" i="1" s="1"/>
  <c r="M845" i="1"/>
  <c r="K845" i="1"/>
  <c r="I845" i="1"/>
  <c r="N846" i="1"/>
  <c r="Q846" i="1" s="1"/>
  <c r="H845" i="1"/>
  <c r="G845" i="1" l="1"/>
  <c r="E846" i="1" s="1"/>
  <c r="J845" i="1"/>
  <c r="O846" i="1"/>
  <c r="R846" i="1" s="1"/>
  <c r="L845" i="1"/>
  <c r="F845" i="1" l="1"/>
  <c r="C846" i="1"/>
  <c r="B846" i="1"/>
  <c r="D846" i="1"/>
  <c r="I846" i="1" l="1"/>
  <c r="M846" i="1"/>
  <c r="K846" i="1"/>
  <c r="N847" i="1"/>
  <c r="J846" i="1"/>
  <c r="H846" i="1"/>
  <c r="F846" i="1" s="1"/>
  <c r="P847" i="1"/>
  <c r="O847" i="1"/>
  <c r="L846" i="1"/>
  <c r="G846" i="1" l="1"/>
  <c r="E847" i="1" s="1"/>
  <c r="Q847" i="1"/>
  <c r="R847" i="1"/>
  <c r="S847" i="1"/>
  <c r="C847" i="1" l="1"/>
  <c r="K847" i="1" s="1"/>
  <c r="B847" i="1"/>
  <c r="D847" i="1"/>
  <c r="M847" i="1" l="1"/>
  <c r="I847" i="1"/>
  <c r="G847" i="1" s="1"/>
  <c r="E848" i="1" s="1"/>
  <c r="H847" i="1"/>
  <c r="L847" i="1"/>
  <c r="O848" i="1"/>
  <c r="N848" i="1"/>
  <c r="P848" i="1"/>
  <c r="J847" i="1"/>
  <c r="F847" i="1" l="1"/>
  <c r="C848" i="1"/>
  <c r="Q848" i="1"/>
  <c r="I848" i="1" s="1"/>
  <c r="R848" i="1"/>
  <c r="K848" i="1" s="1"/>
  <c r="S848" i="1"/>
  <c r="M848" i="1" s="1"/>
  <c r="G848" i="1" l="1"/>
  <c r="E849" i="1" s="1"/>
  <c r="B848" i="1"/>
  <c r="D848" i="1"/>
  <c r="C849" i="1" l="1"/>
  <c r="N849" i="1"/>
  <c r="P849" i="1"/>
  <c r="O849" i="1"/>
  <c r="L848" i="1"/>
  <c r="H848" i="1"/>
  <c r="F848" i="1" s="1"/>
  <c r="J848" i="1"/>
  <c r="Q849" i="1" l="1"/>
  <c r="I849" i="1" s="1"/>
  <c r="R849" i="1"/>
  <c r="K849" i="1" s="1"/>
  <c r="S849" i="1"/>
  <c r="M849" i="1" s="1"/>
  <c r="G849" i="1" l="1"/>
  <c r="E850" i="1" s="1"/>
  <c r="B849" i="1"/>
  <c r="D849" i="1"/>
  <c r="C850" i="1" l="1"/>
  <c r="L849" i="1"/>
  <c r="H849" i="1"/>
  <c r="F849" i="1" s="1"/>
  <c r="J849" i="1"/>
  <c r="N850" i="1"/>
  <c r="P850" i="1"/>
  <c r="O850" i="1"/>
  <c r="Q850" i="1" l="1"/>
  <c r="I850" i="1" s="1"/>
  <c r="R850" i="1"/>
  <c r="K850" i="1" s="1"/>
  <c r="S850" i="1"/>
  <c r="M850" i="1" s="1"/>
  <c r="G850" i="1" l="1"/>
  <c r="E851" i="1" s="1"/>
  <c r="B850" i="1"/>
  <c r="D850" i="1"/>
  <c r="C851" i="1" l="1"/>
  <c r="O851" i="1"/>
  <c r="H850" i="1"/>
  <c r="L850" i="1"/>
  <c r="P851" i="1"/>
  <c r="J850" i="1"/>
  <c r="N851" i="1"/>
  <c r="F850" i="1" l="1"/>
  <c r="Q851" i="1"/>
  <c r="I851" i="1" s="1"/>
  <c r="R851" i="1"/>
  <c r="K851" i="1" s="1"/>
  <c r="S851" i="1"/>
  <c r="M851" i="1" s="1"/>
  <c r="D851" i="1"/>
  <c r="G851" i="1" l="1"/>
  <c r="E852" i="1" s="1"/>
  <c r="B851" i="1"/>
  <c r="L851" i="1"/>
  <c r="J851" i="1"/>
  <c r="H851" i="1"/>
  <c r="F851" i="1" s="1"/>
  <c r="O852" i="1"/>
  <c r="C852" i="1" l="1"/>
  <c r="P852" i="1"/>
  <c r="N852" i="1"/>
  <c r="Q852" i="1" s="1"/>
  <c r="I852" i="1" s="1"/>
  <c r="R852" i="1"/>
  <c r="K852" i="1" s="1"/>
  <c r="S852" i="1"/>
  <c r="M852" i="1" s="1"/>
  <c r="G852" i="1" l="1"/>
  <c r="E853" i="1" s="1"/>
  <c r="B852" i="1"/>
  <c r="D852" i="1"/>
  <c r="C853" i="1"/>
  <c r="L852" i="1" l="1"/>
  <c r="O853" i="1"/>
  <c r="R853" i="1" s="1"/>
  <c r="P853" i="1"/>
  <c r="N853" i="1"/>
  <c r="Q853" i="1" s="1"/>
  <c r="J852" i="1"/>
  <c r="H852" i="1"/>
  <c r="F852" i="1" s="1"/>
  <c r="S853" i="1" l="1"/>
  <c r="M853" i="1" s="1"/>
  <c r="K853" i="1"/>
  <c r="I853" i="1"/>
  <c r="G853" i="1" s="1"/>
  <c r="E854" i="1" s="1"/>
  <c r="B853" i="1" l="1"/>
  <c r="D853" i="1"/>
  <c r="C854" i="1" l="1"/>
  <c r="O854" i="1"/>
  <c r="R854" i="1" s="1"/>
  <c r="P854" i="1"/>
  <c r="S854" i="1" s="1"/>
  <c r="N854" i="1"/>
  <c r="Q854" i="1" s="1"/>
  <c r="J853" i="1"/>
  <c r="H853" i="1"/>
  <c r="L853" i="1"/>
  <c r="F853" i="1" l="1"/>
  <c r="D854" i="1"/>
  <c r="I854" i="1"/>
  <c r="K854" i="1"/>
  <c r="M854" i="1"/>
  <c r="G854" i="1" l="1"/>
  <c r="E855" i="1" s="1"/>
  <c r="B854" i="1"/>
  <c r="L854" i="1" s="1"/>
  <c r="P855" i="1"/>
  <c r="S855" i="1" s="1"/>
  <c r="O855" i="1"/>
  <c r="R855" i="1" s="1"/>
  <c r="N855" i="1"/>
  <c r="Q855" i="1" s="1"/>
  <c r="H854" i="1"/>
  <c r="C855" i="1" l="1"/>
  <c r="J854" i="1"/>
  <c r="F854" i="1" s="1"/>
  <c r="D855" i="1" l="1"/>
  <c r="K855" i="1"/>
  <c r="M855" i="1"/>
  <c r="I855" i="1"/>
  <c r="G855" i="1" l="1"/>
  <c r="E856" i="1" s="1"/>
  <c r="B855" i="1"/>
  <c r="C856" i="1"/>
  <c r="J855" i="1"/>
  <c r="L855" i="1"/>
  <c r="N856" i="1"/>
  <c r="Q856" i="1" s="1"/>
  <c r="H855" i="1"/>
  <c r="F855" i="1" s="1"/>
  <c r="D856" i="1" l="1"/>
  <c r="P856" i="1"/>
  <c r="S856" i="1" s="1"/>
  <c r="M856" i="1" s="1"/>
  <c r="O856" i="1"/>
  <c r="R856" i="1" s="1"/>
  <c r="K856" i="1" s="1"/>
  <c r="I856" i="1"/>
  <c r="B856" i="1"/>
  <c r="P857" i="1" s="1"/>
  <c r="S857" i="1" s="1"/>
  <c r="G856" i="1" l="1"/>
  <c r="E857" i="1" s="1"/>
  <c r="O857" i="1"/>
  <c r="R857" i="1" s="1"/>
  <c r="J856" i="1"/>
  <c r="N857" i="1"/>
  <c r="Q857" i="1" s="1"/>
  <c r="C857" i="1"/>
  <c r="H856" i="1"/>
  <c r="L856" i="1"/>
  <c r="F856" i="1" l="1"/>
  <c r="B857" i="1"/>
  <c r="D857" i="1"/>
  <c r="N858" i="1"/>
  <c r="Q858" i="1" s="1"/>
  <c r="I857" i="1"/>
  <c r="M857" i="1"/>
  <c r="K857" i="1"/>
  <c r="G857" i="1" l="1"/>
  <c r="E858" i="1" s="1"/>
  <c r="H857" i="1"/>
  <c r="P858" i="1"/>
  <c r="S858" i="1" s="1"/>
  <c r="O858" i="1"/>
  <c r="R858" i="1" s="1"/>
  <c r="L857" i="1"/>
  <c r="J857" i="1"/>
  <c r="F857" i="1" l="1"/>
  <c r="C858" i="1"/>
  <c r="I858" i="1" s="1"/>
  <c r="K858" i="1"/>
  <c r="M858" i="1" l="1"/>
  <c r="G858" i="1"/>
  <c r="E859" i="1" s="1"/>
  <c r="B858" i="1"/>
  <c r="D858" i="1"/>
  <c r="C859" i="1"/>
  <c r="O859" i="1" l="1"/>
  <c r="R859" i="1" s="1"/>
  <c r="P859" i="1"/>
  <c r="H858" i="1"/>
  <c r="N859" i="1"/>
  <c r="L858" i="1"/>
  <c r="J858" i="1"/>
  <c r="F858" i="1" l="1"/>
  <c r="Q859" i="1"/>
  <c r="I859" i="1" s="1"/>
  <c r="S859" i="1"/>
  <c r="M859" i="1" s="1"/>
  <c r="K859" i="1"/>
  <c r="G859" i="1" l="1"/>
  <c r="E860" i="1" s="1"/>
  <c r="B859" i="1"/>
  <c r="D859" i="1"/>
  <c r="C860" i="1" l="1"/>
  <c r="O860" i="1"/>
  <c r="R860" i="1" s="1"/>
  <c r="N860" i="1"/>
  <c r="P860" i="1"/>
  <c r="J859" i="1"/>
  <c r="H859" i="1"/>
  <c r="F859" i="1" s="1"/>
  <c r="L859" i="1"/>
  <c r="Q860" i="1" l="1"/>
  <c r="I860" i="1" s="1"/>
  <c r="S860" i="1"/>
  <c r="M860" i="1" s="1"/>
  <c r="K860" i="1"/>
  <c r="G860" i="1" l="1"/>
  <c r="E861" i="1" s="1"/>
  <c r="B860" i="1"/>
  <c r="D860" i="1"/>
  <c r="C861" i="1" l="1"/>
  <c r="H860" i="1"/>
  <c r="L860" i="1"/>
  <c r="O861" i="1"/>
  <c r="N861" i="1"/>
  <c r="P861" i="1"/>
  <c r="J860" i="1"/>
  <c r="F860" i="1" l="1"/>
  <c r="Q861" i="1"/>
  <c r="I861" i="1" s="1"/>
  <c r="R861" i="1"/>
  <c r="K861" i="1" s="1"/>
  <c r="S861" i="1"/>
  <c r="M861" i="1" s="1"/>
  <c r="D861" i="1"/>
  <c r="G861" i="1" l="1"/>
  <c r="E862" i="1" s="1"/>
  <c r="B861" i="1"/>
  <c r="J861" i="1"/>
  <c r="L861" i="1"/>
  <c r="O862" i="1"/>
  <c r="P862" i="1"/>
  <c r="S862" i="1" s="1"/>
  <c r="C862" i="1" l="1"/>
  <c r="M862" i="1" s="1"/>
  <c r="H861" i="1"/>
  <c r="F861" i="1" s="1"/>
  <c r="N862" i="1"/>
  <c r="Q862" i="1" s="1"/>
  <c r="I862" i="1" s="1"/>
  <c r="R862" i="1"/>
  <c r="K862" i="1" s="1"/>
  <c r="G862" i="1" l="1"/>
  <c r="E863" i="1" s="1"/>
  <c r="B862" i="1"/>
  <c r="L862" i="1" s="1"/>
  <c r="D862" i="1"/>
  <c r="P863" i="1"/>
  <c r="S863" i="1" s="1"/>
  <c r="H862" i="1"/>
  <c r="O863" i="1"/>
  <c r="R863" i="1" s="1"/>
  <c r="N863" i="1"/>
  <c r="Q863" i="1" s="1"/>
  <c r="J862" i="1"/>
  <c r="C863" i="1"/>
  <c r="F862" i="1" l="1"/>
  <c r="D863" i="1"/>
  <c r="M863" i="1"/>
  <c r="I863" i="1"/>
  <c r="K863" i="1"/>
  <c r="G863" i="1" l="1"/>
  <c r="E864" i="1" s="1"/>
  <c r="B863" i="1"/>
  <c r="C864" i="1"/>
  <c r="H863" i="1" l="1"/>
  <c r="J863" i="1"/>
  <c r="L863" i="1"/>
  <c r="P864" i="1"/>
  <c r="S864" i="1" s="1"/>
  <c r="N864" i="1"/>
  <c r="Q864" i="1" s="1"/>
  <c r="O864" i="1"/>
  <c r="R864" i="1" s="1"/>
  <c r="F863" i="1" l="1"/>
  <c r="D864" i="1"/>
  <c r="M864" i="1"/>
  <c r="K864" i="1"/>
  <c r="I864" i="1"/>
  <c r="G864" i="1" l="1"/>
  <c r="B864" i="1"/>
  <c r="C865" i="1" l="1"/>
  <c r="E865" i="1"/>
  <c r="N865" i="1"/>
  <c r="Q865" i="1" s="1"/>
  <c r="I865" i="1" s="1"/>
  <c r="L864" i="1"/>
  <c r="J864" i="1"/>
  <c r="O865" i="1"/>
  <c r="R865" i="1" s="1"/>
  <c r="K865" i="1" s="1"/>
  <c r="H864" i="1"/>
  <c r="F864" i="1" s="1"/>
  <c r="P865" i="1"/>
  <c r="S865" i="1" s="1"/>
  <c r="M865" i="1" s="1"/>
  <c r="G865" i="1" l="1"/>
  <c r="E866" i="1" s="1"/>
  <c r="D865" i="1"/>
  <c r="B865" i="1"/>
  <c r="C866" i="1" l="1"/>
  <c r="N866" i="1"/>
  <c r="Q866" i="1" s="1"/>
  <c r="I866" i="1" s="1"/>
  <c r="P866" i="1"/>
  <c r="S866" i="1" s="1"/>
  <c r="M866" i="1" s="1"/>
  <c r="O866" i="1"/>
  <c r="R866" i="1" s="1"/>
  <c r="K866" i="1" s="1"/>
  <c r="L865" i="1"/>
  <c r="J865" i="1"/>
  <c r="H865" i="1"/>
  <c r="F865" i="1" s="1"/>
  <c r="G866" i="1" l="1"/>
  <c r="E867" i="1" s="1"/>
  <c r="D866" i="1"/>
  <c r="C867" i="1"/>
  <c r="B866" i="1"/>
  <c r="P867" i="1" l="1"/>
  <c r="S867" i="1" s="1"/>
  <c r="O867" i="1"/>
  <c r="R867" i="1" s="1"/>
  <c r="L866" i="1"/>
  <c r="N867" i="1"/>
  <c r="Q867" i="1" s="1"/>
  <c r="J866" i="1"/>
  <c r="H866" i="1"/>
  <c r="F866" i="1" s="1"/>
  <c r="K867" i="1" l="1"/>
  <c r="M867" i="1"/>
  <c r="I867" i="1"/>
  <c r="G867" i="1" s="1"/>
  <c r="E868" i="1" s="1"/>
  <c r="B867" i="1" l="1"/>
  <c r="D867" i="1"/>
  <c r="P868" i="1"/>
  <c r="S868" i="1" s="1"/>
  <c r="H867" i="1"/>
  <c r="C868" i="1" l="1"/>
  <c r="M868" i="1" s="1"/>
  <c r="L867" i="1"/>
  <c r="J867" i="1"/>
  <c r="F867" i="1" s="1"/>
  <c r="O868" i="1"/>
  <c r="R868" i="1" s="1"/>
  <c r="K868" i="1" s="1"/>
  <c r="N868" i="1"/>
  <c r="Q868" i="1" s="1"/>
  <c r="I868" i="1" s="1"/>
  <c r="G868" i="1" l="1"/>
  <c r="E869" i="1" s="1"/>
  <c r="C869" i="1"/>
  <c r="D868" i="1"/>
  <c r="B868" i="1"/>
  <c r="L868" i="1" s="1"/>
  <c r="O869" i="1"/>
  <c r="R869" i="1" s="1"/>
  <c r="K869" i="1" s="1"/>
  <c r="P869" i="1"/>
  <c r="S869" i="1" s="1"/>
  <c r="M869" i="1" s="1"/>
  <c r="J868" i="1" l="1"/>
  <c r="N869" i="1"/>
  <c r="Q869" i="1" s="1"/>
  <c r="I869" i="1" s="1"/>
  <c r="G869" i="1" s="1"/>
  <c r="C870" i="1" s="1"/>
  <c r="H868" i="1"/>
  <c r="F868" i="1" s="1"/>
  <c r="E870" i="1" l="1"/>
  <c r="B869" i="1"/>
  <c r="P870" i="1" l="1"/>
  <c r="S870" i="1" s="1"/>
  <c r="M870" i="1" s="1"/>
  <c r="O870" i="1"/>
  <c r="R870" i="1" s="1"/>
  <c r="K870" i="1" s="1"/>
  <c r="H869" i="1"/>
  <c r="L869" i="1"/>
  <c r="N870" i="1"/>
  <c r="Q870" i="1" s="1"/>
  <c r="I870" i="1" s="1"/>
  <c r="J869" i="1"/>
  <c r="D869" i="1"/>
  <c r="F869" i="1" l="1"/>
  <c r="G870" i="1"/>
  <c r="E871" i="1" s="1"/>
  <c r="B870" i="1"/>
  <c r="L870" i="1" l="1"/>
  <c r="N871" i="1"/>
  <c r="Q871" i="1" s="1"/>
  <c r="O871" i="1"/>
  <c r="R871" i="1" s="1"/>
  <c r="J870" i="1"/>
  <c r="H870" i="1"/>
  <c r="F870" i="1" s="1"/>
  <c r="P871" i="1"/>
  <c r="S871" i="1" s="1"/>
  <c r="D870" i="1"/>
  <c r="C871" i="1"/>
  <c r="B871" i="1" l="1"/>
  <c r="P872" i="1" s="1"/>
  <c r="D871" i="1"/>
  <c r="N872" i="1"/>
  <c r="K871" i="1"/>
  <c r="M871" i="1"/>
  <c r="I871" i="1"/>
  <c r="O872" i="1"/>
  <c r="G871" i="1" l="1"/>
  <c r="H871" i="1"/>
  <c r="F871" i="1" s="1"/>
  <c r="J871" i="1"/>
  <c r="L871" i="1"/>
  <c r="Q872" i="1"/>
  <c r="R872" i="1"/>
  <c r="S872" i="1"/>
  <c r="C872" i="1" l="1"/>
  <c r="E872" i="1"/>
  <c r="I872" i="1"/>
  <c r="M872" i="1"/>
  <c r="K872" i="1"/>
  <c r="G872" i="1" l="1"/>
  <c r="E873" i="1" s="1"/>
  <c r="D872" i="1"/>
  <c r="B872" i="1"/>
  <c r="C873" i="1" l="1"/>
  <c r="N873" i="1"/>
  <c r="Q873" i="1" s="1"/>
  <c r="I873" i="1" s="1"/>
  <c r="P873" i="1"/>
  <c r="S873" i="1" s="1"/>
  <c r="M873" i="1" s="1"/>
  <c r="O873" i="1"/>
  <c r="R873" i="1" s="1"/>
  <c r="K873" i="1" s="1"/>
  <c r="H872" i="1"/>
  <c r="L872" i="1"/>
  <c r="J872" i="1"/>
  <c r="F872" i="1" l="1"/>
  <c r="G873" i="1"/>
  <c r="E874" i="1" s="1"/>
  <c r="B873" i="1"/>
  <c r="D873" i="1" l="1"/>
  <c r="H873" i="1"/>
  <c r="J873" i="1"/>
  <c r="N874" i="1"/>
  <c r="Q874" i="1" s="1"/>
  <c r="P874" i="1"/>
  <c r="S874" i="1" s="1"/>
  <c r="O874" i="1"/>
  <c r="R874" i="1" s="1"/>
  <c r="L873" i="1"/>
  <c r="C874" i="1"/>
  <c r="F873" i="1" l="1"/>
  <c r="D874" i="1"/>
  <c r="K874" i="1"/>
  <c r="I874" i="1"/>
  <c r="M874" i="1"/>
  <c r="G874" i="1" l="1"/>
  <c r="E875" i="1" s="1"/>
  <c r="B874" i="1"/>
  <c r="J874" i="1" l="1"/>
  <c r="H874" i="1"/>
  <c r="L874" i="1"/>
  <c r="P875" i="1"/>
  <c r="S875" i="1" s="1"/>
  <c r="N875" i="1"/>
  <c r="Q875" i="1" s="1"/>
  <c r="O875" i="1"/>
  <c r="R875" i="1" s="1"/>
  <c r="C875" i="1"/>
  <c r="F874" i="1" l="1"/>
  <c r="D875" i="1"/>
  <c r="I875" i="1"/>
  <c r="K875" i="1"/>
  <c r="M875" i="1"/>
  <c r="G875" i="1" l="1"/>
  <c r="E876" i="1" s="1"/>
  <c r="B875" i="1"/>
  <c r="C876" i="1"/>
  <c r="L875" i="1" l="1"/>
  <c r="H875" i="1"/>
  <c r="O876" i="1"/>
  <c r="R876" i="1" s="1"/>
  <c r="N876" i="1"/>
  <c r="Q876" i="1" s="1"/>
  <c r="P876" i="1"/>
  <c r="S876" i="1" s="1"/>
  <c r="M876" i="1" s="1"/>
  <c r="J875" i="1"/>
  <c r="F875" i="1" l="1"/>
  <c r="I876" i="1"/>
  <c r="K876" i="1"/>
  <c r="G876" i="1" l="1"/>
  <c r="E877" i="1" s="1"/>
  <c r="D876" i="1"/>
  <c r="B876" i="1"/>
  <c r="C877" i="1"/>
  <c r="O877" i="1" l="1"/>
  <c r="R877" i="1" s="1"/>
  <c r="P877" i="1"/>
  <c r="S877" i="1" s="1"/>
  <c r="M877" i="1" s="1"/>
  <c r="N877" i="1"/>
  <c r="Q877" i="1" s="1"/>
  <c r="H876" i="1"/>
  <c r="F876" i="1" s="1"/>
  <c r="L876" i="1"/>
  <c r="J876" i="1"/>
  <c r="B877" i="1" l="1"/>
  <c r="P878" i="1"/>
  <c r="S878" i="1" s="1"/>
  <c r="N878" i="1"/>
  <c r="Q878" i="1" s="1"/>
  <c r="O878" i="1"/>
  <c r="R878" i="1" s="1"/>
  <c r="H877" i="1"/>
  <c r="J877" i="1"/>
  <c r="D877" i="1"/>
  <c r="L877" i="1"/>
  <c r="I877" i="1"/>
  <c r="K877" i="1"/>
  <c r="F877" i="1" l="1"/>
  <c r="G877" i="1"/>
  <c r="E878" i="1" s="1"/>
  <c r="D878" i="1"/>
  <c r="B878" i="1"/>
  <c r="L878" i="1" s="1"/>
  <c r="C878" i="1"/>
  <c r="H878" i="1" l="1"/>
  <c r="J878" i="1"/>
  <c r="N879" i="1"/>
  <c r="Q879" i="1" s="1"/>
  <c r="M878" i="1"/>
  <c r="O879" i="1"/>
  <c r="R879" i="1" s="1"/>
  <c r="K878" i="1"/>
  <c r="I878" i="1"/>
  <c r="G878" i="1" s="1"/>
  <c r="E879" i="1" s="1"/>
  <c r="P879" i="1"/>
  <c r="S879" i="1" s="1"/>
  <c r="F878" i="1" l="1"/>
  <c r="C879" i="1"/>
  <c r="I879" i="1" s="1"/>
  <c r="K879" i="1"/>
  <c r="M879" i="1" l="1"/>
  <c r="G879" i="1" s="1"/>
  <c r="E880" i="1" s="1"/>
  <c r="B879" i="1"/>
  <c r="D879" i="1"/>
  <c r="C880" i="1" l="1"/>
  <c r="I880" i="1" s="1"/>
  <c r="J879" i="1"/>
  <c r="N880" i="1"/>
  <c r="Q880" i="1" s="1"/>
  <c r="H879" i="1"/>
  <c r="L879" i="1"/>
  <c r="P880" i="1"/>
  <c r="S880" i="1" s="1"/>
  <c r="M880" i="1" s="1"/>
  <c r="O880" i="1"/>
  <c r="R880" i="1" s="1"/>
  <c r="F879" i="1" l="1"/>
  <c r="D880" i="1"/>
  <c r="B880" i="1"/>
  <c r="K880" i="1"/>
  <c r="G880" i="1" s="1"/>
  <c r="E881" i="1" s="1"/>
  <c r="C881" i="1" l="1"/>
  <c r="L880" i="1"/>
  <c r="J880" i="1"/>
  <c r="H880" i="1"/>
  <c r="F880" i="1" s="1"/>
  <c r="O881" i="1"/>
  <c r="R881" i="1" s="1"/>
  <c r="N881" i="1"/>
  <c r="Q881" i="1" s="1"/>
  <c r="I881" i="1" s="1"/>
  <c r="P881" i="1"/>
  <c r="S881" i="1" s="1"/>
  <c r="M881" i="1" s="1"/>
  <c r="B881" i="1" l="1"/>
  <c r="D881" i="1"/>
  <c r="K881" i="1"/>
  <c r="G881" i="1" s="1"/>
  <c r="E882" i="1" s="1"/>
  <c r="C882" i="1" l="1"/>
  <c r="H881" i="1"/>
  <c r="P882" i="1"/>
  <c r="S882" i="1" s="1"/>
  <c r="M882" i="1" s="1"/>
  <c r="L881" i="1"/>
  <c r="O882" i="1"/>
  <c r="R882" i="1" s="1"/>
  <c r="K882" i="1" s="1"/>
  <c r="J881" i="1"/>
  <c r="N882" i="1"/>
  <c r="Q882" i="1" s="1"/>
  <c r="I882" i="1" s="1"/>
  <c r="G882" i="1" l="1"/>
  <c r="E883" i="1" s="1"/>
  <c r="F881" i="1"/>
  <c r="C883" i="1"/>
  <c r="D882" i="1" l="1"/>
  <c r="B882" i="1"/>
  <c r="J882" i="1" l="1"/>
  <c r="L882" i="1"/>
  <c r="H882" i="1"/>
  <c r="F882" i="1" s="1"/>
  <c r="N883" i="1"/>
  <c r="Q883" i="1" s="1"/>
  <c r="I883" i="1" s="1"/>
  <c r="P883" i="1"/>
  <c r="S883" i="1" s="1"/>
  <c r="M883" i="1" s="1"/>
  <c r="O883" i="1"/>
  <c r="R883" i="1" s="1"/>
  <c r="K883" i="1" s="1"/>
  <c r="G883" i="1" l="1"/>
  <c r="E884" i="1" s="1"/>
  <c r="B883" i="1"/>
  <c r="P884" i="1" l="1"/>
  <c r="S884" i="1" s="1"/>
  <c r="N884" i="1"/>
  <c r="Q884" i="1" s="1"/>
  <c r="H883" i="1"/>
  <c r="L883" i="1"/>
  <c r="O884" i="1"/>
  <c r="R884" i="1" s="1"/>
  <c r="J883" i="1"/>
  <c r="D883" i="1"/>
  <c r="C884" i="1"/>
  <c r="F883" i="1" l="1"/>
  <c r="B884" i="1"/>
  <c r="D884" i="1"/>
  <c r="M884" i="1"/>
  <c r="K884" i="1"/>
  <c r="I884" i="1"/>
  <c r="G884" i="1" s="1"/>
  <c r="E885" i="1" s="1"/>
  <c r="L884" i="1" l="1"/>
  <c r="H884" i="1"/>
  <c r="N885" i="1"/>
  <c r="Q885" i="1" s="1"/>
  <c r="P885" i="1"/>
  <c r="S885" i="1" s="1"/>
  <c r="J884" i="1"/>
  <c r="O885" i="1"/>
  <c r="R885" i="1" s="1"/>
  <c r="C885" i="1"/>
  <c r="F884" i="1" l="1"/>
  <c r="B885" i="1"/>
  <c r="I885" i="1"/>
  <c r="M885" i="1"/>
  <c r="K885" i="1"/>
  <c r="G885" i="1" l="1"/>
  <c r="E886" i="1" s="1"/>
  <c r="L885" i="1"/>
  <c r="P886" i="1"/>
  <c r="S886" i="1" s="1"/>
  <c r="N886" i="1"/>
  <c r="Q886" i="1" s="1"/>
  <c r="O886" i="1"/>
  <c r="R886" i="1" s="1"/>
  <c r="H885" i="1"/>
  <c r="J885" i="1"/>
  <c r="D885" i="1"/>
  <c r="F885" i="1" l="1"/>
  <c r="D886" i="1"/>
  <c r="B886" i="1"/>
  <c r="C886" i="1"/>
  <c r="M886" i="1" l="1"/>
  <c r="I886" i="1"/>
  <c r="K886" i="1"/>
  <c r="J886" i="1"/>
  <c r="P887" i="1"/>
  <c r="S887" i="1" s="1"/>
  <c r="L886" i="1"/>
  <c r="H886" i="1"/>
  <c r="F886" i="1" s="1"/>
  <c r="N887" i="1"/>
  <c r="Q887" i="1" s="1"/>
  <c r="O887" i="1"/>
  <c r="R887" i="1" s="1"/>
  <c r="G886" i="1" l="1"/>
  <c r="E887" i="1" s="1"/>
  <c r="B887" i="1"/>
  <c r="D887" i="1"/>
  <c r="C887" i="1" l="1"/>
  <c r="H887" i="1"/>
  <c r="L887" i="1"/>
  <c r="J887" i="1"/>
  <c r="F887" i="1" l="1"/>
  <c r="M887" i="1"/>
  <c r="P888" i="1"/>
  <c r="S888" i="1" s="1"/>
  <c r="O888" i="1"/>
  <c r="R888" i="1" s="1"/>
  <c r="N888" i="1"/>
  <c r="Q888" i="1" s="1"/>
  <c r="I887" i="1"/>
  <c r="K887" i="1"/>
  <c r="G887" i="1" l="1"/>
  <c r="E888" i="1" s="1"/>
  <c r="D888" i="1"/>
  <c r="B888" i="1"/>
  <c r="J888" i="1" l="1"/>
  <c r="H888" i="1"/>
  <c r="F888" i="1" s="1"/>
  <c r="L888" i="1"/>
  <c r="C888" i="1"/>
  <c r="K888" i="1" l="1"/>
  <c r="M888" i="1"/>
  <c r="I888" i="1"/>
  <c r="O889" i="1"/>
  <c r="R889" i="1" s="1"/>
  <c r="P889" i="1"/>
  <c r="S889" i="1" s="1"/>
  <c r="N889" i="1"/>
  <c r="Q889" i="1" s="1"/>
  <c r="G888" i="1" l="1"/>
  <c r="D889" i="1"/>
  <c r="B889" i="1"/>
  <c r="H889" i="1" s="1"/>
  <c r="C889" i="1" l="1"/>
  <c r="I889" i="1" s="1"/>
  <c r="E889" i="1"/>
  <c r="K889" i="1"/>
  <c r="G889" i="1" s="1"/>
  <c r="O890" i="1"/>
  <c r="R890" i="1" s="1"/>
  <c r="P890" i="1"/>
  <c r="S890" i="1" s="1"/>
  <c r="J889" i="1"/>
  <c r="F889" i="1" s="1"/>
  <c r="N890" i="1"/>
  <c r="Q890" i="1" s="1"/>
  <c r="L889" i="1"/>
  <c r="M889" i="1"/>
  <c r="E890" i="1" l="1"/>
  <c r="D890" i="1"/>
  <c r="B890" i="1"/>
  <c r="H890" i="1" s="1"/>
  <c r="C890" i="1"/>
  <c r="J890" i="1"/>
  <c r="P891" i="1"/>
  <c r="S891" i="1" s="1"/>
  <c r="O891" i="1"/>
  <c r="R891" i="1" s="1"/>
  <c r="L890" i="1"/>
  <c r="F890" i="1" l="1"/>
  <c r="D891" i="1" s="1"/>
  <c r="B891" i="1"/>
  <c r="M890" i="1"/>
  <c r="K890" i="1"/>
  <c r="I890" i="1"/>
  <c r="N891" i="1"/>
  <c r="Q891" i="1" s="1"/>
  <c r="G890" i="1" l="1"/>
  <c r="E891" i="1" s="1"/>
  <c r="H891" i="1"/>
  <c r="L891" i="1"/>
  <c r="J891" i="1"/>
  <c r="F891" i="1" l="1"/>
  <c r="C891" i="1"/>
  <c r="O892" i="1" l="1"/>
  <c r="R892" i="1" s="1"/>
  <c r="P892" i="1"/>
  <c r="S892" i="1" s="1"/>
  <c r="M891" i="1"/>
  <c r="N892" i="1"/>
  <c r="Q892" i="1" s="1"/>
  <c r="I891" i="1"/>
  <c r="K891" i="1"/>
  <c r="B892" i="1"/>
  <c r="D892" i="1"/>
  <c r="G891" i="1" l="1"/>
  <c r="H892" i="1"/>
  <c r="L892" i="1"/>
  <c r="J892" i="1"/>
  <c r="C892" i="1" l="1"/>
  <c r="E892" i="1"/>
  <c r="F892" i="1"/>
  <c r="M892" i="1"/>
  <c r="K892" i="1"/>
  <c r="I892" i="1"/>
  <c r="G892" i="1" s="1"/>
  <c r="P893" i="1"/>
  <c r="S893" i="1" s="1"/>
  <c r="E893" i="1" l="1"/>
  <c r="O893" i="1"/>
  <c r="R893" i="1" s="1"/>
  <c r="N893" i="1"/>
  <c r="Q893" i="1" s="1"/>
  <c r="C893" i="1"/>
  <c r="B893" i="1"/>
  <c r="D893" i="1"/>
  <c r="M893" i="1" l="1"/>
  <c r="I893" i="1"/>
  <c r="K893" i="1"/>
  <c r="P894" i="1"/>
  <c r="S894" i="1" s="1"/>
  <c r="H893" i="1"/>
  <c r="L893" i="1"/>
  <c r="O894" i="1"/>
  <c r="R894" i="1" s="1"/>
  <c r="J893" i="1"/>
  <c r="N894" i="1"/>
  <c r="Q894" i="1" s="1"/>
  <c r="F893" i="1" l="1"/>
  <c r="G893" i="1"/>
  <c r="E894" i="1" s="1"/>
  <c r="B894" i="1"/>
  <c r="C894" i="1" l="1"/>
  <c r="L894" i="1"/>
  <c r="J894" i="1"/>
  <c r="H894" i="1"/>
  <c r="F894" i="1" s="1"/>
  <c r="P895" i="1"/>
  <c r="S895" i="1" s="1"/>
  <c r="N895" i="1"/>
  <c r="Q895" i="1" s="1"/>
  <c r="D894" i="1"/>
  <c r="D895" i="1" s="1"/>
  <c r="K894" i="1" l="1"/>
  <c r="I894" i="1"/>
  <c r="M894" i="1"/>
  <c r="O895" i="1"/>
  <c r="R895" i="1" s="1"/>
  <c r="B895" i="1"/>
  <c r="G894" i="1" l="1"/>
  <c r="E895" i="1" s="1"/>
  <c r="H895" i="1"/>
  <c r="L895" i="1"/>
  <c r="J895" i="1"/>
  <c r="F895" i="1" l="1"/>
  <c r="C895" i="1"/>
  <c r="K895" i="1" l="1"/>
  <c r="M895" i="1"/>
  <c r="I895" i="1"/>
  <c r="O896" i="1"/>
  <c r="R896" i="1" s="1"/>
  <c r="N896" i="1"/>
  <c r="Q896" i="1" s="1"/>
  <c r="P896" i="1"/>
  <c r="S896" i="1" s="1"/>
  <c r="D896" i="1"/>
  <c r="B896" i="1"/>
  <c r="G895" i="1" l="1"/>
  <c r="E896" i="1" s="1"/>
  <c r="H896" i="1"/>
  <c r="L896" i="1"/>
  <c r="J896" i="1"/>
  <c r="F896" i="1" l="1"/>
  <c r="C896" i="1"/>
  <c r="K896" i="1" l="1"/>
  <c r="I896" i="1"/>
  <c r="M896" i="1"/>
  <c r="O897" i="1"/>
  <c r="R897" i="1" s="1"/>
  <c r="N897" i="1"/>
  <c r="Q897" i="1" s="1"/>
  <c r="P897" i="1"/>
  <c r="S897" i="1" s="1"/>
  <c r="D897" i="1"/>
  <c r="B897" i="1"/>
  <c r="G896" i="1" l="1"/>
  <c r="E897" i="1" s="1"/>
  <c r="J897" i="1"/>
  <c r="L897" i="1"/>
  <c r="H897" i="1"/>
  <c r="F897" i="1" s="1"/>
  <c r="C897" i="1" l="1"/>
  <c r="B898" i="1"/>
  <c r="K897" i="1" l="1"/>
  <c r="M897" i="1"/>
  <c r="O898" i="1"/>
  <c r="R898" i="1" s="1"/>
  <c r="J898" i="1" s="1"/>
  <c r="P898" i="1"/>
  <c r="S898" i="1" s="1"/>
  <c r="L898" i="1" s="1"/>
  <c r="I897" i="1"/>
  <c r="G897" i="1" s="1"/>
  <c r="N898" i="1"/>
  <c r="Q898" i="1" s="1"/>
  <c r="D898" i="1"/>
  <c r="C898" i="1" l="1"/>
  <c r="E898" i="1"/>
  <c r="N899" i="1"/>
  <c r="Q899" i="1" s="1"/>
  <c r="O899" i="1"/>
  <c r="R899" i="1" s="1"/>
  <c r="P899" i="1"/>
  <c r="S899" i="1" s="1"/>
  <c r="I898" i="1"/>
  <c r="H898" i="1"/>
  <c r="K898" i="1"/>
  <c r="M898" i="1"/>
  <c r="F898" i="1" l="1"/>
  <c r="B899" i="1" s="1"/>
  <c r="G898" i="1"/>
  <c r="E899" i="1" s="1"/>
  <c r="D899" i="1"/>
  <c r="J899" i="1" l="1"/>
  <c r="H899" i="1"/>
  <c r="L899" i="1"/>
  <c r="C899" i="1"/>
  <c r="F899" i="1" l="1"/>
  <c r="O900" i="1"/>
  <c r="R900" i="1" s="1"/>
  <c r="K899" i="1"/>
  <c r="N900" i="1"/>
  <c r="Q900" i="1" s="1"/>
  <c r="P900" i="1"/>
  <c r="S900" i="1" s="1"/>
  <c r="M899" i="1"/>
  <c r="I899" i="1"/>
  <c r="B900" i="1" l="1"/>
  <c r="H900" i="1" s="1"/>
  <c r="D900" i="1"/>
  <c r="G899" i="1"/>
  <c r="L900" i="1"/>
  <c r="J900" i="1"/>
  <c r="C900" i="1" l="1"/>
  <c r="E900" i="1"/>
  <c r="F900" i="1"/>
  <c r="B901" i="1" s="1"/>
  <c r="K900" i="1"/>
  <c r="O901" i="1"/>
  <c r="R901" i="1" s="1"/>
  <c r="P901" i="1"/>
  <c r="S901" i="1" s="1"/>
  <c r="N901" i="1"/>
  <c r="Q901" i="1" s="1"/>
  <c r="D901" i="1" l="1"/>
  <c r="M900" i="1"/>
  <c r="I900" i="1"/>
  <c r="G900" i="1" s="1"/>
  <c r="E901" i="1" s="1"/>
  <c r="C901" i="1"/>
  <c r="I901" i="1" s="1"/>
  <c r="L901" i="1"/>
  <c r="J901" i="1"/>
  <c r="H901" i="1"/>
  <c r="O902" i="1" l="1"/>
  <c r="N902" i="1"/>
  <c r="Q902" i="1" s="1"/>
  <c r="P902" i="1"/>
  <c r="S902" i="1" s="1"/>
  <c r="F901" i="1"/>
  <c r="B902" i="1" s="1"/>
  <c r="K901" i="1"/>
  <c r="M901" i="1"/>
  <c r="D902" i="1"/>
  <c r="R902" i="1"/>
  <c r="G901" i="1" l="1"/>
  <c r="E902" i="1" s="1"/>
  <c r="C902" i="1"/>
  <c r="O903" i="1" s="1"/>
  <c r="R903" i="1" s="1"/>
  <c r="I902" i="1"/>
  <c r="K902" i="1"/>
  <c r="M902" i="1"/>
  <c r="N903" i="1"/>
  <c r="Q903" i="1" s="1"/>
  <c r="P903" i="1"/>
  <c r="S903" i="1" s="1"/>
  <c r="J902" i="1"/>
  <c r="H902" i="1"/>
  <c r="L902" i="1"/>
  <c r="F902" i="1" l="1"/>
  <c r="G902" i="1"/>
  <c r="E903" i="1" s="1"/>
  <c r="C903" i="1"/>
  <c r="M903" i="1" s="1"/>
  <c r="I903" i="1"/>
  <c r="K903" i="1" l="1"/>
  <c r="G903" i="1"/>
  <c r="E904" i="1" s="1"/>
  <c r="B903" i="1"/>
  <c r="L903" i="1" s="1"/>
  <c r="D903" i="1"/>
  <c r="C904" i="1"/>
  <c r="N904" i="1"/>
  <c r="H903" i="1"/>
  <c r="O904" i="1" l="1"/>
  <c r="P904" i="1"/>
  <c r="J903" i="1"/>
  <c r="Q904" i="1"/>
  <c r="I904" i="1" s="1"/>
  <c r="G904" i="1" s="1"/>
  <c r="E905" i="1" s="1"/>
  <c r="R904" i="1"/>
  <c r="K904" i="1" s="1"/>
  <c r="S904" i="1"/>
  <c r="M904" i="1" s="1"/>
  <c r="F903" i="1" l="1"/>
  <c r="B904" i="1" s="1"/>
  <c r="D904" i="1" l="1"/>
  <c r="C905" i="1"/>
  <c r="H904" i="1"/>
  <c r="J904" i="1"/>
  <c r="O905" i="1"/>
  <c r="N905" i="1"/>
  <c r="P905" i="1"/>
  <c r="L904" i="1"/>
  <c r="F904" i="1" l="1"/>
  <c r="Q905" i="1"/>
  <c r="I905" i="1" s="1"/>
  <c r="R905" i="1"/>
  <c r="K905" i="1" s="1"/>
  <c r="S905" i="1"/>
  <c r="M905" i="1" s="1"/>
  <c r="G905" i="1" l="1"/>
  <c r="E906" i="1" s="1"/>
  <c r="B905" i="1"/>
  <c r="D905" i="1"/>
  <c r="C906" i="1" l="1"/>
  <c r="L905" i="1"/>
  <c r="O906" i="1"/>
  <c r="N906" i="1"/>
  <c r="P906" i="1"/>
  <c r="H905" i="1"/>
  <c r="F905" i="1" s="1"/>
  <c r="J905" i="1"/>
  <c r="Q906" i="1" l="1"/>
  <c r="I906" i="1" s="1"/>
  <c r="R906" i="1"/>
  <c r="K906" i="1" s="1"/>
  <c r="S906" i="1"/>
  <c r="M906" i="1" s="1"/>
  <c r="D906" i="1"/>
  <c r="G906" i="1" l="1"/>
  <c r="E907" i="1" s="1"/>
  <c r="B906" i="1"/>
  <c r="L906" i="1"/>
  <c r="O907" i="1"/>
  <c r="P907" i="1"/>
  <c r="N907" i="1"/>
  <c r="C907" i="1" l="1"/>
  <c r="H906" i="1"/>
  <c r="F906" i="1" s="1"/>
  <c r="J906" i="1"/>
  <c r="Q907" i="1"/>
  <c r="I907" i="1" s="1"/>
  <c r="R907" i="1"/>
  <c r="K907" i="1" s="1"/>
  <c r="S907" i="1"/>
  <c r="M907" i="1" s="1"/>
  <c r="G907" i="1" l="1"/>
  <c r="E908" i="1" s="1"/>
  <c r="D907" i="1"/>
  <c r="B907" i="1"/>
  <c r="C908" i="1"/>
  <c r="O908" i="1"/>
  <c r="P908" i="1"/>
  <c r="L907" i="1"/>
  <c r="N908" i="1" l="1"/>
  <c r="Q908" i="1" s="1"/>
  <c r="I908" i="1" s="1"/>
  <c r="H907" i="1"/>
  <c r="J907" i="1"/>
  <c r="R908" i="1"/>
  <c r="K908" i="1" s="1"/>
  <c r="S908" i="1"/>
  <c r="M908" i="1" s="1"/>
  <c r="F907" i="1" l="1"/>
  <c r="G908" i="1"/>
  <c r="E909" i="1" s="1"/>
  <c r="C909" i="1"/>
  <c r="B908" i="1" l="1"/>
  <c r="N909" i="1" s="1"/>
  <c r="Q909" i="1" s="1"/>
  <c r="I909" i="1" s="1"/>
  <c r="D908" i="1"/>
  <c r="H908" i="1"/>
  <c r="P909" i="1"/>
  <c r="S909" i="1" s="1"/>
  <c r="M909" i="1" s="1"/>
  <c r="L908" i="1"/>
  <c r="O909" i="1"/>
  <c r="R909" i="1" s="1"/>
  <c r="K909" i="1" s="1"/>
  <c r="J908" i="1"/>
  <c r="F908" i="1" l="1"/>
  <c r="G909" i="1"/>
  <c r="E910" i="1" s="1"/>
  <c r="B909" i="1"/>
  <c r="C910" i="1"/>
  <c r="D909" i="1" l="1"/>
  <c r="N910" i="1"/>
  <c r="Q910" i="1" s="1"/>
  <c r="I910" i="1" s="1"/>
  <c r="H909" i="1"/>
  <c r="O910" i="1"/>
  <c r="P910" i="1"/>
  <c r="L909" i="1"/>
  <c r="J909" i="1"/>
  <c r="F909" i="1" l="1"/>
  <c r="R910" i="1"/>
  <c r="K910" i="1" s="1"/>
  <c r="S910" i="1"/>
  <c r="M910" i="1" s="1"/>
  <c r="G910" i="1" l="1"/>
  <c r="E911" i="1" s="1"/>
  <c r="B910" i="1"/>
  <c r="D910" i="1"/>
  <c r="C911" i="1" l="1"/>
  <c r="H910" i="1"/>
  <c r="P911" i="1"/>
  <c r="J910" i="1"/>
  <c r="L910" i="1"/>
  <c r="O911" i="1"/>
  <c r="N911" i="1"/>
  <c r="F910" i="1" l="1"/>
  <c r="Q911" i="1"/>
  <c r="I911" i="1" s="1"/>
  <c r="R911" i="1"/>
  <c r="K911" i="1" s="1"/>
  <c r="S911" i="1"/>
  <c r="M911" i="1" s="1"/>
  <c r="G911" i="1" l="1"/>
  <c r="E912" i="1" s="1"/>
  <c r="B911" i="1"/>
  <c r="D911" i="1"/>
  <c r="C912" i="1" l="1"/>
  <c r="J911" i="1"/>
  <c r="O912" i="1"/>
  <c r="N912" i="1"/>
  <c r="P912" i="1"/>
  <c r="H911" i="1"/>
  <c r="L911" i="1"/>
  <c r="F911" i="1" l="1"/>
  <c r="Q912" i="1"/>
  <c r="I912" i="1" s="1"/>
  <c r="R912" i="1"/>
  <c r="K912" i="1" s="1"/>
  <c r="S912" i="1"/>
  <c r="M912" i="1" s="1"/>
  <c r="G912" i="1" l="1"/>
  <c r="E913" i="1" s="1"/>
  <c r="B912" i="1"/>
  <c r="D912" i="1"/>
  <c r="C913" i="1" l="1"/>
  <c r="J912" i="1"/>
  <c r="H912" i="1"/>
  <c r="F912" i="1" s="1"/>
  <c r="L912" i="1"/>
  <c r="N913" i="1"/>
  <c r="O913" i="1"/>
  <c r="P913" i="1"/>
  <c r="Q913" i="1" l="1"/>
  <c r="I913" i="1" s="1"/>
  <c r="R913" i="1"/>
  <c r="K913" i="1" s="1"/>
  <c r="S913" i="1"/>
  <c r="M913" i="1" s="1"/>
  <c r="G913" i="1" l="1"/>
  <c r="E914" i="1" s="1"/>
  <c r="B913" i="1"/>
  <c r="D913" i="1"/>
  <c r="C914" i="1" l="1"/>
  <c r="L913" i="1"/>
  <c r="J913" i="1"/>
  <c r="H913" i="1"/>
  <c r="F913" i="1" s="1"/>
  <c r="O914" i="1"/>
  <c r="N914" i="1"/>
  <c r="P914" i="1"/>
  <c r="D914" i="1" l="1"/>
  <c r="Q914" i="1"/>
  <c r="I914" i="1" s="1"/>
  <c r="R914" i="1"/>
  <c r="K914" i="1" s="1"/>
  <c r="S914" i="1"/>
  <c r="M914" i="1" s="1"/>
  <c r="G914" i="1" l="1"/>
  <c r="E915" i="1" s="1"/>
  <c r="B914" i="1"/>
  <c r="N915" i="1" s="1"/>
  <c r="Q915" i="1" s="1"/>
  <c r="P915" i="1"/>
  <c r="S915" i="1" s="1"/>
  <c r="O915" i="1" l="1"/>
  <c r="R915" i="1" s="1"/>
  <c r="L914" i="1"/>
  <c r="J914" i="1"/>
  <c r="H914" i="1"/>
  <c r="C915" i="1"/>
  <c r="M915" i="1" s="1"/>
  <c r="F914" i="1" l="1"/>
  <c r="B915" i="1" s="1"/>
  <c r="D915" i="1"/>
  <c r="I915" i="1"/>
  <c r="K915" i="1"/>
  <c r="J915" i="1" l="1"/>
  <c r="O916" i="1"/>
  <c r="R916" i="1" s="1"/>
  <c r="L915" i="1"/>
  <c r="P916" i="1"/>
  <c r="S916" i="1" s="1"/>
  <c r="N916" i="1"/>
  <c r="Q916" i="1" s="1"/>
  <c r="H915" i="1"/>
  <c r="F915" i="1" s="1"/>
  <c r="D916" i="1" s="1"/>
  <c r="G915" i="1"/>
  <c r="E916" i="1" s="1"/>
  <c r="B916" i="1"/>
  <c r="C916" i="1" l="1"/>
  <c r="H916" i="1"/>
  <c r="O917" i="1"/>
  <c r="R917" i="1" s="1"/>
  <c r="N917" i="1"/>
  <c r="Q917" i="1" s="1"/>
  <c r="J916" i="1"/>
  <c r="L916" i="1"/>
  <c r="F916" i="1" l="1"/>
  <c r="P917" i="1"/>
  <c r="S917" i="1" s="1"/>
  <c r="K916" i="1"/>
  <c r="I916" i="1"/>
  <c r="M916" i="1"/>
  <c r="G916" i="1" l="1"/>
  <c r="E917" i="1" s="1"/>
  <c r="B917" i="1"/>
  <c r="D917" i="1"/>
  <c r="C917" i="1" l="1"/>
  <c r="H917" i="1"/>
  <c r="L917" i="1"/>
  <c r="J917" i="1"/>
  <c r="F917" i="1" l="1"/>
  <c r="K917" i="1"/>
  <c r="M917" i="1"/>
  <c r="I917" i="1"/>
  <c r="G917" i="1" s="1"/>
  <c r="E918" i="1" s="1"/>
  <c r="O918" i="1"/>
  <c r="R918" i="1" s="1"/>
  <c r="N918" i="1"/>
  <c r="Q918" i="1" s="1"/>
  <c r="P918" i="1"/>
  <c r="S918" i="1" s="1"/>
  <c r="C918" i="1" l="1"/>
  <c r="M918" i="1" s="1"/>
  <c r="B918" i="1"/>
  <c r="D918" i="1"/>
  <c r="I918" i="1" l="1"/>
  <c r="K918" i="1"/>
  <c r="L918" i="1"/>
  <c r="J918" i="1"/>
  <c r="N919" i="1"/>
  <c r="O919" i="1"/>
  <c r="H918" i="1"/>
  <c r="F918" i="1" s="1"/>
  <c r="P919" i="1"/>
  <c r="G918" i="1" l="1"/>
  <c r="E919" i="1" s="1"/>
  <c r="B919" i="1"/>
  <c r="D919" i="1"/>
  <c r="Q919" i="1"/>
  <c r="R919" i="1"/>
  <c r="S919" i="1"/>
  <c r="H919" i="1" l="1"/>
  <c r="J919" i="1"/>
  <c r="C919" i="1"/>
  <c r="O920" i="1" s="1"/>
  <c r="R920" i="1" s="1"/>
  <c r="L919" i="1"/>
  <c r="F919" i="1" l="1"/>
  <c r="I919" i="1"/>
  <c r="M919" i="1"/>
  <c r="P920" i="1"/>
  <c r="S920" i="1" s="1"/>
  <c r="K919" i="1"/>
  <c r="N920" i="1"/>
  <c r="Q920" i="1" s="1"/>
  <c r="D920" i="1"/>
  <c r="B920" i="1" l="1"/>
  <c r="G919" i="1"/>
  <c r="E920" i="1" s="1"/>
  <c r="J920" i="1"/>
  <c r="H920" i="1"/>
  <c r="C920" i="1" l="1"/>
  <c r="L920" i="1"/>
  <c r="F920" i="1" s="1"/>
  <c r="O921" i="1"/>
  <c r="R921" i="1" s="1"/>
  <c r="B921" i="1" l="1"/>
  <c r="D921" i="1"/>
  <c r="M920" i="1"/>
  <c r="K920" i="1"/>
  <c r="I920" i="1"/>
  <c r="G920" i="1" s="1"/>
  <c r="E921" i="1" s="1"/>
  <c r="N921" i="1"/>
  <c r="Q921" i="1" s="1"/>
  <c r="P921" i="1"/>
  <c r="S921" i="1" s="1"/>
  <c r="C921" i="1"/>
  <c r="M921" i="1" l="1"/>
  <c r="O922" i="1"/>
  <c r="R922" i="1" s="1"/>
  <c r="P922" i="1"/>
  <c r="S922" i="1" s="1"/>
  <c r="N922" i="1"/>
  <c r="Q922" i="1" s="1"/>
  <c r="I921" i="1"/>
  <c r="K921" i="1"/>
  <c r="L921" i="1"/>
  <c r="H921" i="1"/>
  <c r="J921" i="1"/>
  <c r="F921" i="1" l="1"/>
  <c r="B922" i="1" s="1"/>
  <c r="G921" i="1"/>
  <c r="D922" i="1"/>
  <c r="C922" i="1" l="1"/>
  <c r="E922" i="1"/>
  <c r="H922" i="1"/>
  <c r="J922" i="1"/>
  <c r="L922" i="1"/>
  <c r="I922" i="1"/>
  <c r="K922" i="1"/>
  <c r="M922" i="1"/>
  <c r="O923" i="1"/>
  <c r="R923" i="1" s="1"/>
  <c r="N923" i="1"/>
  <c r="Q923" i="1" s="1"/>
  <c r="P923" i="1"/>
  <c r="S923" i="1" s="1"/>
  <c r="F922" i="1" l="1"/>
  <c r="D923" i="1" s="1"/>
  <c r="G922" i="1"/>
  <c r="C923" i="1" s="1"/>
  <c r="B923" i="1"/>
  <c r="E923" i="1" l="1"/>
  <c r="P924" i="1"/>
  <c r="S924" i="1" s="1"/>
  <c r="I923" i="1"/>
  <c r="M923" i="1"/>
  <c r="K923" i="1"/>
  <c r="O924" i="1"/>
  <c r="R924" i="1" s="1"/>
  <c r="N924" i="1"/>
  <c r="Q924" i="1" s="1"/>
  <c r="J923" i="1"/>
  <c r="H923" i="1"/>
  <c r="L923" i="1"/>
  <c r="F923" i="1" l="1"/>
  <c r="G923" i="1"/>
  <c r="E924" i="1" s="1"/>
  <c r="C924" i="1" l="1"/>
  <c r="B924" i="1"/>
  <c r="D924" i="1"/>
  <c r="P925" i="1"/>
  <c r="S925" i="1" s="1"/>
  <c r="L924" i="1"/>
  <c r="M924" i="1" l="1"/>
  <c r="K924" i="1"/>
  <c r="I924" i="1"/>
  <c r="G924" i="1" s="1"/>
  <c r="E925" i="1" s="1"/>
  <c r="O925" i="1"/>
  <c r="R925" i="1" s="1"/>
  <c r="H924" i="1"/>
  <c r="N925" i="1"/>
  <c r="Q925" i="1" s="1"/>
  <c r="J924" i="1"/>
  <c r="F924" i="1" l="1"/>
  <c r="C925" i="1"/>
  <c r="M925" i="1" s="1"/>
  <c r="K925" i="1" l="1"/>
  <c r="I925" i="1"/>
  <c r="D925" i="1"/>
  <c r="B925" i="1"/>
  <c r="G925" i="1" l="1"/>
  <c r="E926" i="1" s="1"/>
  <c r="O926" i="1"/>
  <c r="R926" i="1" s="1"/>
  <c r="H925" i="1"/>
  <c r="N926" i="1"/>
  <c r="Q926" i="1" s="1"/>
  <c r="L925" i="1"/>
  <c r="J925" i="1"/>
  <c r="P926" i="1"/>
  <c r="S926" i="1" s="1"/>
  <c r="F925" i="1" l="1"/>
  <c r="C926" i="1"/>
  <c r="M926" i="1" s="1"/>
  <c r="B926" i="1"/>
  <c r="D926" i="1"/>
  <c r="I926" i="1" l="1"/>
  <c r="K926" i="1"/>
  <c r="P927" i="1"/>
  <c r="S927" i="1" s="1"/>
  <c r="N927" i="1"/>
  <c r="Q927" i="1" s="1"/>
  <c r="J926" i="1"/>
  <c r="H926" i="1"/>
  <c r="F926" i="1" s="1"/>
  <c r="L926" i="1"/>
  <c r="O927" i="1"/>
  <c r="R927" i="1" s="1"/>
  <c r="G926" i="1" l="1"/>
  <c r="E927" i="1" s="1"/>
  <c r="C927" i="1" l="1"/>
  <c r="B927" i="1"/>
  <c r="D927" i="1"/>
  <c r="M927" i="1" l="1"/>
  <c r="K927" i="1"/>
  <c r="I927" i="1"/>
  <c r="G927" i="1" s="1"/>
  <c r="N928" i="1"/>
  <c r="Q928" i="1" s="1"/>
  <c r="J927" i="1"/>
  <c r="L927" i="1"/>
  <c r="P928" i="1"/>
  <c r="S928" i="1" s="1"/>
  <c r="H927" i="1"/>
  <c r="O928" i="1"/>
  <c r="R928" i="1" s="1"/>
  <c r="C928" i="1" l="1"/>
  <c r="E928" i="1"/>
  <c r="F927" i="1"/>
  <c r="B928" i="1" s="1"/>
  <c r="K928" i="1"/>
  <c r="M928" i="1"/>
  <c r="I928" i="1"/>
  <c r="J928" i="1" l="1"/>
  <c r="O929" i="1"/>
  <c r="R929" i="1" s="1"/>
  <c r="P929" i="1"/>
  <c r="S929" i="1" s="1"/>
  <c r="L928" i="1"/>
  <c r="N929" i="1"/>
  <c r="Q929" i="1" s="1"/>
  <c r="H928" i="1"/>
  <c r="F928" i="1" s="1"/>
  <c r="D928" i="1"/>
  <c r="G928" i="1"/>
  <c r="C929" i="1" s="1"/>
  <c r="B929" i="1" l="1"/>
  <c r="E929" i="1"/>
  <c r="K929" i="1"/>
  <c r="I929" i="1"/>
  <c r="M929" i="1"/>
  <c r="N930" i="1"/>
  <c r="Q930" i="1" s="1"/>
  <c r="L929" i="1"/>
  <c r="P930" i="1"/>
  <c r="S930" i="1" s="1"/>
  <c r="H929" i="1"/>
  <c r="O930" i="1"/>
  <c r="R930" i="1" s="1"/>
  <c r="J929" i="1"/>
  <c r="D929" i="1"/>
  <c r="F929" i="1" l="1"/>
  <c r="G929" i="1"/>
  <c r="E930" i="1" s="1"/>
  <c r="B930" i="1"/>
  <c r="D930" i="1"/>
  <c r="C930" i="1" l="1"/>
  <c r="H930" i="1"/>
  <c r="O931" i="1"/>
  <c r="R931" i="1" s="1"/>
  <c r="J930" i="1"/>
  <c r="N931" i="1"/>
  <c r="Q931" i="1" s="1"/>
  <c r="P931" i="1"/>
  <c r="S931" i="1" s="1"/>
  <c r="L930" i="1"/>
  <c r="F930" i="1" l="1"/>
  <c r="I930" i="1"/>
  <c r="M930" i="1"/>
  <c r="K930" i="1"/>
  <c r="G930" i="1" l="1"/>
  <c r="E931" i="1" s="1"/>
  <c r="C931" i="1"/>
  <c r="D931" i="1"/>
  <c r="B931" i="1"/>
  <c r="M931" i="1" l="1"/>
  <c r="K931" i="1"/>
  <c r="I931" i="1"/>
  <c r="H931" i="1"/>
  <c r="N932" i="1"/>
  <c r="Q932" i="1" s="1"/>
  <c r="L931" i="1"/>
  <c r="P932" i="1"/>
  <c r="S932" i="1" s="1"/>
  <c r="O932" i="1"/>
  <c r="R932" i="1" s="1"/>
  <c r="J931" i="1"/>
  <c r="F931" i="1" l="1"/>
  <c r="G931" i="1"/>
  <c r="E932" i="1" s="1"/>
  <c r="C932" i="1" l="1"/>
  <c r="B932" i="1"/>
  <c r="D932" i="1"/>
  <c r="K932" i="1" l="1"/>
  <c r="M932" i="1"/>
  <c r="I932" i="1"/>
  <c r="G932" i="1" s="1"/>
  <c r="E933" i="1" s="1"/>
  <c r="L932" i="1"/>
  <c r="P933" i="1"/>
  <c r="S933" i="1" s="1"/>
  <c r="N933" i="1"/>
  <c r="Q933" i="1" s="1"/>
  <c r="O933" i="1"/>
  <c r="R933" i="1" s="1"/>
  <c r="H932" i="1"/>
  <c r="F932" i="1" s="1"/>
  <c r="J932" i="1"/>
  <c r="C933" i="1" l="1"/>
  <c r="K933" i="1" l="1"/>
  <c r="I933" i="1"/>
  <c r="M933" i="1"/>
  <c r="B933" i="1"/>
  <c r="D933" i="1"/>
  <c r="G933" i="1" l="1"/>
  <c r="E934" i="1" s="1"/>
  <c r="P934" i="1"/>
  <c r="S934" i="1" s="1"/>
  <c r="O934" i="1"/>
  <c r="R934" i="1" s="1"/>
  <c r="J933" i="1"/>
  <c r="H933" i="1"/>
  <c r="N934" i="1"/>
  <c r="Q934" i="1" s="1"/>
  <c r="L933" i="1"/>
  <c r="F933" i="1" l="1"/>
  <c r="D934" i="1" s="1"/>
  <c r="C934" i="1"/>
  <c r="I934" i="1" s="1"/>
  <c r="B934" i="1"/>
  <c r="K934" i="1" l="1"/>
  <c r="M934" i="1"/>
  <c r="N935" i="1"/>
  <c r="Q935" i="1" s="1"/>
  <c r="P935" i="1"/>
  <c r="S935" i="1" s="1"/>
  <c r="O935" i="1"/>
  <c r="R935" i="1" s="1"/>
  <c r="L934" i="1"/>
  <c r="J934" i="1"/>
  <c r="H934" i="1"/>
  <c r="G934" i="1" l="1"/>
  <c r="F934" i="1"/>
  <c r="C935" i="1" l="1"/>
  <c r="E935" i="1"/>
  <c r="D935" i="1"/>
  <c r="B935" i="1"/>
  <c r="I935" i="1" l="1"/>
  <c r="M935" i="1"/>
  <c r="K935" i="1"/>
  <c r="H935" i="1"/>
  <c r="N936" i="1"/>
  <c r="Q936" i="1" s="1"/>
  <c r="P936" i="1"/>
  <c r="S936" i="1" s="1"/>
  <c r="L935" i="1"/>
  <c r="J935" i="1"/>
  <c r="O936" i="1"/>
  <c r="R936" i="1" s="1"/>
  <c r="G935" i="1" l="1"/>
  <c r="F935" i="1"/>
  <c r="D936" i="1"/>
  <c r="C936" i="1" l="1"/>
  <c r="E936" i="1"/>
  <c r="B936" i="1"/>
  <c r="I936" i="1" l="1"/>
  <c r="M936" i="1"/>
  <c r="K936" i="1"/>
  <c r="O937" i="1"/>
  <c r="R937" i="1" s="1"/>
  <c r="N937" i="1"/>
  <c r="Q937" i="1" s="1"/>
  <c r="J936" i="1"/>
  <c r="L936" i="1"/>
  <c r="P937" i="1"/>
  <c r="S937" i="1" s="1"/>
  <c r="H936" i="1"/>
  <c r="G936" i="1" l="1"/>
  <c r="F936" i="1"/>
  <c r="D937" i="1" s="1"/>
  <c r="B937" i="1"/>
  <c r="C937" i="1" l="1"/>
  <c r="E937" i="1"/>
  <c r="J937" i="1"/>
  <c r="P938" i="1"/>
  <c r="S938" i="1" s="1"/>
  <c r="O938" i="1"/>
  <c r="R938" i="1" s="1"/>
  <c r="L937" i="1"/>
  <c r="H937" i="1"/>
  <c r="N938" i="1"/>
  <c r="Q938" i="1" s="1"/>
  <c r="K937" i="1" l="1"/>
  <c r="I937" i="1"/>
  <c r="G937" i="1" s="1"/>
  <c r="C938" i="1" s="1"/>
  <c r="K938" i="1" s="1"/>
  <c r="M937" i="1"/>
  <c r="F937" i="1"/>
  <c r="D938" i="1" s="1"/>
  <c r="I938" i="1" l="1"/>
  <c r="M938" i="1"/>
  <c r="E938" i="1"/>
  <c r="B938" i="1"/>
  <c r="P939" i="1" s="1"/>
  <c r="S939" i="1" s="1"/>
  <c r="G938" i="1"/>
  <c r="H938" i="1"/>
  <c r="O939" i="1"/>
  <c r="R939" i="1" s="1"/>
  <c r="L938" i="1"/>
  <c r="N939" i="1" l="1"/>
  <c r="Q939" i="1" s="1"/>
  <c r="E939" i="1"/>
  <c r="J938" i="1"/>
  <c r="F938" i="1"/>
  <c r="C939" i="1"/>
  <c r="M939" i="1" s="1"/>
  <c r="I939" i="1" l="1"/>
  <c r="K939" i="1"/>
  <c r="D939" i="1"/>
  <c r="B939" i="1"/>
  <c r="G939" i="1" l="1"/>
  <c r="N940" i="1"/>
  <c r="Q940" i="1" s="1"/>
  <c r="P940" i="1"/>
  <c r="S940" i="1" s="1"/>
  <c r="L939" i="1"/>
  <c r="H939" i="1"/>
  <c r="F939" i="1" s="1"/>
  <c r="J939" i="1"/>
  <c r="O940" i="1"/>
  <c r="R940" i="1" s="1"/>
  <c r="C940" i="1" l="1"/>
  <c r="K940" i="1" s="1"/>
  <c r="E940" i="1"/>
  <c r="B940" i="1"/>
  <c r="J940" i="1" s="1"/>
  <c r="D940" i="1"/>
  <c r="P941" i="1" l="1"/>
  <c r="S941" i="1" s="1"/>
  <c r="N941" i="1"/>
  <c r="Q941" i="1" s="1"/>
  <c r="O941" i="1"/>
  <c r="R941" i="1" s="1"/>
  <c r="I940" i="1"/>
  <c r="G940" i="1" s="1"/>
  <c r="E941" i="1" s="1"/>
  <c r="L940" i="1"/>
  <c r="M940" i="1"/>
  <c r="H940" i="1"/>
  <c r="F940" i="1" s="1"/>
  <c r="D941" i="1" s="1"/>
  <c r="C941" i="1" l="1"/>
  <c r="B941" i="1"/>
  <c r="N942" i="1" s="1"/>
  <c r="Q942" i="1" s="1"/>
  <c r="P942" i="1"/>
  <c r="S942" i="1" s="1"/>
  <c r="H941" i="1"/>
  <c r="J941" i="1"/>
  <c r="O942" i="1"/>
  <c r="R942" i="1" s="1"/>
  <c r="L941" i="1" l="1"/>
  <c r="K941" i="1"/>
  <c r="M941" i="1"/>
  <c r="I941" i="1"/>
  <c r="F941" i="1"/>
  <c r="G941" i="1"/>
  <c r="E942" i="1" s="1"/>
  <c r="C942" i="1" l="1"/>
  <c r="B942" i="1"/>
  <c r="D942" i="1"/>
  <c r="M942" i="1"/>
  <c r="I942" i="1" l="1"/>
  <c r="K942" i="1"/>
  <c r="P943" i="1"/>
  <c r="S943" i="1" s="1"/>
  <c r="H942" i="1"/>
  <c r="J942" i="1"/>
  <c r="L942" i="1"/>
  <c r="N943" i="1"/>
  <c r="Q943" i="1" s="1"/>
  <c r="O943" i="1"/>
  <c r="R943" i="1" s="1"/>
  <c r="F942" i="1" l="1"/>
  <c r="G942" i="1"/>
  <c r="E943" i="1" s="1"/>
  <c r="C943" i="1"/>
  <c r="M943" i="1"/>
  <c r="I943" i="1"/>
  <c r="K943" i="1"/>
  <c r="B943" i="1"/>
  <c r="L943" i="1" s="1"/>
  <c r="D943" i="1"/>
  <c r="G943" i="1" l="1"/>
  <c r="C944" i="1" s="1"/>
  <c r="P944" i="1"/>
  <c r="S944" i="1" s="1"/>
  <c r="M944" i="1" s="1"/>
  <c r="O944" i="1"/>
  <c r="R944" i="1" s="1"/>
  <c r="K944" i="1" s="1"/>
  <c r="H943" i="1"/>
  <c r="J943" i="1"/>
  <c r="N944" i="1"/>
  <c r="Q944" i="1" s="1"/>
  <c r="I944" i="1" s="1"/>
  <c r="E944" i="1" l="1"/>
  <c r="F943" i="1"/>
  <c r="G944" i="1"/>
  <c r="E945" i="1" l="1"/>
  <c r="D944" i="1"/>
  <c r="B944" i="1"/>
  <c r="C945" i="1"/>
  <c r="N945" i="1" l="1"/>
  <c r="Q945" i="1" s="1"/>
  <c r="I945" i="1" s="1"/>
  <c r="J944" i="1"/>
  <c r="L944" i="1"/>
  <c r="O945" i="1"/>
  <c r="R945" i="1" s="1"/>
  <c r="K945" i="1" s="1"/>
  <c r="P945" i="1"/>
  <c r="S945" i="1" s="1"/>
  <c r="M945" i="1" s="1"/>
  <c r="H944" i="1"/>
  <c r="F944" i="1" s="1"/>
  <c r="D945" i="1" s="1"/>
  <c r="B945" i="1" l="1"/>
  <c r="J945" i="1" s="1"/>
  <c r="G945" i="1"/>
  <c r="E946" i="1" s="1"/>
  <c r="H945" i="1"/>
  <c r="L945" i="1"/>
  <c r="O946" i="1"/>
  <c r="R946" i="1" s="1"/>
  <c r="P946" i="1"/>
  <c r="S946" i="1" s="1"/>
  <c r="C946" i="1"/>
  <c r="N946" i="1"/>
  <c r="Q946" i="1" s="1"/>
  <c r="F945" i="1" l="1"/>
  <c r="B946" i="1"/>
  <c r="D946" i="1"/>
  <c r="I946" i="1"/>
  <c r="K946" i="1"/>
  <c r="M946" i="1"/>
  <c r="G946" i="1" l="1"/>
  <c r="E947" i="1" s="1"/>
  <c r="J946" i="1"/>
  <c r="H946" i="1"/>
  <c r="P947" i="1"/>
  <c r="S947" i="1" s="1"/>
  <c r="O947" i="1"/>
  <c r="R947" i="1" s="1"/>
  <c r="L946" i="1"/>
  <c r="N947" i="1"/>
  <c r="Q947" i="1" s="1"/>
  <c r="F946" i="1" l="1"/>
  <c r="C947" i="1"/>
  <c r="B947" i="1" l="1"/>
  <c r="D947" i="1"/>
  <c r="I947" i="1"/>
  <c r="M947" i="1"/>
  <c r="K947" i="1"/>
  <c r="G947" i="1" l="1"/>
  <c r="E948" i="1" s="1"/>
  <c r="N948" i="1"/>
  <c r="Q948" i="1" s="1"/>
  <c r="L947" i="1"/>
  <c r="P948" i="1"/>
  <c r="S948" i="1" s="1"/>
  <c r="J947" i="1"/>
  <c r="O948" i="1"/>
  <c r="R948" i="1" s="1"/>
  <c r="H947" i="1"/>
  <c r="F947" i="1" s="1"/>
  <c r="C948" i="1" l="1"/>
  <c r="M948" i="1"/>
  <c r="B948" i="1" l="1"/>
  <c r="D948" i="1"/>
  <c r="I948" i="1"/>
  <c r="K948" i="1"/>
  <c r="G948" i="1" l="1"/>
  <c r="E949" i="1" s="1"/>
  <c r="N949" i="1"/>
  <c r="Q949" i="1" s="1"/>
  <c r="J948" i="1"/>
  <c r="H948" i="1"/>
  <c r="L948" i="1"/>
  <c r="P949" i="1"/>
  <c r="S949" i="1" s="1"/>
  <c r="O949" i="1"/>
  <c r="R949" i="1" s="1"/>
  <c r="F948" i="1" l="1"/>
  <c r="C949" i="1"/>
  <c r="D949" i="1"/>
  <c r="K949" i="1"/>
  <c r="B949" i="1" l="1"/>
  <c r="I949" i="1"/>
  <c r="O950" i="1"/>
  <c r="R950" i="1" s="1"/>
  <c r="P950" i="1"/>
  <c r="S950" i="1" s="1"/>
  <c r="M949" i="1"/>
  <c r="J949" i="1"/>
  <c r="G949" i="1" l="1"/>
  <c r="E950" i="1" s="1"/>
  <c r="N950" i="1"/>
  <c r="Q950" i="1" s="1"/>
  <c r="L949" i="1"/>
  <c r="H949" i="1"/>
  <c r="F949" i="1" s="1"/>
  <c r="D950" i="1" l="1"/>
  <c r="C950" i="1"/>
  <c r="B950" i="1"/>
  <c r="O951" i="1" s="1"/>
  <c r="R951" i="1" s="1"/>
  <c r="L950" i="1"/>
  <c r="J950" i="1"/>
  <c r="H950" i="1" l="1"/>
  <c r="F950" i="1"/>
  <c r="P951" i="1"/>
  <c r="S951" i="1" s="1"/>
  <c r="I950" i="1"/>
  <c r="K950" i="1"/>
  <c r="N951" i="1"/>
  <c r="Q951" i="1" s="1"/>
  <c r="M950" i="1"/>
  <c r="G950" i="1" l="1"/>
  <c r="E951" i="1" s="1"/>
  <c r="B951" i="1"/>
  <c r="D951" i="1"/>
  <c r="C951" i="1"/>
  <c r="J951" i="1" l="1"/>
  <c r="L951" i="1"/>
  <c r="H951" i="1"/>
  <c r="F951" i="1" s="1"/>
  <c r="P952" i="1"/>
  <c r="S952" i="1" s="1"/>
  <c r="N952" i="1"/>
  <c r="Q952" i="1" s="1"/>
  <c r="O952" i="1"/>
  <c r="R952" i="1" s="1"/>
  <c r="I951" i="1"/>
  <c r="K951" i="1"/>
  <c r="M951" i="1"/>
  <c r="G951" i="1" l="1"/>
  <c r="E952" i="1" s="1"/>
  <c r="B952" i="1"/>
  <c r="H952" i="1" l="1"/>
  <c r="J952" i="1"/>
  <c r="L952" i="1"/>
  <c r="D952" i="1"/>
  <c r="C952" i="1"/>
  <c r="K952" i="1" s="1"/>
  <c r="M952" i="1"/>
  <c r="P953" i="1"/>
  <c r="S953" i="1" s="1"/>
  <c r="F952" i="1" l="1"/>
  <c r="O953" i="1"/>
  <c r="I952" i="1"/>
  <c r="N953" i="1"/>
  <c r="B953" i="1"/>
  <c r="L953" i="1" s="1"/>
  <c r="Q953" i="1"/>
  <c r="H953" i="1" s="1"/>
  <c r="R953" i="1"/>
  <c r="J953" i="1" s="1"/>
  <c r="F953" i="1" l="1"/>
  <c r="G952" i="1"/>
  <c r="D953" i="1"/>
  <c r="B954" i="1" s="1"/>
  <c r="C953" i="1" l="1"/>
  <c r="E953" i="1"/>
  <c r="D954" i="1"/>
  <c r="M953" i="1"/>
  <c r="K953" i="1"/>
  <c r="I953" i="1"/>
  <c r="O954" i="1"/>
  <c r="R954" i="1" s="1"/>
  <c r="N954" i="1"/>
  <c r="P954" i="1"/>
  <c r="S954" i="1" s="1"/>
  <c r="G953" i="1" l="1"/>
  <c r="C954" i="1" s="1"/>
  <c r="Q954" i="1"/>
  <c r="H954" i="1" s="1"/>
  <c r="F954" i="1" s="1"/>
  <c r="L954" i="1"/>
  <c r="J954" i="1"/>
  <c r="E954" i="1" l="1"/>
  <c r="I954" i="1"/>
  <c r="O955" i="1"/>
  <c r="R955" i="1" s="1"/>
  <c r="P955" i="1"/>
  <c r="S955" i="1" s="1"/>
  <c r="N955" i="1"/>
  <c r="Q955" i="1" s="1"/>
  <c r="K954" i="1"/>
  <c r="M954" i="1"/>
  <c r="G954" i="1" l="1"/>
  <c r="C955" i="1" s="1"/>
  <c r="B955" i="1"/>
  <c r="J955" i="1" s="1"/>
  <c r="D955" i="1"/>
  <c r="P956" i="1"/>
  <c r="S956" i="1" s="1"/>
  <c r="N956" i="1"/>
  <c r="Q956" i="1" s="1"/>
  <c r="H955" i="1"/>
  <c r="O956" i="1"/>
  <c r="R956" i="1" s="1"/>
  <c r="E955" i="1" l="1"/>
  <c r="L955" i="1"/>
  <c r="F955" i="1" s="1"/>
  <c r="D956" i="1" s="1"/>
  <c r="M955" i="1"/>
  <c r="I955" i="1"/>
  <c r="K955" i="1"/>
  <c r="G955" i="1" l="1"/>
  <c r="E956" i="1"/>
  <c r="B956" i="1"/>
  <c r="L956" i="1"/>
  <c r="H956" i="1"/>
  <c r="F956" i="1" s="1"/>
  <c r="J956" i="1"/>
  <c r="C956" i="1" l="1"/>
  <c r="D957" i="1"/>
  <c r="B957" i="1" l="1"/>
  <c r="P957" i="1"/>
  <c r="S957" i="1" s="1"/>
  <c r="K956" i="1"/>
  <c r="N957" i="1"/>
  <c r="M956" i="1"/>
  <c r="O957" i="1"/>
  <c r="I956" i="1"/>
  <c r="G956" i="1" l="1"/>
  <c r="E957" i="1" s="1"/>
  <c r="L957" i="1"/>
  <c r="Q957" i="1"/>
  <c r="H957" i="1" s="1"/>
  <c r="F957" i="1" s="1"/>
  <c r="R957" i="1"/>
  <c r="J957" i="1" s="1"/>
  <c r="C957" i="1" l="1"/>
  <c r="K957" i="1"/>
  <c r="D958" i="1"/>
  <c r="O958" i="1"/>
  <c r="R958" i="1" s="1"/>
  <c r="P958" i="1" l="1"/>
  <c r="S958" i="1" s="1"/>
  <c r="M957" i="1"/>
  <c r="N958" i="1"/>
  <c r="Q958" i="1" s="1"/>
  <c r="I957" i="1"/>
  <c r="G957" i="1" s="1"/>
  <c r="B958" i="1"/>
  <c r="H958" i="1" s="1"/>
  <c r="C958" i="1" l="1"/>
  <c r="E958" i="1"/>
  <c r="O959" i="1"/>
  <c r="R959" i="1" s="1"/>
  <c r="J958" i="1"/>
  <c r="P959" i="1"/>
  <c r="S959" i="1" s="1"/>
  <c r="L958" i="1"/>
  <c r="N959" i="1"/>
  <c r="Q959" i="1" s="1"/>
  <c r="I958" i="1"/>
  <c r="G958" i="1" s="1"/>
  <c r="M958" i="1"/>
  <c r="K958" i="1"/>
  <c r="F958" i="1" l="1"/>
  <c r="E959" i="1"/>
  <c r="D959" i="1"/>
  <c r="C959" i="1" l="1"/>
  <c r="B959" i="1"/>
  <c r="P960" i="1" s="1"/>
  <c r="S960" i="1" s="1"/>
  <c r="H959" i="1"/>
  <c r="N960" i="1"/>
  <c r="Q960" i="1" s="1"/>
  <c r="J959" i="1" l="1"/>
  <c r="L959" i="1"/>
  <c r="F959" i="1" s="1"/>
  <c r="O960" i="1"/>
  <c r="R960" i="1" s="1"/>
  <c r="M959" i="1"/>
  <c r="I959" i="1"/>
  <c r="K959" i="1"/>
  <c r="G959" i="1" l="1"/>
  <c r="E960" i="1" s="1"/>
  <c r="D960" i="1"/>
  <c r="B960" i="1"/>
  <c r="H960" i="1" s="1"/>
  <c r="L960" i="1"/>
  <c r="J960" i="1" l="1"/>
  <c r="F960" i="1" s="1"/>
  <c r="D961" i="1" s="1"/>
  <c r="C960" i="1"/>
  <c r="O961" i="1" l="1"/>
  <c r="R961" i="1" s="1"/>
  <c r="P961" i="1"/>
  <c r="S961" i="1" s="1"/>
  <c r="M960" i="1"/>
  <c r="K960" i="1"/>
  <c r="N961" i="1"/>
  <c r="Q961" i="1" s="1"/>
  <c r="I960" i="1"/>
  <c r="B961" i="1"/>
  <c r="G960" i="1" l="1"/>
  <c r="J961" i="1"/>
  <c r="H961" i="1"/>
  <c r="F961" i="1" s="1"/>
  <c r="L961" i="1"/>
  <c r="C961" i="1" l="1"/>
  <c r="E961" i="1"/>
  <c r="M961" i="1"/>
  <c r="N962" i="1"/>
  <c r="Q962" i="1" s="1"/>
  <c r="P962" i="1"/>
  <c r="S962" i="1" s="1"/>
  <c r="L962" i="1" s="1"/>
  <c r="O962" i="1"/>
  <c r="R962" i="1" s="1"/>
  <c r="J962" i="1" s="1"/>
  <c r="K961" i="1"/>
  <c r="I961" i="1"/>
  <c r="G961" i="1" s="1"/>
  <c r="D962" i="1"/>
  <c r="B962" i="1"/>
  <c r="E962" i="1" l="1"/>
  <c r="C962" i="1"/>
  <c r="H962" i="1"/>
  <c r="F962" i="1" s="1"/>
  <c r="B963" i="1" s="1"/>
  <c r="D963" i="1" l="1"/>
  <c r="I962" i="1"/>
  <c r="K962" i="1"/>
  <c r="M962" i="1"/>
  <c r="N963" i="1"/>
  <c r="P963" i="1"/>
  <c r="O963" i="1"/>
  <c r="G962" i="1" l="1"/>
  <c r="E963" i="1" s="1"/>
  <c r="Q963" i="1"/>
  <c r="H963" i="1" s="1"/>
  <c r="R963" i="1"/>
  <c r="J963" i="1" s="1"/>
  <c r="S963" i="1"/>
  <c r="L963" i="1" s="1"/>
  <c r="F963" i="1" l="1"/>
  <c r="C963" i="1"/>
  <c r="P964" i="1" s="1"/>
  <c r="S964" i="1" s="1"/>
  <c r="D964" i="1"/>
  <c r="M963" i="1"/>
  <c r="I963" i="1"/>
  <c r="G963" i="1" s="1"/>
  <c r="E964" i="1" s="1"/>
  <c r="K963" i="1"/>
  <c r="O964" i="1" l="1"/>
  <c r="R964" i="1" s="1"/>
  <c r="N964" i="1"/>
  <c r="Q964" i="1" s="1"/>
  <c r="B964" i="1"/>
  <c r="H964" i="1" l="1"/>
  <c r="J964" i="1"/>
  <c r="C964" i="1"/>
  <c r="I964" i="1" s="1"/>
  <c r="L964" i="1"/>
  <c r="M964" i="1"/>
  <c r="K964" i="1"/>
  <c r="F964" i="1" l="1"/>
  <c r="G964" i="1"/>
  <c r="E965" i="1" s="1"/>
  <c r="B965" i="1"/>
  <c r="D965" i="1"/>
  <c r="P965" i="1"/>
  <c r="S965" i="1" s="1"/>
  <c r="O965" i="1"/>
  <c r="R965" i="1" s="1"/>
  <c r="N965" i="1"/>
  <c r="Q965" i="1" s="1"/>
  <c r="C965" i="1" l="1"/>
  <c r="H965" i="1"/>
  <c r="J965" i="1"/>
  <c r="L965" i="1"/>
  <c r="P966" i="1"/>
  <c r="S966" i="1" s="1"/>
  <c r="O966" i="1"/>
  <c r="R966" i="1" s="1"/>
  <c r="F965" i="1" l="1"/>
  <c r="M965" i="1"/>
  <c r="K965" i="1"/>
  <c r="I965" i="1"/>
  <c r="N966" i="1"/>
  <c r="Q966" i="1" s="1"/>
  <c r="G965" i="1" l="1"/>
  <c r="E966" i="1" s="1"/>
  <c r="B966" i="1"/>
  <c r="D966" i="1"/>
  <c r="C966" i="1"/>
  <c r="M966" i="1" s="1"/>
  <c r="N967" i="1"/>
  <c r="Q967" i="1" s="1"/>
  <c r="I966" i="1"/>
  <c r="K966" i="1"/>
  <c r="G966" i="1" l="1"/>
  <c r="E967" i="1" s="1"/>
  <c r="J966" i="1"/>
  <c r="L966" i="1"/>
  <c r="H966" i="1"/>
  <c r="F966" i="1" s="1"/>
  <c r="P967" i="1"/>
  <c r="S967" i="1" s="1"/>
  <c r="O967" i="1"/>
  <c r="R967" i="1" s="1"/>
  <c r="C967" i="1" l="1"/>
  <c r="B967" i="1" l="1"/>
  <c r="D967" i="1"/>
  <c r="K967" i="1"/>
  <c r="I967" i="1"/>
  <c r="G967" i="1" s="1"/>
  <c r="E968" i="1" s="1"/>
  <c r="M967" i="1"/>
  <c r="H967" i="1" l="1"/>
  <c r="J967" i="1"/>
  <c r="L967" i="1"/>
  <c r="O968" i="1"/>
  <c r="R968" i="1" s="1"/>
  <c r="P968" i="1"/>
  <c r="S968" i="1" s="1"/>
  <c r="N968" i="1"/>
  <c r="Q968" i="1" s="1"/>
  <c r="F967" i="1" l="1"/>
  <c r="D968" i="1"/>
  <c r="C968" i="1"/>
  <c r="B968" i="1"/>
  <c r="P969" i="1" s="1"/>
  <c r="S969" i="1" s="1"/>
  <c r="J968" i="1"/>
  <c r="H968" i="1"/>
  <c r="L968" i="1" l="1"/>
  <c r="F968" i="1" s="1"/>
  <c r="O969" i="1"/>
  <c r="R969" i="1" s="1"/>
  <c r="N969" i="1"/>
  <c r="M968" i="1"/>
  <c r="K968" i="1"/>
  <c r="I968" i="1"/>
  <c r="D969" i="1" l="1"/>
  <c r="B969" i="1"/>
  <c r="G968" i="1"/>
  <c r="E969" i="1" s="1"/>
  <c r="Q969" i="1"/>
  <c r="H969" i="1" s="1"/>
  <c r="L969" i="1"/>
  <c r="J969" i="1"/>
  <c r="C969" i="1" l="1"/>
  <c r="O970" i="1" s="1"/>
  <c r="R970" i="1" s="1"/>
  <c r="F969" i="1"/>
  <c r="N970" i="1"/>
  <c r="Q970" i="1" s="1"/>
  <c r="M969" i="1"/>
  <c r="I969" i="1"/>
  <c r="K969" i="1"/>
  <c r="P970" i="1"/>
  <c r="S970" i="1" s="1"/>
  <c r="G969" i="1" l="1"/>
  <c r="E970" i="1" s="1"/>
  <c r="B970" i="1"/>
  <c r="D970" i="1"/>
  <c r="L970" i="1"/>
  <c r="H970" i="1"/>
  <c r="F970" i="1" s="1"/>
  <c r="J970" i="1"/>
  <c r="C970" i="1" l="1"/>
  <c r="B971" i="1"/>
  <c r="D971" i="1" l="1"/>
  <c r="P971" i="1"/>
  <c r="I970" i="1"/>
  <c r="M970" i="1"/>
  <c r="K970" i="1"/>
  <c r="N971" i="1"/>
  <c r="Q971" i="1" s="1"/>
  <c r="O971" i="1"/>
  <c r="G970" i="1" l="1"/>
  <c r="E971" i="1" s="1"/>
  <c r="R971" i="1"/>
  <c r="J971" i="1" s="1"/>
  <c r="S971" i="1"/>
  <c r="L971" i="1" s="1"/>
  <c r="H971" i="1"/>
  <c r="F971" i="1" s="1"/>
  <c r="C971" i="1" l="1"/>
  <c r="D972" i="1"/>
  <c r="B972" i="1" l="1"/>
  <c r="N972" i="1"/>
  <c r="I971" i="1"/>
  <c r="M971" i="1"/>
  <c r="K971" i="1"/>
  <c r="P972" i="1"/>
  <c r="O972" i="1"/>
  <c r="G971" i="1" l="1"/>
  <c r="E972" i="1" s="1"/>
  <c r="Q972" i="1"/>
  <c r="H972" i="1" s="1"/>
  <c r="R972" i="1"/>
  <c r="J972" i="1" s="1"/>
  <c r="S972" i="1"/>
  <c r="L972" i="1" s="1"/>
  <c r="F972" i="1" l="1"/>
  <c r="C972" i="1"/>
  <c r="B973" i="1" l="1"/>
  <c r="D973" i="1"/>
  <c r="N973" i="1"/>
  <c r="M972" i="1"/>
  <c r="K972" i="1"/>
  <c r="I972" i="1"/>
  <c r="G972" i="1" s="1"/>
  <c r="E973" i="1" s="1"/>
  <c r="P973" i="1"/>
  <c r="O973" i="1"/>
  <c r="C973" i="1" l="1"/>
  <c r="Q973" i="1"/>
  <c r="H973" i="1" s="1"/>
  <c r="R973" i="1"/>
  <c r="J973" i="1" s="1"/>
  <c r="S973" i="1"/>
  <c r="L973" i="1" s="1"/>
  <c r="F973" i="1" l="1"/>
  <c r="N974" i="1"/>
  <c r="I973" i="1"/>
  <c r="M973" i="1"/>
  <c r="K973" i="1"/>
  <c r="P974" i="1"/>
  <c r="O974" i="1"/>
  <c r="G973" i="1" l="1"/>
  <c r="E974" i="1" s="1"/>
  <c r="B974" i="1"/>
  <c r="D974" i="1"/>
  <c r="Q974" i="1"/>
  <c r="H974" i="1" s="1"/>
  <c r="R974" i="1"/>
  <c r="J974" i="1" s="1"/>
  <c r="S974" i="1"/>
  <c r="L974" i="1" s="1"/>
  <c r="F974" i="1" l="1"/>
  <c r="C974" i="1"/>
  <c r="B975" i="1"/>
  <c r="D975" i="1" l="1"/>
  <c r="N975" i="1"/>
  <c r="M974" i="1"/>
  <c r="K974" i="1"/>
  <c r="I974" i="1"/>
  <c r="P975" i="1"/>
  <c r="O975" i="1"/>
  <c r="G974" i="1" l="1"/>
  <c r="Q975" i="1"/>
  <c r="H975" i="1" s="1"/>
  <c r="R975" i="1"/>
  <c r="J975" i="1" s="1"/>
  <c r="S975" i="1"/>
  <c r="L975" i="1" s="1"/>
  <c r="C975" i="1" l="1"/>
  <c r="E975" i="1"/>
  <c r="F975" i="1"/>
  <c r="K975" i="1"/>
  <c r="O976" i="1"/>
  <c r="R976" i="1" s="1"/>
  <c r="P976" i="1"/>
  <c r="S976" i="1" s="1"/>
  <c r="N976" i="1"/>
  <c r="Q976" i="1" s="1"/>
  <c r="M975" i="1"/>
  <c r="I975" i="1"/>
  <c r="G975" i="1" l="1"/>
  <c r="E976" i="1" s="1"/>
  <c r="B976" i="1"/>
  <c r="H976" i="1" s="1"/>
  <c r="D976" i="1"/>
  <c r="C976" i="1"/>
  <c r="J976" i="1"/>
  <c r="N977" i="1"/>
  <c r="Q977" i="1" s="1"/>
  <c r="O977" i="1"/>
  <c r="R977" i="1" s="1"/>
  <c r="P977" i="1" l="1"/>
  <c r="S977" i="1" s="1"/>
  <c r="L976" i="1"/>
  <c r="F976" i="1" s="1"/>
  <c r="M976" i="1"/>
  <c r="I976" i="1"/>
  <c r="G976" i="1" s="1"/>
  <c r="E977" i="1" s="1"/>
  <c r="K976" i="1"/>
  <c r="B977" i="1" l="1"/>
  <c r="L977" i="1" l="1"/>
  <c r="J977" i="1"/>
  <c r="H977" i="1"/>
  <c r="F977" i="1" s="1"/>
  <c r="D977" i="1"/>
  <c r="C977" i="1"/>
  <c r="B978" i="1" l="1"/>
  <c r="I977" i="1"/>
  <c r="P978" i="1"/>
  <c r="S978" i="1" s="1"/>
  <c r="L978" i="1" s="1"/>
  <c r="N978" i="1"/>
  <c r="Q978" i="1" s="1"/>
  <c r="H978" i="1" s="1"/>
  <c r="M977" i="1"/>
  <c r="K977" i="1"/>
  <c r="O978" i="1"/>
  <c r="R978" i="1" s="1"/>
  <c r="J978" i="1" s="1"/>
  <c r="F978" i="1" l="1"/>
  <c r="G977" i="1"/>
  <c r="E978" i="1" s="1"/>
  <c r="D978" i="1"/>
  <c r="B979" i="1"/>
  <c r="D979" i="1"/>
  <c r="C978" i="1" l="1"/>
  <c r="P979" i="1" l="1"/>
  <c r="S979" i="1" s="1"/>
  <c r="L979" i="1" s="1"/>
  <c r="N979" i="1"/>
  <c r="Q979" i="1" s="1"/>
  <c r="H979" i="1" s="1"/>
  <c r="M978" i="1"/>
  <c r="I978" i="1"/>
  <c r="O979" i="1"/>
  <c r="R979" i="1" s="1"/>
  <c r="J979" i="1" s="1"/>
  <c r="K978" i="1"/>
  <c r="F979" i="1" l="1"/>
  <c r="G978" i="1"/>
  <c r="E979" i="1" s="1"/>
  <c r="D980" i="1"/>
  <c r="B980" i="1"/>
  <c r="C979" i="1" l="1"/>
  <c r="M979" i="1" l="1"/>
  <c r="N980" i="1"/>
  <c r="Q980" i="1" s="1"/>
  <c r="H980" i="1" s="1"/>
  <c r="K979" i="1"/>
  <c r="I979" i="1"/>
  <c r="O980" i="1"/>
  <c r="R980" i="1" s="1"/>
  <c r="J980" i="1" s="1"/>
  <c r="P980" i="1"/>
  <c r="S980" i="1" s="1"/>
  <c r="L980" i="1" s="1"/>
  <c r="F980" i="1" l="1"/>
  <c r="G979" i="1"/>
  <c r="E980" i="1" s="1"/>
  <c r="C980" i="1"/>
  <c r="P981" i="1" l="1"/>
  <c r="S981" i="1" s="1"/>
  <c r="O981" i="1"/>
  <c r="R981" i="1" s="1"/>
  <c r="N981" i="1"/>
  <c r="Q981" i="1" s="1"/>
  <c r="K980" i="1"/>
  <c r="M980" i="1"/>
  <c r="I980" i="1"/>
  <c r="B981" i="1"/>
  <c r="D981" i="1"/>
  <c r="G980" i="1" l="1"/>
  <c r="E981" i="1" s="1"/>
  <c r="H981" i="1"/>
  <c r="L981" i="1"/>
  <c r="J981" i="1"/>
  <c r="F981" i="1" l="1"/>
  <c r="C981" i="1"/>
  <c r="O982" i="1" l="1"/>
  <c r="R982" i="1" s="1"/>
  <c r="P982" i="1"/>
  <c r="S982" i="1" s="1"/>
  <c r="K981" i="1"/>
  <c r="I981" i="1"/>
  <c r="G981" i="1" s="1"/>
  <c r="E982" i="1" s="1"/>
  <c r="M981" i="1"/>
  <c r="N982" i="1"/>
  <c r="Q982" i="1" s="1"/>
  <c r="B982" i="1"/>
  <c r="D982" i="1"/>
  <c r="L982" i="1" l="1"/>
  <c r="J982" i="1"/>
  <c r="H982" i="1"/>
  <c r="F982" i="1" s="1"/>
  <c r="D983" i="1" l="1"/>
  <c r="C982" i="1"/>
  <c r="B983" i="1"/>
  <c r="K982" i="1" l="1"/>
  <c r="I982" i="1"/>
  <c r="M982" i="1"/>
  <c r="N983" i="1"/>
  <c r="Q983" i="1" s="1"/>
  <c r="H983" i="1" s="1"/>
  <c r="P983" i="1"/>
  <c r="S983" i="1" s="1"/>
  <c r="L983" i="1" s="1"/>
  <c r="O983" i="1"/>
  <c r="R983" i="1" s="1"/>
  <c r="J983" i="1" s="1"/>
  <c r="F983" i="1" l="1"/>
  <c r="G982" i="1"/>
  <c r="E983" i="1" s="1"/>
  <c r="B984" i="1"/>
  <c r="D984" i="1"/>
  <c r="C983" i="1" l="1"/>
  <c r="I983" i="1"/>
  <c r="O984" i="1"/>
  <c r="R984" i="1" s="1"/>
  <c r="J984" i="1" s="1"/>
  <c r="M983" i="1"/>
  <c r="K983" i="1"/>
  <c r="N984" i="1"/>
  <c r="Q984" i="1" s="1"/>
  <c r="H984" i="1" s="1"/>
  <c r="P984" i="1"/>
  <c r="S984" i="1" s="1"/>
  <c r="L984" i="1" s="1"/>
  <c r="F984" i="1" l="1"/>
  <c r="G983" i="1"/>
  <c r="E984" i="1" s="1"/>
  <c r="B985" i="1"/>
  <c r="D985" i="1"/>
  <c r="C984" i="1" l="1"/>
  <c r="N985" i="1" l="1"/>
  <c r="Q985" i="1" s="1"/>
  <c r="H985" i="1" s="1"/>
  <c r="P985" i="1"/>
  <c r="S985" i="1" s="1"/>
  <c r="L985" i="1" s="1"/>
  <c r="M984" i="1"/>
  <c r="K984" i="1"/>
  <c r="O985" i="1"/>
  <c r="R985" i="1" s="1"/>
  <c r="J985" i="1" s="1"/>
  <c r="I984" i="1"/>
  <c r="G984" i="1" s="1"/>
  <c r="E985" i="1" s="1"/>
  <c r="F985" i="1" l="1"/>
  <c r="C985" i="1"/>
  <c r="I985" i="1" s="1"/>
  <c r="K985" i="1"/>
  <c r="N986" i="1"/>
  <c r="Q986" i="1" s="1"/>
  <c r="O986" i="1"/>
  <c r="R986" i="1" s="1"/>
  <c r="M985" i="1"/>
  <c r="P986" i="1"/>
  <c r="S986" i="1" s="1"/>
  <c r="G985" i="1" l="1"/>
  <c r="E986" i="1" s="1"/>
  <c r="D986" i="1"/>
  <c r="B986" i="1"/>
  <c r="H986" i="1" s="1"/>
  <c r="C986" i="1"/>
  <c r="J986" i="1" l="1"/>
  <c r="L986" i="1"/>
  <c r="F986" i="1" s="1"/>
  <c r="M986" i="1"/>
  <c r="K986" i="1"/>
  <c r="I986" i="1"/>
  <c r="N987" i="1"/>
  <c r="Q987" i="1" s="1"/>
  <c r="O987" i="1"/>
  <c r="R987" i="1" s="1"/>
  <c r="P987" i="1"/>
  <c r="S987" i="1" s="1"/>
  <c r="G986" i="1" l="1"/>
  <c r="E987" i="1" s="1"/>
  <c r="D987" i="1"/>
  <c r="B987" i="1"/>
  <c r="H987" i="1" s="1"/>
  <c r="J987" i="1"/>
  <c r="C987" i="1"/>
  <c r="L987" i="1" l="1"/>
  <c r="F987" i="1"/>
  <c r="D988" i="1" s="1"/>
  <c r="I987" i="1"/>
  <c r="K987" i="1"/>
  <c r="M987" i="1"/>
  <c r="N988" i="1"/>
  <c r="Q988" i="1" s="1"/>
  <c r="P988" i="1"/>
  <c r="S988" i="1" s="1"/>
  <c r="O988" i="1"/>
  <c r="R988" i="1" s="1"/>
  <c r="G987" i="1" l="1"/>
  <c r="E988" i="1" s="1"/>
  <c r="B988" i="1"/>
  <c r="H988" i="1"/>
  <c r="J988" i="1"/>
  <c r="L988" i="1"/>
  <c r="F988" i="1" l="1"/>
  <c r="D989" i="1"/>
  <c r="C988" i="1"/>
  <c r="I988" i="1" l="1"/>
  <c r="K988" i="1"/>
  <c r="N989" i="1"/>
  <c r="Q989" i="1" s="1"/>
  <c r="M988" i="1"/>
  <c r="P989" i="1"/>
  <c r="S989" i="1" s="1"/>
  <c r="O989" i="1"/>
  <c r="R989" i="1" s="1"/>
  <c r="B989" i="1"/>
  <c r="G988" i="1" l="1"/>
  <c r="E989" i="1" s="1"/>
  <c r="H989" i="1"/>
  <c r="L989" i="1"/>
  <c r="J989" i="1"/>
  <c r="F989" i="1" l="1"/>
  <c r="D990" i="1" s="1"/>
  <c r="C989" i="1"/>
  <c r="K989" i="1" l="1"/>
  <c r="I989" i="1"/>
  <c r="M989" i="1"/>
  <c r="P990" i="1"/>
  <c r="S990" i="1" s="1"/>
  <c r="N990" i="1"/>
  <c r="Q990" i="1" s="1"/>
  <c r="O990" i="1"/>
  <c r="R990" i="1" s="1"/>
  <c r="B990" i="1"/>
  <c r="G989" i="1" l="1"/>
  <c r="E990" i="1" s="1"/>
  <c r="H990" i="1"/>
  <c r="J990" i="1"/>
  <c r="L990" i="1"/>
  <c r="C990" i="1"/>
  <c r="K990" i="1" s="1"/>
  <c r="F990" i="1" l="1"/>
  <c r="O991" i="1"/>
  <c r="R991" i="1" s="1"/>
  <c r="I990" i="1"/>
  <c r="D991" i="1"/>
  <c r="P991" i="1"/>
  <c r="S991" i="1" s="1"/>
  <c r="M990" i="1"/>
  <c r="N991" i="1"/>
  <c r="Q991" i="1" s="1"/>
  <c r="G990" i="1" l="1"/>
  <c r="E991" i="1" s="1"/>
  <c r="B991" i="1"/>
  <c r="C991" i="1"/>
  <c r="M991" i="1" l="1"/>
  <c r="K991" i="1"/>
  <c r="I991" i="1"/>
  <c r="P992" i="1"/>
  <c r="S992" i="1" s="1"/>
  <c r="J991" i="1"/>
  <c r="L991" i="1"/>
  <c r="O992" i="1"/>
  <c r="R992" i="1" s="1"/>
  <c r="H991" i="1"/>
  <c r="N992" i="1"/>
  <c r="Q992" i="1" s="1"/>
  <c r="F991" i="1" l="1"/>
  <c r="G991" i="1"/>
  <c r="E992" i="1" s="1"/>
  <c r="D992" i="1"/>
  <c r="C992" i="1"/>
  <c r="M992" i="1" s="1"/>
  <c r="B992" i="1" l="1"/>
  <c r="I992" i="1"/>
  <c r="K992" i="1"/>
  <c r="G992" i="1" l="1"/>
  <c r="E993" i="1" s="1"/>
  <c r="N993" i="1"/>
  <c r="Q993" i="1" s="1"/>
  <c r="H992" i="1"/>
  <c r="J992" i="1"/>
  <c r="L992" i="1"/>
  <c r="O993" i="1"/>
  <c r="R993" i="1" s="1"/>
  <c r="P993" i="1"/>
  <c r="S993" i="1" s="1"/>
  <c r="F992" i="1" l="1"/>
  <c r="D993" i="1"/>
  <c r="C993" i="1"/>
  <c r="B993" i="1" l="1"/>
  <c r="I993" i="1"/>
  <c r="M993" i="1"/>
  <c r="K993" i="1"/>
  <c r="G993" i="1" l="1"/>
  <c r="E994" i="1" s="1"/>
  <c r="C994" i="1"/>
  <c r="N994" i="1"/>
  <c r="Q994" i="1" s="1"/>
  <c r="I994" i="1" s="1"/>
  <c r="J993" i="1"/>
  <c r="H993" i="1"/>
  <c r="F993" i="1" s="1"/>
  <c r="L993" i="1"/>
  <c r="P994" i="1"/>
  <c r="S994" i="1" s="1"/>
  <c r="M994" i="1" s="1"/>
  <c r="O994" i="1"/>
  <c r="R994" i="1" s="1"/>
  <c r="K994" i="1" s="1"/>
  <c r="G994" i="1" l="1"/>
  <c r="E995" i="1" s="1"/>
  <c r="C995" i="1" l="1"/>
  <c r="B994" i="1"/>
  <c r="D994" i="1"/>
  <c r="L994" i="1" l="1"/>
  <c r="J994" i="1"/>
  <c r="P995" i="1"/>
  <c r="S995" i="1" s="1"/>
  <c r="M995" i="1" s="1"/>
  <c r="O995" i="1"/>
  <c r="R995" i="1" s="1"/>
  <c r="K995" i="1" s="1"/>
  <c r="N995" i="1"/>
  <c r="Q995" i="1" s="1"/>
  <c r="I995" i="1" s="1"/>
  <c r="H994" i="1"/>
  <c r="F994" i="1" s="1"/>
  <c r="G995" i="1" l="1"/>
  <c r="E996" i="1" s="1"/>
  <c r="B995" i="1"/>
  <c r="C996" i="1"/>
  <c r="H995" i="1" l="1"/>
  <c r="N996" i="1"/>
  <c r="Q996" i="1" s="1"/>
  <c r="I996" i="1" s="1"/>
  <c r="J995" i="1"/>
  <c r="O996" i="1"/>
  <c r="R996" i="1" s="1"/>
  <c r="K996" i="1" s="1"/>
  <c r="L995" i="1"/>
  <c r="P996" i="1"/>
  <c r="S996" i="1" s="1"/>
  <c r="M996" i="1" s="1"/>
  <c r="D995" i="1"/>
  <c r="G996" i="1" l="1"/>
  <c r="E997" i="1" s="1"/>
  <c r="F995" i="1"/>
  <c r="D996" i="1" s="1"/>
  <c r="C997" i="1"/>
  <c r="B996" i="1" l="1"/>
  <c r="N997" i="1" l="1"/>
  <c r="Q997" i="1" s="1"/>
  <c r="I997" i="1" s="1"/>
  <c r="J996" i="1"/>
  <c r="L996" i="1"/>
  <c r="O997" i="1"/>
  <c r="R997" i="1" s="1"/>
  <c r="K997" i="1" s="1"/>
  <c r="P997" i="1"/>
  <c r="S997" i="1" s="1"/>
  <c r="M997" i="1" s="1"/>
  <c r="H996" i="1"/>
  <c r="F996" i="1" l="1"/>
  <c r="D997" i="1" s="1"/>
  <c r="G997" i="1"/>
  <c r="E998" i="1" s="1"/>
  <c r="B997" i="1"/>
  <c r="C998" i="1" l="1"/>
  <c r="P998" i="1"/>
  <c r="S998" i="1" s="1"/>
  <c r="O998" i="1"/>
  <c r="R998" i="1" s="1"/>
  <c r="N998" i="1"/>
  <c r="Q998" i="1" s="1"/>
  <c r="I998" i="1" s="1"/>
  <c r="H997" i="1"/>
  <c r="L997" i="1"/>
  <c r="J997" i="1"/>
  <c r="F997" i="1" l="1"/>
  <c r="D998" i="1"/>
  <c r="B998" i="1"/>
  <c r="M998" i="1"/>
  <c r="K998" i="1"/>
  <c r="G998" i="1" s="1"/>
  <c r="E999" i="1" s="1"/>
  <c r="C999" i="1" l="1"/>
  <c r="N999" i="1"/>
  <c r="Q999" i="1" s="1"/>
  <c r="P999" i="1"/>
  <c r="S999" i="1" s="1"/>
  <c r="M999" i="1" s="1"/>
  <c r="O999" i="1"/>
  <c r="R999" i="1" s="1"/>
  <c r="K999" i="1" s="1"/>
  <c r="J998" i="1"/>
  <c r="H998" i="1"/>
  <c r="L998" i="1"/>
  <c r="F998" i="1" l="1"/>
  <c r="D999" i="1" s="1"/>
  <c r="B999" i="1"/>
  <c r="I999" i="1"/>
  <c r="G999" i="1" l="1"/>
  <c r="N1000" i="1"/>
  <c r="Q1000" i="1" s="1"/>
  <c r="L999" i="1"/>
  <c r="J999" i="1"/>
  <c r="H999" i="1"/>
  <c r="P1000" i="1"/>
  <c r="S1000" i="1" s="1"/>
  <c r="O1000" i="1"/>
  <c r="R1000" i="1" s="1"/>
  <c r="C1000" i="1" l="1"/>
  <c r="E1000" i="1"/>
  <c r="F999" i="1"/>
  <c r="D1000" i="1" s="1"/>
  <c r="K1000" i="1"/>
  <c r="I1000" i="1"/>
  <c r="M1000" i="1"/>
  <c r="B1000" i="1"/>
  <c r="G1000" i="1" l="1"/>
  <c r="E1001" i="1" s="1"/>
  <c r="P1001" i="1"/>
  <c r="S1001" i="1" s="1"/>
  <c r="O1001" i="1"/>
  <c r="R1001" i="1" s="1"/>
  <c r="J1000" i="1"/>
  <c r="L1000" i="1"/>
  <c r="H1000" i="1"/>
  <c r="N1001" i="1"/>
  <c r="Q1001" i="1" s="1"/>
  <c r="F1000" i="1" l="1"/>
  <c r="D1001" i="1" s="1"/>
  <c r="C1001" i="1"/>
  <c r="B1001" i="1"/>
  <c r="K1001" i="1" l="1"/>
  <c r="M1001" i="1"/>
  <c r="I1001" i="1"/>
  <c r="G1001" i="1" s="1"/>
  <c r="E1002" i="1" s="1"/>
  <c r="H1001" i="1"/>
  <c r="J1001" i="1"/>
  <c r="N1002" i="1"/>
  <c r="Q1002" i="1" s="1"/>
  <c r="O1002" i="1"/>
  <c r="R1002" i="1" s="1"/>
  <c r="P1002" i="1"/>
  <c r="S1002" i="1" s="1"/>
  <c r="L1001" i="1"/>
  <c r="F1001" i="1" l="1"/>
  <c r="C1002" i="1"/>
  <c r="K1002" i="1" s="1"/>
  <c r="M1002" i="1" l="1"/>
  <c r="I1002" i="1"/>
  <c r="G1002" i="1" s="1"/>
  <c r="E1003" i="1" s="1"/>
  <c r="D1002" i="1"/>
  <c r="B1002" i="1"/>
  <c r="C1003" i="1" l="1"/>
  <c r="L1002" i="1"/>
  <c r="N1003" i="1"/>
  <c r="Q1003" i="1" s="1"/>
  <c r="I1003" i="1" s="1"/>
  <c r="J1002" i="1"/>
  <c r="H1002" i="1"/>
  <c r="F1002" i="1" s="1"/>
  <c r="D1003" i="1" s="1"/>
  <c r="P1003" i="1"/>
  <c r="S1003" i="1" s="1"/>
  <c r="O1003" i="1"/>
  <c r="R1003" i="1" s="1"/>
  <c r="M1003" i="1" l="1"/>
  <c r="K1003" i="1"/>
  <c r="G1003" i="1" s="1"/>
  <c r="E1004" i="1" s="1"/>
  <c r="B1003" i="1"/>
  <c r="C1004" i="1" l="1"/>
  <c r="H1003" i="1"/>
  <c r="O1004" i="1"/>
  <c r="R1004" i="1" s="1"/>
  <c r="P1004" i="1"/>
  <c r="S1004" i="1" s="1"/>
  <c r="N1004" i="1"/>
  <c r="Q1004" i="1" s="1"/>
  <c r="J1003" i="1"/>
  <c r="L1003" i="1"/>
  <c r="F1003" i="1" l="1"/>
  <c r="I1004" i="1"/>
  <c r="M1004" i="1"/>
  <c r="K1004" i="1"/>
  <c r="D1004" i="1"/>
  <c r="G1004" i="1" l="1"/>
  <c r="E1005" i="1" s="1"/>
  <c r="B1004" i="1"/>
  <c r="C1005" i="1" l="1"/>
  <c r="J1004" i="1"/>
  <c r="L1004" i="1"/>
  <c r="N1005" i="1"/>
  <c r="Q1005" i="1" s="1"/>
  <c r="I1005" i="1" s="1"/>
  <c r="P1005" i="1"/>
  <c r="S1005" i="1" s="1"/>
  <c r="O1005" i="1"/>
  <c r="R1005" i="1" s="1"/>
  <c r="H1004" i="1"/>
  <c r="F1004" i="1" l="1"/>
  <c r="D1005" i="1" s="1"/>
  <c r="K1005" i="1"/>
  <c r="B1005" i="1"/>
  <c r="J1005" i="1" s="1"/>
  <c r="M1005" i="1"/>
  <c r="G1005" i="1" l="1"/>
  <c r="E1006" i="1" s="1"/>
  <c r="C1006" i="1"/>
  <c r="L1005" i="1"/>
  <c r="H1005" i="1"/>
  <c r="N1006" i="1"/>
  <c r="Q1006" i="1" s="1"/>
  <c r="I1006" i="1" s="1"/>
  <c r="P1006" i="1"/>
  <c r="S1006" i="1" s="1"/>
  <c r="M1006" i="1" s="1"/>
  <c r="O1006" i="1"/>
  <c r="R1006" i="1" s="1"/>
  <c r="F1005" i="1" l="1"/>
  <c r="D1006" i="1" s="1"/>
  <c r="K1006" i="1"/>
  <c r="G1006" i="1" s="1"/>
  <c r="E1007" i="1" s="1"/>
  <c r="B1006" i="1"/>
  <c r="C1007" i="1" l="1"/>
  <c r="L1006" i="1"/>
  <c r="H1006" i="1"/>
  <c r="N1007" i="1"/>
  <c r="Q1007" i="1" s="1"/>
  <c r="I1007" i="1" s="1"/>
  <c r="P1007" i="1"/>
  <c r="S1007" i="1" s="1"/>
  <c r="O1007" i="1"/>
  <c r="R1007" i="1" s="1"/>
  <c r="J1006" i="1"/>
  <c r="F1006" i="1" l="1"/>
  <c r="M1007" i="1"/>
  <c r="K1007" i="1"/>
  <c r="G1007" i="1" s="1"/>
  <c r="E1008" i="1" s="1"/>
  <c r="D1007" i="1" l="1"/>
  <c r="B1007" i="1"/>
  <c r="C1008" i="1"/>
  <c r="H1007" i="1" l="1"/>
  <c r="N1008" i="1"/>
  <c r="Q1008" i="1" s="1"/>
  <c r="P1008" i="1"/>
  <c r="S1008" i="1" s="1"/>
  <c r="M1008" i="1" s="1"/>
  <c r="O1008" i="1"/>
  <c r="R1008" i="1" s="1"/>
  <c r="K1008" i="1" s="1"/>
  <c r="L1007" i="1"/>
  <c r="J1007" i="1"/>
  <c r="I1008" i="1"/>
  <c r="F1007" i="1" l="1"/>
  <c r="G1008" i="1"/>
  <c r="E1009" i="1" s="1"/>
  <c r="D1008" i="1" l="1"/>
  <c r="B1008" i="1"/>
  <c r="C1009" i="1"/>
  <c r="H1008" i="1" l="1"/>
  <c r="N1009" i="1"/>
  <c r="Q1009" i="1" s="1"/>
  <c r="I1009" i="1" s="1"/>
  <c r="P1009" i="1"/>
  <c r="S1009" i="1" s="1"/>
  <c r="M1009" i="1" s="1"/>
  <c r="O1009" i="1"/>
  <c r="R1009" i="1" s="1"/>
  <c r="K1009" i="1" s="1"/>
  <c r="J1008" i="1"/>
  <c r="L1008" i="1"/>
  <c r="F1008" i="1" l="1"/>
  <c r="G1009" i="1"/>
  <c r="E1010" i="1" s="1"/>
  <c r="B1009" i="1" l="1"/>
  <c r="D1009" i="1"/>
  <c r="C1010" i="1"/>
  <c r="H1009" i="1" l="1"/>
  <c r="N1010" i="1"/>
  <c r="Q1010" i="1" s="1"/>
  <c r="P1010" i="1"/>
  <c r="S1010" i="1" s="1"/>
  <c r="M1010" i="1" s="1"/>
  <c r="O1010" i="1"/>
  <c r="R1010" i="1" s="1"/>
  <c r="J1009" i="1"/>
  <c r="L1009" i="1"/>
  <c r="I1010" i="1"/>
  <c r="F1009" i="1" l="1"/>
  <c r="K1010" i="1"/>
  <c r="G1010" i="1" s="1"/>
  <c r="E1011" i="1" s="1"/>
  <c r="D1010" i="1" l="1"/>
  <c r="B1010" i="1"/>
  <c r="C1011" i="1"/>
  <c r="H1010" i="1" l="1"/>
  <c r="L1010" i="1"/>
  <c r="N1011" i="1"/>
  <c r="Q1011" i="1" s="1"/>
  <c r="I1011" i="1" s="1"/>
  <c r="P1011" i="1"/>
  <c r="S1011" i="1" s="1"/>
  <c r="O1011" i="1"/>
  <c r="R1011" i="1" s="1"/>
  <c r="J1010" i="1"/>
  <c r="F1010" i="1" l="1"/>
  <c r="M1011" i="1"/>
  <c r="K1011" i="1"/>
  <c r="G1011" i="1" s="1"/>
  <c r="E1012" i="1" s="1"/>
  <c r="B1011" i="1" l="1"/>
  <c r="D1011" i="1"/>
  <c r="C1012" i="1"/>
  <c r="H1011" i="1" l="1"/>
  <c r="O1012" i="1"/>
  <c r="R1012" i="1" s="1"/>
  <c r="P1012" i="1"/>
  <c r="S1012" i="1" s="1"/>
  <c r="M1012" i="1" s="1"/>
  <c r="N1012" i="1"/>
  <c r="Q1012" i="1" s="1"/>
  <c r="L1011" i="1"/>
  <c r="J1011" i="1"/>
  <c r="K1012" i="1"/>
  <c r="F1011" i="1" l="1"/>
  <c r="I1012" i="1"/>
  <c r="G1012" i="1" s="1"/>
  <c r="E1013" i="1" s="1"/>
  <c r="C1013" i="1" l="1"/>
  <c r="D1012" i="1"/>
  <c r="B1012" i="1"/>
  <c r="J1012" i="1" l="1"/>
  <c r="P1013" i="1"/>
  <c r="S1013" i="1" s="1"/>
  <c r="M1013" i="1" s="1"/>
  <c r="O1013" i="1"/>
  <c r="R1013" i="1" s="1"/>
  <c r="N1013" i="1"/>
  <c r="Q1013" i="1" s="1"/>
  <c r="H1012" i="1"/>
  <c r="L1012" i="1"/>
  <c r="F1012" i="1" l="1"/>
  <c r="D1013" i="1" s="1"/>
  <c r="I1013" i="1"/>
  <c r="K1013" i="1"/>
  <c r="B1013" i="1"/>
  <c r="J1013" i="1" s="1"/>
  <c r="G1013" i="1" l="1"/>
  <c r="E1014" i="1" s="1"/>
  <c r="L1013" i="1"/>
  <c r="O1014" i="1"/>
  <c r="R1014" i="1" s="1"/>
  <c r="N1014" i="1"/>
  <c r="Q1014" i="1" s="1"/>
  <c r="P1014" i="1"/>
  <c r="S1014" i="1" s="1"/>
  <c r="H1013" i="1"/>
  <c r="F1013" i="1" l="1"/>
  <c r="D1014" i="1" s="1"/>
  <c r="C1014" i="1"/>
  <c r="B1014" i="1"/>
  <c r="J1014" i="1" s="1"/>
  <c r="H1014" i="1" l="1"/>
  <c r="L1014" i="1"/>
  <c r="O1015" i="1"/>
  <c r="R1015" i="1" s="1"/>
  <c r="P1015" i="1"/>
  <c r="S1015" i="1" s="1"/>
  <c r="N1015" i="1"/>
  <c r="Q1015" i="1" s="1"/>
  <c r="M1014" i="1"/>
  <c r="I1014" i="1"/>
  <c r="K1014" i="1"/>
  <c r="F1014" i="1" l="1"/>
  <c r="G1014" i="1"/>
  <c r="E1015" i="1" s="1"/>
  <c r="C1015" i="1"/>
  <c r="D1015" i="1" l="1"/>
  <c r="B1015" i="1"/>
  <c r="I1015" i="1"/>
  <c r="M1015" i="1"/>
  <c r="K1015" i="1"/>
  <c r="G1015" i="1" l="1"/>
  <c r="E1016" i="1" s="1"/>
  <c r="C1016" i="1"/>
  <c r="L1015" i="1"/>
  <c r="O1016" i="1"/>
  <c r="R1016" i="1" s="1"/>
  <c r="P1016" i="1"/>
  <c r="S1016" i="1" s="1"/>
  <c r="N1016" i="1"/>
  <c r="Q1016" i="1" s="1"/>
  <c r="H1015" i="1"/>
  <c r="J1015" i="1"/>
  <c r="F1015" i="1" l="1"/>
  <c r="B1016" i="1" s="1"/>
  <c r="M1016" i="1"/>
  <c r="K1016" i="1"/>
  <c r="I1016" i="1"/>
  <c r="O1017" i="1" l="1"/>
  <c r="R1017" i="1" s="1"/>
  <c r="N1017" i="1"/>
  <c r="Q1017" i="1" s="1"/>
  <c r="P1017" i="1"/>
  <c r="S1017" i="1" s="1"/>
  <c r="H1016" i="1"/>
  <c r="F1016" i="1" s="1"/>
  <c r="L1016" i="1"/>
  <c r="J1016" i="1"/>
  <c r="D1016" i="1"/>
  <c r="G1016" i="1"/>
  <c r="E1017" i="1" s="1"/>
  <c r="B1017" i="1" l="1"/>
  <c r="N1018" i="1" s="1"/>
  <c r="Q1018" i="1" s="1"/>
  <c r="D1017" i="1"/>
  <c r="L1017" i="1"/>
  <c r="H1017" i="1"/>
  <c r="J1017" i="1"/>
  <c r="O1018" i="1"/>
  <c r="R1018" i="1" s="1"/>
  <c r="P1018" i="1"/>
  <c r="S1018" i="1" s="1"/>
  <c r="C1017" i="1"/>
  <c r="F1017" i="1" l="1"/>
  <c r="M1017" i="1"/>
  <c r="I1017" i="1"/>
  <c r="K1017" i="1"/>
  <c r="D1018" i="1" l="1"/>
  <c r="B1018" i="1"/>
  <c r="G1017" i="1"/>
  <c r="E1018" i="1" s="1"/>
  <c r="C1018" i="1" l="1"/>
  <c r="J1018" i="1"/>
  <c r="L1018" i="1"/>
  <c r="H1018" i="1"/>
  <c r="F1018" i="1" s="1"/>
  <c r="O1019" i="1"/>
  <c r="R1019" i="1" s="1"/>
  <c r="P1019" i="1"/>
  <c r="S1019" i="1" s="1"/>
  <c r="N1019" i="1" l="1"/>
  <c r="Q1019" i="1" s="1"/>
  <c r="I1018" i="1"/>
  <c r="M1018" i="1"/>
  <c r="K1018" i="1"/>
  <c r="G1018" i="1" s="1"/>
  <c r="E1019" i="1" s="1"/>
  <c r="B1019" i="1"/>
  <c r="H1019" i="1" s="1"/>
  <c r="D1019" i="1"/>
  <c r="C1019" i="1"/>
  <c r="L1019" i="1" l="1"/>
  <c r="J1019" i="1"/>
  <c r="F1019" i="1" s="1"/>
  <c r="P1020" i="1"/>
  <c r="S1020" i="1" s="1"/>
  <c r="N1020" i="1"/>
  <c r="Q1020" i="1" s="1"/>
  <c r="O1020" i="1"/>
  <c r="R1020" i="1" s="1"/>
  <c r="K1019" i="1"/>
  <c r="I1019" i="1"/>
  <c r="G1019" i="1" s="1"/>
  <c r="E1020" i="1" s="1"/>
  <c r="M1019" i="1"/>
  <c r="D1020" i="1" l="1"/>
  <c r="B1020" i="1"/>
  <c r="J1020" i="1"/>
  <c r="H1020" i="1"/>
  <c r="F1020" i="1" s="1"/>
  <c r="L1020" i="1"/>
  <c r="D1021" i="1"/>
  <c r="C1020" i="1"/>
  <c r="B1021" i="1" l="1"/>
  <c r="O1021" i="1"/>
  <c r="R1021" i="1" s="1"/>
  <c r="J1021" i="1" s="1"/>
  <c r="N1021" i="1"/>
  <c r="Q1021" i="1" s="1"/>
  <c r="H1021" i="1" s="1"/>
  <c r="I1020" i="1"/>
  <c r="P1021" i="1"/>
  <c r="S1021" i="1" s="1"/>
  <c r="L1021" i="1" s="1"/>
  <c r="K1020" i="1"/>
  <c r="M1020" i="1"/>
  <c r="G1020" i="1" l="1"/>
  <c r="E1021" i="1" s="1"/>
  <c r="F1021" i="1"/>
  <c r="D1022" i="1" s="1"/>
  <c r="B1022" i="1" l="1"/>
  <c r="C1021" i="1"/>
  <c r="I1021" i="1" l="1"/>
  <c r="K1021" i="1"/>
  <c r="M1021" i="1"/>
  <c r="O1022" i="1"/>
  <c r="R1022" i="1" s="1"/>
  <c r="J1022" i="1" s="1"/>
  <c r="N1022" i="1"/>
  <c r="Q1022" i="1" s="1"/>
  <c r="H1022" i="1" s="1"/>
  <c r="P1022" i="1"/>
  <c r="S1022" i="1" s="1"/>
  <c r="L1022" i="1" s="1"/>
  <c r="F1022" i="1" l="1"/>
  <c r="G1021" i="1"/>
  <c r="E1022" i="1" s="1"/>
  <c r="D1023" i="1"/>
  <c r="C1022" i="1" l="1"/>
  <c r="B1023" i="1"/>
  <c r="K1022" i="1" l="1"/>
  <c r="M1022" i="1"/>
  <c r="I1022" i="1"/>
  <c r="G1022" i="1" s="1"/>
  <c r="E1023" i="1" s="1"/>
  <c r="N1023" i="1"/>
  <c r="Q1023" i="1" s="1"/>
  <c r="H1023" i="1" s="1"/>
  <c r="P1023" i="1"/>
  <c r="S1023" i="1" s="1"/>
  <c r="L1023" i="1" s="1"/>
  <c r="O1023" i="1"/>
  <c r="R1023" i="1" s="1"/>
  <c r="J1023" i="1" s="1"/>
  <c r="F1023" i="1" l="1"/>
  <c r="D1024" i="1"/>
  <c r="C1023" i="1" l="1"/>
  <c r="B1024" i="1"/>
  <c r="I1023" i="1" l="1"/>
  <c r="K1023" i="1"/>
  <c r="M1023" i="1"/>
  <c r="N1024" i="1"/>
  <c r="Q1024" i="1" s="1"/>
  <c r="H1024" i="1" s="1"/>
  <c r="P1024" i="1"/>
  <c r="S1024" i="1" s="1"/>
  <c r="L1024" i="1" s="1"/>
  <c r="O1024" i="1"/>
  <c r="R1024" i="1" s="1"/>
  <c r="J1024" i="1" s="1"/>
  <c r="F1024" i="1" l="1"/>
  <c r="G1023" i="1"/>
  <c r="E1024" i="1" s="1"/>
  <c r="D1025" i="1"/>
  <c r="B1025" i="1"/>
  <c r="C1024" i="1"/>
  <c r="I1024" i="1" l="1"/>
  <c r="K1024" i="1"/>
  <c r="M1024" i="1"/>
  <c r="N1025" i="1"/>
  <c r="Q1025" i="1" s="1"/>
  <c r="H1025" i="1" s="1"/>
  <c r="F1025" i="1" s="1"/>
  <c r="P1025" i="1"/>
  <c r="S1025" i="1" s="1"/>
  <c r="L1025" i="1" s="1"/>
  <c r="O1025" i="1"/>
  <c r="R1025" i="1" s="1"/>
  <c r="J1025" i="1" s="1"/>
  <c r="G1024" i="1" l="1"/>
  <c r="E1025" i="1" s="1"/>
  <c r="D1026" i="1"/>
  <c r="C1025" i="1" l="1"/>
  <c r="B1026" i="1"/>
  <c r="M1025" i="1" l="1"/>
  <c r="P1026" i="1"/>
  <c r="S1026" i="1" s="1"/>
  <c r="L1026" i="1" s="1"/>
  <c r="I1025" i="1"/>
  <c r="K1025" i="1"/>
  <c r="O1026" i="1"/>
  <c r="R1026" i="1" s="1"/>
  <c r="J1026" i="1" s="1"/>
  <c r="N1026" i="1"/>
  <c r="Q1026" i="1" s="1"/>
  <c r="H1026" i="1" s="1"/>
  <c r="F1026" i="1" s="1"/>
  <c r="G1025" i="1" l="1"/>
  <c r="E1026" i="1" s="1"/>
  <c r="D1027" i="1"/>
  <c r="C1026" i="1" l="1"/>
  <c r="B1027" i="1"/>
  <c r="K1026" i="1" l="1"/>
  <c r="I1026" i="1"/>
  <c r="M1026" i="1"/>
  <c r="N1027" i="1"/>
  <c r="Q1027" i="1" s="1"/>
  <c r="H1027" i="1" s="1"/>
  <c r="P1027" i="1"/>
  <c r="S1027" i="1" s="1"/>
  <c r="L1027" i="1" s="1"/>
  <c r="O1027" i="1"/>
  <c r="R1027" i="1" s="1"/>
  <c r="J1027" i="1" s="1"/>
  <c r="F1027" i="1" l="1"/>
  <c r="G1026" i="1"/>
  <c r="E1027" i="1" s="1"/>
  <c r="D1028" i="1"/>
  <c r="B1028" i="1"/>
  <c r="C1027" i="1" l="1"/>
  <c r="N1028" i="1" l="1"/>
  <c r="Q1028" i="1" s="1"/>
  <c r="H1028" i="1" s="1"/>
  <c r="M1027" i="1"/>
  <c r="K1027" i="1"/>
  <c r="P1028" i="1"/>
  <c r="S1028" i="1" s="1"/>
  <c r="L1028" i="1" s="1"/>
  <c r="I1027" i="1"/>
  <c r="O1028" i="1"/>
  <c r="R1028" i="1" s="1"/>
  <c r="J1028" i="1" s="1"/>
  <c r="F1028" i="1" l="1"/>
  <c r="G1027" i="1"/>
  <c r="C1028" i="1" l="1"/>
  <c r="E1028" i="1"/>
  <c r="K1028" i="1"/>
  <c r="N1029" i="1"/>
  <c r="Q1029" i="1" s="1"/>
  <c r="M1028" i="1"/>
  <c r="O1029" i="1"/>
  <c r="R1029" i="1" s="1"/>
  <c r="I1028" i="1"/>
  <c r="G1028" i="1" s="1"/>
  <c r="P1029" i="1"/>
  <c r="S1029" i="1" s="1"/>
  <c r="D1029" i="1"/>
  <c r="B1029" i="1"/>
  <c r="E1029" i="1" l="1"/>
  <c r="C1029" i="1"/>
  <c r="O1030" i="1" s="1"/>
  <c r="R1030" i="1" s="1"/>
  <c r="L1029" i="1"/>
  <c r="J1029" i="1"/>
  <c r="H1029" i="1"/>
  <c r="F1029" i="1" s="1"/>
  <c r="M1029" i="1"/>
  <c r="K1029" i="1"/>
  <c r="I1029" i="1"/>
  <c r="N1030" i="1"/>
  <c r="Q1030" i="1" s="1"/>
  <c r="P1030" i="1"/>
  <c r="S1030" i="1" s="1"/>
  <c r="G1029" i="1" l="1"/>
  <c r="E1030" i="1" s="1"/>
  <c r="D1030" i="1"/>
  <c r="B1030" i="1"/>
  <c r="J1030" i="1" s="1"/>
  <c r="H1030" i="1"/>
  <c r="C1030" i="1"/>
  <c r="L1030" i="1" l="1"/>
  <c r="F1030" i="1" s="1"/>
  <c r="M1030" i="1"/>
  <c r="I1030" i="1"/>
  <c r="N1031" i="1"/>
  <c r="Q1031" i="1" s="1"/>
  <c r="O1031" i="1"/>
  <c r="R1031" i="1" s="1"/>
  <c r="P1031" i="1"/>
  <c r="S1031" i="1" s="1"/>
  <c r="K1030" i="1"/>
  <c r="G1030" i="1" l="1"/>
  <c r="E1031" i="1" s="1"/>
  <c r="D1031" i="1"/>
  <c r="B1031" i="1"/>
  <c r="L1031" i="1" s="1"/>
  <c r="H1031" i="1" l="1"/>
  <c r="J1031" i="1"/>
  <c r="C1031" i="1"/>
  <c r="F1031" i="1" l="1"/>
  <c r="I1031" i="1"/>
  <c r="K1031" i="1"/>
  <c r="M1031" i="1"/>
  <c r="O1032" i="1"/>
  <c r="R1032" i="1" s="1"/>
  <c r="P1032" i="1"/>
  <c r="S1032" i="1" s="1"/>
  <c r="N1032" i="1"/>
  <c r="Q1032" i="1" s="1"/>
  <c r="G1031" i="1" l="1"/>
  <c r="E1032" i="1" s="1"/>
  <c r="D1032" i="1"/>
  <c r="B1032" i="1"/>
  <c r="H1032" i="1" s="1"/>
  <c r="L1032" i="1" l="1"/>
  <c r="J1032" i="1"/>
  <c r="F1032" i="1" s="1"/>
  <c r="C1032" i="1"/>
  <c r="D1033" i="1" l="1"/>
  <c r="B1033" i="1"/>
  <c r="M1032" i="1"/>
  <c r="K1032" i="1"/>
  <c r="I1032" i="1"/>
  <c r="P1033" i="1"/>
  <c r="S1033" i="1" s="1"/>
  <c r="L1033" i="1" s="1"/>
  <c r="O1033" i="1"/>
  <c r="R1033" i="1" s="1"/>
  <c r="N1033" i="1"/>
  <c r="Q1033" i="1" s="1"/>
  <c r="H1033" i="1" s="1"/>
  <c r="G1032" i="1" l="1"/>
  <c r="E1033" i="1" s="1"/>
  <c r="J1033" i="1"/>
  <c r="F1033" i="1" s="1"/>
  <c r="C1033" i="1" l="1"/>
  <c r="M1033" i="1"/>
  <c r="D1034" i="1"/>
  <c r="K1033" i="1"/>
  <c r="B1034" i="1"/>
  <c r="P1034" i="1" l="1"/>
  <c r="S1034" i="1" s="1"/>
  <c r="O1034" i="1"/>
  <c r="R1034" i="1" s="1"/>
  <c r="I1033" i="1"/>
  <c r="N1034" i="1"/>
  <c r="Q1034" i="1" s="1"/>
  <c r="H1034" i="1" s="1"/>
  <c r="F1034" i="1" s="1"/>
  <c r="G1033" i="1"/>
  <c r="E1034" i="1" s="1"/>
  <c r="J1034" i="1"/>
  <c r="L1034" i="1"/>
  <c r="C1034" i="1" l="1"/>
  <c r="I1034" i="1"/>
  <c r="K1034" i="1"/>
  <c r="M1034" i="1"/>
  <c r="D1035" i="1"/>
  <c r="G1034" i="1" l="1"/>
  <c r="E1035" i="1" s="1"/>
  <c r="N1035" i="1"/>
  <c r="Q1035" i="1" s="1"/>
  <c r="P1035" i="1"/>
  <c r="S1035" i="1" s="1"/>
  <c r="O1035" i="1"/>
  <c r="R1035" i="1" s="1"/>
  <c r="B1035" i="1"/>
  <c r="C1035" i="1" l="1"/>
  <c r="P1036" i="1"/>
  <c r="S1036" i="1" s="1"/>
  <c r="J1035" i="1"/>
  <c r="N1036" i="1"/>
  <c r="Q1036" i="1" s="1"/>
  <c r="O1036" i="1"/>
  <c r="R1036" i="1" s="1"/>
  <c r="L1035" i="1"/>
  <c r="H1035" i="1"/>
  <c r="F1035" i="1" s="1"/>
  <c r="D1036" i="1" l="1"/>
  <c r="K1035" i="1"/>
  <c r="M1035" i="1"/>
  <c r="I1035" i="1"/>
  <c r="B1036" i="1"/>
  <c r="G1035" i="1" l="1"/>
  <c r="E1036" i="1" s="1"/>
  <c r="H1036" i="1"/>
  <c r="L1036" i="1"/>
  <c r="J1036" i="1"/>
  <c r="F1036" i="1" l="1"/>
  <c r="C1036" i="1"/>
  <c r="M1036" i="1" s="1"/>
  <c r="K1036" i="1"/>
  <c r="I1036" i="1"/>
  <c r="D1037" i="1"/>
  <c r="G1036" i="1" l="1"/>
  <c r="E1037" i="1" s="1"/>
  <c r="P1037" i="1"/>
  <c r="S1037" i="1" s="1"/>
  <c r="O1037" i="1"/>
  <c r="R1037" i="1" s="1"/>
  <c r="N1037" i="1"/>
  <c r="Q1037" i="1" s="1"/>
  <c r="C1037" i="1"/>
  <c r="B1037" i="1"/>
  <c r="I1037" i="1" l="1"/>
  <c r="M1037" i="1"/>
  <c r="K1037" i="1"/>
  <c r="P1038" i="1"/>
  <c r="S1038" i="1" s="1"/>
  <c r="O1038" i="1"/>
  <c r="R1038" i="1" s="1"/>
  <c r="J1037" i="1"/>
  <c r="H1037" i="1"/>
  <c r="F1037" i="1" s="1"/>
  <c r="N1038" i="1"/>
  <c r="Q1038" i="1" s="1"/>
  <c r="L1037" i="1"/>
  <c r="G1037" i="1" l="1"/>
  <c r="E1038" i="1" s="1"/>
  <c r="D1038" i="1"/>
  <c r="C1038" i="1" l="1"/>
  <c r="B1038" i="1"/>
  <c r="K1038" i="1" l="1"/>
  <c r="I1038" i="1"/>
  <c r="M1038" i="1"/>
  <c r="L1038" i="1"/>
  <c r="N1039" i="1"/>
  <c r="Q1039" i="1" s="1"/>
  <c r="H1038" i="1"/>
  <c r="F1038" i="1" s="1"/>
  <c r="J1038" i="1"/>
  <c r="O1039" i="1"/>
  <c r="R1039" i="1" s="1"/>
  <c r="P1039" i="1"/>
  <c r="S1039" i="1" s="1"/>
  <c r="G1038" i="1" l="1"/>
  <c r="E1039" i="1" s="1"/>
  <c r="D1039" i="1"/>
  <c r="C1039" i="1" l="1"/>
  <c r="B1039" i="1"/>
  <c r="I1039" i="1" l="1"/>
  <c r="K1039" i="1"/>
  <c r="M1039" i="1"/>
  <c r="H1039" i="1"/>
  <c r="F1039" i="1" s="1"/>
  <c r="N1040" i="1"/>
  <c r="Q1040" i="1" s="1"/>
  <c r="L1039" i="1"/>
  <c r="J1039" i="1"/>
  <c r="P1040" i="1"/>
  <c r="S1040" i="1" s="1"/>
  <c r="O1040" i="1"/>
  <c r="R1040" i="1" s="1"/>
  <c r="G1039" i="1" l="1"/>
  <c r="E1040" i="1" s="1"/>
  <c r="D1040" i="1"/>
  <c r="C1040" i="1" l="1"/>
  <c r="B1040" i="1"/>
  <c r="I1040" i="1" l="1"/>
  <c r="M1040" i="1"/>
  <c r="K1040" i="1"/>
  <c r="H1040" i="1"/>
  <c r="N1041" i="1"/>
  <c r="Q1041" i="1" s="1"/>
  <c r="P1041" i="1"/>
  <c r="S1041" i="1" s="1"/>
  <c r="O1041" i="1"/>
  <c r="R1041" i="1" s="1"/>
  <c r="J1040" i="1"/>
  <c r="L1040" i="1"/>
  <c r="F1040" i="1" l="1"/>
  <c r="G1040" i="1"/>
  <c r="E1041" i="1" s="1"/>
  <c r="D1041" i="1"/>
  <c r="C1041" i="1" l="1"/>
  <c r="I1041" i="1" s="1"/>
  <c r="K1041" i="1"/>
  <c r="G1041" i="1" s="1"/>
  <c r="E1042" i="1" s="1"/>
  <c r="M1041" i="1"/>
  <c r="B1041" i="1"/>
  <c r="L1041" i="1" l="1"/>
  <c r="H1041" i="1"/>
  <c r="N1042" i="1"/>
  <c r="Q1042" i="1" s="1"/>
  <c r="P1042" i="1"/>
  <c r="S1042" i="1" s="1"/>
  <c r="O1042" i="1"/>
  <c r="R1042" i="1" s="1"/>
  <c r="J1041" i="1"/>
  <c r="F1041" i="1" l="1"/>
  <c r="D1042" i="1"/>
  <c r="C1042" i="1"/>
  <c r="M1042" i="1" s="1"/>
  <c r="B1042" i="1"/>
  <c r="K1042" i="1" l="1"/>
  <c r="I1042" i="1"/>
  <c r="L1042" i="1"/>
  <c r="H1042" i="1"/>
  <c r="N1043" i="1"/>
  <c r="Q1043" i="1" s="1"/>
  <c r="P1043" i="1"/>
  <c r="S1043" i="1" s="1"/>
  <c r="O1043" i="1"/>
  <c r="R1043" i="1" s="1"/>
  <c r="J1042" i="1"/>
  <c r="F1042" i="1" l="1"/>
  <c r="G1042" i="1"/>
  <c r="E1043" i="1" s="1"/>
  <c r="C1043" i="1"/>
  <c r="M1043" i="1"/>
  <c r="I1043" i="1"/>
  <c r="D1043" i="1"/>
  <c r="K1043" i="1"/>
  <c r="G1043" i="1" l="1"/>
  <c r="E1044" i="1" s="1"/>
  <c r="B1043" i="1"/>
  <c r="J1043" i="1" s="1"/>
  <c r="N1044" i="1"/>
  <c r="Q1044" i="1" s="1"/>
  <c r="P1044" i="1"/>
  <c r="S1044" i="1" s="1"/>
  <c r="O1044" i="1"/>
  <c r="R1044" i="1" s="1"/>
  <c r="H1043" i="1" l="1"/>
  <c r="L1043" i="1"/>
  <c r="F1043" i="1" s="1"/>
  <c r="C1044" i="1"/>
  <c r="I1044" i="1" s="1"/>
  <c r="D1044" i="1" l="1"/>
  <c r="B1044" i="1"/>
  <c r="M1044" i="1"/>
  <c r="K1044" i="1"/>
  <c r="G1044" i="1" s="1"/>
  <c r="E1045" i="1" s="1"/>
  <c r="L1044" i="1"/>
  <c r="H1044" i="1"/>
  <c r="N1045" i="1"/>
  <c r="Q1045" i="1" s="1"/>
  <c r="J1044" i="1" l="1"/>
  <c r="F1044" i="1" s="1"/>
  <c r="O1045" i="1"/>
  <c r="R1045" i="1" s="1"/>
  <c r="P1045" i="1"/>
  <c r="S1045" i="1" s="1"/>
  <c r="C1045" i="1"/>
  <c r="B1045" i="1" l="1"/>
  <c r="D1045" i="1"/>
  <c r="O1046" i="1"/>
  <c r="R1046" i="1" s="1"/>
  <c r="N1046" i="1"/>
  <c r="Q1046" i="1" s="1"/>
  <c r="P1046" i="1"/>
  <c r="S1046" i="1" s="1"/>
  <c r="K1045" i="1"/>
  <c r="M1045" i="1"/>
  <c r="I1045" i="1"/>
  <c r="G1045" i="1" l="1"/>
  <c r="E1046" i="1" s="1"/>
  <c r="L1045" i="1"/>
  <c r="H1045" i="1"/>
  <c r="J1045" i="1"/>
  <c r="C1046" i="1"/>
  <c r="F1045" i="1" l="1"/>
  <c r="I1046" i="1"/>
  <c r="K1046" i="1"/>
  <c r="M1046" i="1"/>
  <c r="G1046" i="1" l="1"/>
  <c r="E1047" i="1" s="1"/>
  <c r="B1046" i="1"/>
  <c r="D1046" i="1"/>
  <c r="J1046" i="1" l="1"/>
  <c r="H1046" i="1"/>
  <c r="L1046" i="1"/>
  <c r="N1047" i="1"/>
  <c r="Q1047" i="1" s="1"/>
  <c r="P1047" i="1"/>
  <c r="S1047" i="1" s="1"/>
  <c r="O1047" i="1"/>
  <c r="R1047" i="1" s="1"/>
  <c r="K1047" i="1" s="1"/>
  <c r="C1047" i="1"/>
  <c r="M1047" i="1" l="1"/>
  <c r="F1046" i="1"/>
  <c r="I1047" i="1"/>
  <c r="G1047" i="1" s="1"/>
  <c r="E1048" i="1" s="1"/>
  <c r="D1047" i="1" l="1"/>
  <c r="B1047" i="1"/>
  <c r="C1048" i="1"/>
  <c r="H1047" i="1" l="1"/>
  <c r="L1047" i="1"/>
  <c r="P1048" i="1"/>
  <c r="S1048" i="1" s="1"/>
  <c r="M1048" i="1" s="1"/>
  <c r="N1048" i="1"/>
  <c r="Q1048" i="1" s="1"/>
  <c r="O1048" i="1"/>
  <c r="R1048" i="1" s="1"/>
  <c r="K1048" i="1" s="1"/>
  <c r="J1047" i="1"/>
  <c r="I1048" i="1"/>
  <c r="F1047" i="1" l="1"/>
  <c r="G1048" i="1"/>
  <c r="E1049" i="1" s="1"/>
  <c r="B1048" i="1" l="1"/>
  <c r="D1048" i="1"/>
  <c r="C1049" i="1"/>
  <c r="L1048" i="1" l="1"/>
  <c r="N1049" i="1"/>
  <c r="Q1049" i="1" s="1"/>
  <c r="I1049" i="1" s="1"/>
  <c r="O1049" i="1"/>
  <c r="R1049" i="1" s="1"/>
  <c r="K1049" i="1" s="1"/>
  <c r="P1049" i="1"/>
  <c r="S1049" i="1" s="1"/>
  <c r="J1048" i="1"/>
  <c r="H1048" i="1"/>
  <c r="F1048" i="1" s="1"/>
  <c r="D1049" i="1" s="1"/>
  <c r="M1049" i="1" l="1"/>
  <c r="G1049" i="1" s="1"/>
  <c r="E1050" i="1" s="1"/>
  <c r="B1049" i="1"/>
  <c r="C1050" i="1" l="1"/>
  <c r="H1049" i="1"/>
  <c r="N1050" i="1"/>
  <c r="Q1050" i="1" s="1"/>
  <c r="I1050" i="1" s="1"/>
  <c r="P1050" i="1"/>
  <c r="S1050" i="1" s="1"/>
  <c r="M1050" i="1" s="1"/>
  <c r="O1050" i="1"/>
  <c r="R1050" i="1" s="1"/>
  <c r="K1050" i="1" s="1"/>
  <c r="J1049" i="1"/>
  <c r="L1049" i="1"/>
  <c r="F1049" i="1" l="1"/>
  <c r="G1050" i="1"/>
  <c r="E1051" i="1" s="1"/>
  <c r="C1051" i="1"/>
  <c r="D1050" i="1" l="1"/>
  <c r="B1050" i="1"/>
  <c r="J1050" i="1" l="1"/>
  <c r="H1050" i="1"/>
  <c r="N1051" i="1"/>
  <c r="Q1051" i="1" s="1"/>
  <c r="I1051" i="1" s="1"/>
  <c r="P1051" i="1"/>
  <c r="S1051" i="1" s="1"/>
  <c r="O1051" i="1"/>
  <c r="R1051" i="1" s="1"/>
  <c r="K1051" i="1" s="1"/>
  <c r="L1050" i="1"/>
  <c r="M1051" i="1" l="1"/>
  <c r="F1050" i="1"/>
  <c r="G1051" i="1"/>
  <c r="E1052" i="1" s="1"/>
  <c r="C1052" i="1" l="1"/>
  <c r="B1051" i="1"/>
  <c r="D1051" i="1"/>
  <c r="J1051" i="1" l="1"/>
  <c r="H1051" i="1"/>
  <c r="N1052" i="1"/>
  <c r="Q1052" i="1" s="1"/>
  <c r="I1052" i="1" s="1"/>
  <c r="P1052" i="1"/>
  <c r="S1052" i="1" s="1"/>
  <c r="M1052" i="1" s="1"/>
  <c r="O1052" i="1"/>
  <c r="R1052" i="1" s="1"/>
  <c r="L1051" i="1"/>
  <c r="K1052" i="1" l="1"/>
  <c r="G1052" i="1"/>
  <c r="E1053" i="1" s="1"/>
  <c r="F1051" i="1"/>
  <c r="D1052" i="1" l="1"/>
  <c r="B1052" i="1"/>
  <c r="C1053" i="1"/>
  <c r="H1052" i="1" l="1"/>
  <c r="L1052" i="1"/>
  <c r="O1053" i="1"/>
  <c r="R1053" i="1" s="1"/>
  <c r="K1053" i="1" s="1"/>
  <c r="P1053" i="1"/>
  <c r="S1053" i="1" s="1"/>
  <c r="N1053" i="1"/>
  <c r="Q1053" i="1" s="1"/>
  <c r="I1053" i="1" s="1"/>
  <c r="J1052" i="1"/>
  <c r="F1052" i="1" l="1"/>
  <c r="M1053" i="1"/>
  <c r="G1053" i="1" s="1"/>
  <c r="E1054" i="1" s="1"/>
  <c r="C1054" i="1" l="1"/>
  <c r="B1053" i="1"/>
  <c r="D1053" i="1"/>
  <c r="N1054" i="1" l="1"/>
  <c r="Q1054" i="1" s="1"/>
  <c r="I1054" i="1" s="1"/>
  <c r="P1054" i="1"/>
  <c r="S1054" i="1" s="1"/>
  <c r="M1054" i="1" s="1"/>
  <c r="O1054" i="1"/>
  <c r="R1054" i="1" s="1"/>
  <c r="K1054" i="1" s="1"/>
  <c r="G1054" i="1" s="1"/>
  <c r="E1055" i="1" s="1"/>
  <c r="H1053" i="1"/>
  <c r="L1053" i="1"/>
  <c r="J1053" i="1"/>
  <c r="C1055" i="1" l="1"/>
  <c r="F1053" i="1"/>
  <c r="D1054" i="1" l="1"/>
  <c r="B1054" i="1"/>
  <c r="L1054" i="1" l="1"/>
  <c r="H1054" i="1"/>
  <c r="N1055" i="1"/>
  <c r="Q1055" i="1" s="1"/>
  <c r="I1055" i="1" s="1"/>
  <c r="P1055" i="1"/>
  <c r="S1055" i="1" s="1"/>
  <c r="M1055" i="1" s="1"/>
  <c r="O1055" i="1"/>
  <c r="R1055" i="1" s="1"/>
  <c r="K1055" i="1" s="1"/>
  <c r="J1054" i="1"/>
  <c r="F1054" i="1" l="1"/>
  <c r="G1055" i="1"/>
  <c r="E1056" i="1" s="1"/>
  <c r="C1056" i="1" l="1"/>
  <c r="B1055" i="1"/>
  <c r="D1055" i="1"/>
  <c r="H1055" i="1" l="1"/>
  <c r="J1055" i="1"/>
  <c r="L1055" i="1"/>
  <c r="O1056" i="1"/>
  <c r="R1056" i="1" s="1"/>
  <c r="K1056" i="1" s="1"/>
  <c r="P1056" i="1"/>
  <c r="S1056" i="1" s="1"/>
  <c r="M1056" i="1" s="1"/>
  <c r="N1056" i="1"/>
  <c r="Q1056" i="1" s="1"/>
  <c r="I1056" i="1" s="1"/>
  <c r="F1055" i="1" l="1"/>
  <c r="G1056" i="1"/>
  <c r="E1057" i="1" s="1"/>
  <c r="C1057" i="1" l="1"/>
  <c r="D1056" i="1"/>
  <c r="B1056" i="1"/>
  <c r="H1056" i="1" l="1"/>
  <c r="J1056" i="1"/>
  <c r="P1057" i="1"/>
  <c r="S1057" i="1" s="1"/>
  <c r="L1056" i="1"/>
  <c r="O1057" i="1"/>
  <c r="R1057" i="1" s="1"/>
  <c r="K1057" i="1" s="1"/>
  <c r="N1057" i="1"/>
  <c r="Q1057" i="1" s="1"/>
  <c r="I1057" i="1" s="1"/>
  <c r="G1057" i="1" s="1"/>
  <c r="E1058" i="1" s="1"/>
  <c r="M1057" i="1"/>
  <c r="C1058" i="1" l="1"/>
  <c r="F1056" i="1"/>
  <c r="D1057" i="1" l="1"/>
  <c r="B1057" i="1"/>
  <c r="H1057" i="1" l="1"/>
  <c r="L1057" i="1"/>
  <c r="J1057" i="1"/>
  <c r="N1058" i="1"/>
  <c r="Q1058" i="1" s="1"/>
  <c r="I1058" i="1" s="1"/>
  <c r="P1058" i="1"/>
  <c r="S1058" i="1" s="1"/>
  <c r="M1058" i="1" s="1"/>
  <c r="O1058" i="1"/>
  <c r="R1058" i="1" s="1"/>
  <c r="K1058" i="1" s="1"/>
  <c r="G1058" i="1" l="1"/>
  <c r="E1059" i="1" s="1"/>
  <c r="C1059" i="1"/>
  <c r="F1057" i="1"/>
  <c r="D1058" i="1" l="1"/>
  <c r="B1058" i="1"/>
  <c r="H1058" i="1" l="1"/>
  <c r="J1058" i="1"/>
  <c r="L1058" i="1"/>
  <c r="O1059" i="1"/>
  <c r="R1059" i="1" s="1"/>
  <c r="K1059" i="1" s="1"/>
  <c r="N1059" i="1"/>
  <c r="Q1059" i="1" s="1"/>
  <c r="I1059" i="1" s="1"/>
  <c r="G1059" i="1" s="1"/>
  <c r="E1060" i="1" s="1"/>
  <c r="P1059" i="1"/>
  <c r="S1059" i="1" s="1"/>
  <c r="M1059" i="1" s="1"/>
  <c r="C1060" i="1" l="1"/>
  <c r="F1058" i="1"/>
  <c r="D1059" i="1" l="1"/>
  <c r="B1059" i="1"/>
  <c r="N1060" i="1" l="1"/>
  <c r="Q1060" i="1" s="1"/>
  <c r="I1060" i="1" s="1"/>
  <c r="P1060" i="1"/>
  <c r="S1060" i="1" s="1"/>
  <c r="M1060" i="1" s="1"/>
  <c r="O1060" i="1"/>
  <c r="R1060" i="1" s="1"/>
  <c r="K1060" i="1" s="1"/>
  <c r="L1059" i="1"/>
  <c r="J1059" i="1"/>
  <c r="H1059" i="1"/>
  <c r="F1059" i="1" s="1"/>
  <c r="D1060" i="1" s="1"/>
  <c r="B1060" i="1" l="1"/>
  <c r="G1060" i="1"/>
  <c r="E1061" i="1" s="1"/>
  <c r="C1061" i="1" l="1"/>
  <c r="J1060" i="1"/>
  <c r="H1060" i="1"/>
  <c r="F1060" i="1" s="1"/>
  <c r="D1061" i="1" s="1"/>
  <c r="L1060" i="1"/>
  <c r="N1061" i="1"/>
  <c r="Q1061" i="1" s="1"/>
  <c r="P1061" i="1"/>
  <c r="S1061" i="1" s="1"/>
  <c r="O1061" i="1"/>
  <c r="R1061" i="1" s="1"/>
  <c r="B1061" i="1" l="1"/>
  <c r="I1061" i="1"/>
  <c r="M1061" i="1"/>
  <c r="K1061" i="1"/>
  <c r="G1061" i="1" l="1"/>
  <c r="E1062" i="1" s="1"/>
  <c r="J1061" i="1"/>
  <c r="P1062" i="1"/>
  <c r="S1062" i="1" s="1"/>
  <c r="H1061" i="1"/>
  <c r="O1062" i="1"/>
  <c r="R1062" i="1" s="1"/>
  <c r="L1061" i="1"/>
  <c r="N1062" i="1"/>
  <c r="Q1062" i="1" s="1"/>
  <c r="F1061" i="1" l="1"/>
  <c r="C1062" i="1"/>
  <c r="I1062" i="1" l="1"/>
  <c r="K1062" i="1"/>
  <c r="M1062" i="1"/>
  <c r="D1062" i="1"/>
  <c r="B1062" i="1"/>
  <c r="G1062" i="1" l="1"/>
  <c r="L1062" i="1"/>
  <c r="P1063" i="1"/>
  <c r="S1063" i="1" s="1"/>
  <c r="J1062" i="1"/>
  <c r="O1063" i="1"/>
  <c r="R1063" i="1" s="1"/>
  <c r="H1062" i="1"/>
  <c r="F1062" i="1" s="1"/>
  <c r="B1063" i="1" s="1"/>
  <c r="N1063" i="1"/>
  <c r="Q1063" i="1" s="1"/>
  <c r="E1063" i="1" l="1"/>
  <c r="C1063" i="1"/>
  <c r="I1063" i="1" s="1"/>
  <c r="H1063" i="1"/>
  <c r="J1063" i="1"/>
  <c r="L1063" i="1"/>
  <c r="D1063" i="1"/>
  <c r="O1064" i="1" l="1"/>
  <c r="R1064" i="1" s="1"/>
  <c r="N1064" i="1"/>
  <c r="Q1064" i="1" s="1"/>
  <c r="M1063" i="1"/>
  <c r="P1064" i="1"/>
  <c r="S1064" i="1" s="1"/>
  <c r="K1063" i="1"/>
  <c r="G1063" i="1" s="1"/>
  <c r="F1063" i="1"/>
  <c r="B1064" i="1" s="1"/>
  <c r="C1064" i="1" l="1"/>
  <c r="E1064" i="1"/>
  <c r="H1064" i="1"/>
  <c r="P1065" i="1"/>
  <c r="S1065" i="1" s="1"/>
  <c r="O1065" i="1"/>
  <c r="R1065" i="1" s="1"/>
  <c r="J1064" i="1"/>
  <c r="L1064" i="1"/>
  <c r="N1065" i="1"/>
  <c r="Q1065" i="1" s="1"/>
  <c r="D1064" i="1"/>
  <c r="K1064" i="1" l="1"/>
  <c r="M1064" i="1"/>
  <c r="I1064" i="1"/>
  <c r="G1064" i="1" s="1"/>
  <c r="C1065" i="1" s="1"/>
  <c r="I1065" i="1" s="1"/>
  <c r="F1064" i="1"/>
  <c r="B1065" i="1" s="1"/>
  <c r="D1065" i="1"/>
  <c r="K1065" i="1" l="1"/>
  <c r="G1065" i="1" s="1"/>
  <c r="M1065" i="1"/>
  <c r="E1065" i="1"/>
  <c r="N1066" i="1"/>
  <c r="Q1066" i="1" s="1"/>
  <c r="O1066" i="1"/>
  <c r="R1066" i="1" s="1"/>
  <c r="P1066" i="1"/>
  <c r="S1066" i="1" s="1"/>
  <c r="L1065" i="1"/>
  <c r="H1065" i="1"/>
  <c r="J1065" i="1"/>
  <c r="E1066" i="1" l="1"/>
  <c r="C1066" i="1"/>
  <c r="M1066" i="1" s="1"/>
  <c r="F1065" i="1"/>
  <c r="K1066" i="1" l="1"/>
  <c r="I1066" i="1"/>
  <c r="G1066" i="1" s="1"/>
  <c r="C1067" i="1" s="1"/>
  <c r="B1066" i="1"/>
  <c r="D1066" i="1"/>
  <c r="E1067" i="1" l="1"/>
  <c r="J1066" i="1"/>
  <c r="L1066" i="1"/>
  <c r="H1066" i="1"/>
  <c r="F1066" i="1" s="1"/>
  <c r="D1067" i="1" s="1"/>
  <c r="P1067" i="1"/>
  <c r="S1067" i="1" s="1"/>
  <c r="M1067" i="1" s="1"/>
  <c r="N1067" i="1"/>
  <c r="Q1067" i="1" s="1"/>
  <c r="I1067" i="1" s="1"/>
  <c r="O1067" i="1"/>
  <c r="R1067" i="1" s="1"/>
  <c r="K1067" i="1" s="1"/>
  <c r="B1067" i="1"/>
  <c r="G1067" i="1" l="1"/>
  <c r="E1068" i="1" s="1"/>
  <c r="N1068" i="1"/>
  <c r="Q1068" i="1" s="1"/>
  <c r="O1068" i="1"/>
  <c r="R1068" i="1" s="1"/>
  <c r="H1067" i="1"/>
  <c r="P1068" i="1"/>
  <c r="S1068" i="1" s="1"/>
  <c r="J1067" i="1"/>
  <c r="L1067" i="1"/>
  <c r="F1067" i="1" l="1"/>
  <c r="C1068" i="1"/>
  <c r="K1068" i="1" s="1"/>
  <c r="M1068" i="1"/>
  <c r="I1068" i="1" l="1"/>
  <c r="G1068" i="1" s="1"/>
  <c r="E1069" i="1" s="1"/>
  <c r="D1068" i="1"/>
  <c r="B1068" i="1"/>
  <c r="N1069" i="1" l="1"/>
  <c r="Q1069" i="1" s="1"/>
  <c r="I1069" i="1" s="1"/>
  <c r="O1069" i="1"/>
  <c r="R1069" i="1" s="1"/>
  <c r="K1069" i="1" s="1"/>
  <c r="J1068" i="1"/>
  <c r="P1069" i="1"/>
  <c r="S1069" i="1" s="1"/>
  <c r="M1069" i="1" s="1"/>
  <c r="L1068" i="1"/>
  <c r="H1068" i="1"/>
  <c r="F1068" i="1" s="1"/>
  <c r="D1069" i="1" s="1"/>
  <c r="B1069" i="1"/>
  <c r="C1069" i="1"/>
  <c r="N1070" i="1" l="1"/>
  <c r="Q1070" i="1" s="1"/>
  <c r="P1070" i="1"/>
  <c r="S1070" i="1" s="1"/>
  <c r="O1070" i="1"/>
  <c r="R1070" i="1" s="1"/>
  <c r="J1069" i="1"/>
  <c r="L1069" i="1"/>
  <c r="H1069" i="1"/>
  <c r="F1069" i="1" s="1"/>
  <c r="D1070" i="1" s="1"/>
  <c r="G1069" i="1"/>
  <c r="E1070" i="1" s="1"/>
  <c r="C1070" i="1" l="1"/>
  <c r="M1070" i="1"/>
  <c r="K1070" i="1"/>
  <c r="B1070" i="1"/>
  <c r="I1070" i="1"/>
  <c r="G1070" i="1" s="1"/>
  <c r="C1071" i="1" s="1"/>
  <c r="E1071" i="1" l="1"/>
  <c r="N1071" i="1"/>
  <c r="Q1071" i="1" s="1"/>
  <c r="I1071" i="1" s="1"/>
  <c r="P1071" i="1"/>
  <c r="S1071" i="1" s="1"/>
  <c r="M1071" i="1" s="1"/>
  <c r="O1071" i="1"/>
  <c r="R1071" i="1" s="1"/>
  <c r="K1071" i="1" s="1"/>
  <c r="H1070" i="1"/>
  <c r="L1070" i="1"/>
  <c r="J1070" i="1"/>
  <c r="F1070" i="1" l="1"/>
  <c r="B1071" i="1"/>
  <c r="D1071" i="1"/>
  <c r="G1071" i="1"/>
  <c r="E1072" i="1" s="1"/>
  <c r="C1072" i="1"/>
  <c r="N1072" i="1" l="1"/>
  <c r="Q1072" i="1" s="1"/>
  <c r="I1072" i="1" s="1"/>
  <c r="J1071" i="1"/>
  <c r="L1071" i="1"/>
  <c r="O1072" i="1"/>
  <c r="R1072" i="1" s="1"/>
  <c r="K1072" i="1" s="1"/>
  <c r="P1072" i="1"/>
  <c r="S1072" i="1" s="1"/>
  <c r="M1072" i="1" s="1"/>
  <c r="H1071" i="1"/>
  <c r="F1071" i="1" s="1"/>
  <c r="D1072" i="1" s="1"/>
  <c r="B1072" i="1"/>
  <c r="N1073" i="1" s="1"/>
  <c r="Q1073" i="1" s="1"/>
  <c r="H1072" i="1" l="1"/>
  <c r="L1072" i="1"/>
  <c r="G1072" i="1"/>
  <c r="E1073" i="1" s="1"/>
  <c r="O1073" i="1"/>
  <c r="R1073" i="1" s="1"/>
  <c r="P1073" i="1"/>
  <c r="S1073" i="1" s="1"/>
  <c r="J1072" i="1"/>
  <c r="F1072" i="1" s="1"/>
  <c r="C1073" i="1" l="1"/>
  <c r="B1073" i="1"/>
  <c r="D1073" i="1"/>
  <c r="N1074" i="1"/>
  <c r="Q1074" i="1" s="1"/>
  <c r="I1073" i="1" l="1"/>
  <c r="K1073" i="1"/>
  <c r="M1073" i="1"/>
  <c r="P1074" i="1"/>
  <c r="S1074" i="1" s="1"/>
  <c r="O1074" i="1"/>
  <c r="J1073" i="1"/>
  <c r="L1073" i="1"/>
  <c r="H1073" i="1"/>
  <c r="F1073" i="1" l="1"/>
  <c r="G1073" i="1"/>
  <c r="E1074" i="1" s="1"/>
  <c r="R1074" i="1"/>
  <c r="D1074" i="1"/>
  <c r="C1074" i="1" l="1"/>
  <c r="K1074" i="1"/>
  <c r="B1074" i="1"/>
  <c r="P1075" i="1" s="1"/>
  <c r="S1075" i="1" s="1"/>
  <c r="O1075" i="1"/>
  <c r="R1075" i="1" s="1"/>
  <c r="H1074" i="1"/>
  <c r="M1074" i="1" l="1"/>
  <c r="I1074" i="1"/>
  <c r="G1074" i="1"/>
  <c r="E1075" i="1" s="1"/>
  <c r="J1074" i="1"/>
  <c r="L1074" i="1"/>
  <c r="N1075" i="1"/>
  <c r="Q1075" i="1" s="1"/>
  <c r="F1074" i="1" l="1"/>
  <c r="C1075" i="1"/>
  <c r="B1075" i="1"/>
  <c r="N1076" i="1" s="1"/>
  <c r="Q1076" i="1" s="1"/>
  <c r="D1075" i="1"/>
  <c r="K1075" i="1" l="1"/>
  <c r="M1075" i="1"/>
  <c r="I1075" i="1"/>
  <c r="G1075" i="1" s="1"/>
  <c r="E1076" i="1" s="1"/>
  <c r="P1076" i="1"/>
  <c r="S1076" i="1" s="1"/>
  <c r="O1076" i="1"/>
  <c r="R1076" i="1" s="1"/>
  <c r="J1075" i="1"/>
  <c r="L1075" i="1"/>
  <c r="H1075" i="1"/>
  <c r="C1076" i="1" l="1"/>
  <c r="M1076" i="1" s="1"/>
  <c r="F1075" i="1"/>
  <c r="D1076" i="1" s="1"/>
  <c r="K1076" i="1"/>
  <c r="I1076" i="1"/>
  <c r="G1076" i="1" l="1"/>
  <c r="E1077" i="1" s="1"/>
  <c r="B1076" i="1"/>
  <c r="C1077" i="1" l="1"/>
  <c r="K1077" i="1" s="1"/>
  <c r="P1077" i="1"/>
  <c r="S1077" i="1" s="1"/>
  <c r="M1077" i="1" s="1"/>
  <c r="O1077" i="1"/>
  <c r="R1077" i="1" s="1"/>
  <c r="J1076" i="1"/>
  <c r="L1076" i="1"/>
  <c r="H1076" i="1"/>
  <c r="F1076" i="1" s="1"/>
  <c r="N1077" i="1"/>
  <c r="Q1077" i="1" s="1"/>
  <c r="I1077" i="1" s="1"/>
  <c r="G1077" i="1" l="1"/>
  <c r="E1078" i="1" s="1"/>
  <c r="B1077" i="1" l="1"/>
  <c r="D1077" i="1"/>
  <c r="C1078" i="1"/>
  <c r="N1078" i="1" l="1"/>
  <c r="Q1078" i="1" s="1"/>
  <c r="I1078" i="1" s="1"/>
  <c r="P1078" i="1"/>
  <c r="S1078" i="1" s="1"/>
  <c r="M1078" i="1" s="1"/>
  <c r="O1078" i="1"/>
  <c r="R1078" i="1" s="1"/>
  <c r="K1078" i="1" s="1"/>
  <c r="H1077" i="1"/>
  <c r="L1077" i="1"/>
  <c r="J1077" i="1"/>
  <c r="F1077" i="1" l="1"/>
  <c r="G1078" i="1"/>
  <c r="E1079" i="1" s="1"/>
  <c r="B1078" i="1"/>
  <c r="D1078" i="1"/>
  <c r="C1079" i="1"/>
  <c r="N1079" i="1" l="1"/>
  <c r="Q1079" i="1" s="1"/>
  <c r="I1079" i="1" s="1"/>
  <c r="P1079" i="1"/>
  <c r="S1079" i="1" s="1"/>
  <c r="M1079" i="1" s="1"/>
  <c r="L1078" i="1"/>
  <c r="H1078" i="1"/>
  <c r="F1078" i="1" s="1"/>
  <c r="O1079" i="1"/>
  <c r="R1079" i="1" s="1"/>
  <c r="K1079" i="1" s="1"/>
  <c r="J1078" i="1"/>
  <c r="G1079" i="1" l="1"/>
  <c r="E1080" i="1" s="1"/>
  <c r="C1080" i="1"/>
  <c r="D1079" i="1"/>
  <c r="B1079" i="1"/>
  <c r="O1080" i="1" s="1"/>
  <c r="R1080" i="1" s="1"/>
  <c r="H1079" i="1"/>
  <c r="L1079" i="1"/>
  <c r="P1080" i="1"/>
  <c r="S1080" i="1" s="1"/>
  <c r="J1079" i="1" l="1"/>
  <c r="F1079" i="1" s="1"/>
  <c r="N1080" i="1"/>
  <c r="Q1080" i="1" s="1"/>
  <c r="I1080" i="1" s="1"/>
  <c r="G1080" i="1" s="1"/>
  <c r="E1081" i="1" s="1"/>
  <c r="K1080" i="1"/>
  <c r="M1080" i="1"/>
  <c r="D1080" i="1" l="1"/>
  <c r="B1080" i="1"/>
  <c r="C1081" i="1" l="1"/>
  <c r="J1080" i="1"/>
  <c r="P1081" i="1"/>
  <c r="S1081" i="1" s="1"/>
  <c r="M1081" i="1" s="1"/>
  <c r="O1081" i="1"/>
  <c r="R1081" i="1" s="1"/>
  <c r="K1081" i="1" s="1"/>
  <c r="L1080" i="1"/>
  <c r="H1080" i="1"/>
  <c r="F1080" i="1" s="1"/>
  <c r="N1081" i="1"/>
  <c r="Q1081" i="1" s="1"/>
  <c r="I1081" i="1" s="1"/>
  <c r="G1081" i="1" s="1"/>
  <c r="E1082" i="1" s="1"/>
  <c r="D1081" i="1" l="1"/>
  <c r="C1082" i="1"/>
  <c r="B1081" i="1"/>
  <c r="P1082" i="1" l="1"/>
  <c r="S1082" i="1" s="1"/>
  <c r="M1082" i="1" s="1"/>
  <c r="O1082" i="1"/>
  <c r="R1082" i="1" s="1"/>
  <c r="K1082" i="1" s="1"/>
  <c r="L1081" i="1"/>
  <c r="H1081" i="1"/>
  <c r="J1081" i="1"/>
  <c r="N1082" i="1"/>
  <c r="Q1082" i="1" s="1"/>
  <c r="I1082" i="1" s="1"/>
  <c r="G1082" i="1" s="1"/>
  <c r="E1083" i="1" s="1"/>
  <c r="F1081" i="1" l="1"/>
  <c r="C1083" i="1"/>
  <c r="D1082" i="1"/>
  <c r="B1082" i="1" l="1"/>
  <c r="P1083" i="1" l="1"/>
  <c r="S1083" i="1" s="1"/>
  <c r="M1083" i="1" s="1"/>
  <c r="O1083" i="1"/>
  <c r="R1083" i="1" s="1"/>
  <c r="K1083" i="1" s="1"/>
  <c r="J1082" i="1"/>
  <c r="L1082" i="1"/>
  <c r="H1082" i="1"/>
  <c r="F1082" i="1" s="1"/>
  <c r="N1083" i="1"/>
  <c r="Q1083" i="1" s="1"/>
  <c r="I1083" i="1" s="1"/>
  <c r="G1083" i="1" s="1"/>
  <c r="E1084" i="1" s="1"/>
  <c r="D1083" i="1" l="1"/>
  <c r="B1083" i="1"/>
  <c r="C1084" i="1" l="1"/>
  <c r="N1084" i="1"/>
  <c r="Q1084" i="1" s="1"/>
  <c r="O1084" i="1"/>
  <c r="R1084" i="1" s="1"/>
  <c r="J1083" i="1"/>
  <c r="H1083" i="1"/>
  <c r="F1083" i="1" s="1"/>
  <c r="L1083" i="1"/>
  <c r="P1084" i="1"/>
  <c r="S1084" i="1" s="1"/>
  <c r="I1084" i="1" l="1"/>
  <c r="M1084" i="1"/>
  <c r="K1084" i="1"/>
  <c r="G1084" i="1" l="1"/>
  <c r="E1085" i="1" s="1"/>
  <c r="B1084" i="1"/>
  <c r="D1084" i="1"/>
  <c r="J1084" i="1"/>
  <c r="N1085" i="1"/>
  <c r="Q1085" i="1" s="1"/>
  <c r="L1084" i="1"/>
  <c r="C1085" i="1" l="1"/>
  <c r="O1085" i="1"/>
  <c r="R1085" i="1" s="1"/>
  <c r="H1084" i="1"/>
  <c r="F1084" i="1" s="1"/>
  <c r="P1085" i="1"/>
  <c r="S1085" i="1" s="1"/>
  <c r="B1085" i="1" l="1"/>
  <c r="N1086" i="1" s="1"/>
  <c r="Q1086" i="1" s="1"/>
  <c r="L1085" i="1"/>
  <c r="J1085" i="1"/>
  <c r="H1085" i="1"/>
  <c r="F1085" i="1" s="1"/>
  <c r="I1085" i="1"/>
  <c r="M1085" i="1"/>
  <c r="K1085" i="1"/>
  <c r="G1085" i="1" l="1"/>
  <c r="E1086" i="1" s="1"/>
  <c r="O1086" i="1"/>
  <c r="R1086" i="1" s="1"/>
  <c r="P1086" i="1"/>
  <c r="S1086" i="1" s="1"/>
  <c r="D1085" i="1"/>
  <c r="D1086" i="1"/>
  <c r="B1086" i="1"/>
  <c r="C1086" i="1" l="1"/>
  <c r="J1086" i="1"/>
  <c r="H1086" i="1"/>
  <c r="F1086" i="1" s="1"/>
  <c r="L1086" i="1"/>
  <c r="I1086" i="1" l="1"/>
  <c r="M1086" i="1"/>
  <c r="K1086" i="1"/>
  <c r="O1087" i="1"/>
  <c r="R1087" i="1" s="1"/>
  <c r="N1087" i="1"/>
  <c r="Q1087" i="1" s="1"/>
  <c r="D1087" i="1"/>
  <c r="P1087" i="1"/>
  <c r="S1087" i="1" s="1"/>
  <c r="G1086" i="1" l="1"/>
  <c r="B1087" i="1"/>
  <c r="C1087" i="1" l="1"/>
  <c r="E1087" i="1"/>
  <c r="K1087" i="1"/>
  <c r="M1087" i="1"/>
  <c r="I1087" i="1"/>
  <c r="G1087" i="1" s="1"/>
  <c r="C1088" i="1"/>
  <c r="H1087" i="1"/>
  <c r="F1087" i="1" s="1"/>
  <c r="J1087" i="1"/>
  <c r="L1087" i="1"/>
  <c r="O1088" i="1"/>
  <c r="R1088" i="1" s="1"/>
  <c r="N1088" i="1"/>
  <c r="Q1088" i="1" s="1"/>
  <c r="P1088" i="1"/>
  <c r="S1088" i="1" s="1"/>
  <c r="E1088" i="1" l="1"/>
  <c r="M1088" i="1"/>
  <c r="I1088" i="1"/>
  <c r="K1088" i="1"/>
  <c r="D1088" i="1"/>
  <c r="G1088" i="1" l="1"/>
  <c r="C1089" i="1" s="1"/>
  <c r="B1088" i="1"/>
  <c r="E1089" i="1" l="1"/>
  <c r="H1088" i="1"/>
  <c r="L1088" i="1"/>
  <c r="J1088" i="1"/>
  <c r="P1089" i="1"/>
  <c r="S1089" i="1" s="1"/>
  <c r="M1089" i="1" s="1"/>
  <c r="O1089" i="1"/>
  <c r="R1089" i="1" s="1"/>
  <c r="N1089" i="1"/>
  <c r="Q1089" i="1" s="1"/>
  <c r="I1089" i="1" s="1"/>
  <c r="F1088" i="1" l="1"/>
  <c r="K1089" i="1"/>
  <c r="G1089" i="1" s="1"/>
  <c r="E1090" i="1" s="1"/>
  <c r="D1089" i="1"/>
  <c r="C1090" i="1" l="1"/>
  <c r="B1089" i="1"/>
  <c r="H1089" i="1" l="1"/>
  <c r="N1090" i="1"/>
  <c r="Q1090" i="1" s="1"/>
  <c r="I1090" i="1" s="1"/>
  <c r="P1090" i="1"/>
  <c r="S1090" i="1" s="1"/>
  <c r="M1090" i="1" s="1"/>
  <c r="O1090" i="1"/>
  <c r="R1090" i="1" s="1"/>
  <c r="K1090" i="1" s="1"/>
  <c r="J1089" i="1"/>
  <c r="L1089" i="1"/>
  <c r="F1089" i="1" l="1"/>
  <c r="G1090" i="1"/>
  <c r="E1091" i="1" s="1"/>
  <c r="D1090" i="1"/>
  <c r="B1090" i="1"/>
  <c r="C1091" i="1" l="1"/>
  <c r="L1090" i="1"/>
  <c r="J1090" i="1"/>
  <c r="H1090" i="1"/>
  <c r="F1090" i="1" s="1"/>
  <c r="P1091" i="1"/>
  <c r="S1091" i="1" s="1"/>
  <c r="O1091" i="1"/>
  <c r="R1091" i="1" s="1"/>
  <c r="N1091" i="1"/>
  <c r="Q1091" i="1" s="1"/>
  <c r="D1091" i="1" l="1"/>
  <c r="I1091" i="1"/>
  <c r="M1091" i="1"/>
  <c r="K1091" i="1"/>
  <c r="B1091" i="1"/>
  <c r="G1091" i="1" l="1"/>
  <c r="E1092" i="1" s="1"/>
  <c r="L1091" i="1"/>
  <c r="J1091" i="1"/>
  <c r="H1091" i="1"/>
  <c r="F1091" i="1" s="1"/>
  <c r="N1092" i="1"/>
  <c r="Q1092" i="1" s="1"/>
  <c r="O1092" i="1"/>
  <c r="R1092" i="1" s="1"/>
  <c r="P1092" i="1"/>
  <c r="S1092" i="1" s="1"/>
  <c r="D1092" i="1" l="1"/>
  <c r="C1092" i="1"/>
  <c r="B1092" i="1"/>
  <c r="K1092" i="1" l="1"/>
  <c r="I1092" i="1"/>
  <c r="M1092" i="1"/>
  <c r="L1092" i="1"/>
  <c r="J1092" i="1"/>
  <c r="H1092" i="1"/>
  <c r="F1092" i="1" s="1"/>
  <c r="N1093" i="1"/>
  <c r="Q1093" i="1" s="1"/>
  <c r="P1093" i="1"/>
  <c r="S1093" i="1" s="1"/>
  <c r="O1093" i="1"/>
  <c r="R1093" i="1" s="1"/>
  <c r="G1092" i="1" l="1"/>
  <c r="E1093" i="1" s="1"/>
  <c r="D1093" i="1"/>
  <c r="B1093" i="1"/>
  <c r="C1093" i="1" l="1"/>
  <c r="L1093" i="1"/>
  <c r="H1093" i="1"/>
  <c r="P1094" i="1"/>
  <c r="S1094" i="1" s="1"/>
  <c r="O1094" i="1"/>
  <c r="R1094" i="1" s="1"/>
  <c r="N1094" i="1"/>
  <c r="Q1094" i="1" s="1"/>
  <c r="J1093" i="1"/>
  <c r="F1093" i="1" l="1"/>
  <c r="D1094" i="1"/>
  <c r="I1093" i="1"/>
  <c r="M1093" i="1"/>
  <c r="K1093" i="1"/>
  <c r="B1094" i="1"/>
  <c r="G1093" i="1" l="1"/>
  <c r="E1094" i="1" s="1"/>
  <c r="H1094" i="1"/>
  <c r="L1094" i="1"/>
  <c r="J1094" i="1"/>
  <c r="F1094" i="1" l="1"/>
  <c r="D1095" i="1" s="1"/>
  <c r="C1094" i="1"/>
  <c r="B1095" i="1"/>
  <c r="I1094" i="1" l="1"/>
  <c r="K1094" i="1"/>
  <c r="M1094" i="1"/>
  <c r="P1095" i="1"/>
  <c r="S1095" i="1" s="1"/>
  <c r="N1095" i="1"/>
  <c r="Q1095" i="1" s="1"/>
  <c r="O1095" i="1"/>
  <c r="R1095" i="1" s="1"/>
  <c r="G1094" i="1" l="1"/>
  <c r="E1095" i="1" s="1"/>
  <c r="H1095" i="1"/>
  <c r="J1095" i="1"/>
  <c r="L1095" i="1"/>
  <c r="F1095" i="1" l="1"/>
  <c r="D1096" i="1" s="1"/>
  <c r="C1095" i="1"/>
  <c r="B1096" i="1"/>
  <c r="O1096" i="1" l="1"/>
  <c r="R1096" i="1" s="1"/>
  <c r="N1096" i="1"/>
  <c r="Q1096" i="1" s="1"/>
  <c r="P1096" i="1"/>
  <c r="S1096" i="1" s="1"/>
  <c r="L1096" i="1" s="1"/>
  <c r="I1095" i="1"/>
  <c r="M1095" i="1"/>
  <c r="K1095" i="1"/>
  <c r="G1095" i="1" l="1"/>
  <c r="E1096" i="1" s="1"/>
  <c r="H1096" i="1"/>
  <c r="F1096" i="1" s="1"/>
  <c r="J1096" i="1"/>
  <c r="D1097" i="1" l="1"/>
  <c r="C1096" i="1"/>
  <c r="B1097" i="1" l="1"/>
  <c r="P1097" i="1"/>
  <c r="S1097" i="1" s="1"/>
  <c r="N1097" i="1"/>
  <c r="Q1097" i="1" s="1"/>
  <c r="H1097" i="1" s="1"/>
  <c r="O1097" i="1"/>
  <c r="R1097" i="1" s="1"/>
  <c r="K1096" i="1"/>
  <c r="I1096" i="1"/>
  <c r="M1096" i="1"/>
  <c r="G1096" i="1" l="1"/>
  <c r="E1097" i="1" s="1"/>
  <c r="J1097" i="1"/>
  <c r="F1097" i="1" s="1"/>
  <c r="L1097" i="1"/>
  <c r="D1098" i="1" l="1"/>
  <c r="B1098" i="1"/>
  <c r="C1097" i="1"/>
  <c r="P1098" i="1" l="1"/>
  <c r="S1098" i="1" s="1"/>
  <c r="L1098" i="1" s="1"/>
  <c r="N1098" i="1"/>
  <c r="Q1098" i="1" s="1"/>
  <c r="O1098" i="1"/>
  <c r="R1098" i="1" s="1"/>
  <c r="I1097" i="1"/>
  <c r="M1097" i="1"/>
  <c r="K1097" i="1"/>
  <c r="H1098" i="1"/>
  <c r="G1097" i="1" l="1"/>
  <c r="E1098" i="1" s="1"/>
  <c r="J1098" i="1"/>
  <c r="F1098" i="1" s="1"/>
  <c r="D1099" i="1" l="1"/>
  <c r="C1098" i="1"/>
  <c r="B1099" i="1" l="1"/>
  <c r="N1099" i="1"/>
  <c r="Q1099" i="1" s="1"/>
  <c r="O1099" i="1"/>
  <c r="R1099" i="1" s="1"/>
  <c r="J1099" i="1" s="1"/>
  <c r="P1099" i="1"/>
  <c r="S1099" i="1" s="1"/>
  <c r="L1099" i="1" s="1"/>
  <c r="K1098" i="1"/>
  <c r="I1098" i="1"/>
  <c r="G1098" i="1" s="1"/>
  <c r="E1099" i="1" s="1"/>
  <c r="M1098" i="1"/>
  <c r="H1099" i="1"/>
  <c r="F1099" i="1" l="1"/>
  <c r="C1099" i="1"/>
  <c r="P1100" i="1" s="1"/>
  <c r="S1100" i="1" s="1"/>
  <c r="I1099" i="1"/>
  <c r="K1099" i="1"/>
  <c r="N1100" i="1"/>
  <c r="Q1100" i="1" s="1"/>
  <c r="O1100" i="1"/>
  <c r="R1100" i="1" s="1"/>
  <c r="D1100" i="1"/>
  <c r="M1099" i="1" l="1"/>
  <c r="G1099" i="1" s="1"/>
  <c r="E1100" i="1" s="1"/>
  <c r="B1100" i="1"/>
  <c r="C1100" i="1" l="1"/>
  <c r="I1100" i="1"/>
  <c r="K1100" i="1"/>
  <c r="M1100" i="1"/>
  <c r="P1101" i="1"/>
  <c r="S1101" i="1" s="1"/>
  <c r="O1101" i="1"/>
  <c r="R1101" i="1" s="1"/>
  <c r="J1100" i="1"/>
  <c r="H1100" i="1"/>
  <c r="N1101" i="1"/>
  <c r="Q1101" i="1" s="1"/>
  <c r="L1100" i="1"/>
  <c r="F1100" i="1" l="1"/>
  <c r="G1100" i="1"/>
  <c r="E1101" i="1" s="1"/>
  <c r="D1101" i="1"/>
  <c r="B1101" i="1" l="1"/>
  <c r="C1101" i="1"/>
  <c r="N1102" i="1" l="1"/>
  <c r="Q1102" i="1" s="1"/>
  <c r="P1102" i="1"/>
  <c r="S1102" i="1" s="1"/>
  <c r="O1102" i="1"/>
  <c r="R1102" i="1" s="1"/>
  <c r="L1101" i="1"/>
  <c r="H1101" i="1"/>
  <c r="J1101" i="1"/>
  <c r="K1101" i="1"/>
  <c r="M1101" i="1"/>
  <c r="I1101" i="1"/>
  <c r="F1101" i="1" l="1"/>
  <c r="G1101" i="1"/>
  <c r="E1102" i="1" s="1"/>
  <c r="D1102" i="1"/>
  <c r="B1102" i="1"/>
  <c r="C1102" i="1" l="1"/>
  <c r="N1103" i="1"/>
  <c r="Q1103" i="1" s="1"/>
  <c r="O1103" i="1"/>
  <c r="R1103" i="1" s="1"/>
  <c r="J1102" i="1"/>
  <c r="H1102" i="1"/>
  <c r="F1102" i="1" s="1"/>
  <c r="L1102" i="1"/>
  <c r="D1103" i="1" l="1"/>
  <c r="K1102" i="1"/>
  <c r="I1102" i="1"/>
  <c r="M1102" i="1"/>
  <c r="P1103" i="1"/>
  <c r="S1103" i="1" s="1"/>
  <c r="B1103" i="1"/>
  <c r="G1102" i="1" l="1"/>
  <c r="E1103" i="1" s="1"/>
  <c r="C1103" i="1"/>
  <c r="O1104" i="1" s="1"/>
  <c r="R1104" i="1" s="1"/>
  <c r="H1103" i="1"/>
  <c r="L1103" i="1"/>
  <c r="N1104" i="1"/>
  <c r="Q1104" i="1" s="1"/>
  <c r="J1103" i="1"/>
  <c r="P1104" i="1"/>
  <c r="S1104" i="1" s="1"/>
  <c r="F1103" i="1" l="1"/>
  <c r="M1103" i="1"/>
  <c r="K1103" i="1"/>
  <c r="I1103" i="1"/>
  <c r="D1104" i="1"/>
  <c r="G1103" i="1" l="1"/>
  <c r="E1104" i="1" s="1"/>
  <c r="C1104" i="1"/>
  <c r="B1104" i="1"/>
  <c r="K1104" i="1" l="1"/>
  <c r="M1104" i="1"/>
  <c r="I1104" i="1"/>
  <c r="H1104" i="1"/>
  <c r="J1104" i="1"/>
  <c r="O1105" i="1"/>
  <c r="R1105" i="1" s="1"/>
  <c r="P1105" i="1"/>
  <c r="S1105" i="1" s="1"/>
  <c r="N1105" i="1"/>
  <c r="Q1105" i="1" s="1"/>
  <c r="L1104" i="1"/>
  <c r="F1104" i="1" l="1"/>
  <c r="G1104" i="1"/>
  <c r="E1105" i="1" s="1"/>
  <c r="D1105" i="1"/>
  <c r="C1105" i="1" l="1"/>
  <c r="B1105" i="1"/>
  <c r="I1105" i="1" l="1"/>
  <c r="K1105" i="1"/>
  <c r="M1105" i="1"/>
  <c r="H1105" i="1"/>
  <c r="L1105" i="1"/>
  <c r="J1105" i="1"/>
  <c r="P1106" i="1"/>
  <c r="S1106" i="1" s="1"/>
  <c r="N1106" i="1"/>
  <c r="Q1106" i="1" s="1"/>
  <c r="O1106" i="1"/>
  <c r="R1106" i="1" s="1"/>
  <c r="F1105" i="1" l="1"/>
  <c r="G1105" i="1"/>
  <c r="E1106" i="1" s="1"/>
  <c r="D1106" i="1"/>
  <c r="C1106" i="1" l="1"/>
  <c r="B1106" i="1"/>
  <c r="M1106" i="1" l="1"/>
  <c r="I1106" i="1"/>
  <c r="G1106" i="1" s="1"/>
  <c r="E1107" i="1" s="1"/>
  <c r="K1106" i="1"/>
  <c r="H1106" i="1"/>
  <c r="L1106" i="1"/>
  <c r="N1107" i="1"/>
  <c r="Q1107" i="1" s="1"/>
  <c r="P1107" i="1"/>
  <c r="S1107" i="1" s="1"/>
  <c r="O1107" i="1"/>
  <c r="R1107" i="1" s="1"/>
  <c r="J1106" i="1"/>
  <c r="F1106" i="1" l="1"/>
  <c r="C1107" i="1"/>
  <c r="K1107" i="1" s="1"/>
  <c r="M1107" i="1" l="1"/>
  <c r="I1107" i="1"/>
  <c r="G1107" i="1" s="1"/>
  <c r="E1108" i="1" s="1"/>
  <c r="B1107" i="1"/>
  <c r="D1107" i="1"/>
  <c r="C1108" i="1" l="1"/>
  <c r="N1108" i="1"/>
  <c r="Q1108" i="1" s="1"/>
  <c r="I1108" i="1" s="1"/>
  <c r="J1107" i="1"/>
  <c r="H1107" i="1"/>
  <c r="O1108" i="1"/>
  <c r="R1108" i="1" s="1"/>
  <c r="K1108" i="1" s="1"/>
  <c r="P1108" i="1"/>
  <c r="S1108" i="1" s="1"/>
  <c r="M1108" i="1" s="1"/>
  <c r="L1107" i="1"/>
  <c r="F1107" i="1" l="1"/>
  <c r="G1108" i="1"/>
  <c r="E1109" i="1" s="1"/>
  <c r="B1108" i="1" l="1"/>
  <c r="D1108" i="1"/>
  <c r="C1109" i="1"/>
  <c r="J1108" i="1" l="1"/>
  <c r="H1108" i="1"/>
  <c r="N1109" i="1"/>
  <c r="Q1109" i="1" s="1"/>
  <c r="I1109" i="1" s="1"/>
  <c r="O1109" i="1"/>
  <c r="R1109" i="1" s="1"/>
  <c r="K1109" i="1" s="1"/>
  <c r="P1109" i="1"/>
  <c r="S1109" i="1" s="1"/>
  <c r="M1109" i="1" s="1"/>
  <c r="L1108" i="1"/>
  <c r="G1109" i="1" l="1"/>
  <c r="E1110" i="1" s="1"/>
  <c r="F1108" i="1"/>
  <c r="D1109" i="1"/>
  <c r="B1109" i="1"/>
  <c r="L1109" i="1"/>
  <c r="J1109" i="1" l="1"/>
  <c r="H1109" i="1"/>
  <c r="F1109" i="1" s="1"/>
  <c r="N1110" i="1"/>
  <c r="Q1110" i="1" s="1"/>
  <c r="O1110" i="1"/>
  <c r="R1110" i="1" s="1"/>
  <c r="P1110" i="1"/>
  <c r="S1110" i="1" s="1"/>
  <c r="C1110" i="1"/>
  <c r="M1110" i="1" l="1"/>
  <c r="I1110" i="1"/>
  <c r="K1110" i="1"/>
  <c r="B1110" i="1"/>
  <c r="D1110" i="1"/>
  <c r="G1110" i="1" l="1"/>
  <c r="E1111" i="1" s="1"/>
  <c r="J1110" i="1"/>
  <c r="L1110" i="1"/>
  <c r="H1110" i="1"/>
  <c r="F1110" i="1" s="1"/>
  <c r="N1111" i="1"/>
  <c r="Q1111" i="1" s="1"/>
  <c r="O1111" i="1"/>
  <c r="R1111" i="1" s="1"/>
  <c r="C1111" i="1"/>
  <c r="P1111" i="1"/>
  <c r="S1111" i="1" s="1"/>
  <c r="B1111" i="1" l="1"/>
  <c r="M1111" i="1"/>
  <c r="K1111" i="1"/>
  <c r="I1111" i="1"/>
  <c r="G1111" i="1" s="1"/>
  <c r="E1112" i="1" s="1"/>
  <c r="D1111" i="1"/>
  <c r="J1111" i="1" l="1"/>
  <c r="P1112" i="1"/>
  <c r="S1112" i="1" s="1"/>
  <c r="H1111" i="1"/>
  <c r="L1111" i="1"/>
  <c r="O1112" i="1"/>
  <c r="R1112" i="1" s="1"/>
  <c r="N1112" i="1"/>
  <c r="Q1112" i="1" s="1"/>
  <c r="F1111" i="1" l="1"/>
  <c r="D1112" i="1"/>
  <c r="C1112" i="1"/>
  <c r="K1112" i="1" s="1"/>
  <c r="M1112" i="1" l="1"/>
  <c r="I1112" i="1"/>
  <c r="G1112" i="1"/>
  <c r="E1113" i="1" s="1"/>
  <c r="B1112" i="1"/>
  <c r="N1113" i="1" l="1"/>
  <c r="Q1113" i="1" s="1"/>
  <c r="J1112" i="1"/>
  <c r="H1112" i="1"/>
  <c r="P1113" i="1"/>
  <c r="S1113" i="1" s="1"/>
  <c r="L1112" i="1"/>
  <c r="O1113" i="1"/>
  <c r="R1113" i="1" s="1"/>
  <c r="C1113" i="1"/>
  <c r="F1112" i="1" l="1"/>
  <c r="D1113" i="1" s="1"/>
  <c r="M1113" i="1"/>
  <c r="K1113" i="1"/>
  <c r="I1113" i="1"/>
  <c r="B1113" i="1" l="1"/>
  <c r="G1113" i="1"/>
  <c r="H1113" i="1"/>
  <c r="L1113" i="1"/>
  <c r="J1113" i="1"/>
  <c r="C1114" i="1" l="1"/>
  <c r="E1114" i="1"/>
  <c r="F1113" i="1"/>
  <c r="P1114" i="1"/>
  <c r="S1114" i="1" s="1"/>
  <c r="M1114" i="1" s="1"/>
  <c r="O1114" i="1"/>
  <c r="R1114" i="1" s="1"/>
  <c r="N1114" i="1"/>
  <c r="Q1114" i="1" s="1"/>
  <c r="I1114" i="1" s="1"/>
  <c r="K1114" i="1"/>
  <c r="G1114" i="1" l="1"/>
  <c r="E1115" i="1"/>
  <c r="C1115" i="1"/>
  <c r="D1114" i="1"/>
  <c r="B1114" i="1"/>
  <c r="L1114" i="1" l="1"/>
  <c r="J1114" i="1"/>
  <c r="N1115" i="1"/>
  <c r="Q1115" i="1" s="1"/>
  <c r="I1115" i="1" s="1"/>
  <c r="P1115" i="1"/>
  <c r="S1115" i="1" s="1"/>
  <c r="M1115" i="1" s="1"/>
  <c r="H1114" i="1"/>
  <c r="F1114" i="1" s="1"/>
  <c r="D1115" i="1" s="1"/>
  <c r="O1115" i="1"/>
  <c r="R1115" i="1" s="1"/>
  <c r="K1115" i="1" s="1"/>
  <c r="B1115" i="1"/>
  <c r="G1115" i="1" l="1"/>
  <c r="E1116" i="1" s="1"/>
  <c r="C1116" i="1"/>
  <c r="J1115" i="1"/>
  <c r="H1115" i="1"/>
  <c r="F1115" i="1" s="1"/>
  <c r="N1116" i="1"/>
  <c r="Q1116" i="1" s="1"/>
  <c r="I1116" i="1" s="1"/>
  <c r="L1115" i="1"/>
  <c r="P1116" i="1"/>
  <c r="S1116" i="1" s="1"/>
  <c r="M1116" i="1" s="1"/>
  <c r="O1116" i="1"/>
  <c r="R1116" i="1" s="1"/>
  <c r="K1116" i="1" l="1"/>
  <c r="G1116" i="1"/>
  <c r="E1117" i="1" s="1"/>
  <c r="D1116" i="1" l="1"/>
  <c r="B1116" i="1"/>
  <c r="C1117" i="1"/>
  <c r="J1116" i="1" l="1"/>
  <c r="L1116" i="1"/>
  <c r="H1116" i="1"/>
  <c r="O1117" i="1"/>
  <c r="R1117" i="1" s="1"/>
  <c r="K1117" i="1" s="1"/>
  <c r="P1117" i="1"/>
  <c r="S1117" i="1" s="1"/>
  <c r="M1117" i="1" s="1"/>
  <c r="N1117" i="1"/>
  <c r="Q1117" i="1" s="1"/>
  <c r="I1117" i="1" s="1"/>
  <c r="G1117" i="1" s="1"/>
  <c r="E1118" i="1" s="1"/>
  <c r="F1116" i="1" l="1"/>
  <c r="B1117" i="1" s="1"/>
  <c r="H1117" i="1" s="1"/>
  <c r="P1118" i="1"/>
  <c r="S1118" i="1" s="1"/>
  <c r="M1118" i="1" s="1"/>
  <c r="N1118" i="1"/>
  <c r="Q1118" i="1" s="1"/>
  <c r="C1118" i="1"/>
  <c r="O1118" i="1" l="1"/>
  <c r="R1118" i="1" s="1"/>
  <c r="L1117" i="1"/>
  <c r="J1117" i="1"/>
  <c r="F1117" i="1" s="1"/>
  <c r="D1117" i="1"/>
  <c r="I1118" i="1"/>
  <c r="K1118" i="1"/>
  <c r="G1118" i="1" l="1"/>
  <c r="E1119" i="1" s="1"/>
  <c r="D1118" i="1"/>
  <c r="B1118" i="1"/>
  <c r="C1119" i="1" l="1"/>
  <c r="L1118" i="1"/>
  <c r="P1119" i="1"/>
  <c r="S1119" i="1" s="1"/>
  <c r="M1119" i="1" s="1"/>
  <c r="O1119" i="1"/>
  <c r="R1119" i="1" s="1"/>
  <c r="K1119" i="1" s="1"/>
  <c r="H1118" i="1"/>
  <c r="N1119" i="1"/>
  <c r="Q1119" i="1" s="1"/>
  <c r="I1119" i="1" s="1"/>
  <c r="J1118" i="1"/>
  <c r="F1118" i="1" l="1"/>
  <c r="G1119" i="1"/>
  <c r="E1120" i="1" s="1"/>
  <c r="C1120" i="1"/>
  <c r="B1119" i="1" l="1"/>
  <c r="D1119" i="1"/>
  <c r="H1119" i="1" l="1"/>
  <c r="N1120" i="1"/>
  <c r="Q1120" i="1" s="1"/>
  <c r="I1120" i="1" s="1"/>
  <c r="O1120" i="1"/>
  <c r="R1120" i="1" s="1"/>
  <c r="K1120" i="1" s="1"/>
  <c r="P1120" i="1"/>
  <c r="S1120" i="1" s="1"/>
  <c r="M1120" i="1" s="1"/>
  <c r="J1119" i="1"/>
  <c r="L1119" i="1"/>
  <c r="F1119" i="1" l="1"/>
  <c r="G1120" i="1"/>
  <c r="E1121" i="1" s="1"/>
  <c r="D1120" i="1" l="1"/>
  <c r="B1120" i="1"/>
  <c r="C1121" i="1"/>
  <c r="P1121" i="1" l="1"/>
  <c r="S1121" i="1" s="1"/>
  <c r="M1121" i="1" s="1"/>
  <c r="J1120" i="1"/>
  <c r="N1121" i="1"/>
  <c r="Q1121" i="1" s="1"/>
  <c r="I1121" i="1" s="1"/>
  <c r="L1120" i="1"/>
  <c r="O1121" i="1"/>
  <c r="R1121" i="1" s="1"/>
  <c r="K1121" i="1" s="1"/>
  <c r="H1120" i="1"/>
  <c r="F1120" i="1" s="1"/>
  <c r="G1121" i="1" l="1"/>
  <c r="E1122" i="1" s="1"/>
  <c r="D1121" i="1" l="1"/>
  <c r="B1121" i="1"/>
  <c r="C1122" i="1"/>
  <c r="L1121" i="1" l="1"/>
  <c r="N1122" i="1"/>
  <c r="Q1122" i="1" s="1"/>
  <c r="I1122" i="1" s="1"/>
  <c r="J1121" i="1"/>
  <c r="H1121" i="1"/>
  <c r="O1122" i="1"/>
  <c r="R1122" i="1" s="1"/>
  <c r="K1122" i="1" s="1"/>
  <c r="P1122" i="1"/>
  <c r="S1122" i="1" s="1"/>
  <c r="M1122" i="1" s="1"/>
  <c r="F1121" i="1" l="1"/>
  <c r="B1122" i="1" s="1"/>
  <c r="G1122" i="1"/>
  <c r="E1123" i="1" s="1"/>
  <c r="D1122" i="1"/>
  <c r="O1123" i="1" l="1"/>
  <c r="R1123" i="1" s="1"/>
  <c r="L1122" i="1"/>
  <c r="N1123" i="1"/>
  <c r="Q1123" i="1" s="1"/>
  <c r="J1122" i="1"/>
  <c r="H1122" i="1"/>
  <c r="F1122" i="1" s="1"/>
  <c r="B1123" i="1" s="1"/>
  <c r="P1123" i="1"/>
  <c r="S1123" i="1" s="1"/>
  <c r="C1123" i="1"/>
  <c r="L1123" i="1" l="1"/>
  <c r="H1123" i="1"/>
  <c r="N1124" i="1"/>
  <c r="Q1124" i="1" s="1"/>
  <c r="J1123" i="1"/>
  <c r="D1123" i="1"/>
  <c r="P1124" i="1"/>
  <c r="S1124" i="1" s="1"/>
  <c r="M1123" i="1"/>
  <c r="I1123" i="1"/>
  <c r="K1123" i="1"/>
  <c r="O1124" i="1"/>
  <c r="R1124" i="1" s="1"/>
  <c r="F1123" i="1" l="1"/>
  <c r="D1124" i="1" s="1"/>
  <c r="G1123" i="1"/>
  <c r="C1124" i="1" l="1"/>
  <c r="E1124" i="1"/>
  <c r="B1124" i="1"/>
  <c r="I1124" i="1"/>
  <c r="P1125" i="1"/>
  <c r="S1125" i="1" s="1"/>
  <c r="M1124" i="1" l="1"/>
  <c r="K1124" i="1"/>
  <c r="G1124" i="1" s="1"/>
  <c r="J1124" i="1"/>
  <c r="L1124" i="1"/>
  <c r="H1124" i="1"/>
  <c r="F1124" i="1" s="1"/>
  <c r="B1125" i="1" s="1"/>
  <c r="O1125" i="1"/>
  <c r="R1125" i="1" s="1"/>
  <c r="N1125" i="1"/>
  <c r="Q1125" i="1" s="1"/>
  <c r="E1125" i="1" l="1"/>
  <c r="C1125" i="1"/>
  <c r="M1125" i="1" s="1"/>
  <c r="D1125" i="1"/>
  <c r="L1125" i="1"/>
  <c r="H1125" i="1"/>
  <c r="J1125" i="1"/>
  <c r="I1125" i="1"/>
  <c r="K1125" i="1"/>
  <c r="O1126" i="1"/>
  <c r="R1126" i="1" s="1"/>
  <c r="N1126" i="1"/>
  <c r="Q1126" i="1" s="1"/>
  <c r="P1126" i="1"/>
  <c r="S1126" i="1" s="1"/>
  <c r="F1125" i="1" l="1"/>
  <c r="G1125" i="1"/>
  <c r="E1126" i="1" s="1"/>
  <c r="D1126" i="1" l="1"/>
  <c r="B1126" i="1"/>
  <c r="C1126" i="1"/>
  <c r="L1126" i="1" l="1"/>
  <c r="J1126" i="1"/>
  <c r="H1126" i="1"/>
  <c r="F1126" i="1" s="1"/>
  <c r="K1126" i="1"/>
  <c r="P1127" i="1"/>
  <c r="S1127" i="1" s="1"/>
  <c r="N1127" i="1"/>
  <c r="Q1127" i="1" s="1"/>
  <c r="I1126" i="1"/>
  <c r="G1126" i="1" s="1"/>
  <c r="E1127" i="1" s="1"/>
  <c r="O1127" i="1"/>
  <c r="R1127" i="1" s="1"/>
  <c r="M1126" i="1"/>
  <c r="B1127" i="1" l="1"/>
  <c r="D1127" i="1"/>
  <c r="L1127" i="1" l="1"/>
  <c r="H1127" i="1"/>
  <c r="J1127" i="1"/>
  <c r="C1127" i="1"/>
  <c r="F1127" i="1" l="1"/>
  <c r="M1127" i="1"/>
  <c r="I1127" i="1"/>
  <c r="P1128" i="1"/>
  <c r="S1128" i="1" s="1"/>
  <c r="O1128" i="1"/>
  <c r="R1128" i="1" s="1"/>
  <c r="K1127" i="1"/>
  <c r="N1128" i="1"/>
  <c r="Q1128" i="1" s="1"/>
  <c r="G1127" i="1" l="1"/>
  <c r="E1128" i="1" s="1"/>
  <c r="B1128" i="1"/>
  <c r="H1128" i="1" s="1"/>
  <c r="D1128" i="1"/>
  <c r="L1128" i="1" l="1"/>
  <c r="J1128" i="1"/>
  <c r="F1128" i="1" s="1"/>
  <c r="C1128" i="1"/>
  <c r="D1129" i="1" l="1"/>
  <c r="B1129" i="1"/>
  <c r="I1128" i="1"/>
  <c r="M1128" i="1"/>
  <c r="K1128" i="1"/>
  <c r="P1129" i="1"/>
  <c r="S1129" i="1" s="1"/>
  <c r="L1129" i="1" s="1"/>
  <c r="N1129" i="1"/>
  <c r="Q1129" i="1" s="1"/>
  <c r="H1129" i="1" s="1"/>
  <c r="O1129" i="1"/>
  <c r="R1129" i="1" s="1"/>
  <c r="J1129" i="1" s="1"/>
  <c r="F1129" i="1" l="1"/>
  <c r="G1128" i="1"/>
  <c r="E1129" i="1" s="1"/>
  <c r="D1130" i="1"/>
  <c r="C1129" i="1" l="1"/>
  <c r="B1130" i="1"/>
  <c r="I1129" i="1" l="1"/>
  <c r="O1130" i="1"/>
  <c r="R1130" i="1" s="1"/>
  <c r="J1130" i="1" s="1"/>
  <c r="P1130" i="1"/>
  <c r="S1130" i="1" s="1"/>
  <c r="L1130" i="1" s="1"/>
  <c r="K1129" i="1"/>
  <c r="M1129" i="1"/>
  <c r="N1130" i="1"/>
  <c r="Q1130" i="1" s="1"/>
  <c r="H1130" i="1" s="1"/>
  <c r="F1130" i="1" s="1"/>
  <c r="G1129" i="1" l="1"/>
  <c r="E1130" i="1" s="1"/>
  <c r="D1131" i="1"/>
  <c r="B1131" i="1"/>
  <c r="C1130" i="1" l="1"/>
  <c r="K1130" i="1" l="1"/>
  <c r="I1130" i="1"/>
  <c r="M1130" i="1"/>
  <c r="N1131" i="1"/>
  <c r="Q1131" i="1" s="1"/>
  <c r="H1131" i="1" s="1"/>
  <c r="P1131" i="1"/>
  <c r="S1131" i="1" s="1"/>
  <c r="L1131" i="1" s="1"/>
  <c r="O1131" i="1"/>
  <c r="R1131" i="1" s="1"/>
  <c r="J1131" i="1" s="1"/>
  <c r="F1131" i="1" l="1"/>
  <c r="G1130" i="1"/>
  <c r="E1131" i="1" s="1"/>
  <c r="D1132" i="1"/>
  <c r="B1132" i="1"/>
  <c r="C1131" i="1" l="1"/>
  <c r="I1131" i="1" l="1"/>
  <c r="K1131" i="1"/>
  <c r="M1131" i="1"/>
  <c r="O1132" i="1"/>
  <c r="R1132" i="1" s="1"/>
  <c r="J1132" i="1" s="1"/>
  <c r="N1132" i="1"/>
  <c r="Q1132" i="1" s="1"/>
  <c r="H1132" i="1" s="1"/>
  <c r="P1132" i="1"/>
  <c r="S1132" i="1" s="1"/>
  <c r="L1132" i="1" s="1"/>
  <c r="F1132" i="1" l="1"/>
  <c r="G1131" i="1"/>
  <c r="E1132" i="1" s="1"/>
  <c r="D1133" i="1"/>
  <c r="B1133" i="1"/>
  <c r="C1132" i="1" l="1"/>
  <c r="M1132" i="1" l="1"/>
  <c r="K1132" i="1"/>
  <c r="I1132" i="1"/>
  <c r="P1133" i="1"/>
  <c r="S1133" i="1" s="1"/>
  <c r="L1133" i="1" s="1"/>
  <c r="N1133" i="1"/>
  <c r="Q1133" i="1" s="1"/>
  <c r="H1133" i="1" s="1"/>
  <c r="F1133" i="1" s="1"/>
  <c r="O1133" i="1"/>
  <c r="R1133" i="1" s="1"/>
  <c r="J1133" i="1" s="1"/>
  <c r="G1132" i="1" l="1"/>
  <c r="E1133" i="1" s="1"/>
  <c r="D1134" i="1"/>
  <c r="B1134" i="1"/>
  <c r="C1133" i="1"/>
  <c r="I1133" i="1" l="1"/>
  <c r="K1133" i="1"/>
  <c r="M1133" i="1"/>
  <c r="P1134" i="1"/>
  <c r="S1134" i="1" s="1"/>
  <c r="L1134" i="1" s="1"/>
  <c r="N1134" i="1"/>
  <c r="Q1134" i="1" s="1"/>
  <c r="H1134" i="1" s="1"/>
  <c r="O1134" i="1"/>
  <c r="R1134" i="1" s="1"/>
  <c r="J1134" i="1" s="1"/>
  <c r="F1134" i="1" l="1"/>
  <c r="G1133" i="1"/>
  <c r="E1134" i="1" s="1"/>
  <c r="D1135" i="1"/>
  <c r="B1135" i="1"/>
  <c r="C1134" i="1" l="1"/>
  <c r="I1134" i="1" l="1"/>
  <c r="M1134" i="1"/>
  <c r="K1134" i="1"/>
  <c r="P1135" i="1"/>
  <c r="S1135" i="1" s="1"/>
  <c r="L1135" i="1" s="1"/>
  <c r="N1135" i="1"/>
  <c r="Q1135" i="1" s="1"/>
  <c r="H1135" i="1" s="1"/>
  <c r="O1135" i="1"/>
  <c r="R1135" i="1" s="1"/>
  <c r="J1135" i="1" s="1"/>
  <c r="F1135" i="1" l="1"/>
  <c r="G1134" i="1"/>
  <c r="E1135" i="1" s="1"/>
  <c r="D1136" i="1"/>
  <c r="B1136" i="1"/>
  <c r="C1135" i="1" l="1"/>
  <c r="M1135" i="1" l="1"/>
  <c r="I1135" i="1"/>
  <c r="K1135" i="1"/>
  <c r="N1136" i="1"/>
  <c r="Q1136" i="1" s="1"/>
  <c r="H1136" i="1" s="1"/>
  <c r="F1136" i="1" s="1"/>
  <c r="P1136" i="1"/>
  <c r="S1136" i="1" s="1"/>
  <c r="L1136" i="1" s="1"/>
  <c r="O1136" i="1"/>
  <c r="R1136" i="1" s="1"/>
  <c r="J1136" i="1" s="1"/>
  <c r="G1135" i="1" l="1"/>
  <c r="E1136" i="1" s="1"/>
  <c r="D1137" i="1"/>
  <c r="C1136" i="1" l="1"/>
  <c r="B1137" i="1"/>
  <c r="M1136" i="1" l="1"/>
  <c r="K1136" i="1"/>
  <c r="I1136" i="1"/>
  <c r="G1136" i="1" s="1"/>
  <c r="E1137" i="1" s="1"/>
  <c r="P1137" i="1"/>
  <c r="S1137" i="1" s="1"/>
  <c r="L1137" i="1" s="1"/>
  <c r="N1137" i="1"/>
  <c r="Q1137" i="1" s="1"/>
  <c r="H1137" i="1" s="1"/>
  <c r="O1137" i="1"/>
  <c r="R1137" i="1" s="1"/>
  <c r="J1137" i="1" s="1"/>
  <c r="F1137" i="1" l="1"/>
  <c r="D1138" i="1"/>
  <c r="B1138" i="1"/>
  <c r="C1137" i="1" l="1"/>
  <c r="K1137" i="1" l="1"/>
  <c r="M1137" i="1"/>
  <c r="I1137" i="1"/>
  <c r="O1138" i="1"/>
  <c r="R1138" i="1" s="1"/>
  <c r="J1138" i="1" s="1"/>
  <c r="N1138" i="1"/>
  <c r="Q1138" i="1" s="1"/>
  <c r="H1138" i="1" s="1"/>
  <c r="F1138" i="1" s="1"/>
  <c r="P1138" i="1"/>
  <c r="S1138" i="1" s="1"/>
  <c r="L1138" i="1" s="1"/>
  <c r="G1137" i="1" l="1"/>
  <c r="E1138" i="1" s="1"/>
  <c r="D1139" i="1"/>
  <c r="B1139" i="1"/>
  <c r="C1138" i="1"/>
  <c r="K1138" i="1" l="1"/>
  <c r="I1138" i="1"/>
  <c r="M1138" i="1"/>
  <c r="N1139" i="1"/>
  <c r="Q1139" i="1" s="1"/>
  <c r="H1139" i="1" s="1"/>
  <c r="F1139" i="1" s="1"/>
  <c r="P1139" i="1"/>
  <c r="S1139" i="1" s="1"/>
  <c r="L1139" i="1" s="1"/>
  <c r="O1139" i="1"/>
  <c r="R1139" i="1" s="1"/>
  <c r="J1139" i="1" s="1"/>
  <c r="G1138" i="1" l="1"/>
  <c r="E1139" i="1" s="1"/>
  <c r="D1140" i="1"/>
  <c r="C1139" i="1" l="1"/>
  <c r="B1140" i="1"/>
  <c r="I1139" i="1" l="1"/>
  <c r="M1139" i="1"/>
  <c r="K1139" i="1"/>
  <c r="O1140" i="1"/>
  <c r="R1140" i="1" s="1"/>
  <c r="J1140" i="1" s="1"/>
  <c r="P1140" i="1"/>
  <c r="S1140" i="1" s="1"/>
  <c r="L1140" i="1" s="1"/>
  <c r="N1140" i="1"/>
  <c r="Q1140" i="1" s="1"/>
  <c r="H1140" i="1" s="1"/>
  <c r="F1140" i="1" s="1"/>
  <c r="G1139" i="1" l="1"/>
  <c r="E1140" i="1" s="1"/>
  <c r="D1141" i="1"/>
  <c r="B1141" i="1"/>
  <c r="C1140" i="1" l="1"/>
  <c r="M1140" i="1" l="1"/>
  <c r="I1140" i="1"/>
  <c r="K1140" i="1"/>
  <c r="O1141" i="1"/>
  <c r="R1141" i="1" s="1"/>
  <c r="J1141" i="1" s="1"/>
  <c r="P1141" i="1"/>
  <c r="S1141" i="1" s="1"/>
  <c r="L1141" i="1" s="1"/>
  <c r="N1141" i="1"/>
  <c r="Q1141" i="1" s="1"/>
  <c r="H1141" i="1" s="1"/>
  <c r="F1141" i="1" s="1"/>
  <c r="G1140" i="1" l="1"/>
  <c r="E1141" i="1" s="1"/>
  <c r="D1142" i="1"/>
  <c r="B1142" i="1"/>
  <c r="C1141" i="1" l="1"/>
  <c r="I1141" i="1" l="1"/>
  <c r="O1142" i="1"/>
  <c r="R1142" i="1" s="1"/>
  <c r="J1142" i="1" s="1"/>
  <c r="K1141" i="1"/>
  <c r="N1142" i="1"/>
  <c r="Q1142" i="1" s="1"/>
  <c r="H1142" i="1" s="1"/>
  <c r="P1142" i="1"/>
  <c r="S1142" i="1" s="1"/>
  <c r="L1142" i="1" s="1"/>
  <c r="M1141" i="1"/>
  <c r="F1142" i="1" l="1"/>
  <c r="G1141" i="1"/>
  <c r="E1142" i="1" s="1"/>
  <c r="D1143" i="1"/>
  <c r="B1143" i="1"/>
  <c r="C1142" i="1" l="1"/>
  <c r="I1142" i="1" l="1"/>
  <c r="M1142" i="1"/>
  <c r="N1143" i="1"/>
  <c r="Q1143" i="1" s="1"/>
  <c r="H1143" i="1" s="1"/>
  <c r="K1142" i="1"/>
  <c r="P1143" i="1"/>
  <c r="S1143" i="1" s="1"/>
  <c r="L1143" i="1" s="1"/>
  <c r="O1143" i="1"/>
  <c r="R1143" i="1" s="1"/>
  <c r="J1143" i="1" s="1"/>
  <c r="F1143" i="1" l="1"/>
  <c r="G1142" i="1"/>
  <c r="E1143" i="1" s="1"/>
  <c r="B1144" i="1"/>
  <c r="D1144" i="1"/>
  <c r="C1143" i="1" l="1"/>
  <c r="P1144" i="1" l="1"/>
  <c r="S1144" i="1" s="1"/>
  <c r="L1144" i="1" s="1"/>
  <c r="K1143" i="1"/>
  <c r="O1144" i="1"/>
  <c r="R1144" i="1" s="1"/>
  <c r="J1144" i="1" s="1"/>
  <c r="I1143" i="1"/>
  <c r="G1143" i="1" s="1"/>
  <c r="E1144" i="1" s="1"/>
  <c r="M1143" i="1"/>
  <c r="N1144" i="1"/>
  <c r="Q1144" i="1" s="1"/>
  <c r="H1144" i="1" s="1"/>
  <c r="F1144" i="1" s="1"/>
  <c r="C1144" i="1" l="1"/>
  <c r="M1144" i="1" l="1"/>
  <c r="K1144" i="1"/>
  <c r="I1144" i="1"/>
  <c r="G1144" i="1" s="1"/>
</calcChain>
</file>

<file path=xl/sharedStrings.xml><?xml version="1.0" encoding="utf-8"?>
<sst xmlns="http://schemas.openxmlformats.org/spreadsheetml/2006/main" count="123" uniqueCount="85">
  <si>
    <t>Conditions initiales de la simulation</t>
  </si>
  <si>
    <t>Paramètres généraux</t>
  </si>
  <si>
    <t>Base de temps</t>
  </si>
  <si>
    <t>Coefficient de friction</t>
  </si>
  <si>
    <t>Ratio de la constante d'Aaseth</t>
  </si>
  <si>
    <t>t</t>
  </si>
  <si>
    <t>seconde</t>
  </si>
  <si>
    <t>mètre/seconde</t>
  </si>
  <si>
    <t>-</t>
  </si>
  <si>
    <t>λ</t>
  </si>
  <si>
    <t>Corsp en mouvement</t>
  </si>
  <si>
    <t>Masse</t>
  </si>
  <si>
    <t>Position initiale</t>
  </si>
  <si>
    <t>Vitesse initiale</t>
  </si>
  <si>
    <t>Accélération initiale</t>
  </si>
  <si>
    <t>Dimension</t>
  </si>
  <si>
    <t>mètre</t>
  </si>
  <si>
    <t>mètre /seconde</t>
  </si>
  <si>
    <t>Trois corps statiques</t>
  </si>
  <si>
    <t>Corps 1</t>
  </si>
  <si>
    <t>Position</t>
  </si>
  <si>
    <t>Rayon</t>
  </si>
  <si>
    <t>Masse volumique moyenne</t>
  </si>
  <si>
    <t>Volume</t>
  </si>
  <si>
    <t>Masse totale</t>
  </si>
  <si>
    <t>Constance d'Aaseth</t>
  </si>
  <si>
    <t>Attraction/Répulsion</t>
  </si>
  <si>
    <t>Attraction</t>
  </si>
  <si>
    <t>gramme</t>
  </si>
  <si>
    <t>m</t>
  </si>
  <si>
    <t>s</t>
  </si>
  <si>
    <t>Corps 2</t>
  </si>
  <si>
    <t>Corps 3</t>
  </si>
  <si>
    <r>
      <t xml:space="preserve">p </t>
    </r>
    <r>
      <rPr>
        <i/>
        <vertAlign val="subscript"/>
        <sz val="11"/>
        <color theme="1"/>
        <rFont val="DejaVu Sans Mono"/>
        <family val="3"/>
      </rPr>
      <t>0,0</t>
    </r>
  </si>
  <si>
    <r>
      <t xml:space="preserve">v </t>
    </r>
    <r>
      <rPr>
        <i/>
        <vertAlign val="subscript"/>
        <sz val="11"/>
        <color theme="1"/>
        <rFont val="DejaVu Sans Mono"/>
        <family val="3"/>
      </rPr>
      <t>0,0</t>
    </r>
  </si>
  <si>
    <r>
      <t>a</t>
    </r>
    <r>
      <rPr>
        <i/>
        <vertAlign val="subscript"/>
        <sz val="11"/>
        <color theme="1"/>
        <rFont val="DejaVu Sans Mono"/>
        <family val="3"/>
      </rPr>
      <t>0,0</t>
    </r>
  </si>
  <si>
    <r>
      <t>mètre /seconde</t>
    </r>
    <r>
      <rPr>
        <i/>
        <vertAlign val="superscript"/>
        <sz val="11"/>
        <color theme="1"/>
        <rFont val="DejaVu Sans Mono"/>
        <family val="3"/>
      </rPr>
      <t>2</t>
    </r>
  </si>
  <si>
    <r>
      <t xml:space="preserve">q </t>
    </r>
    <r>
      <rPr>
        <i/>
        <vertAlign val="subscript"/>
        <sz val="11"/>
        <color theme="1"/>
        <rFont val="DejaVu Sans Mono"/>
        <family val="3"/>
      </rPr>
      <t>xy</t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</si>
  <si>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1</t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</si>
  <si>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1</t>
    </r>
  </si>
  <si>
    <r>
      <t>gramme/mètre</t>
    </r>
    <r>
      <rPr>
        <i/>
        <vertAlign val="superscript"/>
        <sz val="11"/>
        <color theme="1"/>
        <rFont val="DejaVu Sans Mono"/>
        <family val="3"/>
      </rPr>
      <t>2</t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</si>
  <si>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</si>
  <si>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>mètre</t>
    </r>
    <r>
      <rPr>
        <i/>
        <vertAlign val="superscript"/>
        <sz val="11"/>
        <color theme="0" tint="-0.499984740745262"/>
        <rFont val="DejaVu Sans Mono"/>
        <family val="3"/>
      </rPr>
      <t>2</t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</si>
  <si>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</si>
  <si>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1</t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</si>
  <si>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1</t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</si>
  <si>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</si>
  <si>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</si>
  <si>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</si>
  <si>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</si>
  <si>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</si>
  <si>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2</t>
    </r>
    <r>
      <rPr>
        <sz val="11"/>
        <color theme="1"/>
        <rFont val="Calibri"/>
        <family val="2"/>
        <scheme val="minor"/>
      </rPr>
      <t/>
    </r>
  </si>
  <si>
    <r>
      <t xml:space="preserve">r </t>
    </r>
    <r>
      <rPr>
        <i/>
        <vertAlign val="subscript"/>
        <sz val="11"/>
        <color theme="1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</si>
  <si>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ρ </t>
    </r>
    <r>
      <rPr>
        <i/>
        <vertAlign val="subscript"/>
        <sz val="11"/>
        <color theme="1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</si>
  <si>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V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</si>
  <si>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M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</si>
  <si>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λ </t>
    </r>
    <r>
      <rPr>
        <i/>
        <vertAlign val="subscript"/>
        <sz val="11"/>
        <color theme="0" tint="-0.49998474074526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</si>
  <si>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r>
      <t xml:space="preserve">ω </t>
    </r>
    <r>
      <rPr>
        <i/>
        <vertAlign val="subscript"/>
        <sz val="11"/>
        <color rgb="FF202122"/>
        <rFont val="DejaVu Sans Mono"/>
        <family val="3"/>
      </rPr>
      <t>3</t>
    </r>
    <r>
      <rPr>
        <sz val="11"/>
        <color theme="1"/>
        <rFont val="Calibri"/>
        <family val="2"/>
        <scheme val="minor"/>
      </rPr>
      <t/>
    </r>
  </si>
  <si>
    <t>Px</t>
  </si>
  <si>
    <t>Py</t>
  </si>
  <si>
    <t>force x 1</t>
  </si>
  <si>
    <t>force y 1</t>
  </si>
  <si>
    <t>force x 2</t>
  </si>
  <si>
    <t>force y 2</t>
  </si>
  <si>
    <t>force x 3</t>
  </si>
  <si>
    <t>force y 3</t>
  </si>
  <si>
    <t>distance 1</t>
  </si>
  <si>
    <t xml:space="preserve">distance 2 </t>
  </si>
  <si>
    <t>distance 3</t>
  </si>
  <si>
    <t>div1</t>
  </si>
  <si>
    <t>div2</t>
  </si>
  <si>
    <t>div3</t>
  </si>
  <si>
    <t>Vitesse x</t>
  </si>
  <si>
    <t>Vitesse y</t>
  </si>
  <si>
    <t>Accélération x</t>
  </si>
  <si>
    <t>Accélération y</t>
  </si>
  <si>
    <t>diff temps</t>
  </si>
  <si>
    <t>x1</t>
  </si>
  <si>
    <t>y1</t>
  </si>
  <si>
    <t>x2</t>
  </si>
  <si>
    <t>y2</t>
  </si>
  <si>
    <t>x3</t>
  </si>
  <si>
    <t>y3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</si>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</sst>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6"/>
      <color theme="1"/>
      <name val="DejaVu Sans Mono"/>
      <family val="3"/>
    </font>
    <font>
      <sz val="11"/>
      <color theme="1"/>
      <name val="DejaVu Sans Mono"/>
      <family val="3"/>
    </font>
    <font>
      <b/>
      <sz val="11"/>
      <color theme="0"/>
      <name val="DejaVu Sans Mono"/>
      <family val="3"/>
    </font>
    <font>
      <b/>
      <sz val="11"/>
      <color theme="1"/>
      <name val="DejaVu Sans Mono"/>
      <family val="3"/>
    </font>
    <font>
      <i/>
      <sz val="11"/>
      <color theme="1"/>
      <name val="DejaVu Sans Mono"/>
      <family val="3"/>
    </font>
    <font>
      <i/>
      <vertAlign val="subscript"/>
      <sz val="11"/>
      <color theme="1"/>
      <name val="DejaVu Sans Mono"/>
      <family val="3"/>
    </font>
    <font>
      <i/>
      <vertAlign val="superscript"/>
      <sz val="11"/>
      <color theme="1"/>
      <name val="DejaVu Sans Mono"/>
      <family val="3"/>
    </font>
    <font>
      <i/>
      <sz val="11"/>
      <color theme="0"/>
      <name val="DejaVu Sans Mono"/>
      <family val="3"/>
    </font>
    <font>
      <sz val="11"/>
      <color theme="0"/>
      <name val="DejaVu Sans Mono"/>
      <family val="3"/>
    </font>
    <font>
      <b/>
      <sz val="11"/>
      <color theme="0" tint="-0.499984740745262"/>
      <name val="DejaVu Sans Mono"/>
      <family val="3"/>
    </font>
    <font>
      <i/>
      <sz val="11"/>
      <color theme="0" tint="-0.499984740745262"/>
      <name val="DejaVu Sans Mono"/>
      <family val="3"/>
    </font>
    <font>
      <i/>
      <vertAlign val="subscript"/>
      <sz val="11"/>
      <color theme="0" tint="-0.499984740745262"/>
      <name val="DejaVu Sans Mono"/>
      <family val="3"/>
    </font>
    <font>
      <sz val="11"/>
      <color theme="0" tint="-0.499984740745262"/>
      <name val="DejaVu Sans Mono"/>
      <family val="3"/>
    </font>
    <font>
      <i/>
      <vertAlign val="superscript"/>
      <sz val="11"/>
      <color theme="0" tint="-0.499984740745262"/>
      <name val="DejaVu Sans Mono"/>
      <family val="3"/>
    </font>
    <font>
      <i/>
      <sz val="11"/>
      <color rgb="FF202122"/>
      <name val="DejaVu Sans Mono"/>
      <family val="3"/>
    </font>
    <font>
      <i/>
      <vertAlign val="subscript"/>
      <sz val="11"/>
      <color rgb="FF202122"/>
      <name val="DejaVu Sans Mono"/>
      <family val="3"/>
    </font>
    <font>
      <sz val="11"/>
      <color theme="1"/>
      <name val="Berlin Sans FB"/>
      <family val="2"/>
    </font>
    <font>
      <sz val="11"/>
      <color rgb="FF000000"/>
      <name val="Bahnschrift SemiBold SemiConden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42A7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A3C84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indexed="64"/>
      </top>
      <bottom style="thin">
        <color indexed="64"/>
      </bottom>
      <diagonal/>
    </border>
    <border>
      <left style="medium">
        <color rgb="FF7A0000"/>
      </left>
      <right/>
      <top style="medium">
        <color rgb="FF7A0000"/>
      </top>
      <bottom style="medium">
        <color rgb="FF7A0000"/>
      </bottom>
      <diagonal/>
    </border>
    <border>
      <left/>
      <right/>
      <top style="medium">
        <color rgb="FF7A0000"/>
      </top>
      <bottom style="medium">
        <color rgb="FF7A0000"/>
      </bottom>
      <diagonal/>
    </border>
    <border>
      <left/>
      <right style="medium">
        <color rgb="FF7A0000"/>
      </right>
      <top style="medium">
        <color rgb="FF7A0000"/>
      </top>
      <bottom style="medium">
        <color rgb="FF7A0000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2" fillId="0" borderId="0" xfId="0" applyFont="1"/>
    <xf numFmtId="0" fontId="4" fillId="10" borderId="3" xfId="0" applyFont="1" applyFill="1" applyBorder="1"/>
    <xf numFmtId="0" fontId="5" fillId="10" borderId="2" xfId="0" applyFont="1" applyFill="1" applyBorder="1" applyAlignment="1">
      <alignment horizontal="center"/>
    </xf>
    <xf numFmtId="0" fontId="4" fillId="11" borderId="3" xfId="0" applyFont="1" applyFill="1" applyBorder="1"/>
    <xf numFmtId="0" fontId="5" fillId="11" borderId="4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0" fontId="5" fillId="10" borderId="4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4" fillId="5" borderId="3" xfId="0" applyFont="1" applyFill="1" applyBorder="1"/>
    <xf numFmtId="0" fontId="5" fillId="5" borderId="4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4" fillId="12" borderId="3" xfId="0" applyFont="1" applyFill="1" applyBorder="1"/>
    <xf numFmtId="0" fontId="5" fillId="12" borderId="4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4" fillId="6" borderId="8" xfId="0" applyFont="1" applyFill="1" applyBorder="1"/>
    <xf numFmtId="0" fontId="5" fillId="6" borderId="5" xfId="0" applyFont="1" applyFill="1" applyBorder="1" applyAlignment="1">
      <alignment horizontal="center"/>
    </xf>
    <xf numFmtId="3" fontId="2" fillId="6" borderId="8" xfId="0" applyNumberFormat="1" applyFont="1" applyFill="1" applyBorder="1" applyAlignment="1">
      <alignment horizontal="center"/>
    </xf>
    <xf numFmtId="3" fontId="2" fillId="6" borderId="5" xfId="0" applyNumberFormat="1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4" fillId="7" borderId="3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4" fillId="6" borderId="3" xfId="0" applyFont="1" applyFill="1" applyBorder="1"/>
    <xf numFmtId="0" fontId="5" fillId="6" borderId="4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10" fillId="7" borderId="3" xfId="0" applyFont="1" applyFill="1" applyBorder="1"/>
    <xf numFmtId="0" fontId="11" fillId="7" borderId="4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0" fillId="6" borderId="3" xfId="0" applyFont="1" applyFill="1" applyBorder="1"/>
    <xf numFmtId="0" fontId="11" fillId="6" borderId="4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4" fillId="6" borderId="6" xfId="0" applyFont="1" applyFill="1" applyBorder="1"/>
    <xf numFmtId="0" fontId="15" fillId="6" borderId="7" xfId="0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3" fillId="4" borderId="16" xfId="0" applyFont="1" applyFill="1" applyBorder="1"/>
    <xf numFmtId="0" fontId="8" fillId="4" borderId="17" xfId="0" applyFont="1" applyFill="1" applyBorder="1" applyAlignment="1">
      <alignment horizontal="center"/>
    </xf>
    <xf numFmtId="0" fontId="9" fillId="4" borderId="17" xfId="0" applyFont="1" applyFill="1" applyBorder="1"/>
    <xf numFmtId="0" fontId="9" fillId="4" borderId="18" xfId="0" applyFont="1" applyFill="1" applyBorder="1" applyAlignment="1">
      <alignment horizontal="center"/>
    </xf>
    <xf numFmtId="0" fontId="4" fillId="2" borderId="8" xfId="0" applyFont="1" applyFill="1" applyBorder="1"/>
    <xf numFmtId="0" fontId="5" fillId="2" borderId="5" xfId="0" applyFont="1" applyFill="1" applyBorder="1" applyAlignment="1">
      <alignment horizontal="center"/>
    </xf>
    <xf numFmtId="3" fontId="2" fillId="2" borderId="8" xfId="0" applyNumberFormat="1" applyFont="1" applyFill="1" applyBorder="1" applyAlignment="1">
      <alignment horizontal="center"/>
    </xf>
    <xf numFmtId="3" fontId="2" fillId="2" borderId="5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4" fillId="3" borderId="3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4" fillId="2" borderId="3" xfId="0" applyFont="1" applyFill="1" applyBorder="1"/>
    <xf numFmtId="0" fontId="5" fillId="2" borderId="1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10" fillId="3" borderId="3" xfId="0" applyFont="1" applyFill="1" applyBorder="1"/>
    <xf numFmtId="0" fontId="11" fillId="3" borderId="4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0" fillId="2" borderId="3" xfId="0" applyFont="1" applyFill="1" applyBorder="1"/>
    <xf numFmtId="0" fontId="11" fillId="2" borderId="4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4" fillId="2" borderId="6" xfId="0" applyFont="1" applyFill="1" applyBorder="1"/>
    <xf numFmtId="0" fontId="15" fillId="2" borderId="7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8" borderId="8" xfId="0" applyFont="1" applyFill="1" applyBorder="1"/>
    <xf numFmtId="0" fontId="5" fillId="8" borderId="5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3" fontId="2" fillId="8" borderId="5" xfId="0" applyNumberFormat="1" applyFont="1" applyFill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4" fillId="9" borderId="3" xfId="0" applyFont="1" applyFill="1" applyBorder="1"/>
    <xf numFmtId="0" fontId="5" fillId="9" borderId="4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/>
    </xf>
    <xf numFmtId="0" fontId="4" fillId="8" borderId="3" xfId="0" applyFont="1" applyFill="1" applyBorder="1"/>
    <xf numFmtId="0" fontId="5" fillId="8" borderId="4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10" fillId="9" borderId="3" xfId="0" applyFont="1" applyFill="1" applyBorder="1"/>
    <xf numFmtId="0" fontId="11" fillId="9" borderId="4" xfId="0" applyFont="1" applyFill="1" applyBorder="1" applyAlignment="1">
      <alignment horizontal="center"/>
    </xf>
    <xf numFmtId="0" fontId="11" fillId="9" borderId="2" xfId="0" applyFont="1" applyFill="1" applyBorder="1" applyAlignment="1">
      <alignment horizontal="center"/>
    </xf>
    <xf numFmtId="0" fontId="10" fillId="8" borderId="3" xfId="0" applyFont="1" applyFill="1" applyBorder="1"/>
    <xf numFmtId="0" fontId="11" fillId="8" borderId="4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/>
    </xf>
    <xf numFmtId="0" fontId="15" fillId="8" borderId="4" xfId="0" applyFont="1" applyFill="1" applyBorder="1" applyAlignment="1">
      <alignment horizontal="center"/>
    </xf>
    <xf numFmtId="0" fontId="4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0" xfId="0" applyFill="1" applyBorder="1"/>
    <xf numFmtId="0" fontId="0" fillId="10" borderId="0" xfId="0" applyFill="1" applyBorder="1"/>
    <xf numFmtId="0" fontId="0" fillId="10" borderId="22" xfId="0" applyFill="1" applyBorder="1"/>
    <xf numFmtId="0" fontId="0" fillId="10" borderId="0" xfId="0" applyFill="1"/>
    <xf numFmtId="0" fontId="0" fillId="10" borderId="23" xfId="0" applyFill="1" applyBorder="1"/>
    <xf numFmtId="0" fontId="0" fillId="10" borderId="24" xfId="0" applyFill="1" applyBorder="1"/>
    <xf numFmtId="0" fontId="0" fillId="0" borderId="0" xfId="0" applyNumberFormat="1"/>
    <xf numFmtId="3" fontId="0" fillId="10" borderId="22" xfId="0" applyNumberFormat="1" applyFill="1" applyBorder="1"/>
    <xf numFmtId="3" fontId="0" fillId="10" borderId="0" xfId="0" applyNumberFormat="1" applyFill="1"/>
    <xf numFmtId="0" fontId="0" fillId="0" borderId="0" xfId="0"/>
    <xf numFmtId="0" fontId="0" fillId="13" borderId="0" xfId="0" applyFill="1" applyAlignment="1"/>
    <xf numFmtId="0" fontId="0" fillId="13" borderId="0" xfId="0" applyFill="1"/>
    <xf numFmtId="0" fontId="17" fillId="13" borderId="0" xfId="0" applyFont="1" applyFill="1"/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2" fillId="10" borderId="3" xfId="0" applyFont="1" applyFill="1" applyBorder="1" applyAlignment="1">
      <alignment horizontal="center"/>
    </xf>
    <xf numFmtId="0" fontId="2" fillId="10" borderId="4" xfId="0" applyFont="1" applyFill="1" applyBorder="1" applyAlignment="1">
      <alignment horizontal="center"/>
    </xf>
    <xf numFmtId="3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3" fontId="13" fillId="7" borderId="3" xfId="0" applyNumberFormat="1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3" fontId="2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3" fillId="3" borderId="4" xfId="0" applyFont="1" applyFill="1" applyBorder="1" applyAlignment="1">
      <alignment horizontal="center"/>
    </xf>
    <xf numFmtId="0" fontId="13" fillId="2" borderId="3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3" fontId="13" fillId="3" borderId="3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13" fillId="9" borderId="3" xfId="0" applyFont="1" applyFill="1" applyBorder="1" applyAlignment="1">
      <alignment horizontal="center"/>
    </xf>
    <xf numFmtId="0" fontId="13" fillId="9" borderId="4" xfId="0" applyFont="1" applyFill="1" applyBorder="1" applyAlignment="1">
      <alignment horizontal="center"/>
    </xf>
    <xf numFmtId="0" fontId="13" fillId="8" borderId="3" xfId="0" applyFont="1" applyFill="1" applyBorder="1" applyAlignment="1">
      <alignment horizontal="center"/>
    </xf>
    <xf numFmtId="0" fontId="13" fillId="8" borderId="4" xfId="0" applyFont="1" applyFill="1" applyBorder="1" applyAlignment="1">
      <alignment horizontal="center"/>
    </xf>
    <xf numFmtId="0" fontId="3" fillId="14" borderId="13" xfId="0" applyFont="1" applyFill="1" applyBorder="1"/>
    <xf numFmtId="0" fontId="8" fillId="14" borderId="14" xfId="0" applyFont="1" applyFill="1" applyBorder="1" applyAlignment="1">
      <alignment horizontal="center"/>
    </xf>
    <xf numFmtId="0" fontId="9" fillId="14" borderId="14" xfId="0" applyFont="1" applyFill="1" applyBorder="1"/>
    <xf numFmtId="0" fontId="9" fillId="14" borderId="15" xfId="0" applyFont="1" applyFill="1" applyBorder="1" applyAlignment="1">
      <alignment horizontal="center"/>
    </xf>
    <xf numFmtId="0" fontId="3" fillId="15" borderId="19" xfId="0" applyFont="1" applyFill="1" applyBorder="1"/>
    <xf numFmtId="0" fontId="8" fillId="15" borderId="20" xfId="0" applyFont="1" applyFill="1" applyBorder="1" applyAlignment="1">
      <alignment horizontal="center"/>
    </xf>
    <xf numFmtId="0" fontId="9" fillId="15" borderId="20" xfId="0" applyFont="1" applyFill="1" applyBorder="1"/>
    <xf numFmtId="0" fontId="9" fillId="15" borderId="21" xfId="0" applyFont="1" applyFill="1" applyBorder="1" applyAlignment="1">
      <alignment horizontal="center"/>
    </xf>
    <xf numFmtId="0" fontId="3" fillId="16" borderId="0" xfId="0" applyFont="1" applyFill="1"/>
    <xf numFmtId="0" fontId="5" fillId="16" borderId="0" xfId="0" applyFont="1" applyFill="1" applyAlignment="1">
      <alignment horizontal="center"/>
    </xf>
    <xf numFmtId="0" fontId="2" fillId="16" borderId="0" xfId="0" applyFont="1" applyFill="1"/>
    <xf numFmtId="0" fontId="2" fillId="16" borderId="0" xfId="0" applyFont="1" applyFill="1" applyAlignment="1">
      <alignment horizontal="center"/>
    </xf>
    <xf numFmtId="0" fontId="2" fillId="10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A3C84"/>
      <color rgb="FFF42A77"/>
      <color rgb="FFFF3300"/>
      <color rgb="FF90CCF4"/>
      <color rgb="FFF1ABDA"/>
      <color rgb="FF7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0536755605180633E-2"/>
          <c:w val="0.9897342994192847"/>
          <c:h val="0.98314119103171094"/>
        </c:manualLayout>
      </c:layout>
      <c:scatterChart>
        <c:scatterStyle val="smoothMarker"/>
        <c:varyColors val="0"/>
        <c:ser>
          <c:idx val="1"/>
          <c:order val="0"/>
          <c:tx>
            <c:v>Planete1</c:v>
          </c:tx>
          <c:spPr>
            <a:ln w="127000" cap="rnd">
              <a:solidFill>
                <a:srgbClr val="F42A77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initiales'!$Y$43:$Y$403</c:f>
              <c:numCache>
                <c:formatCode>General</c:formatCode>
                <c:ptCount val="361"/>
                <c:pt idx="0">
                  <c:v>15000</c:v>
                </c:pt>
                <c:pt idx="1">
                  <c:v>14999.238475781956</c:v>
                </c:pt>
                <c:pt idx="2">
                  <c:v>14996.954135095479</c:v>
                </c:pt>
                <c:pt idx="3">
                  <c:v>14993.14767377287</c:v>
                </c:pt>
                <c:pt idx="4">
                  <c:v>14987.820251299121</c:v>
                </c:pt>
                <c:pt idx="5">
                  <c:v>14980.973490458728</c:v>
                </c:pt>
                <c:pt idx="6">
                  <c:v>14972.609476841368</c:v>
                </c:pt>
                <c:pt idx="7">
                  <c:v>14962.73075820661</c:v>
                </c:pt>
                <c:pt idx="8">
                  <c:v>14951.340343707852</c:v>
                </c:pt>
                <c:pt idx="9">
                  <c:v>14938.441702975688</c:v>
                </c:pt>
                <c:pt idx="10">
                  <c:v>14924.038765061039</c:v>
                </c:pt>
                <c:pt idx="11">
                  <c:v>14908.13591723832</c:v>
                </c:pt>
                <c:pt idx="12">
                  <c:v>14890.738003669028</c:v>
                </c:pt>
                <c:pt idx="13">
                  <c:v>14871.850323926177</c:v>
                </c:pt>
                <c:pt idx="14">
                  <c:v>14851.478631379981</c:v>
                </c:pt>
                <c:pt idx="15">
                  <c:v>14829.629131445341</c:v>
                </c:pt>
                <c:pt idx="16">
                  <c:v>14806.308479691594</c:v>
                </c:pt>
                <c:pt idx="17">
                  <c:v>14781.523779815177</c:v>
                </c:pt>
                <c:pt idx="18">
                  <c:v>14755.282581475767</c:v>
                </c:pt>
                <c:pt idx="19">
                  <c:v>14727.592877996583</c:v>
                </c:pt>
                <c:pt idx="20">
                  <c:v>14698.463103929542</c:v>
                </c:pt>
                <c:pt idx="21">
                  <c:v>14667.902132486008</c:v>
                </c:pt>
                <c:pt idx="22">
                  <c:v>14635.919272833937</c:v>
                </c:pt>
                <c:pt idx="23">
                  <c:v>14602.524267262201</c:v>
                </c:pt>
                <c:pt idx="24">
                  <c:v>14567.727288213006</c:v>
                </c:pt>
                <c:pt idx="25">
                  <c:v>14531.538935183249</c:v>
                </c:pt>
                <c:pt idx="26">
                  <c:v>14493.970231495834</c:v>
                </c:pt>
                <c:pt idx="27">
                  <c:v>14455.03262094184</c:v>
                </c:pt>
                <c:pt idx="28">
                  <c:v>14414.737964294636</c:v>
                </c:pt>
                <c:pt idx="29">
                  <c:v>14373.09853569698</c:v>
                </c:pt>
                <c:pt idx="30">
                  <c:v>14330.127018922194</c:v>
                </c:pt>
                <c:pt idx="31">
                  <c:v>14285.836503510562</c:v>
                </c:pt>
                <c:pt idx="32">
                  <c:v>14240.240480782129</c:v>
                </c:pt>
                <c:pt idx="33">
                  <c:v>14193.35283972712</c:v>
                </c:pt>
                <c:pt idx="34">
                  <c:v>14145.187862775208</c:v>
                </c:pt>
                <c:pt idx="35">
                  <c:v>14095.760221444958</c:v>
                </c:pt>
                <c:pt idx="36">
                  <c:v>14045.084971874738</c:v>
                </c:pt>
                <c:pt idx="37">
                  <c:v>13993.177550236464</c:v>
                </c:pt>
                <c:pt idx="38">
                  <c:v>13940.053768033609</c:v>
                </c:pt>
                <c:pt idx="39">
                  <c:v>13885.729807284853</c:v>
                </c:pt>
                <c:pt idx="40">
                  <c:v>13830.222215594891</c:v>
                </c:pt>
                <c:pt idx="41">
                  <c:v>13773.54790111386</c:v>
                </c:pt>
                <c:pt idx="42">
                  <c:v>13715.724127386971</c:v>
                </c:pt>
                <c:pt idx="43">
                  <c:v>13656.768508095853</c:v>
                </c:pt>
                <c:pt idx="44">
                  <c:v>13596.699001693256</c:v>
                </c:pt>
                <c:pt idx="45">
                  <c:v>13535.533905932738</c:v>
                </c:pt>
                <c:pt idx="46">
                  <c:v>13473.291852294988</c:v>
                </c:pt>
                <c:pt idx="47">
                  <c:v>13409.991800312491</c:v>
                </c:pt>
                <c:pt idx="48">
                  <c:v>13345.653031794291</c:v>
                </c:pt>
                <c:pt idx="49">
                  <c:v>13280.295144952535</c:v>
                </c:pt>
                <c:pt idx="50">
                  <c:v>13213.938048432698</c:v>
                </c:pt>
                <c:pt idx="51">
                  <c:v>13146.601955249187</c:v>
                </c:pt>
                <c:pt idx="52">
                  <c:v>13078.307376628291</c:v>
                </c:pt>
                <c:pt idx="53">
                  <c:v>13009.075115760243</c:v>
                </c:pt>
                <c:pt idx="54">
                  <c:v>12938.926261462366</c:v>
                </c:pt>
                <c:pt idx="55">
                  <c:v>12867.882181755231</c:v>
                </c:pt>
                <c:pt idx="56">
                  <c:v>12795.964517353734</c:v>
                </c:pt>
                <c:pt idx="57">
                  <c:v>12723.195175075136</c:v>
                </c:pt>
                <c:pt idx="58">
                  <c:v>12649.596321166024</c:v>
                </c:pt>
                <c:pt idx="59">
                  <c:v>12575.190374550271</c:v>
                </c:pt>
                <c:pt idx="60">
                  <c:v>12500</c:v>
                </c:pt>
                <c:pt idx="61">
                  <c:v>12424.048101231685</c:v>
                </c:pt>
                <c:pt idx="62">
                  <c:v>12347.357813929455</c:v>
                </c:pt>
                <c:pt idx="63">
                  <c:v>12269.952498697734</c:v>
                </c:pt>
                <c:pt idx="64">
                  <c:v>12191.855733945387</c:v>
                </c:pt>
                <c:pt idx="65">
                  <c:v>12113.091308703497</c:v>
                </c:pt>
                <c:pt idx="66">
                  <c:v>12033.683215379002</c:v>
                </c:pt>
                <c:pt idx="67">
                  <c:v>11953.655642446371</c:v>
                </c:pt>
                <c:pt idx="68">
                  <c:v>11873.03296707956</c:v>
                </c:pt>
                <c:pt idx="69">
                  <c:v>11791.839747726503</c:v>
                </c:pt>
                <c:pt idx="70">
                  <c:v>11710.100716628343</c:v>
                </c:pt>
                <c:pt idx="71">
                  <c:v>11627.840772285785</c:v>
                </c:pt>
                <c:pt idx="72">
                  <c:v>11545.084971874738</c:v>
                </c:pt>
                <c:pt idx="73">
                  <c:v>11461.858523613684</c:v>
                </c:pt>
                <c:pt idx="74">
                  <c:v>11378.186779084996</c:v>
                </c:pt>
                <c:pt idx="75">
                  <c:v>11294.095225512603</c:v>
                </c:pt>
                <c:pt idx="76">
                  <c:v>11209.60947799834</c:v>
                </c:pt>
                <c:pt idx="77">
                  <c:v>11124.755271719325</c:v>
                </c:pt>
                <c:pt idx="78">
                  <c:v>11039.558454088798</c:v>
                </c:pt>
                <c:pt idx="79">
                  <c:v>10954.044976882724</c:v>
                </c:pt>
                <c:pt idx="80">
                  <c:v>10868.240888334652</c:v>
                </c:pt>
                <c:pt idx="81">
                  <c:v>10782.172325201154</c:v>
                </c:pt>
                <c:pt idx="82">
                  <c:v>10695.865504800329</c:v>
                </c:pt>
                <c:pt idx="83">
                  <c:v>10609.346717025737</c:v>
                </c:pt>
                <c:pt idx="84">
                  <c:v>10522.642316338268</c:v>
                </c:pt>
                <c:pt idx="85">
                  <c:v>10435.778713738291</c:v>
                </c:pt>
                <c:pt idx="86">
                  <c:v>10348.782368720627</c:v>
                </c:pt>
                <c:pt idx="87">
                  <c:v>10261.67978121472</c:v>
                </c:pt>
                <c:pt idx="88">
                  <c:v>10174.497483512505</c:v>
                </c:pt>
                <c:pt idx="89">
                  <c:v>10087.262032186416</c:v>
                </c:pt>
                <c:pt idx="90">
                  <c:v>10000</c:v>
                </c:pt>
                <c:pt idx="91">
                  <c:v>9912.7379678135821</c:v>
                </c:pt>
                <c:pt idx="92">
                  <c:v>9825.5025164874969</c:v>
                </c:pt>
                <c:pt idx="93">
                  <c:v>9738.3202187852821</c:v>
                </c:pt>
                <c:pt idx="94">
                  <c:v>9651.2176312793727</c:v>
                </c:pt>
                <c:pt idx="95">
                  <c:v>9564.2212862617089</c:v>
                </c:pt>
                <c:pt idx="96">
                  <c:v>9477.357683661734</c:v>
                </c:pt>
                <c:pt idx="97">
                  <c:v>9390.6532829742628</c:v>
                </c:pt>
                <c:pt idx="98">
                  <c:v>9304.1344951996725</c:v>
                </c:pt>
                <c:pt idx="99">
                  <c:v>9217.8276747988457</c:v>
                </c:pt>
                <c:pt idx="100">
                  <c:v>9131.7591116653493</c:v>
                </c:pt>
                <c:pt idx="101">
                  <c:v>9045.9550231172761</c:v>
                </c:pt>
                <c:pt idx="102">
                  <c:v>8960.4415459112042</c:v>
                </c:pt>
                <c:pt idx="103">
                  <c:v>8875.2447282806752</c:v>
                </c:pt>
                <c:pt idx="104">
                  <c:v>8790.3905220016604</c:v>
                </c:pt>
                <c:pt idx="105">
                  <c:v>8705.9047744873951</c:v>
                </c:pt>
                <c:pt idx="106">
                  <c:v>8621.8132209150044</c:v>
                </c:pt>
                <c:pt idx="107">
                  <c:v>8538.1414763863177</c:v>
                </c:pt>
                <c:pt idx="108">
                  <c:v>8454.9150281252623</c:v>
                </c:pt>
                <c:pt idx="109">
                  <c:v>8372.1592277142172</c:v>
                </c:pt>
                <c:pt idx="110">
                  <c:v>8289.8992833716566</c:v>
                </c:pt>
                <c:pt idx="111">
                  <c:v>8208.1602522734993</c:v>
                </c:pt>
                <c:pt idx="112">
                  <c:v>8126.96703292044</c:v>
                </c:pt>
                <c:pt idx="113">
                  <c:v>8046.3443575536321</c:v>
                </c:pt>
                <c:pt idx="114">
                  <c:v>7966.3167846209999</c:v>
                </c:pt>
                <c:pt idx="115">
                  <c:v>7886.9086912965031</c:v>
                </c:pt>
                <c:pt idx="116">
                  <c:v>7808.1442660546127</c:v>
                </c:pt>
                <c:pt idx="117">
                  <c:v>7730.047501302266</c:v>
                </c:pt>
                <c:pt idx="118">
                  <c:v>7652.6421860705468</c:v>
                </c:pt>
                <c:pt idx="119">
                  <c:v>7575.951898768315</c:v>
                </c:pt>
                <c:pt idx="120">
                  <c:v>7500.0000000000009</c:v>
                </c:pt>
                <c:pt idx="121">
                  <c:v>7424.8096254497286</c:v>
                </c:pt>
                <c:pt idx="122">
                  <c:v>7350.4036788339763</c:v>
                </c:pt>
                <c:pt idx="123">
                  <c:v>7276.8048249248641</c:v>
                </c:pt>
                <c:pt idx="124">
                  <c:v>7204.0354826462662</c:v>
                </c:pt>
                <c:pt idx="125">
                  <c:v>7132.1178182447711</c:v>
                </c:pt>
                <c:pt idx="126">
                  <c:v>7061.0737385376342</c:v>
                </c:pt>
                <c:pt idx="127">
                  <c:v>6990.9248842397583</c:v>
                </c:pt>
                <c:pt idx="128">
                  <c:v>6921.6926233717086</c:v>
                </c:pt>
                <c:pt idx="129">
                  <c:v>6853.3980447508138</c:v>
                </c:pt>
                <c:pt idx="130">
                  <c:v>6786.0619515673034</c:v>
                </c:pt>
                <c:pt idx="131">
                  <c:v>6719.7048550474628</c:v>
                </c:pt>
                <c:pt idx="132">
                  <c:v>6654.3469682057093</c:v>
                </c:pt>
                <c:pt idx="133">
                  <c:v>6590.0081996875087</c:v>
                </c:pt>
                <c:pt idx="134">
                  <c:v>6526.7081477050142</c:v>
                </c:pt>
                <c:pt idx="135">
                  <c:v>6464.466094067262</c:v>
                </c:pt>
                <c:pt idx="136">
                  <c:v>6403.3009983067441</c:v>
                </c:pt>
                <c:pt idx="137">
                  <c:v>6343.2314919041473</c:v>
                </c:pt>
                <c:pt idx="138">
                  <c:v>6284.2758726130305</c:v>
                </c:pt>
                <c:pt idx="139">
                  <c:v>6226.4520988861404</c:v>
                </c:pt>
                <c:pt idx="140">
                  <c:v>6169.7777844051107</c:v>
                </c:pt>
                <c:pt idx="141">
                  <c:v>6114.2701927151465</c:v>
                </c:pt>
                <c:pt idx="142">
                  <c:v>6059.9462319663908</c:v>
                </c:pt>
                <c:pt idx="143">
                  <c:v>6006.8224497635347</c:v>
                </c:pt>
                <c:pt idx="144">
                  <c:v>5954.9150281252632</c:v>
                </c:pt>
                <c:pt idx="145">
                  <c:v>5904.239778555042</c:v>
                </c:pt>
                <c:pt idx="146">
                  <c:v>5854.8121372247915</c:v>
                </c:pt>
                <c:pt idx="147">
                  <c:v>5806.6471602728789</c:v>
                </c:pt>
                <c:pt idx="148">
                  <c:v>5759.7595192178705</c:v>
                </c:pt>
                <c:pt idx="149">
                  <c:v>5714.1634964894392</c:v>
                </c:pt>
                <c:pt idx="150">
                  <c:v>5669.8729810778068</c:v>
                </c:pt>
                <c:pt idx="151">
                  <c:v>5626.9014643030214</c:v>
                </c:pt>
                <c:pt idx="152">
                  <c:v>5585.2620357053665</c:v>
                </c:pt>
                <c:pt idx="153">
                  <c:v>5544.967379058161</c:v>
                </c:pt>
                <c:pt idx="154">
                  <c:v>5506.0297685041651</c:v>
                </c:pt>
                <c:pt idx="155">
                  <c:v>5468.46106481675</c:v>
                </c:pt>
                <c:pt idx="156">
                  <c:v>5432.2727117869963</c:v>
                </c:pt>
                <c:pt idx="157">
                  <c:v>5397.4757327377993</c:v>
                </c:pt>
                <c:pt idx="158">
                  <c:v>5364.0807271660633</c:v>
                </c:pt>
                <c:pt idx="159">
                  <c:v>5332.0978675139913</c:v>
                </c:pt>
                <c:pt idx="160">
                  <c:v>5301.5368960704582</c:v>
                </c:pt>
                <c:pt idx="161">
                  <c:v>5272.4071220034166</c:v>
                </c:pt>
                <c:pt idx="162">
                  <c:v>5244.717418524232</c:v>
                </c:pt>
                <c:pt idx="163">
                  <c:v>5218.4762201848225</c:v>
                </c:pt>
                <c:pt idx="164">
                  <c:v>5193.6915203084063</c:v>
                </c:pt>
                <c:pt idx="165">
                  <c:v>5170.370868554659</c:v>
                </c:pt>
                <c:pt idx="166">
                  <c:v>5148.5213686200177</c:v>
                </c:pt>
                <c:pt idx="167">
                  <c:v>5128.1496760738237</c:v>
                </c:pt>
                <c:pt idx="168">
                  <c:v>5109.2619963309717</c:v>
                </c:pt>
                <c:pt idx="169">
                  <c:v>5091.86408276168</c:v>
                </c:pt>
                <c:pt idx="170">
                  <c:v>5075.9612349389599</c:v>
                </c:pt>
                <c:pt idx="171">
                  <c:v>5061.5582970243113</c:v>
                </c:pt>
                <c:pt idx="172">
                  <c:v>5048.6596562921486</c:v>
                </c:pt>
                <c:pt idx="173">
                  <c:v>5037.2692417933904</c:v>
                </c:pt>
                <c:pt idx="174">
                  <c:v>5027.3905231586332</c:v>
                </c:pt>
                <c:pt idx="175">
                  <c:v>5019.0265095412724</c:v>
                </c:pt>
                <c:pt idx="176">
                  <c:v>5012.1797487008789</c:v>
                </c:pt>
                <c:pt idx="177">
                  <c:v>5006.852326227131</c:v>
                </c:pt>
                <c:pt idx="178">
                  <c:v>5003.0458649045213</c:v>
                </c:pt>
                <c:pt idx="179">
                  <c:v>5000.7615242180436</c:v>
                </c:pt>
                <c:pt idx="180">
                  <c:v>5000</c:v>
                </c:pt>
                <c:pt idx="181">
                  <c:v>5000.7615242180436</c:v>
                </c:pt>
                <c:pt idx="182">
                  <c:v>5003.0458649045213</c:v>
                </c:pt>
                <c:pt idx="183">
                  <c:v>5006.852326227131</c:v>
                </c:pt>
                <c:pt idx="184">
                  <c:v>5012.179748700878</c:v>
                </c:pt>
                <c:pt idx="185">
                  <c:v>5019.0265095412724</c:v>
                </c:pt>
                <c:pt idx="186">
                  <c:v>5027.3905231586332</c:v>
                </c:pt>
                <c:pt idx="187">
                  <c:v>5037.2692417933904</c:v>
                </c:pt>
                <c:pt idx="188">
                  <c:v>5048.6596562921486</c:v>
                </c:pt>
                <c:pt idx="189">
                  <c:v>5061.5582970243113</c:v>
                </c:pt>
                <c:pt idx="190">
                  <c:v>5075.9612349389599</c:v>
                </c:pt>
                <c:pt idx="191">
                  <c:v>5091.86408276168</c:v>
                </c:pt>
                <c:pt idx="192">
                  <c:v>5109.2619963309717</c:v>
                </c:pt>
                <c:pt idx="193">
                  <c:v>5128.1496760738237</c:v>
                </c:pt>
                <c:pt idx="194">
                  <c:v>5148.5213686200177</c:v>
                </c:pt>
                <c:pt idx="195">
                  <c:v>5170.370868554658</c:v>
                </c:pt>
                <c:pt idx="196">
                  <c:v>5193.6915203084054</c:v>
                </c:pt>
                <c:pt idx="197">
                  <c:v>5218.4762201848225</c:v>
                </c:pt>
                <c:pt idx="198">
                  <c:v>5244.717418524232</c:v>
                </c:pt>
                <c:pt idx="199">
                  <c:v>5272.4071220034166</c:v>
                </c:pt>
                <c:pt idx="200">
                  <c:v>5301.5368960704582</c:v>
                </c:pt>
                <c:pt idx="201">
                  <c:v>5332.0978675139913</c:v>
                </c:pt>
                <c:pt idx="202">
                  <c:v>5364.0807271660633</c:v>
                </c:pt>
                <c:pt idx="203">
                  <c:v>5397.4757327377984</c:v>
                </c:pt>
                <c:pt idx="204">
                  <c:v>5432.2727117869945</c:v>
                </c:pt>
                <c:pt idx="205">
                  <c:v>5468.46106481675</c:v>
                </c:pt>
                <c:pt idx="206">
                  <c:v>5506.0297685041642</c:v>
                </c:pt>
                <c:pt idx="207">
                  <c:v>5544.9673790581592</c:v>
                </c:pt>
                <c:pt idx="208">
                  <c:v>5585.2620357053656</c:v>
                </c:pt>
                <c:pt idx="209">
                  <c:v>5626.9014643030205</c:v>
                </c:pt>
                <c:pt idx="210">
                  <c:v>5669.8729810778068</c:v>
                </c:pt>
                <c:pt idx="211">
                  <c:v>5714.1634964894383</c:v>
                </c:pt>
                <c:pt idx="212">
                  <c:v>5759.7595192178696</c:v>
                </c:pt>
                <c:pt idx="213">
                  <c:v>5806.6471602728798</c:v>
                </c:pt>
                <c:pt idx="214">
                  <c:v>5854.8121372247906</c:v>
                </c:pt>
                <c:pt idx="215">
                  <c:v>5904.2397785550402</c:v>
                </c:pt>
                <c:pt idx="216">
                  <c:v>5954.9150281252623</c:v>
                </c:pt>
                <c:pt idx="217">
                  <c:v>6006.8224497635347</c:v>
                </c:pt>
                <c:pt idx="218">
                  <c:v>6059.946231966389</c:v>
                </c:pt>
                <c:pt idx="219">
                  <c:v>6114.2701927151465</c:v>
                </c:pt>
                <c:pt idx="220">
                  <c:v>6169.7777844051097</c:v>
                </c:pt>
                <c:pt idx="221">
                  <c:v>6226.4520988861404</c:v>
                </c:pt>
                <c:pt idx="222">
                  <c:v>6284.2758726130287</c:v>
                </c:pt>
                <c:pt idx="223">
                  <c:v>6343.2314919041473</c:v>
                </c:pt>
                <c:pt idx="224">
                  <c:v>6403.3009983067441</c:v>
                </c:pt>
                <c:pt idx="225">
                  <c:v>6464.466094067262</c:v>
                </c:pt>
                <c:pt idx="226">
                  <c:v>6526.7081477050124</c:v>
                </c:pt>
                <c:pt idx="227">
                  <c:v>6590.0081996875051</c:v>
                </c:pt>
                <c:pt idx="228">
                  <c:v>6654.3469682057075</c:v>
                </c:pt>
                <c:pt idx="229">
                  <c:v>6719.7048550474619</c:v>
                </c:pt>
                <c:pt idx="230">
                  <c:v>6786.0619515673025</c:v>
                </c:pt>
                <c:pt idx="231">
                  <c:v>6853.3980447508147</c:v>
                </c:pt>
                <c:pt idx="232">
                  <c:v>6921.6926233717095</c:v>
                </c:pt>
                <c:pt idx="233">
                  <c:v>6990.9248842397592</c:v>
                </c:pt>
                <c:pt idx="234">
                  <c:v>7061.0737385376342</c:v>
                </c:pt>
                <c:pt idx="235">
                  <c:v>7132.1178182447675</c:v>
                </c:pt>
                <c:pt idx="236">
                  <c:v>7204.0354826462644</c:v>
                </c:pt>
                <c:pt idx="237">
                  <c:v>7276.804824924865</c:v>
                </c:pt>
                <c:pt idx="238">
                  <c:v>7350.4036788339745</c:v>
                </c:pt>
                <c:pt idx="239">
                  <c:v>7424.8096254497277</c:v>
                </c:pt>
                <c:pt idx="240">
                  <c:v>7499.9999999999982</c:v>
                </c:pt>
                <c:pt idx="241">
                  <c:v>7575.9518987683159</c:v>
                </c:pt>
                <c:pt idx="242">
                  <c:v>7652.6421860705468</c:v>
                </c:pt>
                <c:pt idx="243">
                  <c:v>7730.047501302266</c:v>
                </c:pt>
                <c:pt idx="244">
                  <c:v>7808.1442660546109</c:v>
                </c:pt>
                <c:pt idx="245">
                  <c:v>7886.9086912965004</c:v>
                </c:pt>
                <c:pt idx="246">
                  <c:v>7966.3167846209999</c:v>
                </c:pt>
                <c:pt idx="247">
                  <c:v>8046.3443575536312</c:v>
                </c:pt>
                <c:pt idx="248">
                  <c:v>8126.9670329204382</c:v>
                </c:pt>
                <c:pt idx="249">
                  <c:v>8208.1602522734956</c:v>
                </c:pt>
                <c:pt idx="250">
                  <c:v>8289.8992833716529</c:v>
                </c:pt>
                <c:pt idx="251">
                  <c:v>8372.1592277142172</c:v>
                </c:pt>
                <c:pt idx="252">
                  <c:v>8454.9150281252623</c:v>
                </c:pt>
                <c:pt idx="253">
                  <c:v>8538.141476386314</c:v>
                </c:pt>
                <c:pt idx="254">
                  <c:v>8621.8132209150062</c:v>
                </c:pt>
                <c:pt idx="255">
                  <c:v>8705.9047744873969</c:v>
                </c:pt>
                <c:pt idx="256">
                  <c:v>8790.3905220016604</c:v>
                </c:pt>
                <c:pt idx="257">
                  <c:v>8875.2447282806734</c:v>
                </c:pt>
                <c:pt idx="258">
                  <c:v>8960.4415459112006</c:v>
                </c:pt>
                <c:pt idx="259">
                  <c:v>9045.9550231172725</c:v>
                </c:pt>
                <c:pt idx="260">
                  <c:v>9131.7591116653475</c:v>
                </c:pt>
                <c:pt idx="261">
                  <c:v>9217.8276747988457</c:v>
                </c:pt>
                <c:pt idx="262">
                  <c:v>9304.1344951996762</c:v>
                </c:pt>
                <c:pt idx="263">
                  <c:v>9390.6532829742646</c:v>
                </c:pt>
                <c:pt idx="264">
                  <c:v>9477.357683661734</c:v>
                </c:pt>
                <c:pt idx="265">
                  <c:v>9564.2212862617089</c:v>
                </c:pt>
                <c:pt idx="266">
                  <c:v>9651.2176312793727</c:v>
                </c:pt>
                <c:pt idx="267">
                  <c:v>9738.3202187852785</c:v>
                </c:pt>
                <c:pt idx="268">
                  <c:v>9825.5025164874914</c:v>
                </c:pt>
                <c:pt idx="269">
                  <c:v>9912.7379678135821</c:v>
                </c:pt>
                <c:pt idx="270">
                  <c:v>9999.9999999999982</c:v>
                </c:pt>
                <c:pt idx="271">
                  <c:v>10087.262032186416</c:v>
                </c:pt>
                <c:pt idx="272">
                  <c:v>10174.497483512507</c:v>
                </c:pt>
                <c:pt idx="273">
                  <c:v>10261.67978121472</c:v>
                </c:pt>
                <c:pt idx="274">
                  <c:v>10348.782368720626</c:v>
                </c:pt>
                <c:pt idx="275">
                  <c:v>10435.778713738289</c:v>
                </c:pt>
                <c:pt idx="276">
                  <c:v>10522.642316338264</c:v>
                </c:pt>
                <c:pt idx="277">
                  <c:v>10609.346717025739</c:v>
                </c:pt>
                <c:pt idx="278">
                  <c:v>10695.865504800327</c:v>
                </c:pt>
                <c:pt idx="279">
                  <c:v>10782.172325201154</c:v>
                </c:pt>
                <c:pt idx="280">
                  <c:v>10868.240888334651</c:v>
                </c:pt>
                <c:pt idx="281">
                  <c:v>10954.044976882722</c:v>
                </c:pt>
                <c:pt idx="282">
                  <c:v>11039.558454088792</c:v>
                </c:pt>
                <c:pt idx="283">
                  <c:v>11124.755271719325</c:v>
                </c:pt>
                <c:pt idx="284">
                  <c:v>11209.609477998338</c:v>
                </c:pt>
                <c:pt idx="285">
                  <c:v>11294.095225512605</c:v>
                </c:pt>
                <c:pt idx="286">
                  <c:v>11378.186779084997</c:v>
                </c:pt>
                <c:pt idx="287">
                  <c:v>11461.858523613684</c:v>
                </c:pt>
                <c:pt idx="288">
                  <c:v>11545.084971874736</c:v>
                </c:pt>
                <c:pt idx="289">
                  <c:v>11627.840772285781</c:v>
                </c:pt>
                <c:pt idx="290">
                  <c:v>11710.100716628342</c:v>
                </c:pt>
                <c:pt idx="291">
                  <c:v>11791.839747726497</c:v>
                </c:pt>
                <c:pt idx="292">
                  <c:v>11873.03296707956</c:v>
                </c:pt>
                <c:pt idx="293">
                  <c:v>11953.655642446367</c:v>
                </c:pt>
                <c:pt idx="294">
                  <c:v>12033.683215379002</c:v>
                </c:pt>
                <c:pt idx="295">
                  <c:v>12113.091308703497</c:v>
                </c:pt>
                <c:pt idx="296">
                  <c:v>12191.855733945387</c:v>
                </c:pt>
                <c:pt idx="297">
                  <c:v>12269.952498697734</c:v>
                </c:pt>
                <c:pt idx="298">
                  <c:v>12347.357813929451</c:v>
                </c:pt>
                <c:pt idx="299">
                  <c:v>12424.048101231683</c:v>
                </c:pt>
                <c:pt idx="300">
                  <c:v>12500</c:v>
                </c:pt>
                <c:pt idx="301">
                  <c:v>12575.190374550271</c:v>
                </c:pt>
                <c:pt idx="302">
                  <c:v>12649.596321166024</c:v>
                </c:pt>
                <c:pt idx="303">
                  <c:v>12723.195175075132</c:v>
                </c:pt>
                <c:pt idx="304">
                  <c:v>12795.964517353732</c:v>
                </c:pt>
                <c:pt idx="305">
                  <c:v>12867.882181755231</c:v>
                </c:pt>
                <c:pt idx="306">
                  <c:v>12938.926261462364</c:v>
                </c:pt>
                <c:pt idx="307">
                  <c:v>13009.075115760239</c:v>
                </c:pt>
                <c:pt idx="308">
                  <c:v>13078.307376628292</c:v>
                </c:pt>
                <c:pt idx="309">
                  <c:v>13146.601955249187</c:v>
                </c:pt>
                <c:pt idx="310">
                  <c:v>13213.938048432696</c:v>
                </c:pt>
                <c:pt idx="311">
                  <c:v>13280.295144952535</c:v>
                </c:pt>
                <c:pt idx="312">
                  <c:v>13345.653031794289</c:v>
                </c:pt>
                <c:pt idx="313">
                  <c:v>13409.991800312491</c:v>
                </c:pt>
                <c:pt idx="314">
                  <c:v>13473.291852294984</c:v>
                </c:pt>
                <c:pt idx="315">
                  <c:v>13535.533905932736</c:v>
                </c:pt>
                <c:pt idx="316">
                  <c:v>13596.699001693254</c:v>
                </c:pt>
                <c:pt idx="317">
                  <c:v>13656.768508095854</c:v>
                </c:pt>
                <c:pt idx="318">
                  <c:v>13715.724127386971</c:v>
                </c:pt>
                <c:pt idx="319">
                  <c:v>13773.54790111386</c:v>
                </c:pt>
                <c:pt idx="320">
                  <c:v>13830.222215594889</c:v>
                </c:pt>
                <c:pt idx="321">
                  <c:v>13885.729807284853</c:v>
                </c:pt>
                <c:pt idx="322">
                  <c:v>13940.053768033607</c:v>
                </c:pt>
                <c:pt idx="323">
                  <c:v>13993.177550236464</c:v>
                </c:pt>
                <c:pt idx="324">
                  <c:v>14045.084971874738</c:v>
                </c:pt>
                <c:pt idx="325">
                  <c:v>14095.760221444958</c:v>
                </c:pt>
                <c:pt idx="326">
                  <c:v>14145.187862775207</c:v>
                </c:pt>
                <c:pt idx="327">
                  <c:v>14193.35283972712</c:v>
                </c:pt>
                <c:pt idx="328">
                  <c:v>14240.240480782126</c:v>
                </c:pt>
                <c:pt idx="329">
                  <c:v>14285.83650351056</c:v>
                </c:pt>
                <c:pt idx="330">
                  <c:v>14330.127018922192</c:v>
                </c:pt>
                <c:pt idx="331">
                  <c:v>14373.09853569698</c:v>
                </c:pt>
                <c:pt idx="332">
                  <c:v>14414.737964294634</c:v>
                </c:pt>
                <c:pt idx="333">
                  <c:v>14455.032620941838</c:v>
                </c:pt>
                <c:pt idx="334">
                  <c:v>14493.970231495836</c:v>
                </c:pt>
                <c:pt idx="335">
                  <c:v>14531.538935183249</c:v>
                </c:pt>
                <c:pt idx="336">
                  <c:v>14567.727288213006</c:v>
                </c:pt>
                <c:pt idx="337">
                  <c:v>14602.524267262201</c:v>
                </c:pt>
                <c:pt idx="338">
                  <c:v>14635.919272833937</c:v>
                </c:pt>
                <c:pt idx="339">
                  <c:v>14667.902132486008</c:v>
                </c:pt>
                <c:pt idx="340">
                  <c:v>14698.463103929542</c:v>
                </c:pt>
                <c:pt idx="341">
                  <c:v>14727.592877996583</c:v>
                </c:pt>
                <c:pt idx="342">
                  <c:v>14755.282581475767</c:v>
                </c:pt>
                <c:pt idx="343">
                  <c:v>14781.523779815179</c:v>
                </c:pt>
                <c:pt idx="344">
                  <c:v>14806.308479691594</c:v>
                </c:pt>
                <c:pt idx="345">
                  <c:v>14829.629131445341</c:v>
                </c:pt>
                <c:pt idx="346">
                  <c:v>14851.478631379981</c:v>
                </c:pt>
                <c:pt idx="347">
                  <c:v>14871.850323926175</c:v>
                </c:pt>
                <c:pt idx="348">
                  <c:v>14890.738003669028</c:v>
                </c:pt>
                <c:pt idx="349">
                  <c:v>14908.13591723832</c:v>
                </c:pt>
                <c:pt idx="350">
                  <c:v>14924.038765061039</c:v>
                </c:pt>
                <c:pt idx="351">
                  <c:v>14938.441702975688</c:v>
                </c:pt>
                <c:pt idx="352">
                  <c:v>14951.340343707852</c:v>
                </c:pt>
                <c:pt idx="353">
                  <c:v>14962.73075820661</c:v>
                </c:pt>
                <c:pt idx="354">
                  <c:v>14972.609476841368</c:v>
                </c:pt>
                <c:pt idx="355">
                  <c:v>14980.973490458728</c:v>
                </c:pt>
                <c:pt idx="356">
                  <c:v>14987.820251299123</c:v>
                </c:pt>
                <c:pt idx="357">
                  <c:v>14993.14767377287</c:v>
                </c:pt>
                <c:pt idx="358">
                  <c:v>14996.954135095479</c:v>
                </c:pt>
                <c:pt idx="359">
                  <c:v>14999.238475781956</c:v>
                </c:pt>
                <c:pt idx="360">
                  <c:v>15000</c:v>
                </c:pt>
              </c:numCache>
            </c:numRef>
          </c:xVal>
          <c:yVal>
            <c:numRef>
              <c:f>'Conditions initiales'!$Z$43:$Z$403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4B-4509-947B-FDCD5231E0E5}"/>
            </c:ext>
          </c:extLst>
        </c:ser>
        <c:ser>
          <c:idx val="0"/>
          <c:order val="1"/>
          <c:spPr>
            <a:ln w="19050" cap="rnd" cmpd="dbl">
              <a:solidFill>
                <a:schemeClr val="tx2">
                  <a:lumMod val="20000"/>
                  <a:lumOff val="80000"/>
                </a:schemeClr>
              </a:solidFill>
              <a:prstDash val="dashDot"/>
              <a:round/>
              <a:tailEnd type="triangle"/>
            </a:ln>
            <a:effectLst/>
          </c:spPr>
          <c:marker>
            <c:symbol val="none"/>
          </c:marker>
          <c:xVal>
            <c:numRef>
              <c:f>'Conditions initiales'!$B$43:$B$1144</c:f>
              <c:numCache>
                <c:formatCode>General</c:formatCode>
                <c:ptCount val="1102"/>
                <c:pt idx="0">
                  <c:v>0</c:v>
                </c:pt>
                <c:pt idx="1">
                  <c:v>0</c:v>
                </c:pt>
                <c:pt idx="2">
                  <c:v>149.34845230415593</c:v>
                </c:pt>
                <c:pt idx="3">
                  <c:v>439.77254839915759</c:v>
                </c:pt>
                <c:pt idx="4">
                  <c:v>861.44805417203384</c:v>
                </c:pt>
                <c:pt idx="5">
                  <c:v>1402.8157588895531</c:v>
                </c:pt>
                <c:pt idx="6">
                  <c:v>2050.4453288274426</c:v>
                </c:pt>
                <c:pt idx="7">
                  <c:v>2788.9953190734213</c:v>
                </c:pt>
                <c:pt idx="8">
                  <c:v>3601.3168343608268</c:v>
                </c:pt>
                <c:pt idx="9">
                  <c:v>4468.7030813379124</c:v>
                </c:pt>
                <c:pt idx="10">
                  <c:v>5371.2029090760279</c:v>
                </c:pt>
                <c:pt idx="11">
                  <c:v>6287.8170257236516</c:v>
                </c:pt>
                <c:pt idx="12">
                  <c:v>7196.319781095247</c:v>
                </c:pt>
                <c:pt idx="13">
                  <c:v>8072.4417775420907</c:v>
                </c:pt>
                <c:pt idx="14">
                  <c:v>8888.272652041358</c:v>
                </c:pt>
                <c:pt idx="15">
                  <c:v>9610.1558976723845</c:v>
                </c:pt>
                <c:pt idx="16">
                  <c:v>10197.391311092249</c:v>
                </c:pt>
                <c:pt idx="17">
                  <c:v>10604.935505973915</c:v>
                </c:pt>
                <c:pt idx="18">
                  <c:v>10794.13814257372</c:v>
                </c:pt>
                <c:pt idx="19">
                  <c:v>10749.631522975325</c:v>
                </c:pt>
                <c:pt idx="20">
                  <c:v>10489.047601501774</c:v>
                </c:pt>
                <c:pt idx="21">
                  <c:v>10056.390076277728</c:v>
                </c:pt>
                <c:pt idx="22">
                  <c:v>9509.1930756016536</c:v>
                </c:pt>
                <c:pt idx="23">
                  <c:v>8911.2209475297041</c:v>
                </c:pt>
                <c:pt idx="24">
                  <c:v>8330.4442894193526</c:v>
                </c:pt>
                <c:pt idx="25">
                  <c:v>7835.9723592155297</c:v>
                </c:pt>
                <c:pt idx="26">
                  <c:v>7487.7679266334071</c:v>
                </c:pt>
                <c:pt idx="27">
                  <c:v>7319.1770605267293</c:v>
                </c:pt>
                <c:pt idx="28">
                  <c:v>7324.6426320515211</c:v>
                </c:pt>
                <c:pt idx="29">
                  <c:v>7465.9497677224008</c:v>
                </c:pt>
                <c:pt idx="30">
                  <c:v>7691.1272942810092</c:v>
                </c:pt>
                <c:pt idx="31">
                  <c:v>7950.6370754487216</c:v>
                </c:pt>
                <c:pt idx="32">
                  <c:v>8205.2921071991132</c:v>
                </c:pt>
                <c:pt idx="33">
                  <c:v>8428.4138888596535</c:v>
                </c:pt>
                <c:pt idx="34">
                  <c:v>8605.4119625780604</c:v>
                </c:pt>
                <c:pt idx="35">
                  <c:v>8732.4998778463614</c:v>
                </c:pt>
                <c:pt idx="36">
                  <c:v>8815.0919470502977</c:v>
                </c:pt>
                <c:pt idx="37">
                  <c:v>8865.635982944832</c:v>
                </c:pt>
                <c:pt idx="38">
                  <c:v>8900.1529495640571</c:v>
                </c:pt>
                <c:pt idx="39">
                  <c:v>8933.1693220603047</c:v>
                </c:pt>
                <c:pt idx="40">
                  <c:v>8972.7661097132241</c:v>
                </c:pt>
                <c:pt idx="41">
                  <c:v>9019.1100667886476</c:v>
                </c:pt>
                <c:pt idx="42">
                  <c:v>9067.229819179518</c:v>
                </c:pt>
                <c:pt idx="43">
                  <c:v>9110.9092827595978</c:v>
                </c:pt>
                <c:pt idx="44">
                  <c:v>9145.0293640498221</c:v>
                </c:pt>
                <c:pt idx="45">
                  <c:v>9166.074544172614</c:v>
                </c:pt>
                <c:pt idx="46">
                  <c:v>9171.3349500764689</c:v>
                </c:pt>
                <c:pt idx="47">
                  <c:v>9157.2834664358707</c:v>
                </c:pt>
                <c:pt idx="48">
                  <c:v>9118.127397959126</c:v>
                </c:pt>
                <c:pt idx="49">
                  <c:v>9046.2179420410866</c:v>
                </c:pt>
                <c:pt idx="50">
                  <c:v>8934.8982360066821</c:v>
                </c:pt>
                <c:pt idx="51">
                  <c:v>8782.1827396966892</c:v>
                </c:pt>
                <c:pt idx="52">
                  <c:v>8593.4870605356355</c:v>
                </c:pt>
                <c:pt idx="53">
                  <c:v>8382.9388865763449</c:v>
                </c:pt>
                <c:pt idx="54">
                  <c:v>8173.3692181467741</c:v>
                </c:pt>
                <c:pt idx="55">
                  <c:v>7994.7525412074347</c:v>
                </c:pt>
                <c:pt idx="56">
                  <c:v>7880.419854716476</c:v>
                </c:pt>
                <c:pt idx="57">
                  <c:v>7860.5605186669063</c:v>
                </c:pt>
                <c:pt idx="58">
                  <c:v>7954.0130146096599</c:v>
                </c:pt>
                <c:pt idx="59">
                  <c:v>8161.6306547757995</c:v>
                </c:pt>
                <c:pt idx="60">
                  <c:v>8464.9017277679523</c:v>
                </c:pt>
                <c:pt idx="61">
                  <c:v>8830.173247867715</c:v>
                </c:pt>
                <c:pt idx="62">
                  <c:v>9215.1535511607017</c:v>
                </c:pt>
                <c:pt idx="63">
                  <c:v>9574.5518403829828</c:v>
                </c:pt>
                <c:pt idx="64">
                  <c:v>9864.451904866828</c:v>
                </c:pt>
                <c:pt idx="65">
                  <c:v>10046.805064005126</c:v>
                </c:pt>
                <c:pt idx="66">
                  <c:v>10094.901618813999</c:v>
                </c:pt>
                <c:pt idx="67">
                  <c:v>9998.4320891610423</c:v>
                </c:pt>
                <c:pt idx="68">
                  <c:v>9765.2589207148303</c:v>
                </c:pt>
                <c:pt idx="69">
                  <c:v>9418.9422775516869</c:v>
                </c:pt>
                <c:pt idx="70">
                  <c:v>8994.3331495156544</c:v>
                </c:pt>
                <c:pt idx="71">
                  <c:v>8533.7969494275858</c:v>
                </c:pt>
                <c:pt idx="72">
                  <c:v>8084.4366089733412</c:v>
                </c:pt>
                <c:pt idx="73">
                  <c:v>7695.1522409897798</c:v>
                </c:pt>
                <c:pt idx="74">
                  <c:v>7412.379692199921</c:v>
                </c:pt>
                <c:pt idx="75">
                  <c:v>7274.324945524917</c:v>
                </c:pt>
                <c:pt idx="76">
                  <c:v>7304.8003326487424</c:v>
                </c:pt>
                <c:pt idx="77">
                  <c:v>7508.5490251480578</c:v>
                </c:pt>
                <c:pt idx="78">
                  <c:v>7869.5036096107506</c:v>
                </c:pt>
                <c:pt idx="79">
                  <c:v>8352.0752385049927</c:v>
                </c:pt>
                <c:pt idx="80">
                  <c:v>8904.583809358679</c:v>
                </c:pt>
                <c:pt idx="81">
                  <c:v>9464.1334909096058</c:v>
                </c:pt>
                <c:pt idx="82">
                  <c:v>9963.1081992436648</c:v>
                </c:pt>
                <c:pt idx="83">
                  <c:v>10337.75444281602</c:v>
                </c:pt>
                <c:pt idx="84">
                  <c:v>10538.146923048558</c:v>
                </c:pt>
                <c:pt idx="85">
                  <c:v>10536.847287749879</c:v>
                </c:pt>
                <c:pt idx="86">
                  <c:v>10333.083418656543</c:v>
                </c:pt>
                <c:pt idx="87">
                  <c:v>9951.5210835533107</c:v>
                </c:pt>
                <c:pt idx="88">
                  <c:v>9437.4099063340454</c:v>
                </c:pt>
                <c:pt idx="89">
                  <c:v>8850.3412673409839</c:v>
                </c:pt>
                <c:pt idx="90">
                  <c:v>8257.5221425399013</c:v>
                </c:pt>
                <c:pt idx="91">
                  <c:v>7726.4605655424939</c:v>
                </c:pt>
                <c:pt idx="92">
                  <c:v>7317.253346278324</c:v>
                </c:pt>
                <c:pt idx="93">
                  <c:v>7075.6459838227838</c:v>
                </c:pt>
                <c:pt idx="94">
                  <c:v>7028.3926398892618</c:v>
                </c:pt>
                <c:pt idx="95">
                  <c:v>7181.5423125447142</c:v>
                </c:pt>
                <c:pt idx="96">
                  <c:v>7520.9015893724654</c:v>
                </c:pt>
                <c:pt idx="97">
                  <c:v>8013.3623028955608</c:v>
                </c:pt>
                <c:pt idx="98">
                  <c:v>8608.4561525172794</c:v>
                </c:pt>
                <c:pt idx="99">
                  <c:v>9240.8660353545492</c:v>
                </c:pt>
                <c:pt idx="100">
                  <c:v>9835.7098499973436</c:v>
                </c:pt>
                <c:pt idx="101">
                  <c:v>10317.978831785247</c:v>
                </c:pt>
                <c:pt idx="102">
                  <c:v>10624.867712932679</c:v>
                </c:pt>
                <c:pt idx="103">
                  <c:v>10716.727861666051</c:v>
                </c:pt>
                <c:pt idx="104">
                  <c:v>10582.652205823666</c:v>
                </c:pt>
                <c:pt idx="105">
                  <c:v>10240.336183405892</c:v>
                </c:pt>
                <c:pt idx="106">
                  <c:v>9732.5079139719237</c:v>
                </c:pt>
                <c:pt idx="107">
                  <c:v>9121.6052911385195</c:v>
                </c:pt>
                <c:pt idx="108">
                  <c:v>8482.5281939358847</c:v>
                </c:pt>
                <c:pt idx="109">
                  <c:v>7892.8846084823826</c:v>
                </c:pt>
                <c:pt idx="110">
                  <c:v>7421.8790722638323</c:v>
                </c:pt>
                <c:pt idx="111">
                  <c:v>7121.0359382061233</c:v>
                </c:pt>
                <c:pt idx="112">
                  <c:v>7019.5691238567597</c:v>
                </c:pt>
                <c:pt idx="113">
                  <c:v>7124.3668769901242</c:v>
                </c:pt>
                <c:pt idx="114">
                  <c:v>7422.2174212788932</c:v>
                </c:pt>
                <c:pt idx="115">
                  <c:v>7881.9372395291139</c:v>
                </c:pt>
                <c:pt idx="116">
                  <c:v>8455.699127545302</c:v>
                </c:pt>
                <c:pt idx="117">
                  <c:v>9080.7167290135585</c:v>
                </c:pt>
                <c:pt idx="118">
                  <c:v>9683.6132446720239</c:v>
                </c:pt>
                <c:pt idx="119">
                  <c:v>10189.240012024111</c:v>
                </c:pt>
                <c:pt idx="120">
                  <c:v>10532.788969166153</c:v>
                </c:pt>
                <c:pt idx="121">
                  <c:v>10670.845015240153</c:v>
                </c:pt>
                <c:pt idx="122">
                  <c:v>10587.389428949351</c:v>
                </c:pt>
                <c:pt idx="123">
                  <c:v>10294.471678656671</c:v>
                </c:pt>
                <c:pt idx="124">
                  <c:v>9829.7383774701975</c:v>
                </c:pt>
                <c:pt idx="125">
                  <c:v>9252.1620775013143</c:v>
                </c:pt>
                <c:pt idx="126">
                  <c:v>8635.3209459105947</c:v>
                </c:pt>
                <c:pt idx="127">
                  <c:v>8057.2601600272656</c:v>
                </c:pt>
                <c:pt idx="128">
                  <c:v>7588.2577626533057</c:v>
                </c:pt>
                <c:pt idx="129">
                  <c:v>7280.5320466527173</c:v>
                </c:pt>
                <c:pt idx="130">
                  <c:v>7163.3961071125668</c:v>
                </c:pt>
                <c:pt idx="131">
                  <c:v>7243.6699738616462</c:v>
                </c:pt>
                <c:pt idx="132">
                  <c:v>7508.4193727450693</c:v>
                </c:pt>
                <c:pt idx="133">
                  <c:v>7927.4370963349293</c:v>
                </c:pt>
                <c:pt idx="134">
                  <c:v>8454.8737591565023</c:v>
                </c:pt>
                <c:pt idx="135">
                  <c:v>9031.2835572142849</c:v>
                </c:pt>
                <c:pt idx="136">
                  <c:v>9588.2002936317513</c:v>
                </c:pt>
                <c:pt idx="137">
                  <c:v>10056.47866315459</c:v>
                </c:pt>
                <c:pt idx="138">
                  <c:v>10376.995679469037</c:v>
                </c:pt>
                <c:pt idx="139">
                  <c:v>10510.049764780584</c:v>
                </c:pt>
                <c:pt idx="140">
                  <c:v>10440.561085945212</c:v>
                </c:pt>
                <c:pt idx="141">
                  <c:v>10179.047668022968</c:v>
                </c:pt>
                <c:pt idx="142">
                  <c:v>9759.9154708391452</c:v>
                </c:pt>
                <c:pt idx="143">
                  <c:v>9237.747868620896</c:v>
                </c:pt>
                <c:pt idx="144">
                  <c:v>8680.818890426448</c:v>
                </c:pt>
                <c:pt idx="145">
                  <c:v>8161.1993552700524</c:v>
                </c:pt>
                <c:pt idx="146">
                  <c:v>7743.1575215148205</c:v>
                </c:pt>
                <c:pt idx="147">
                  <c:v>7473.7827323817337</c:v>
                </c:pt>
                <c:pt idx="148">
                  <c:v>7378.7655274006556</c:v>
                </c:pt>
                <c:pt idx="149">
                  <c:v>7462.8053045450597</c:v>
                </c:pt>
                <c:pt idx="150">
                  <c:v>7711.9825524208418</c:v>
                </c:pt>
                <c:pt idx="151">
                  <c:v>8096.0514225746156</c:v>
                </c:pt>
                <c:pt idx="152">
                  <c:v>8570.4393893781908</c:v>
                </c:pt>
                <c:pt idx="153">
                  <c:v>9079.1826659672643</c:v>
                </c:pt>
                <c:pt idx="154">
                  <c:v>9560.2874439493153</c:v>
                </c:pt>
                <c:pt idx="155">
                  <c:v>9953.7641472089235</c:v>
                </c:pt>
                <c:pt idx="156">
                  <c:v>10210.541050129528</c:v>
                </c:pt>
                <c:pt idx="157">
                  <c:v>10299.537544215218</c:v>
                </c:pt>
                <c:pt idx="158">
                  <c:v>10211.380449314107</c:v>
                </c:pt>
                <c:pt idx="159">
                  <c:v>9959.0836209538975</c:v>
                </c:pt>
                <c:pt idx="160">
                  <c:v>9576.524950444762</c:v>
                </c:pt>
                <c:pt idx="161">
                  <c:v>9114.7209367235773</c:v>
                </c:pt>
                <c:pt idx="162">
                  <c:v>8635.2025693467331</c:v>
                </c:pt>
                <c:pt idx="163">
                  <c:v>8200.6145464507572</c:v>
                </c:pt>
                <c:pt idx="164">
                  <c:v>7864.7473112581793</c:v>
                </c:pt>
                <c:pt idx="165">
                  <c:v>7665.2813319750912</c:v>
                </c:pt>
                <c:pt idx="166">
                  <c:v>7620.8985122778513</c:v>
                </c:pt>
                <c:pt idx="167">
                  <c:v>7731.7535309409841</c:v>
                </c:pt>
                <c:pt idx="168">
                  <c:v>7981.2705255391629</c:v>
                </c:pt>
                <c:pt idx="169">
                  <c:v>8338.1249431611977</c:v>
                </c:pt>
                <c:pt idx="170">
                  <c:v>8758.6876895513615</c:v>
                </c:pt>
                <c:pt idx="171">
                  <c:v>9190.9750607076949</c:v>
                </c:pt>
                <c:pt idx="172">
                  <c:v>9580.7356149046118</c:v>
                </c:pt>
                <c:pt idx="173">
                  <c:v>9878.9312668627754</c:v>
                </c:pt>
                <c:pt idx="174">
                  <c:v>10048.704899288716</c:v>
                </c:pt>
                <c:pt idx="175">
                  <c:v>10070.145467871553</c:v>
                </c:pt>
                <c:pt idx="176">
                  <c:v>9942.4260818449657</c:v>
                </c:pt>
                <c:pt idx="177">
                  <c:v>9683.7681314889669</c:v>
                </c:pt>
                <c:pt idx="178">
                  <c:v>9329.4854234420818</c:v>
                </c:pt>
                <c:pt idx="179">
                  <c:v>8927.7248957046522</c:v>
                </c:pt>
                <c:pt idx="180">
                  <c:v>8532.5891957178919</c:v>
                </c:pt>
                <c:pt idx="181">
                  <c:v>8195.6066508876829</c:v>
                </c:pt>
                <c:pt idx="182">
                  <c:v>7957.9650600531186</c:v>
                </c:pt>
                <c:pt idx="183">
                  <c:v>7845.7435457886559</c:v>
                </c:pt>
                <c:pt idx="184">
                  <c:v>7868.4925920108126</c:v>
                </c:pt>
                <c:pt idx="185">
                  <c:v>8019.8996020767245</c:v>
                </c:pt>
                <c:pt idx="186">
                  <c:v>8279.2457496287789</c:v>
                </c:pt>
                <c:pt idx="187">
                  <c:v>8613.3663558216249</c:v>
                </c:pt>
                <c:pt idx="188">
                  <c:v>8979.7250420343553</c:v>
                </c:pt>
                <c:pt idx="189">
                  <c:v>9331.249174323475</c:v>
                </c:pt>
                <c:pt idx="190">
                  <c:v>9622.6596818819908</c:v>
                </c:pt>
                <c:pt idx="191">
                  <c:v>9816.9176236204439</c:v>
                </c:pt>
                <c:pt idx="192">
                  <c:v>9890.1974843944026</c:v>
                </c:pt>
                <c:pt idx="193">
                  <c:v>9834.6455343998186</c:v>
                </c:pt>
                <c:pt idx="194">
                  <c:v>9659.0993510659409</c:v>
                </c:pt>
                <c:pt idx="195">
                  <c:v>9388.0891251293906</c:v>
                </c:pt>
                <c:pt idx="196">
                  <c:v>9058.9896864477923</c:v>
                </c:pt>
                <c:pt idx="197">
                  <c:v>8716.9747405473099</c:v>
                </c:pt>
                <c:pt idx="198">
                  <c:v>8408.1071184453467</c:v>
                </c:pt>
                <c:pt idx="199">
                  <c:v>8172.1617093159366</c:v>
                </c:pt>
                <c:pt idx="200">
                  <c:v>8037.2720158344682</c:v>
                </c:pt>
                <c:pt idx="201">
                  <c:v>8017.426474584172</c:v>
                </c:pt>
                <c:pt idx="202">
                  <c:v>8112.2619194987883</c:v>
                </c:pt>
                <c:pt idx="203">
                  <c:v>8308.0109073594303</c:v>
                </c:pt>
                <c:pt idx="204">
                  <c:v>8579.0261467125347</c:v>
                </c:pt>
                <c:pt idx="205">
                  <c:v>8890.1698505763852</c:v>
                </c:pt>
                <c:pt idx="206">
                  <c:v>9200.6774247184931</c:v>
                </c:pt>
                <c:pt idx="207">
                  <c:v>9469.5437449385208</c:v>
                </c:pt>
                <c:pt idx="208">
                  <c:v>9661.4529983656321</c:v>
                </c:pt>
                <c:pt idx="209">
                  <c:v>9751.7662072996518</c:v>
                </c:pt>
                <c:pt idx="210">
                  <c:v>9729.5979136004789</c:v>
                </c:pt>
                <c:pt idx="211">
                  <c:v>9598.9203618309748</c:v>
                </c:pt>
                <c:pt idx="212">
                  <c:v>9378.0227780553323</c:v>
                </c:pt>
                <c:pt idx="213">
                  <c:v>9097.3951060866766</c:v>
                </c:pt>
                <c:pt idx="214">
                  <c:v>8795.7930470857518</c:v>
                </c:pt>
                <c:pt idx="215">
                  <c:v>8514.5378165709626</c:v>
                </c:pt>
                <c:pt idx="216">
                  <c:v>8291.0665210789648</c:v>
                </c:pt>
                <c:pt idx="217">
                  <c:v>8153.498762825443</c:v>
                </c:pt>
                <c:pt idx="218">
                  <c:v>8117.5395788797287</c:v>
                </c:pt>
                <c:pt idx="219">
                  <c:v>8185.7107776244729</c:v>
                </c:pt>
                <c:pt idx="220">
                  <c:v>8348.0021397443106</c:v>
                </c:pt>
                <c:pt idx="221">
                  <c:v>8583.1995068571614</c:v>
                </c:pt>
                <c:pt idx="222">
                  <c:v>8860.8872633189912</c:v>
                </c:pt>
                <c:pt idx="223">
                  <c:v>9144.6256764972331</c:v>
                </c:pt>
                <c:pt idx="224">
                  <c:v>9396.5647765956546</c:v>
                </c:pt>
                <c:pt idx="225">
                  <c:v>9582.8895428345149</c:v>
                </c:pt>
                <c:pt idx="226">
                  <c:v>9678.7823584703456</c:v>
                </c:pt>
                <c:pt idx="227">
                  <c:v>9671.767235116522</c:v>
                </c:pt>
                <c:pt idx="228">
                  <c:v>9563.1186241307823</c:v>
                </c:pt>
                <c:pt idx="229">
                  <c:v>9367.5974059327091</c:v>
                </c:pt>
                <c:pt idx="230">
                  <c:v>9111.721997698065</c:v>
                </c:pt>
                <c:pt idx="231">
                  <c:v>8830.4716955440708</c:v>
                </c:pt>
                <c:pt idx="232">
                  <c:v>8562.3771565493043</c:v>
                </c:pt>
                <c:pt idx="233">
                  <c:v>8343.6346988413679</c:v>
                </c:pt>
                <c:pt idx="234">
                  <c:v>8202.6758415673467</c:v>
                </c:pt>
                <c:pt idx="235">
                  <c:v>8156.6067863998251</c:v>
                </c:pt>
                <c:pt idx="236">
                  <c:v>8209.931873697049</c:v>
                </c:pt>
                <c:pt idx="237">
                  <c:v>8354.9427344718115</c:v>
                </c:pt>
                <c:pt idx="238">
                  <c:v>8572.9692292111031</c:v>
                </c:pt>
                <c:pt idx="239">
                  <c:v>8836.2352071642545</c:v>
                </c:pt>
                <c:pt idx="240">
                  <c:v>9110.6452516888712</c:v>
                </c:pt>
                <c:pt idx="241">
                  <c:v>9359.8555714851391</c:v>
                </c:pt>
                <c:pt idx="242">
                  <c:v>9550.3343789861374</c:v>
                </c:pt>
                <c:pt idx="243">
                  <c:v>9656.3286389688219</c:v>
                </c:pt>
                <c:pt idx="244">
                  <c:v>9663.5203912651414</c:v>
                </c:pt>
                <c:pt idx="245">
                  <c:v>9570.7994526016846</c:v>
                </c:pt>
                <c:pt idx="246">
                  <c:v>9390.2810376441612</c:v>
                </c:pt>
                <c:pt idx="247">
                  <c:v>9145.8520349021874</c:v>
                </c:pt>
                <c:pt idx="248">
                  <c:v>8870.2804583057132</c:v>
                </c:pt>
                <c:pt idx="249">
                  <c:v>8600.8329006266358</c:v>
                </c:pt>
                <c:pt idx="250">
                  <c:v>8373.7916829308215</c:v>
                </c:pt>
                <c:pt idx="251">
                  <c:v>8219.0059612957612</c:v>
                </c:pt>
                <c:pt idx="252">
                  <c:v>8155.8731746347385</c:v>
                </c:pt>
                <c:pt idx="253">
                  <c:v>8191.4804404452425</c:v>
                </c:pt>
                <c:pt idx="254">
                  <c:v>8320.6084835803231</c:v>
                </c:pt>
                <c:pt idx="255">
                  <c:v>8526.8372409213189</c:v>
                </c:pt>
                <c:pt idx="256">
                  <c:v>8784.3061435218642</c:v>
                </c:pt>
                <c:pt idx="257">
                  <c:v>9060.260451768474</c:v>
                </c:pt>
                <c:pt idx="258">
                  <c:v>9318.7388657021093</c:v>
                </c:pt>
                <c:pt idx="259">
                  <c:v>9525.3409355289914</c:v>
                </c:pt>
                <c:pt idx="260">
                  <c:v>9652.2445541015622</c:v>
                </c:pt>
                <c:pt idx="261">
                  <c:v>9682.2575547732213</c:v>
                </c:pt>
                <c:pt idx="262">
                  <c:v>9611.0915059552663</c:v>
                </c:pt>
                <c:pt idx="263">
                  <c:v>9447.7844344901678</c:v>
                </c:pt>
                <c:pt idx="264">
                  <c:v>9213.5604174092132</c:v>
                </c:pt>
                <c:pt idx="265">
                  <c:v>8939.2810814099721</c:v>
                </c:pt>
                <c:pt idx="266">
                  <c:v>8661.4734380448517</c:v>
                </c:pt>
                <c:pt idx="267">
                  <c:v>8417.1689464913979</c:v>
                </c:pt>
                <c:pt idx="268">
                  <c:v>8238.4331304380121</c:v>
                </c:pt>
                <c:pt idx="269">
                  <c:v>8147.8995430022105</c:v>
                </c:pt>
                <c:pt idx="270">
                  <c:v>8156.2608921779338</c:v>
                </c:pt>
                <c:pt idx="271">
                  <c:v>8261.740192857982</c:v>
                </c:pt>
                <c:pt idx="272">
                  <c:v>8450.9058094864613</c:v>
                </c:pt>
                <c:pt idx="273">
                  <c:v>8700.2647679691909</c:v>
                </c:pt>
                <c:pt idx="274">
                  <c:v>8978.5770942732215</c:v>
                </c:pt>
                <c:pt idx="275">
                  <c:v>9250.1917111724324</c:v>
                </c:pt>
                <c:pt idx="276">
                  <c:v>9479.511039007195</c:v>
                </c:pt>
                <c:pt idx="277">
                  <c:v>9636.0191419224011</c:v>
                </c:pt>
                <c:pt idx="278">
                  <c:v>9698.7460295121855</c:v>
                </c:pt>
                <c:pt idx="279">
                  <c:v>9659.1667007236338</c:v>
                </c:pt>
                <c:pt idx="280">
                  <c:v>9522.204764641745</c:v>
                </c:pt>
                <c:pt idx="281">
                  <c:v>9305.5420918685068</c:v>
                </c:pt>
                <c:pt idx="282">
                  <c:v>9037.4688050850891</c:v>
                </c:pt>
                <c:pt idx="283">
                  <c:v>8753.3241230426211</c:v>
                </c:pt>
                <c:pt idx="284">
                  <c:v>8490.6682436382926</c:v>
                </c:pt>
                <c:pt idx="285">
                  <c:v>8283.8438474389295</c:v>
                </c:pt>
                <c:pt idx="286">
                  <c:v>8159.1160909515693</c:v>
                </c:pt>
                <c:pt idx="287">
                  <c:v>8131.4917050577833</c:v>
                </c:pt>
                <c:pt idx="288">
                  <c:v>8203.547042868955</c:v>
                </c:pt>
                <c:pt idx="289">
                  <c:v>8365.8163198054444</c:v>
                </c:pt>
                <c:pt idx="290">
                  <c:v>8598.1232827655531</c:v>
                </c:pt>
                <c:pt idx="291">
                  <c:v>8871.6247442050299</c:v>
                </c:pt>
                <c:pt idx="292">
                  <c:v>9151.7658246496758</c:v>
                </c:pt>
                <c:pt idx="293">
                  <c:v>9402.3571381152324</c:v>
                </c:pt>
                <c:pt idx="294">
                  <c:v>9590.4676845694012</c:v>
                </c:pt>
                <c:pt idx="295">
                  <c:v>9691.1847383059012</c:v>
                </c:pt>
                <c:pt idx="296">
                  <c:v>9691.14607356335</c:v>
                </c:pt>
                <c:pt idx="297">
                  <c:v>9590.2501671031005</c:v>
                </c:pt>
                <c:pt idx="298">
                  <c:v>9401.5708204510775</c:v>
                </c:pt>
                <c:pt idx="299">
                  <c:v>9149.7211709540807</c:v>
                </c:pt>
                <c:pt idx="300">
                  <c:v>8867.7854707894967</c:v>
                </c:pt>
                <c:pt idx="301">
                  <c:v>8592.9114126113091</c:v>
                </c:pt>
                <c:pt idx="302">
                  <c:v>8361.0288318415332</c:v>
                </c:pt>
                <c:pt idx="303">
                  <c:v>8201.7178005310489</c:v>
                </c:pt>
                <c:pt idx="304">
                  <c:v>8134.3971448793518</c:v>
                </c:pt>
                <c:pt idx="305">
                  <c:v>8166.4463389281054</c:v>
                </c:pt>
                <c:pt idx="306">
                  <c:v>8293.0564624255621</c:v>
                </c:pt>
                <c:pt idx="307">
                  <c:v>8498.2171882280199</c:v>
                </c:pt>
                <c:pt idx="308">
                  <c:v>8756.4608434085148</c:v>
                </c:pt>
                <c:pt idx="309">
                  <c:v>9035.4241335545794</c:v>
                </c:pt>
                <c:pt idx="310">
                  <c:v>9299.4647727859501</c:v>
                </c:pt>
                <c:pt idx="311">
                  <c:v>9514.2444169657756</c:v>
                </c:pt>
                <c:pt idx="312">
                  <c:v>9651.5682993565224</c:v>
                </c:pt>
                <c:pt idx="313">
                  <c:v>9693.415272546501</c:v>
                </c:pt>
                <c:pt idx="314">
                  <c:v>9634.3574830889429</c:v>
                </c:pt>
                <c:pt idx="315">
                  <c:v>9482.1708691493495</c:v>
                </c:pt>
                <c:pt idx="316">
                  <c:v>9256.8137438366575</c:v>
                </c:pt>
                <c:pt idx="317">
                  <c:v>8987.9365195553255</c:v>
                </c:pt>
                <c:pt idx="318">
                  <c:v>8711.0047852823736</c:v>
                </c:pt>
                <c:pt idx="319">
                  <c:v>8462.3441525669477</c:v>
                </c:pt>
                <c:pt idx="320">
                  <c:v>8273.9305468812381</c:v>
                </c:pt>
                <c:pt idx="321">
                  <c:v>8169.0754039158164</c:v>
                </c:pt>
                <c:pt idx="322">
                  <c:v>8159.8458733234802</c:v>
                </c:pt>
                <c:pt idx="323">
                  <c:v>8246.2992729456382</c:v>
                </c:pt>
                <c:pt idx="324">
                  <c:v>8417.0487272322589</c:v>
                </c:pt>
                <c:pt idx="325">
                  <c:v>8650.6869088100539</c:v>
                </c:pt>
                <c:pt idx="326">
                  <c:v>8917.9733839268829</c:v>
                </c:pt>
                <c:pt idx="327">
                  <c:v>9184.9768936121363</c:v>
                </c:pt>
                <c:pt idx="328">
                  <c:v>9417.2279890918308</c:v>
                </c:pt>
                <c:pt idx="329">
                  <c:v>9584.4175402334204</c:v>
                </c:pt>
                <c:pt idx="330">
                  <c:v>9664.7046879622048</c:v>
                </c:pt>
                <c:pt idx="331">
                  <c:v>9647.7278171021371</c:v>
                </c:pt>
                <c:pt idx="332">
                  <c:v>9535.9015856574879</c:v>
                </c:pt>
                <c:pt idx="333">
                  <c:v>9344.0484487370795</c:v>
                </c:pt>
                <c:pt idx="334">
                  <c:v>9097.5314519575986</c:v>
                </c:pt>
                <c:pt idx="335">
                  <c:v>8828.9815766071279</c:v>
                </c:pt>
                <c:pt idx="336">
                  <c:v>8573.8178293840247</c:v>
                </c:pt>
                <c:pt idx="337">
                  <c:v>8365.179093700337</c:v>
                </c:pt>
                <c:pt idx="338">
                  <c:v>8229.3084158821475</c:v>
                </c:pt>
                <c:pt idx="339">
                  <c:v>8182.3635409294975</c:v>
                </c:pt>
                <c:pt idx="340">
                  <c:v>8229.0110832932442</c:v>
                </c:pt>
                <c:pt idx="341">
                  <c:v>8362.5071858050942</c:v>
                </c:pt>
                <c:pt idx="342">
                  <c:v>8565.7740587839562</c:v>
                </c:pt>
                <c:pt idx="343">
                  <c:v>8813.2409964578274</c:v>
                </c:pt>
                <c:pt idx="344">
                  <c:v>9073.5466477168829</c:v>
                </c:pt>
                <c:pt idx="345">
                  <c:v>9313.2214382342227</c:v>
                </c:pt>
                <c:pt idx="346">
                  <c:v>9501.089947017208</c:v>
                </c:pt>
                <c:pt idx="347">
                  <c:v>9612.6380793712251</c:v>
                </c:pt>
                <c:pt idx="348">
                  <c:v>9633.4337063467556</c:v>
                </c:pt>
                <c:pt idx="349">
                  <c:v>9561.0175312352094</c:v>
                </c:pt>
                <c:pt idx="350">
                  <c:v>9405.1577510785828</c:v>
                </c:pt>
                <c:pt idx="351">
                  <c:v>9186.5958313097453</c:v>
                </c:pt>
                <c:pt idx="352">
                  <c:v>8934.3904413689252</c:v>
                </c:pt>
                <c:pt idx="353">
                  <c:v>8681.9948356681161</c:v>
                </c:pt>
                <c:pt idx="354">
                  <c:v>8462.5093127963737</c:v>
                </c:pt>
                <c:pt idx="355">
                  <c:v>8303.9870894952146</c:v>
                </c:pt>
                <c:pt idx="356">
                  <c:v>8225.7970818615759</c:v>
                </c:pt>
                <c:pt idx="357">
                  <c:v>8236.6247438351274</c:v>
                </c:pt>
                <c:pt idx="358">
                  <c:v>8334.0384857434747</c:v>
                </c:pt>
                <c:pt idx="359">
                  <c:v>8505.1913457242226</c:v>
                </c:pt>
                <c:pt idx="360">
                  <c:v>8728.3353054985328</c:v>
                </c:pt>
                <c:pt idx="361">
                  <c:v>8975.1345744839418</c:v>
                </c:pt>
                <c:pt idx="362">
                  <c:v>9213.8963266587289</c:v>
                </c:pt>
                <c:pt idx="363">
                  <c:v>9413.6026301127386</c:v>
                </c:pt>
                <c:pt idx="364">
                  <c:v>9548.1739530908453</c:v>
                </c:pt>
                <c:pt idx="365">
                  <c:v>9600.1191524941369</c:v>
                </c:pt>
                <c:pt idx="366">
                  <c:v>9562.8893192876058</c:v>
                </c:pt>
                <c:pt idx="367">
                  <c:v>9441.6806133205791</c:v>
                </c:pt>
                <c:pt idx="368">
                  <c:v>9252.7422583330608</c:v>
                </c:pt>
                <c:pt idx="369">
                  <c:v>9021.2994578165981</c:v>
                </c:pt>
                <c:pt idx="370">
                  <c:v>8778.1984835036073</c:v>
                </c:pt>
                <c:pt idx="371">
                  <c:v>8555.5827466235278</c:v>
                </c:pt>
                <c:pt idx="372">
                  <c:v>8382.3039881349432</c:v>
                </c:pt>
                <c:pt idx="373">
                  <c:v>8280.0194750107003</c:v>
                </c:pt>
                <c:pt idx="374">
                  <c:v>8260.7002733561221</c:v>
                </c:pt>
                <c:pt idx="375">
                  <c:v>8325.6978881565901</c:v>
                </c:pt>
                <c:pt idx="376">
                  <c:v>8466.0562787008294</c:v>
                </c:pt>
                <c:pt idx="377">
                  <c:v>8663.710962973948</c:v>
                </c:pt>
                <c:pt idx="378">
                  <c:v>8893.4613572014096</c:v>
                </c:pt>
                <c:pt idx="379">
                  <c:v>9125.7952220370753</c:v>
                </c:pt>
                <c:pt idx="380">
                  <c:v>9330.5356335939905</c:v>
                </c:pt>
                <c:pt idx="381">
                  <c:v>9480.9037768245325</c:v>
                </c:pt>
                <c:pt idx="382">
                  <c:v>9557.2562596688731</c:v>
                </c:pt>
                <c:pt idx="383">
                  <c:v>9549.7743405388555</c:v>
                </c:pt>
                <c:pt idx="384">
                  <c:v>9459.7260359507982</c:v>
                </c:pt>
                <c:pt idx="385">
                  <c:v>9299.269266353429</c:v>
                </c:pt>
                <c:pt idx="386">
                  <c:v>9089.8920868364221</c:v>
                </c:pt>
                <c:pt idx="387">
                  <c:v>8859.5883780313088</c:v>
                </c:pt>
                <c:pt idx="388">
                  <c:v>8638.9894050570838</c:v>
                </c:pt>
                <c:pt idx="389">
                  <c:v>8456.9985923375843</c:v>
                </c:pt>
                <c:pt idx="390">
                  <c:v>8336.7804235278254</c:v>
                </c:pt>
                <c:pt idx="391">
                  <c:v>8292.8951819722006</c:v>
                </c:pt>
                <c:pt idx="392">
                  <c:v>8329.9119672070556</c:v>
                </c:pt>
                <c:pt idx="393">
                  <c:v>8442.3332436793335</c:v>
                </c:pt>
                <c:pt idx="394">
                  <c:v>8615.4871451446324</c:v>
                </c:pt>
                <c:pt idx="395">
                  <c:v>8827.1978572788867</c:v>
                </c:pt>
                <c:pt idx="396">
                  <c:v>9050.2551136218572</c:v>
                </c:pt>
                <c:pt idx="397">
                  <c:v>9255.6948369593938</c:v>
                </c:pt>
                <c:pt idx="398">
                  <c:v>9416.6151702590105</c:v>
                </c:pt>
                <c:pt idx="399">
                  <c:v>9511.9039404205214</c:v>
                </c:pt>
                <c:pt idx="400">
                  <c:v>9529.1596914388501</c:v>
                </c:pt>
                <c:pt idx="401">
                  <c:v>9466.3326955074117</c:v>
                </c:pt>
                <c:pt idx="402">
                  <c:v>9331.9603702835284</c:v>
                </c:pt>
                <c:pt idx="403">
                  <c:v>9144.062719883932</c:v>
                </c:pt>
                <c:pt idx="404">
                  <c:v>8927.7936013776398</c:v>
                </c:pt>
                <c:pt idx="405">
                  <c:v>8712.0148210465322</c:v>
                </c:pt>
                <c:pt idx="406">
                  <c:v>8525.2135624505645</c:v>
                </c:pt>
                <c:pt idx="407">
                  <c:v>8391.4967140179324</c:v>
                </c:pt>
                <c:pt idx="408">
                  <c:v>8327.4608667833236</c:v>
                </c:pt>
                <c:pt idx="409">
                  <c:v>8340.4095651138268</c:v>
                </c:pt>
                <c:pt idx="410">
                  <c:v>8427.9030624679945</c:v>
                </c:pt>
                <c:pt idx="411">
                  <c:v>8578.3496768504101</c:v>
                </c:pt>
                <c:pt idx="412">
                  <c:v>8772.4022887181</c:v>
                </c:pt>
                <c:pt idx="413">
                  <c:v>8985.11915511802</c:v>
                </c:pt>
                <c:pt idx="414">
                  <c:v>9188.9102033398376</c:v>
                </c:pt>
                <c:pt idx="415">
                  <c:v>9357.0916151299662</c:v>
                </c:pt>
                <c:pt idx="416">
                  <c:v>9467.5415887035433</c:v>
                </c:pt>
                <c:pt idx="417">
                  <c:v>9505.7757450558856</c:v>
                </c:pt>
                <c:pt idx="418">
                  <c:v>9466.9033682955269</c:v>
                </c:pt>
                <c:pt idx="419">
                  <c:v>9356.246565317595</c:v>
                </c:pt>
                <c:pt idx="420">
                  <c:v>9188.642352998324</c:v>
                </c:pt>
                <c:pt idx="421">
                  <c:v>8986.5182614268251</c:v>
                </c:pt>
                <c:pt idx="422">
                  <c:v>8776.8784755183715</c:v>
                </c:pt>
                <c:pt idx="423">
                  <c:v>8587.5250955103202</c:v>
                </c:pt>
                <c:pt idx="424">
                  <c:v>8443.1322849067237</c:v>
                </c:pt>
                <c:pt idx="425">
                  <c:v>8361.9393972571597</c:v>
                </c:pt>
                <c:pt idx="426">
                  <c:v>8353.6285822367718</c:v>
                </c:pt>
                <c:pt idx="427">
                  <c:v>8418.5151747917935</c:v>
                </c:pt>
                <c:pt idx="428">
                  <c:v>8547.8391932560717</c:v>
                </c:pt>
                <c:pt idx="429">
                  <c:v>8724.9036204443364</c:v>
                </c:pt>
                <c:pt idx="430">
                  <c:v>8926.9617609051911</c:v>
                </c:pt>
                <c:pt idx="431">
                  <c:v>9127.8619090291249</c:v>
                </c:pt>
                <c:pt idx="432">
                  <c:v>9301.3411623509128</c:v>
                </c:pt>
                <c:pt idx="433">
                  <c:v>9424.5697235674998</c:v>
                </c:pt>
                <c:pt idx="434">
                  <c:v>9481.3221279455884</c:v>
                </c:pt>
                <c:pt idx="435">
                  <c:v>9464.1991285042641</c:v>
                </c:pt>
                <c:pt idx="436">
                  <c:v>9375.5965676499818</c:v>
                </c:pt>
                <c:pt idx="437">
                  <c:v>9227.3828551031238</c:v>
                </c:pt>
                <c:pt idx="438">
                  <c:v>9039.3619999121292</c:v>
                </c:pt>
                <c:pt idx="439">
                  <c:v>8836.6422209315333</c:v>
                </c:pt>
                <c:pt idx="440">
                  <c:v>8646.165197112221</c:v>
                </c:pt>
                <c:pt idx="441">
                  <c:v>8492.908841173281</c:v>
                </c:pt>
                <c:pt idx="442">
                  <c:v>8396.4731968997239</c:v>
                </c:pt>
                <c:pt idx="443">
                  <c:v>8368.6694508910823</c:v>
                </c:pt>
                <c:pt idx="444">
                  <c:v>8412.3663698371238</c:v>
                </c:pt>
                <c:pt idx="445">
                  <c:v>8521.4780149570124</c:v>
                </c:pt>
                <c:pt idx="446">
                  <c:v>8681.8473363895573</c:v>
                </c:pt>
                <c:pt idx="447">
                  <c:v>8872.8819080340618</c:v>
                </c:pt>
                <c:pt idx="448">
                  <c:v>9069.9234579940239</c:v>
                </c:pt>
                <c:pt idx="449">
                  <c:v>9247.2863349725303</c:v>
                </c:pt>
                <c:pt idx="450">
                  <c:v>9381.6617171710295</c:v>
                </c:pt>
                <c:pt idx="451">
                  <c:v>9455.3358831739552</c:v>
                </c:pt>
                <c:pt idx="452">
                  <c:v>9458.6348532645698</c:v>
                </c:pt>
                <c:pt idx="453">
                  <c:v>9391.2173414663848</c:v>
                </c:pt>
                <c:pt idx="454">
                  <c:v>9262.1100059878081</c:v>
                </c:pt>
                <c:pt idx="455">
                  <c:v>9088.5366426966357</c:v>
                </c:pt>
                <c:pt idx="456">
                  <c:v>8893.6489306943604</c:v>
                </c:pt>
                <c:pt idx="457">
                  <c:v>8703.3644340777282</c:v>
                </c:pt>
                <c:pt idx="458">
                  <c:v>8542.7341873285695</c:v>
                </c:pt>
                <c:pt idx="459">
                  <c:v>8432.4802236880751</c:v>
                </c:pt>
                <c:pt idx="460">
                  <c:v>8386.3447870344298</c:v>
                </c:pt>
                <c:pt idx="461">
                  <c:v>8409.6102145831628</c:v>
                </c:pt>
                <c:pt idx="462">
                  <c:v>8498.7768851656474</c:v>
                </c:pt>
                <c:pt idx="463">
                  <c:v>8642.1865294942509</c:v>
                </c:pt>
                <c:pt idx="464">
                  <c:v>8821.4159112519228</c:v>
                </c:pt>
                <c:pt idx="465">
                  <c:v>9013.3892671373233</c:v>
                </c:pt>
                <c:pt idx="466">
                  <c:v>9193.1663619038318</c:v>
                </c:pt>
                <c:pt idx="467">
                  <c:v>9337.1826384211872</c:v>
                </c:pt>
                <c:pt idx="468">
                  <c:v>9426.4689469343375</c:v>
                </c:pt>
                <c:pt idx="469">
                  <c:v>9449.2755405041917</c:v>
                </c:pt>
                <c:pt idx="470">
                  <c:v>9402.6638228153279</c:v>
                </c:pt>
                <c:pt idx="471">
                  <c:v>9292.8879135616498</c:v>
                </c:pt>
                <c:pt idx="472">
                  <c:v>9134.5799025129782</c:v>
                </c:pt>
                <c:pt idx="473">
                  <c:v>8948.8322910772422</c:v>
                </c:pt>
                <c:pt idx="474">
                  <c:v>8760.3479103964255</c:v>
                </c:pt>
                <c:pt idx="475">
                  <c:v>8594.0037472692457</c:v>
                </c:pt>
                <c:pt idx="476">
                  <c:v>8471.3944227638931</c:v>
                </c:pt>
                <c:pt idx="477">
                  <c:v>8407.9921791435772</c:v>
                </c:pt>
                <c:pt idx="478">
                  <c:v>8411.363368872122</c:v>
                </c:pt>
                <c:pt idx="479">
                  <c:v>8480.5332262184784</c:v>
                </c:pt>
                <c:pt idx="480">
                  <c:v>8606.3388994755951</c:v>
                </c:pt>
                <c:pt idx="481">
                  <c:v>8772.581799857664</c:v>
                </c:pt>
                <c:pt idx="482">
                  <c:v>8957.8936642478839</c:v>
                </c:pt>
                <c:pt idx="483">
                  <c:v>9138.2776365755071</c:v>
                </c:pt>
                <c:pt idx="484">
                  <c:v>9290.1631713180195</c:v>
                </c:pt>
                <c:pt idx="485">
                  <c:v>9393.5825473685563</c:v>
                </c:pt>
                <c:pt idx="486">
                  <c:v>9434.9264391036504</c:v>
                </c:pt>
                <c:pt idx="487">
                  <c:v>9408.8031273178822</c:v>
                </c:pt>
                <c:pt idx="488">
                  <c:v>9318.7532488946072</c:v>
                </c:pt>
                <c:pt idx="489">
                  <c:v>9176.7853246687646</c:v>
                </c:pt>
                <c:pt idx="490">
                  <c:v>9001.8056413491813</c:v>
                </c:pt>
                <c:pt idx="491">
                  <c:v>8817.0857657721899</c:v>
                </c:pt>
                <c:pt idx="492">
                  <c:v>8647.0517896353995</c:v>
                </c:pt>
                <c:pt idx="493">
                  <c:v>8513.8861760735836</c:v>
                </c:pt>
                <c:pt idx="494">
                  <c:v>8434.553076874623</c:v>
                </c:pt>
                <c:pt idx="495">
                  <c:v>8418.7433198390609</c:v>
                </c:pt>
                <c:pt idx="496">
                  <c:v>8467.9295275826516</c:v>
                </c:pt>
                <c:pt idx="497">
                  <c:v>8575.4393478056481</c:v>
                </c:pt>
                <c:pt idx="498">
                  <c:v>8727.3623700953012</c:v>
                </c:pt>
                <c:pt idx="499">
                  <c:v>8904.1755964362837</c:v>
                </c:pt>
                <c:pt idx="500">
                  <c:v>9083.0405859093516</c:v>
                </c:pt>
                <c:pt idx="501">
                  <c:v>9240.6557159201056</c:v>
                </c:pt>
                <c:pt idx="502">
                  <c:v>9356.3471817157406</c:v>
                </c:pt>
                <c:pt idx="503">
                  <c:v>9414.9044102657372</c:v>
                </c:pt>
                <c:pt idx="504">
                  <c:v>9408.6667760646505</c:v>
                </c:pt>
                <c:pt idx="505">
                  <c:v>9338.5512282578511</c:v>
                </c:pt>
                <c:pt idx="506">
                  <c:v>9213.9302513366747</c:v>
                </c:pt>
                <c:pt idx="507">
                  <c:v>9051.4060883983238</c:v>
                </c:pt>
                <c:pt idx="508">
                  <c:v>8872.6013188791549</c:v>
                </c:pt>
                <c:pt idx="509">
                  <c:v>8701.1993374060239</c:v>
                </c:pt>
                <c:pt idx="510">
                  <c:v>8559.6542412681629</c:v>
                </c:pt>
                <c:pt idx="511">
                  <c:v>8466.1393163516641</c:v>
                </c:pt>
                <c:pt idx="512">
                  <c:v>8432.2618795738454</c:v>
                </c:pt>
                <c:pt idx="513">
                  <c:v>8461.8220412756073</c:v>
                </c:pt>
                <c:pt idx="514">
                  <c:v>8550.6010471172431</c:v>
                </c:pt>
                <c:pt idx="515">
                  <c:v>8687.0173822228717</c:v>
                </c:pt>
                <c:pt idx="516">
                  <c:v>8853.5147296528721</c:v>
                </c:pt>
                <c:pt idx="517">
                  <c:v>9028.6190398241815</c:v>
                </c:pt>
                <c:pt idx="518">
                  <c:v>9189.5761805792154</c:v>
                </c:pt>
                <c:pt idx="519">
                  <c:v>9315.3206126597906</c:v>
                </c:pt>
                <c:pt idx="520">
                  <c:v>9389.3384877510052</c:v>
                </c:pt>
                <c:pt idx="521">
                  <c:v>9401.9347083969642</c:v>
                </c:pt>
                <c:pt idx="522">
                  <c:v>9351.5440658333118</c:v>
                </c:pt>
                <c:pt idx="523">
                  <c:v>9244.9377297935298</c:v>
                </c:pt>
                <c:pt idx="524">
                  <c:v>9096.335783521843</c:v>
                </c:pt>
                <c:pt idx="525">
                  <c:v>8925.5230799611927</c:v>
                </c:pt>
                <c:pt idx="526">
                  <c:v>8755.1610148907985</c:v>
                </c:pt>
                <c:pt idx="527">
                  <c:v>8607.649587900587</c:v>
                </c:pt>
                <c:pt idx="528">
                  <c:v>8502.057058854889</c:v>
                </c:pt>
                <c:pt idx="529">
                  <c:v>8451.6536424529477</c:v>
                </c:pt>
                <c:pt idx="530">
                  <c:v>8462.3976851635616</c:v>
                </c:pt>
                <c:pt idx="531">
                  <c:v>8532.4410360831826</c:v>
                </c:pt>
                <c:pt idx="532">
                  <c:v>8652.5303710976332</c:v>
                </c:pt>
                <c:pt idx="533">
                  <c:v>8807.159565395008</c:v>
                </c:pt>
                <c:pt idx="534">
                  <c:v>8976.3917976298762</c:v>
                </c:pt>
                <c:pt idx="535">
                  <c:v>9138.2767271013654</c:v>
                </c:pt>
                <c:pt idx="536">
                  <c:v>9271.6681135813633</c:v>
                </c:pt>
                <c:pt idx="537">
                  <c:v>9359.0664133424398</c:v>
                </c:pt>
                <c:pt idx="538">
                  <c:v>9389.0157710227177</c:v>
                </c:pt>
                <c:pt idx="539">
                  <c:v>9357.6616425724042</c:v>
                </c:pt>
                <c:pt idx="540">
                  <c:v>9269.2647481675667</c:v>
                </c:pt>
                <c:pt idx="541">
                  <c:v>9135.6409193310647</c:v>
                </c:pt>
                <c:pt idx="542">
                  <c:v>8974.5994183804596</c:v>
                </c:pt>
                <c:pt idx="543">
                  <c:v>8807.5385703875145</c:v>
                </c:pt>
                <c:pt idx="544">
                  <c:v>8656.4957759207809</c:v>
                </c:pt>
                <c:pt idx="545">
                  <c:v>8541.1124133098619</c:v>
                </c:pt>
                <c:pt idx="546">
                  <c:v>8476.0393034623248</c:v>
                </c:pt>
                <c:pt idx="547">
                  <c:v>8469.1831078236173</c:v>
                </c:pt>
                <c:pt idx="548">
                  <c:v>8520.9385951918357</c:v>
                </c:pt>
                <c:pt idx="549">
                  <c:v>8624.334407834509</c:v>
                </c:pt>
                <c:pt idx="550">
                  <c:v>8765.9516008935316</c:v>
                </c:pt>
                <c:pt idx="551">
                  <c:v>8927.5168119241462</c:v>
                </c:pt>
                <c:pt idx="552">
                  <c:v>9088.0985669225047</c:v>
                </c:pt>
                <c:pt idx="553">
                  <c:v>9226.7540989435001</c:v>
                </c:pt>
                <c:pt idx="554">
                  <c:v>9325.3105768140958</c:v>
                </c:pt>
                <c:pt idx="555">
                  <c:v>9370.8428019923012</c:v>
                </c:pt>
                <c:pt idx="556">
                  <c:v>9357.4358858134292</c:v>
                </c:pt>
                <c:pt idx="557">
                  <c:v>9286.979619529222</c:v>
                </c:pt>
                <c:pt idx="558">
                  <c:v>9168.9196406859464</c:v>
                </c:pt>
                <c:pt idx="559">
                  <c:v>9019.0102759697184</c:v>
                </c:pt>
                <c:pt idx="560">
                  <c:v>8857.1989242203272</c:v>
                </c:pt>
                <c:pt idx="561">
                  <c:v>8704.8900179679258</c:v>
                </c:pt>
                <c:pt idx="562">
                  <c:v>8581.9918859720146</c:v>
                </c:pt>
                <c:pt idx="563">
                  <c:v>8504.2465315968529</c:v>
                </c:pt>
                <c:pt idx="564">
                  <c:v>8481.2751555553314</c:v>
                </c:pt>
                <c:pt idx="565">
                  <c:v>8515.5545621272631</c:v>
                </c:pt>
                <c:pt idx="566">
                  <c:v>8602.3106258421885</c:v>
                </c:pt>
                <c:pt idx="567">
                  <c:v>8730.2051725598121</c:v>
                </c:pt>
                <c:pt idx="568">
                  <c:v>8882.7065070115386</c:v>
                </c:pt>
                <c:pt idx="569">
                  <c:v>9040.0683879114113</c:v>
                </c:pt>
                <c:pt idx="570">
                  <c:v>9181.7945171226766</c:v>
                </c:pt>
                <c:pt idx="571">
                  <c:v>9289.3263157734546</c:v>
                </c:pt>
                <c:pt idx="572">
                  <c:v>9348.5566658453372</c:v>
                </c:pt>
                <c:pt idx="573">
                  <c:v>9351.7552990070199</c:v>
                </c:pt>
                <c:pt idx="574">
                  <c:v>9298.6128188530911</c:v>
                </c:pt>
                <c:pt idx="575">
                  <c:v>9196.2834353915623</c:v>
                </c:pt>
                <c:pt idx="576">
                  <c:v>9058.4404076992159</c:v>
                </c:pt>
                <c:pt idx="577">
                  <c:v>8903.4476655690669</c:v>
                </c:pt>
                <c:pt idx="578">
                  <c:v>8751.8543001517828</c:v>
                </c:pt>
                <c:pt idx="579">
                  <c:v>8623.5609839489916</c:v>
                </c:pt>
                <c:pt idx="580">
                  <c:v>8535.1226805866008</c:v>
                </c:pt>
                <c:pt idx="581">
                  <c:v>8497.6349052849073</c:v>
                </c:pt>
                <c:pt idx="582">
                  <c:v>8515.4772903252961</c:v>
                </c:pt>
                <c:pt idx="583">
                  <c:v>8585.9620893022748</c:v>
                </c:pt>
                <c:pt idx="584">
                  <c:v>8699.7923170233807</c:v>
                </c:pt>
                <c:pt idx="585">
                  <c:v>8842.215551721134</c:v>
                </c:pt>
                <c:pt idx="586">
                  <c:v>8994.7912838009725</c:v>
                </c:pt>
                <c:pt idx="587">
                  <c:v>9137.6679634456341</c:v>
                </c:pt>
                <c:pt idx="588">
                  <c:v>9252.1537507551802</c:v>
                </c:pt>
                <c:pt idx="589">
                  <c:v>9323.2279451669729</c:v>
                </c:pt>
                <c:pt idx="590">
                  <c:v>9341.5884806177291</c:v>
                </c:pt>
                <c:pt idx="591">
                  <c:v>9304.913342358117</c:v>
                </c:pt>
                <c:pt idx="592">
                  <c:v>9218.1729262711524</c:v>
                </c:pt>
                <c:pt idx="593">
                  <c:v>9092.9737569485151</c:v>
                </c:pt>
                <c:pt idx="594">
                  <c:v>8946.0114342166908</c:v>
                </c:pt>
                <c:pt idx="595">
                  <c:v>8796.8045223223271</c:v>
                </c:pt>
                <c:pt idx="596">
                  <c:v>8665.0090476001642</c:v>
                </c:pt>
                <c:pt idx="597">
                  <c:v>8567.7367692854605</c:v>
                </c:pt>
                <c:pt idx="598">
                  <c:v>8517.3236260317954</c:v>
                </c:pt>
                <c:pt idx="599">
                  <c:v>8519.8673318233905</c:v>
                </c:pt>
                <c:pt idx="600">
                  <c:v>8574.6418787218317</c:v>
                </c:pt>
                <c:pt idx="601">
                  <c:v>8674.3307520887374</c:v>
                </c:pt>
                <c:pt idx="602">
                  <c:v>8805.9691197829907</c:v>
                </c:pt>
                <c:pt idx="603">
                  <c:v>8952.5058673453477</c:v>
                </c:pt>
                <c:pt idx="604">
                  <c:v>9094.8924002401782</c:v>
                </c:pt>
                <c:pt idx="605">
                  <c:v>9214.5199682260936</c:v>
                </c:pt>
                <c:pt idx="606">
                  <c:v>9295.6970125123935</c:v>
                </c:pt>
                <c:pt idx="607">
                  <c:v>9327.7813568614911</c:v>
                </c:pt>
                <c:pt idx="608">
                  <c:v>9306.6268277151066</c:v>
                </c:pt>
                <c:pt idx="609">
                  <c:v>9235.1423250317403</c:v>
                </c:pt>
                <c:pt idx="610">
                  <c:v>9122.9084270155417</c:v>
                </c:pt>
                <c:pt idx="611">
                  <c:v>8984.903306960503</c:v>
                </c:pt>
                <c:pt idx="612">
                  <c:v>8839.4794132997849</c:v>
                </c:pt>
                <c:pt idx="613">
                  <c:v>8705.8467755470811</c:v>
                </c:pt>
                <c:pt idx="614">
                  <c:v>8601.4429140424272</c:v>
                </c:pt>
                <c:pt idx="615">
                  <c:v>8539.6228920007816</c:v>
                </c:pt>
                <c:pt idx="616">
                  <c:v>8528.0199982707691</c:v>
                </c:pt>
                <c:pt idx="617">
                  <c:v>8567.7402547038073</c:v>
                </c:pt>
                <c:pt idx="618">
                  <c:v>8653.3755630626783</c:v>
                </c:pt>
                <c:pt idx="619">
                  <c:v>8773.7384592349426</c:v>
                </c:pt>
                <c:pt idx="620">
                  <c:v>8913.2246606661429</c:v>
                </c:pt>
                <c:pt idx="621">
                  <c:v>9053.7152355768194</c:v>
                </c:pt>
                <c:pt idx="622">
                  <c:v>9176.869557809885</c:v>
                </c:pt>
                <c:pt idx="623">
                  <c:v>9266.5427708793923</c:v>
                </c:pt>
                <c:pt idx="624">
                  <c:v>9310.9689229214455</c:v>
                </c:pt>
                <c:pt idx="625">
                  <c:v>9304.3614459417495</c:v>
                </c:pt>
                <c:pt idx="626">
                  <c:v>9247.6956680291551</c:v>
                </c:pt>
                <c:pt idx="627">
                  <c:v>9148.5825822148108</c:v>
                </c:pt>
                <c:pt idx="628">
                  <c:v>9020.2583360960652</c:v>
                </c:pt>
                <c:pt idx="629">
                  <c:v>8879.8036555991675</c:v>
                </c:pt>
                <c:pt idx="630">
                  <c:v>8745.8106710485117</c:v>
                </c:pt>
                <c:pt idx="631">
                  <c:v>8635.8344526129167</c:v>
                </c:pt>
                <c:pt idx="632">
                  <c:v>8564.041181394572</c:v>
                </c:pt>
                <c:pt idx="633">
                  <c:v>8539.4220101877545</c:v>
                </c:pt>
                <c:pt idx="634">
                  <c:v>8564.7841775603938</c:v>
                </c:pt>
                <c:pt idx="635">
                  <c:v>8636.5502256239542</c:v>
                </c:pt>
                <c:pt idx="636">
                  <c:v>8745.2887573116732</c:v>
                </c:pt>
                <c:pt idx="637">
                  <c:v>8876.8822722753503</c:v>
                </c:pt>
                <c:pt idx="638">
                  <c:v>9014.2453230475749</c:v>
                </c:pt>
                <c:pt idx="639">
                  <c:v>9139.4660080616577</c:v>
                </c:pt>
                <c:pt idx="640">
                  <c:v>9236.1427609323873</c:v>
                </c:pt>
                <c:pt idx="641">
                  <c:v>9291.5882299309978</c:v>
                </c:pt>
                <c:pt idx="642">
                  <c:v>9298.5533495919026</c:v>
                </c:pt>
                <c:pt idx="643">
                  <c:v>9256.2097569492507</c:v>
                </c:pt>
                <c:pt idx="644">
                  <c:v>9170.2647746363473</c:v>
                </c:pt>
                <c:pt idx="645">
                  <c:v>9052.2046965370191</c:v>
                </c:pt>
                <c:pt idx="646">
                  <c:v>8917.7549003640324</c:v>
                </c:pt>
                <c:pt idx="647">
                  <c:v>8784.7405251037835</c:v>
                </c:pt>
                <c:pt idx="648">
                  <c:v>8670.6444174449007</c:v>
                </c:pt>
                <c:pt idx="649">
                  <c:v>8590.2468062948301</c:v>
                </c:pt>
                <c:pt idx="650">
                  <c:v>8553.7227771218004</c:v>
                </c:pt>
                <c:pt idx="651">
                  <c:v>8565.4489254669334</c:v>
                </c:pt>
                <c:pt idx="652">
                  <c:v>8623.5964341544877</c:v>
                </c:pt>
                <c:pt idx="653">
                  <c:v>8720.4610073812146</c:v>
                </c:pt>
                <c:pt idx="654">
                  <c:v>8843.4396458427564</c:v>
                </c:pt>
                <c:pt idx="655">
                  <c:v>8976.5675548617655</c:v>
                </c:pt>
                <c:pt idx="656">
                  <c:v>9102.5036885524223</c:v>
                </c:pt>
                <c:pt idx="657">
                  <c:v>9204.7701619331947</c:v>
                </c:pt>
                <c:pt idx="658">
                  <c:v>9269.9499507104829</c:v>
                </c:pt>
                <c:pt idx="659">
                  <c:v>9289.5053801121194</c:v>
                </c:pt>
                <c:pt idx="660">
                  <c:v>9260.9364761101297</c:v>
                </c:pt>
                <c:pt idx="661">
                  <c:v>9188.1206781272595</c:v>
                </c:pt>
                <c:pt idx="662">
                  <c:v>9080.7998027626672</c:v>
                </c:pt>
                <c:pt idx="663">
                  <c:v>8953.2775254080843</c:v>
                </c:pt>
                <c:pt idx="664">
                  <c:v>8822.4810449301294</c:v>
                </c:pt>
                <c:pt idx="665">
                  <c:v>8705.645890566564</c:v>
                </c:pt>
                <c:pt idx="666">
                  <c:v>8617.9774008573586</c:v>
                </c:pt>
                <c:pt idx="667">
                  <c:v>8570.6621475096581</c:v>
                </c:pt>
                <c:pt idx="668">
                  <c:v>8569.5112115557877</c:v>
                </c:pt>
                <c:pt idx="669">
                  <c:v>8614.3569672846224</c:v>
                </c:pt>
                <c:pt idx="670">
                  <c:v>8699.1857508689063</c:v>
                </c:pt>
                <c:pt idx="671">
                  <c:v>8812.9263890451693</c:v>
                </c:pt>
                <c:pt idx="672">
                  <c:v>8940.8083801308603</c:v>
                </c:pt>
                <c:pt idx="673">
                  <c:v>9066.188764831275</c:v>
                </c:pt>
                <c:pt idx="674">
                  <c:v>9172.6808377122888</c:v>
                </c:pt>
                <c:pt idx="675">
                  <c:v>9246.3218080214283</c:v>
                </c:pt>
                <c:pt idx="676">
                  <c:v>9277.4576859854151</c:v>
                </c:pt>
                <c:pt idx="677">
                  <c:v>9262.0530336858592</c:v>
                </c:pt>
                <c:pt idx="678">
                  <c:v>9202.2379589533157</c:v>
                </c:pt>
                <c:pt idx="679">
                  <c:v>9106.0279670149212</c:v>
                </c:pt>
                <c:pt idx="680">
                  <c:v>8986.2544225617348</c:v>
                </c:pt>
                <c:pt idx="681">
                  <c:v>8858.8318283764675</c:v>
                </c:pt>
                <c:pt idx="682">
                  <c:v>8740.5862308100841</c:v>
                </c:pt>
                <c:pt idx="683">
                  <c:v>8646.9657677829455</c:v>
                </c:pt>
                <c:pt idx="684">
                  <c:v>8589.9958705365516</c:v>
                </c:pt>
                <c:pt idx="685">
                  <c:v>8576.7821542924867</c:v>
                </c:pt>
                <c:pt idx="686">
                  <c:v>8608.7231362515267</c:v>
                </c:pt>
                <c:pt idx="687">
                  <c:v>8681.4502577677122</c:v>
                </c:pt>
                <c:pt idx="688">
                  <c:v>8785.4306433089805</c:v>
                </c:pt>
                <c:pt idx="689">
                  <c:v>8907.1487787578299</c:v>
                </c:pt>
                <c:pt idx="690">
                  <c:v>9030.7732327087306</c:v>
                </c:pt>
                <c:pt idx="691">
                  <c:v>9140.1642264571219</c:v>
                </c:pt>
                <c:pt idx="692">
                  <c:v>9220.9903845644058</c:v>
                </c:pt>
                <c:pt idx="693">
                  <c:v>9262.6533850635242</c:v>
                </c:pt>
                <c:pt idx="694">
                  <c:v>9259.7240873896499</c:v>
                </c:pt>
                <c:pt idx="695">
                  <c:v>9212.6780942456808</c:v>
                </c:pt>
                <c:pt idx="696">
                  <c:v>9127.8366063439225</c:v>
                </c:pt>
                <c:pt idx="697">
                  <c:v>9016.5242942705427</c:v>
                </c:pt>
                <c:pt idx="698">
                  <c:v>8893.5446200466886</c:v>
                </c:pt>
                <c:pt idx="699">
                  <c:v>8775.1652363491485</c:v>
                </c:pt>
                <c:pt idx="700">
                  <c:v>8676.9017802030448</c:v>
                </c:pt>
                <c:pt idx="701">
                  <c:v>8611.4456897262608</c:v>
                </c:pt>
                <c:pt idx="702">
                  <c:v>8587.0512019304715</c:v>
                </c:pt>
                <c:pt idx="703">
                  <c:v>8606.5787300554784</c:v>
                </c:pt>
                <c:pt idx="704">
                  <c:v>8667.2484903103195</c:v>
                </c:pt>
                <c:pt idx="705">
                  <c:v>8761.0601911565009</c:v>
                </c:pt>
                <c:pt idx="706">
                  <c:v>8875.800278311799</c:v>
                </c:pt>
                <c:pt idx="707">
                  <c:v>8996.5479780936676</c:v>
                </c:pt>
                <c:pt idx="708">
                  <c:v>9107.5538064635748</c:v>
                </c:pt>
                <c:pt idx="709">
                  <c:v>9194.2875280859498</c:v>
                </c:pt>
                <c:pt idx="710">
                  <c:v>9245.3776971571169</c:v>
                </c:pt>
                <c:pt idx="711">
                  <c:v>9254.1489888212873</c:v>
                </c:pt>
                <c:pt idx="712">
                  <c:v>9219.526314390585</c:v>
                </c:pt>
                <c:pt idx="713">
                  <c:v>9146.1833943758393</c:v>
                </c:pt>
                <c:pt idx="714">
                  <c:v>9043.9210909783123</c:v>
                </c:pt>
                <c:pt idx="715">
                  <c:v>8926.3511210765082</c:v>
                </c:pt>
                <c:pt idx="716">
                  <c:v>8809.0487118623987</c:v>
                </c:pt>
                <c:pt idx="717">
                  <c:v>8707.43060942599</c:v>
                </c:pt>
                <c:pt idx="718">
                  <c:v>8634.6827994426076</c:v>
                </c:pt>
                <c:pt idx="719">
                  <c:v>8600.0570130859069</c:v>
                </c:pt>
                <c:pt idx="720">
                  <c:v>8607.7618449572492</c:v>
                </c:pt>
                <c:pt idx="721">
                  <c:v>8656.5382374722521</c:v>
                </c:pt>
                <c:pt idx="722">
                  <c:v>8739.8995333149269</c:v>
                </c:pt>
                <c:pt idx="723">
                  <c:v>8846.9664237747293</c:v>
                </c:pt>
                <c:pt idx="724">
                  <c:v>8963.812546745181</c:v>
                </c:pt>
                <c:pt idx="725">
                  <c:v>9075.2082224700025</c:v>
                </c:pt>
                <c:pt idx="726">
                  <c:v>9166.584714668561</c:v>
                </c:pt>
                <c:pt idx="727">
                  <c:v>9225.9659605299057</c:v>
                </c:pt>
                <c:pt idx="728">
                  <c:v>9245.5823028124942</c:v>
                </c:pt>
                <c:pt idx="729">
                  <c:v>9222.9220817337755</c:v>
                </c:pt>
                <c:pt idx="730">
                  <c:v>9161.0731539716362</c:v>
                </c:pt>
                <c:pt idx="731">
                  <c:v>9068.3132307362648</c:v>
                </c:pt>
                <c:pt idx="732">
                  <c:v>8957.0003263232156</c:v>
                </c:pt>
                <c:pt idx="733">
                  <c:v>8841.8999729712123</c:v>
                </c:pt>
                <c:pt idx="734">
                  <c:v>8738.1751090324105</c:v>
                </c:pt>
                <c:pt idx="735">
                  <c:v>8659.3388935978182</c:v>
                </c:pt>
                <c:pt idx="736">
                  <c:v>8615.4863146122916</c:v>
                </c:pt>
                <c:pt idx="737">
                  <c:v>8612.0520989017259</c:v>
                </c:pt>
                <c:pt idx="738">
                  <c:v>8649.2184413987961</c:v>
                </c:pt>
                <c:pt idx="739">
                  <c:v>8721.9799759618018</c:v>
                </c:pt>
                <c:pt idx="740">
                  <c:v>8820.8088611270359</c:v>
                </c:pt>
                <c:pt idx="741">
                  <c:v>8932.8407931345428</c:v>
                </c:pt>
                <c:pt idx="742">
                  <c:v>9043.4801418970219</c:v>
                </c:pt>
                <c:pt idx="743">
                  <c:v>9138.2684742824131</c:v>
                </c:pt>
                <c:pt idx="744">
                  <c:v>9204.7882760937591</c:v>
                </c:pt>
                <c:pt idx="745">
                  <c:v>9234.3292327947911</c:v>
                </c:pt>
                <c:pt idx="746">
                  <c:v>9223.0655956574337</c:v>
                </c:pt>
                <c:pt idx="747">
                  <c:v>9172.5745169213242</c:v>
                </c:pt>
                <c:pt idx="748">
                  <c:v>9089.6284362191182</c:v>
                </c:pt>
                <c:pt idx="749">
                  <c:v>8985.2887253622121</c:v>
                </c:pt>
                <c:pt idx="750">
                  <c:v>8873.4120224360468</c:v>
                </c:pt>
                <c:pt idx="751">
                  <c:v>8768.7663667011111</c:v>
                </c:pt>
                <c:pt idx="752">
                  <c:v>8685.0317520788685</c:v>
                </c:pt>
                <c:pt idx="753">
                  <c:v>8632.9918924918693</c:v>
                </c:pt>
                <c:pt idx="754">
                  <c:v>8619.1793895663632</c:v>
                </c:pt>
                <c:pt idx="755">
                  <c:v>8645.1281390070835</c:v>
                </c:pt>
                <c:pt idx="756">
                  <c:v>8707.2691416138678</c:v>
                </c:pt>
                <c:pt idx="757">
                  <c:v>8797.4286600727592</c:v>
                </c:pt>
                <c:pt idx="758">
                  <c:v>8903.8560315767099</c:v>
                </c:pt>
                <c:pt idx="759">
                  <c:v>9012.6879247859906</c:v>
                </c:pt>
                <c:pt idx="760">
                  <c:v>9109.711724022307</c:v>
                </c:pt>
                <c:pt idx="761">
                  <c:v>9182.2237265084605</c:v>
                </c:pt>
                <c:pt idx="762">
                  <c:v>9220.7255871091766</c:v>
                </c:pt>
                <c:pt idx="763">
                  <c:v>9220.2056488315557</c:v>
                </c:pt>
                <c:pt idx="764">
                  <c:v>9180.8168902790712</c:v>
                </c:pt>
                <c:pt idx="765">
                  <c:v>9107.8600257531671</c:v>
                </c:pt>
                <c:pt idx="766">
                  <c:v>9011.075107172388</c:v>
                </c:pt>
                <c:pt idx="767">
                  <c:v>8903.3290800957657</c:v>
                </c:pt>
                <c:pt idx="768">
                  <c:v>8798.8693810287059</c:v>
                </c:pt>
                <c:pt idx="769">
                  <c:v>8711.392057896197</c:v>
                </c:pt>
                <c:pt idx="770">
                  <c:v>8652.2175638525623</c:v>
                </c:pt>
                <c:pt idx="771">
                  <c:v>8628.8444351845083</c:v>
                </c:pt>
                <c:pt idx="772">
                  <c:v>8644.0605970213273</c:v>
                </c:pt>
                <c:pt idx="773">
                  <c:v>8695.6774105285513</c:v>
                </c:pt>
                <c:pt idx="774">
                  <c:v>8776.8644973340997</c:v>
                </c:pt>
                <c:pt idx="775">
                  <c:v>8877.021186376689</c:v>
                </c:pt>
                <c:pt idx="776">
                  <c:v>8983.0988243855099</c:v>
                </c:pt>
                <c:pt idx="777">
                  <c:v>9081.2519312878121</c:v>
                </c:pt>
                <c:pt idx="778">
                  <c:v>9158.6360358725506</c:v>
                </c:pt>
                <c:pt idx="779">
                  <c:v>9205.1137434119792</c:v>
                </c:pt>
                <c:pt idx="780">
                  <c:v>9214.6186100698487</c:v>
                </c:pt>
                <c:pt idx="781">
                  <c:v>9185.9747779633981</c:v>
                </c:pt>
                <c:pt idx="782">
                  <c:v>9123.0582752374594</c:v>
                </c:pt>
                <c:pt idx="783">
                  <c:v>9034.279856921019</c:v>
                </c:pt>
                <c:pt idx="784">
                  <c:v>8931.4537585060989</c:v>
                </c:pt>
                <c:pt idx="785">
                  <c:v>8828.1970881601646</c:v>
                </c:pt>
                <c:pt idx="786">
                  <c:v>8738.0824465403857</c:v>
                </c:pt>
                <c:pt idx="787">
                  <c:v>8672.8199483974659</c:v>
                </c:pt>
                <c:pt idx="788">
                  <c:v>8640.7408441779608</c:v>
                </c:pt>
                <c:pt idx="789">
                  <c:v>8645.7833850309198</c:v>
                </c:pt>
                <c:pt idx="790">
                  <c:v>8687.0739752926329</c:v>
                </c:pt>
                <c:pt idx="791">
                  <c:v>8759.103052691833</c:v>
                </c:pt>
                <c:pt idx="792">
                  <c:v>8852.4424179915131</c:v>
                </c:pt>
                <c:pt idx="793">
                  <c:v>8954.9254432685284</c:v>
                </c:pt>
                <c:pt idx="794">
                  <c:v>9053.1808414772549</c:v>
                </c:pt>
                <c:pt idx="795">
                  <c:v>9134.3578329567936</c:v>
                </c:pt>
                <c:pt idx="796">
                  <c:v>9187.8233497691981</c:v>
                </c:pt>
                <c:pt idx="797">
                  <c:v>9206.5878341536554</c:v>
                </c:pt>
                <c:pt idx="798">
                  <c:v>9188.2482695348772</c:v>
                </c:pt>
                <c:pt idx="799">
                  <c:v>9135.3142086885546</c:v>
                </c:pt>
                <c:pt idx="800">
                  <c:v>9054.8738741860161</c:v>
                </c:pt>
                <c:pt idx="801">
                  <c:v>8957.6422877822333</c:v>
                </c:pt>
                <c:pt idx="802">
                  <c:v>8856.5122463396237</c:v>
                </c:pt>
                <c:pt idx="803">
                  <c:v>8764.8055623289147</c:v>
                </c:pt>
                <c:pt idx="804">
                  <c:v>8694.481530219824</c:v>
                </c:pt>
                <c:pt idx="805">
                  <c:v>8654.5715834293151</c:v>
                </c:pt>
                <c:pt idx="806">
                  <c:v>8650.0564296499088</c:v>
                </c:pt>
                <c:pt idx="807">
                  <c:v>8681.3045746526132</c:v>
                </c:pt>
                <c:pt idx="808">
                  <c:v>8744.0945397929172</c:v>
                </c:pt>
                <c:pt idx="809">
                  <c:v>8830.1807456877359</c:v>
                </c:pt>
                <c:pt idx="810">
                  <c:v>8928.332138249878</c:v>
                </c:pt>
                <c:pt idx="811">
                  <c:v>9025.7449700424513</c:v>
                </c:pt>
                <c:pt idx="812">
                  <c:v>9109.6852702941123</c:v>
                </c:pt>
                <c:pt idx="813">
                  <c:v>9169.1608195205808</c:v>
                </c:pt>
                <c:pt idx="814">
                  <c:v>9196.3893557364026</c:v>
                </c:pt>
                <c:pt idx="815">
                  <c:v>9187.8466580216209</c:v>
                </c:pt>
                <c:pt idx="816">
                  <c:v>9144.7430817653749</c:v>
                </c:pt>
                <c:pt idx="817">
                  <c:v>9072.8638631967988</c:v>
                </c:pt>
                <c:pt idx="818">
                  <c:v>8981.7932926081685</c:v>
                </c:pt>
                <c:pt idx="819">
                  <c:v>8883.6208701798041</c:v>
                </c:pt>
                <c:pt idx="820">
                  <c:v>8791.3026699651782</c:v>
                </c:pt>
                <c:pt idx="821">
                  <c:v>8716.9143337741552</c:v>
                </c:pt>
                <c:pt idx="822">
                  <c:v>8670.0570989729549</c:v>
                </c:pt>
                <c:pt idx="823">
                  <c:v>8656.6435870222631</c:v>
                </c:pt>
                <c:pt idx="824">
                  <c:v>8678.2052370860238</c:v>
                </c:pt>
                <c:pt idx="825">
                  <c:v>8731.7671158993962</c:v>
                </c:pt>
                <c:pt idx="826">
                  <c:v>8810.2655024198139</c:v>
                </c:pt>
                <c:pt idx="827">
                  <c:v>8903.4459709049042</c:v>
                </c:pt>
                <c:pt idx="828">
                  <c:v>8999.1528017869714</c:v>
                </c:pt>
                <c:pt idx="829">
                  <c:v>9084.8807157802603</c:v>
                </c:pt>
                <c:pt idx="830">
                  <c:v>9149.4073291248133</c:v>
                </c:pt>
                <c:pt idx="831">
                  <c:v>9184.2855579908846</c:v>
                </c:pt>
                <c:pt idx="832">
                  <c:v>9184.9786255285453</c:v>
                </c:pt>
                <c:pt idx="833">
                  <c:v>9151.4723200089284</c:v>
                </c:pt>
                <c:pt idx="834">
                  <c:v>9088.2795137351932</c:v>
                </c:pt>
                <c:pt idx="835">
                  <c:v>9003.8357593289566</c:v>
                </c:pt>
                <c:pt idx="836">
                  <c:v>8909.3623444340537</c:v>
                </c:pt>
                <c:pt idx="837">
                  <c:v>8817.3469038961975</c:v>
                </c:pt>
                <c:pt idx="838">
                  <c:v>8739.8568547735431</c:v>
                </c:pt>
                <c:pt idx="839">
                  <c:v>8686.9360647479716</c:v>
                </c:pt>
                <c:pt idx="840">
                  <c:v>8665.3169968613438</c:v>
                </c:pt>
                <c:pt idx="841">
                  <c:v>8677.609706832136</c:v>
                </c:pt>
                <c:pt idx="842">
                  <c:v>8722.0365309028912</c:v>
                </c:pt>
                <c:pt idx="843">
                  <c:v>8792.7050817245981</c:v>
                </c:pt>
                <c:pt idx="844">
                  <c:v>8880.3672714152672</c:v>
                </c:pt>
                <c:pt idx="845">
                  <c:v>8973.5839234940668</c:v>
                </c:pt>
                <c:pt idx="846">
                  <c:v>9060.1794281120729</c:v>
                </c:pt>
                <c:pt idx="847">
                  <c:v>9128.8223560837669</c:v>
                </c:pt>
                <c:pt idx="848">
                  <c:v>9170.5252842697337</c:v>
                </c:pt>
                <c:pt idx="849">
                  <c:v>9179.8490352572171</c:v>
                </c:pt>
                <c:pt idx="850">
                  <c:v>9155.6354801803209</c:v>
                </c:pt>
                <c:pt idx="851">
                  <c:v>9101.1654558843202</c:v>
                </c:pt>
                <c:pt idx="852">
                  <c:v>9023.7200296259707</c:v>
                </c:pt>
                <c:pt idx="853">
                  <c:v>8933.600549272227</c:v>
                </c:pt>
                <c:pt idx="854">
                  <c:v>8842.7354922959476</c:v>
                </c:pt>
                <c:pt idx="855">
                  <c:v>8763.0681245083815</c:v>
                </c:pt>
                <c:pt idx="856">
                  <c:v>8704.9617889979618</c:v>
                </c:pt>
                <c:pt idx="857">
                  <c:v>8675.8561097542388</c:v>
                </c:pt>
                <c:pt idx="858">
                  <c:v>8679.351138056516</c:v>
                </c:pt>
                <c:pt idx="859">
                  <c:v>8714.8102609305788</c:v>
                </c:pt>
                <c:pt idx="860">
                  <c:v>8777.4929870337364</c:v>
                </c:pt>
                <c:pt idx="861">
                  <c:v>8859.1768295326801</c:v>
                </c:pt>
                <c:pt idx="862">
                  <c:v>8949.1964539872406</c:v>
                </c:pt>
                <c:pt idx="863">
                  <c:v>9035.7963452965414</c:v>
                </c:pt>
                <c:pt idx="864">
                  <c:v>9107.6490847390232</c:v>
                </c:pt>
                <c:pt idx="865">
                  <c:v>9155.3473222562534</c:v>
                </c:pt>
                <c:pt idx="866">
                  <c:v>9172.660190083272</c:v>
                </c:pt>
                <c:pt idx="867">
                  <c:v>9157.3712436560672</c:v>
                </c:pt>
                <c:pt idx="868">
                  <c:v>9111.5782278016904</c:v>
                </c:pt>
                <c:pt idx="869">
                  <c:v>9041.4132260231017</c:v>
                </c:pt>
                <c:pt idx="870">
                  <c:v>8956.2183720110042</c:v>
                </c:pt>
                <c:pt idx="871">
                  <c:v>8867.2840051622552</c:v>
                </c:pt>
                <c:pt idx="872">
                  <c:v>8786.3222806192862</c:v>
                </c:pt>
                <c:pt idx="873">
                  <c:v>8723.8976088117324</c:v>
                </c:pt>
                <c:pt idx="874">
                  <c:v>8688.0443284339381</c:v>
                </c:pt>
                <c:pt idx="875">
                  <c:v>8683.2603088650612</c:v>
                </c:pt>
                <c:pt idx="876">
                  <c:v>8709.9874650402162</c:v>
                </c:pt>
                <c:pt idx="877">
                  <c:v>8764.6094828377409</c:v>
                </c:pt>
                <c:pt idx="878">
                  <c:v>8839.9389610069338</c:v>
                </c:pt>
                <c:pt idx="879">
                  <c:v>8926.1310728476983</c:v>
                </c:pt>
                <c:pt idx="880">
                  <c:v>9011.9305471062326</c:v>
                </c:pt>
                <c:pt idx="881">
                  <c:v>9086.1187847225556</c:v>
                </c:pt>
                <c:pt idx="882">
                  <c:v>9138.9842388388479</c:v>
                </c:pt>
                <c:pt idx="883">
                  <c:v>9163.6147481832522</c:v>
                </c:pt>
                <c:pt idx="884">
                  <c:v>9156.8251542198195</c:v>
                </c:pt>
                <c:pt idx="885">
                  <c:v>9119.5867335473176</c:v>
                </c:pt>
                <c:pt idx="886">
                  <c:v>9056.8984972751914</c:v>
                </c:pt>
                <c:pt idx="887">
                  <c:v>8977.1159397073916</c:v>
                </c:pt>
                <c:pt idx="888">
                  <c:v>8890.8238355775138</c:v>
                </c:pt>
                <c:pt idx="889">
                  <c:v>8809.4055671466049</c:v>
                </c:pt>
                <c:pt idx="890">
                  <c:v>8743.5136829163257</c:v>
                </c:pt>
                <c:pt idx="891">
                  <c:v>8701.665892565994</c:v>
                </c:pt>
                <c:pt idx="892">
                  <c:v>8689.16292014393</c:v>
                </c:pt>
                <c:pt idx="893">
                  <c:v>8707.4569927197535</c:v>
                </c:pt>
                <c:pt idx="894">
                  <c:v>8754.0205053004647</c:v>
                </c:pt>
                <c:pt idx="895">
                  <c:v>8822.7013696858485</c:v>
                </c:pt>
                <c:pt idx="896">
                  <c:v>8904.5117470151381</c:v>
                </c:pt>
                <c:pt idx="897">
                  <c:v>8988.7666770967844</c:v>
                </c:pt>
                <c:pt idx="898">
                  <c:v>9064.452729350849</c:v>
                </c:pt>
                <c:pt idx="899">
                  <c:v>9121.6645868920368</c:v>
                </c:pt>
                <c:pt idx="900">
                  <c:v>9152.9180017983781</c:v>
                </c:pt>
                <c:pt idx="901">
                  <c:v>9154.151755039964</c:v>
                </c:pt>
                <c:pt idx="902">
                  <c:v>9125.2740585304346</c:v>
                </c:pt>
                <c:pt idx="903">
                  <c:v>9070.1763946330375</c:v>
                </c:pt>
                <c:pt idx="904">
                  <c:v>8996.2114970096009</c:v>
                </c:pt>
                <c:pt idx="905">
                  <c:v>8913.2025459697052</c:v>
                </c:pt>
                <c:pt idx="906">
                  <c:v>8832.1161180126492</c:v>
                </c:pt>
                <c:pt idx="907">
                  <c:v>8763.5861992468672</c:v>
                </c:pt>
                <c:pt idx="908">
                  <c:v>8716.5045596830278</c:v>
                </c:pt>
                <c:pt idx="909">
                  <c:v>8696.877888402536</c:v>
                </c:pt>
                <c:pt idx="910">
                  <c:v>8707.0954937712431</c:v>
                </c:pt>
                <c:pt idx="911">
                  <c:v>8745.6758011703532</c:v>
                </c:pt>
                <c:pt idx="912">
                  <c:v>8807.4934804901459</c:v>
                </c:pt>
                <c:pt idx="913">
                  <c:v>8884.4443628192112</c:v>
                </c:pt>
                <c:pt idx="914">
                  <c:v>8966.4739439310906</c:v>
                </c:pt>
                <c:pt idx="915">
                  <c:v>9042.8616303944036</c:v>
                </c:pt>
                <c:pt idx="916">
                  <c:v>9103.6128317933071</c:v>
                </c:pt>
                <c:pt idx="917">
                  <c:v>9140.7783230546102</c:v>
                </c:pt>
                <c:pt idx="918">
                  <c:v>9149.5155308360663</c:v>
                </c:pt>
                <c:pt idx="919">
                  <c:v>9128.7388395460639</c:v>
                </c:pt>
                <c:pt idx="920">
                  <c:v>9081.2665732954356</c:v>
                </c:pt>
                <c:pt idx="921">
                  <c:v>9013.4433183624442</c:v>
                </c:pt>
                <c:pt idx="922">
                  <c:v>8934.2858302198365</c:v>
                </c:pt>
                <c:pt idx="923">
                  <c:v>8854.2657584667086</c:v>
                </c:pt>
                <c:pt idx="924">
                  <c:v>8783.8987832258372</c:v>
                </c:pt>
                <c:pt idx="925">
                  <c:v>8732.3444276432147</c:v>
                </c:pt>
                <c:pt idx="926">
                  <c:v>8706.2174852289118</c:v>
                </c:pt>
                <c:pt idx="927">
                  <c:v>8708.7668843498086</c:v>
                </c:pt>
                <c:pt idx="928">
                  <c:v>8739.5078033402715</c:v>
                </c:pt>
                <c:pt idx="929">
                  <c:v>8794.3248369622197</c:v>
                </c:pt>
                <c:pt idx="930">
                  <c:v>8866.014769454554</c:v>
                </c:pt>
                <c:pt idx="931">
                  <c:v>8945.2039606217386</c:v>
                </c:pt>
                <c:pt idx="932">
                  <c:v>9021.5434688863152</c:v>
                </c:pt>
                <c:pt idx="933">
                  <c:v>9085.0474084756534</c:v>
                </c:pt>
                <c:pt idx="934">
                  <c:v>9127.4056818449426</c:v>
                </c:pt>
                <c:pt idx="935">
                  <c:v>9143.0900763016889</c:v>
                </c:pt>
                <c:pt idx="936">
                  <c:v>9130.0952040479788</c:v>
                </c:pt>
                <c:pt idx="937">
                  <c:v>9090.208548413686</c:v>
                </c:pt>
                <c:pt idx="938">
                  <c:v>9028.771246112623</c:v>
                </c:pt>
                <c:pt idx="939">
                  <c:v>8953.959701296546</c:v>
                </c:pt>
                <c:pt idx="940">
                  <c:v>8875.6826009920933</c:v>
                </c:pt>
                <c:pt idx="941">
                  <c:v>8804.2451773458415</c:v>
                </c:pt>
                <c:pt idx="942">
                  <c:v>8748.9723559964132</c:v>
                </c:pt>
                <c:pt idx="943">
                  <c:v>8716.9892152630564</c:v>
                </c:pt>
                <c:pt idx="944">
                  <c:v>8712.3234938542537</c:v>
                </c:pt>
                <c:pt idx="945">
                  <c:v>8735.4319519800956</c:v>
                </c:pt>
                <c:pt idx="946">
                  <c:v>8783.1845694284693</c:v>
                </c:pt>
                <c:pt idx="947">
                  <c:v>8849.2874224778952</c:v>
                </c:pt>
                <c:pt idx="948">
                  <c:v>8925.0886623199822</c:v>
                </c:pt>
                <c:pt idx="949">
                  <c:v>9000.6808799509217</c:v>
                </c:pt>
                <c:pt idx="950">
                  <c:v>9066.1778586249984</c:v>
                </c:pt>
                <c:pt idx="951">
                  <c:v>9113.0088750803661</c:v>
                </c:pt>
                <c:pt idx="952">
                  <c:v>9135.0557551279453</c:v>
                </c:pt>
                <c:pt idx="953">
                  <c:v>9129.4711485153493</c:v>
                </c:pt>
                <c:pt idx="954">
                  <c:v>9097.0610068119258</c:v>
                </c:pt>
                <c:pt idx="955">
                  <c:v>9042.1770520039972</c:v>
                </c:pt>
                <c:pt idx="956">
                  <c:v>8972.131893270569</c:v>
                </c:pt>
                <c:pt idx="957">
                  <c:v>8896.2133306494034</c:v>
                </c:pt>
                <c:pt idx="958">
                  <c:v>8824.4321159242118</c:v>
                </c:pt>
                <c:pt idx="959">
                  <c:v>8766.1810559769892</c:v>
                </c:pt>
                <c:pt idx="960">
                  <c:v>8728.9987451812958</c:v>
                </c:pt>
                <c:pt idx="961">
                  <c:v>8717.6085138712442</c:v>
                </c:pt>
                <c:pt idx="962">
                  <c:v>8733.3484208600585</c:v>
                </c:pt>
                <c:pt idx="963">
                  <c:v>8774.0422254169916</c:v>
                </c:pt>
                <c:pt idx="964">
                  <c:v>8834.3052118167925</c:v>
                </c:pt>
                <c:pt idx="965">
                  <c:v>8906.2391124641126</c:v>
                </c:pt>
                <c:pt idx="966">
                  <c:v>8980.4390362224203</c:v>
                </c:pt>
                <c:pt idx="967">
                  <c:v>9047.2020216430155</c:v>
                </c:pt>
                <c:pt idx="968">
                  <c:v>9097.7923609708996</c:v>
                </c:pt>
                <c:pt idx="969">
                  <c:v>9125.5965651532078</c:v>
                </c:pt>
                <c:pt idx="970">
                  <c:v>9127.0058184245954</c:v>
                </c:pt>
                <c:pt idx="971">
                  <c:v>9101.8998400335713</c:v>
                </c:pt>
                <c:pt idx="972">
                  <c:v>9053.6634805410849</c:v>
                </c:pt>
                <c:pt idx="973">
                  <c:v>8988.7320518645411</c:v>
                </c:pt>
                <c:pt idx="974">
                  <c:v>8915.7245229220316</c:v>
                </c:pt>
                <c:pt idx="975">
                  <c:v>8844.2815853311513</c:v>
                </c:pt>
                <c:pt idx="976">
                  <c:v>8783.7719806782843</c:v>
                </c:pt>
                <c:pt idx="977">
                  <c:v>8742.0530536125025</c:v>
                </c:pt>
                <c:pt idx="978">
                  <c:v>8724.45904530808</c:v>
                </c:pt>
                <c:pt idx="979">
                  <c:v>8733.1447408972344</c:v>
                </c:pt>
                <c:pt idx="980">
                  <c:v>8766.8496970539436</c:v>
                </c:pt>
                <c:pt idx="981">
                  <c:v>8821.0904735813438</c:v>
                </c:pt>
                <c:pt idx="982">
                  <c:v>8888.7454568933736</c:v>
                </c:pt>
                <c:pt idx="983">
                  <c:v>8960.9645185687896</c:v>
                </c:pt>
                <c:pt idx="984">
                  <c:v>9028.303940358921</c:v>
                </c:pt>
                <c:pt idx="985">
                  <c:v>9081.9534548110096</c:v>
                </c:pt>
                <c:pt idx="986">
                  <c:v>9114.8969749115695</c:v>
                </c:pt>
                <c:pt idx="987">
                  <c:v>9122.8463787852415</c:v>
                </c:pt>
                <c:pt idx="988">
                  <c:v>9104.815437619287</c:v>
                </c:pt>
                <c:pt idx="989">
                  <c:v>9063.2523076533926</c:v>
                </c:pt>
                <c:pt idx="990">
                  <c:v>9003.7108093089792</c:v>
                </c:pt>
                <c:pt idx="991">
                  <c:v>8934.1028468503591</c:v>
                </c:pt>
                <c:pt idx="992">
                  <c:v>8863.6321023887776</c:v>
                </c:pt>
                <c:pt idx="993">
                  <c:v>8801.5574761361622</c:v>
                </c:pt>
                <c:pt idx="994">
                  <c:v>8755.9631563731655</c:v>
                </c:pt>
                <c:pt idx="995">
                  <c:v>8732.7090649973634</c:v>
                </c:pt>
                <c:pt idx="996">
                  <c:v>8734.6986812065552</c:v>
                </c:pt>
                <c:pt idx="997">
                  <c:v>8761.5437096133628</c:v>
                </c:pt>
                <c:pt idx="998">
                  <c:v>8809.6468072335228</c:v>
                </c:pt>
                <c:pt idx="999">
                  <c:v>8872.6778428985435</c:v>
                </c:pt>
                <c:pt idx="1000">
                  <c:v>8942.3852044764881</c:v>
                </c:pt>
                <c:pt idx="1001">
                  <c:v>9009.6527193101447</c:v>
                </c:pt>
                <c:pt idx="1002">
                  <c:v>9065.6803013138888</c:v>
                </c:pt>
                <c:pt idx="1003">
                  <c:v>9103.1392734690744</c:v>
                </c:pt>
                <c:pt idx="1004">
                  <c:v>9117.1450807765359</c:v>
                </c:pt>
                <c:pt idx="1005">
                  <c:v>9105.9098416510424</c:v>
                </c:pt>
                <c:pt idx="1006">
                  <c:v>9070.9819451053118</c:v>
                </c:pt>
                <c:pt idx="1007">
                  <c:v>9017.0381458651755</c:v>
                </c:pt>
                <c:pt idx="1008">
                  <c:v>8951.2543854905944</c:v>
                </c:pt>
                <c:pt idx="1009">
                  <c:v>8882.3390515090578</c:v>
                </c:pt>
                <c:pt idx="1010">
                  <c:v>8819.362044983669</c:v>
                </c:pt>
                <c:pt idx="1011">
                  <c:v>8770.5460939001441</c:v>
                </c:pt>
                <c:pt idx="1012">
                  <c:v>8742.1918739257835</c:v>
                </c:pt>
                <c:pt idx="1013">
                  <c:v>8737.880874874485</c:v>
                </c:pt>
                <c:pt idx="1014">
                  <c:v>8758.04833817494</c:v>
                </c:pt>
                <c:pt idx="1015">
                  <c:v>8799.9612006073803</c:v>
                </c:pt>
                <c:pt idx="1016">
                  <c:v>8858.087894039958</c:v>
                </c:pt>
                <c:pt idx="1017">
                  <c:v>8924.8108974724528</c:v>
                </c:pt>
                <c:pt idx="1018">
                  <c:v>8991.4022208616061</c:v>
                </c:pt>
                <c:pt idx="1019">
                  <c:v>9049.1506805881345</c:v>
                </c:pt>
                <c:pt idx="1020">
                  <c:v>9090.5016520879435</c:v>
                </c:pt>
                <c:pt idx="1021">
                  <c:v>9110.0568763005049</c:v>
                </c:pt>
                <c:pt idx="1022">
                  <c:v>9105.2942058087592</c:v>
                </c:pt>
                <c:pt idx="1023">
                  <c:v>9076.9050742911131</c:v>
                </c:pt>
                <c:pt idx="1024">
                  <c:v>9028.7015069075951</c:v>
                </c:pt>
                <c:pt idx="1025">
                  <c:v>8967.1034750499675</c:v>
                </c:pt>
                <c:pt idx="1026">
                  <c:v>8900.2743712089014</c:v>
                </c:pt>
                <c:pt idx="1027">
                  <c:v>8837.0228748714744</c:v>
                </c:pt>
                <c:pt idx="1028">
                  <c:v>8785.6261844885976</c:v>
                </c:pt>
                <c:pt idx="1029">
                  <c:v>8752.7418880759797</c:v>
                </c:pt>
                <c:pt idx="1030">
                  <c:v>8742.5569269482748</c:v>
                </c:pt>
                <c:pt idx="1031">
                  <c:v>8756.2771961716553</c:v>
                </c:pt>
                <c:pt idx="1032">
                  <c:v>8792.006051463175</c:v>
                </c:pt>
                <c:pt idx="1033">
                  <c:v>8845.0103193128089</c:v>
                </c:pt>
                <c:pt idx="1034">
                  <c:v>8908.3343130865578</c:v>
                </c:pt>
                <c:pt idx="1035">
                  <c:v>8973.6912945038439</c:v>
                </c:pt>
                <c:pt idx="1036">
                  <c:v>9032.5314556593548</c:v>
                </c:pt>
                <c:pt idx="1037">
                  <c:v>9077.1569568443792</c:v>
                </c:pt>
                <c:pt idx="1038">
                  <c:v>9101.7376542658676</c:v>
                </c:pt>
                <c:pt idx="1039">
                  <c:v>9103.0867562690237</c:v>
                </c:pt>
                <c:pt idx="1040">
                  <c:v>9081.086605693401</c:v>
                </c:pt>
                <c:pt idx="1041">
                  <c:v>9038.7040350398129</c:v>
                </c:pt>
                <c:pt idx="1042">
                  <c:v>8981.5914425646861</c:v>
                </c:pt>
                <c:pt idx="1043">
                  <c:v>8917.3259465461779</c:v>
                </c:pt>
                <c:pt idx="1044">
                  <c:v>8854.3899266482222</c:v>
                </c:pt>
                <c:pt idx="1045">
                  <c:v>8801.0357483144489</c:v>
                </c:pt>
                <c:pt idx="1046">
                  <c:v>8764.1958694576988</c:v>
                </c:pt>
                <c:pt idx="1047">
                  <c:v>8748.5889881589173</c:v>
                </c:pt>
                <c:pt idx="1048">
                  <c:v>8756.1351691187992</c:v>
                </c:pt>
                <c:pt idx="1049">
                  <c:v>8785.7408632647384</c:v>
                </c:pt>
                <c:pt idx="1050">
                  <c:v>8833.4643640086106</c:v>
                </c:pt>
                <c:pt idx="1051">
                  <c:v>8893.0320922308638</c:v>
                </c:pt>
                <c:pt idx="1052">
                  <c:v>8956.6442118647137</c:v>
                </c:pt>
                <c:pt idx="1053">
                  <c:v>9015.9783726655423</c:v>
                </c:pt>
                <c:pt idx="1054">
                  <c:v>9063.2718930185856</c:v>
                </c:pt>
                <c:pt idx="1055">
                  <c:v>9092.3429714829199</c:v>
                </c:pt>
                <c:pt idx="1056">
                  <c:v>9099.4112313684418</c:v>
                </c:pt>
                <c:pt idx="1057">
                  <c:v>9083.6020453149249</c:v>
                </c:pt>
                <c:pt idx="1058">
                  <c:v>9047.0630910631226</c:v>
                </c:pt>
                <c:pt idx="1059">
                  <c:v>8994.6754855494382</c:v>
                </c:pt>
                <c:pt idx="1060">
                  <c:v>8933.396990227533</c:v>
                </c:pt>
                <c:pt idx="1061">
                  <c:v>8871.3258717633162</c:v>
                </c:pt>
                <c:pt idx="1062">
                  <c:v>8816.6155678599698</c:v>
                </c:pt>
                <c:pt idx="1063">
                  <c:v>8776.393812991877</c:v>
                </c:pt>
                <c:pt idx="1064">
                  <c:v>8755.8369394262591</c:v>
                </c:pt>
                <c:pt idx="1065">
                  <c:v>8757.5197538406046</c:v>
                </c:pt>
                <c:pt idx="1066">
                  <c:v>8781.113584996292</c:v>
                </c:pt>
                <c:pt idx="1067">
                  <c:v>8823.4549859303334</c:v>
                </c:pt>
                <c:pt idx="1068">
                  <c:v>8878.9656542516059</c:v>
                </c:pt>
                <c:pt idx="1069">
                  <c:v>8940.3710714884346</c:v>
                </c:pt>
                <c:pt idx="1070">
                  <c:v>8999.6359575426704</c:v>
                </c:pt>
                <c:pt idx="1071">
                  <c:v>9049.0064337304484</c:v>
                </c:pt>
                <c:pt idx="1072">
                  <c:v>9082.0270661805935</c:v>
                </c:pt>
                <c:pt idx="1073">
                  <c:v>9094.3956461583057</c:v>
                </c:pt>
                <c:pt idx="1074">
                  <c:v>9084.5361882455418</c:v>
                </c:pt>
                <c:pt idx="1075">
                  <c:v>9053.8090649330807</c:v>
                </c:pt>
                <c:pt idx="1076">
                  <c:v>9006.3277725038242</c:v>
                </c:pt>
                <c:pt idx="1077">
                  <c:v>8948.4055566463448</c:v>
                </c:pt>
                <c:pt idx="1078">
                  <c:v>8887.7060699062094</c:v>
                </c:pt>
                <c:pt idx="1079">
                  <c:v>8832.2153008659443</c:v>
                </c:pt>
                <c:pt idx="1080">
                  <c:v>8789.1797079040498</c:v>
                </c:pt>
                <c:pt idx="1081">
                  <c:v>8764.1593859422119</c:v>
                </c:pt>
                <c:pt idx="1082">
                  <c:v>8760.3221612479429</c:v>
                </c:pt>
                <c:pt idx="1083">
                  <c:v>8778.0616952565651</c:v>
                </c:pt>
                <c:pt idx="1084">
                  <c:v>8814.973788896039</c:v>
                </c:pt>
                <c:pt idx="1085">
                  <c:v>8866.1818513403196</c:v>
                </c:pt>
                <c:pt idx="1086">
                  <c:v>8924.968071502155</c:v>
                </c:pt>
                <c:pt idx="1087">
                  <c:v>8983.6373573654637</c:v>
                </c:pt>
                <c:pt idx="1088">
                  <c:v>9034.5132492175908</c:v>
                </c:pt>
                <c:pt idx="1089">
                  <c:v>9070.9419595380605</c:v>
                </c:pt>
                <c:pt idx="1090">
                  <c:v>9088.1711978595631</c:v>
                </c:pt>
                <c:pt idx="1091">
                  <c:v>9083.9819863093762</c:v>
                </c:pt>
                <c:pt idx="1092">
                  <c:v>9058.9843708570625</c:v>
                </c:pt>
                <c:pt idx="1093">
                  <c:v>9016.5347154397314</c:v>
                </c:pt>
                <c:pt idx="1094">
                  <c:v>8962.2841994709015</c:v>
                </c:pt>
                <c:pt idx="1095">
                  <c:v>8903.4186529605104</c:v>
                </c:pt>
                <c:pt idx="1096">
                  <c:v>8847.6939585761484</c:v>
                </c:pt>
                <c:pt idx="1097">
                  <c:v>8802.4023206646652</c:v>
                </c:pt>
                <c:pt idx="1098">
                  <c:v>8773.414626511174</c:v>
                </c:pt>
                <c:pt idx="1099">
                  <c:v>8764.428348859934</c:v>
                </c:pt>
                <c:pt idx="1100">
                  <c:v>8776.5131785838694</c:v>
                </c:pt>
                <c:pt idx="1101">
                  <c:v>8807.9998266914972</c:v>
                </c:pt>
              </c:numCache>
            </c:numRef>
          </c:xVal>
          <c:yVal>
            <c:numRef>
              <c:f>'Conditions initiales'!$C$43:$C$1144</c:f>
              <c:numCache>
                <c:formatCode>General</c:formatCode>
                <c:ptCount val="1102"/>
                <c:pt idx="0">
                  <c:v>0</c:v>
                </c:pt>
                <c:pt idx="1">
                  <c:v>0</c:v>
                </c:pt>
                <c:pt idx="2">
                  <c:v>-25.62866394494057</c:v>
                </c:pt>
                <c:pt idx="3">
                  <c:v>-75.466351885445533</c:v>
                </c:pt>
                <c:pt idx="4">
                  <c:v>-142.71859485940826</c:v>
                </c:pt>
                <c:pt idx="5">
                  <c:v>-215.47891459434885</c:v>
                </c:pt>
                <c:pt idx="6">
                  <c:v>-276.81517989996593</c:v>
                </c:pt>
                <c:pt idx="7">
                  <c:v>-304.86875806678455</c:v>
                </c:pt>
                <c:pt idx="8">
                  <c:v>-273.17359077347771</c:v>
                </c:pt>
                <c:pt idx="9">
                  <c:v>-151.39104058870441</c:v>
                </c:pt>
                <c:pt idx="10">
                  <c:v>93.385741753639195</c:v>
                </c:pt>
                <c:pt idx="11">
                  <c:v>494.64278552863158</c:v>
                </c:pt>
                <c:pt idx="12">
                  <c:v>1083.6077549515082</c:v>
                </c:pt>
                <c:pt idx="13">
                  <c:v>1885.1557513006992</c:v>
                </c:pt>
                <c:pt idx="14">
                  <c:v>2911.5659932914118</c:v>
                </c:pt>
                <c:pt idx="15">
                  <c:v>4152.7552036066354</c:v>
                </c:pt>
                <c:pt idx="16">
                  <c:v>5562.2400631720948</c:v>
                </c:pt>
                <c:pt idx="17">
                  <c:v>7042.5864410240647</c:v>
                </c:pt>
                <c:pt idx="18">
                  <c:v>8444.453103749107</c:v>
                </c:pt>
                <c:pt idx="19">
                  <c:v>9597.495824734593</c:v>
                </c:pt>
                <c:pt idx="20">
                  <c:v>10363.270672045468</c:v>
                </c:pt>
                <c:pt idx="21">
                  <c:v>10667.147397448553</c:v>
                </c:pt>
                <c:pt idx="22">
                  <c:v>10493.920070231736</c:v>
                </c:pt>
                <c:pt idx="23">
                  <c:v>9872.5328296443386</c:v>
                </c:pt>
                <c:pt idx="24">
                  <c:v>8869.8309054610672</c:v>
                </c:pt>
                <c:pt idx="25">
                  <c:v>7593.211705540034</c:v>
                </c:pt>
                <c:pt idx="26">
                  <c:v>6189.6604189032369</c:v>
                </c:pt>
                <c:pt idx="27">
                  <c:v>4824.883836666344</c:v>
                </c:pt>
                <c:pt idx="28">
                  <c:v>3643.241401010795</c:v>
                </c:pt>
                <c:pt idx="29">
                  <c:v>2737.5573574167183</c:v>
                </c:pt>
                <c:pt idx="30">
                  <c:v>2149.6120116079783</c:v>
                </c:pt>
                <c:pt idx="31">
                  <c:v>1888.2305312435601</c:v>
                </c:pt>
                <c:pt idx="32">
                  <c:v>1945.6569440667993</c:v>
                </c:pt>
                <c:pt idx="33">
                  <c:v>2305.9433823905401</c:v>
                </c:pt>
                <c:pt idx="34">
                  <c:v>2946.5487274178577</c:v>
                </c:pt>
                <c:pt idx="35">
                  <c:v>3835.0123184509716</c:v>
                </c:pt>
                <c:pt idx="36">
                  <c:v>4921.7237835003853</c:v>
                </c:pt>
                <c:pt idx="37">
                  <c:v>6130.4238581943173</c:v>
                </c:pt>
                <c:pt idx="38">
                  <c:v>7351.759037693796</c:v>
                </c:pt>
                <c:pt idx="39">
                  <c:v>8450.3231753460841</c:v>
                </c:pt>
                <c:pt idx="40">
                  <c:v>9291.8602580092775</c:v>
                </c:pt>
                <c:pt idx="41">
                  <c:v>9777.3744914399795</c:v>
                </c:pt>
                <c:pt idx="42">
                  <c:v>9860.1435488549923</c:v>
                </c:pt>
                <c:pt idx="43">
                  <c:v>9542.2013376484247</c:v>
                </c:pt>
                <c:pt idx="44">
                  <c:v>8865.6995946647603</c:v>
                </c:pt>
                <c:pt idx="45">
                  <c:v>7909.4210268295783</c:v>
                </c:pt>
                <c:pt idx="46">
                  <c:v>6788.1167117998712</c:v>
                </c:pt>
                <c:pt idx="47">
                  <c:v>5643.8644819485535</c:v>
                </c:pt>
                <c:pt idx="48">
                  <c:v>4620.2987965403036</c:v>
                </c:pt>
                <c:pt idx="49">
                  <c:v>3828.9052552701833</c:v>
                </c:pt>
                <c:pt idx="50">
                  <c:v>3331.5190608940725</c:v>
                </c:pt>
                <c:pt idx="51">
                  <c:v>3146.5037193093231</c:v>
                </c:pt>
                <c:pt idx="52">
                  <c:v>3263.9025937281303</c:v>
                </c:pt>
                <c:pt idx="53">
                  <c:v>3656.4539263432325</c:v>
                </c:pt>
                <c:pt idx="54">
                  <c:v>4283.629515112324</c:v>
                </c:pt>
                <c:pt idx="55">
                  <c:v>5090.7120315833181</c:v>
                </c:pt>
                <c:pt idx="56">
                  <c:v>6006.0990029622408</c:v>
                </c:pt>
                <c:pt idx="57">
                  <c:v>6940.8717009548263</c:v>
                </c:pt>
                <c:pt idx="58">
                  <c:v>7794.9194153420658</c:v>
                </c:pt>
                <c:pt idx="59">
                  <c:v>8470.9276349993088</c:v>
                </c:pt>
                <c:pt idx="60">
                  <c:v>8891.36971725683</c:v>
                </c:pt>
                <c:pt idx="61">
                  <c:v>9010.7211811240613</c:v>
                </c:pt>
                <c:pt idx="62">
                  <c:v>8819.8022254940661</c:v>
                </c:pt>
                <c:pt idx="63">
                  <c:v>8345.2232085275791</c:v>
                </c:pt>
                <c:pt idx="64">
                  <c:v>7647.3419752698146</c:v>
                </c:pt>
                <c:pt idx="65">
                  <c:v>6816.0985122911279</c:v>
                </c:pt>
                <c:pt idx="66">
                  <c:v>5960.6346712081422</c:v>
                </c:pt>
                <c:pt idx="67">
                  <c:v>5190.6147072326003</c:v>
                </c:pt>
                <c:pt idx="68">
                  <c:v>4595.1833757410541</c:v>
                </c:pt>
                <c:pt idx="69">
                  <c:v>4230.1364980454791</c:v>
                </c:pt>
                <c:pt idx="70">
                  <c:v>4117.1622873426613</c:v>
                </c:pt>
                <c:pt idx="71">
                  <c:v>4249.8956337479322</c:v>
                </c:pt>
                <c:pt idx="72">
                  <c:v>4600.3993300111897</c:v>
                </c:pt>
                <c:pt idx="73">
                  <c:v>5123.6243350008581</c:v>
                </c:pt>
                <c:pt idx="74">
                  <c:v>5760.5919974522249</c:v>
                </c:pt>
                <c:pt idx="75">
                  <c:v>6442.1153544597655</c:v>
                </c:pt>
                <c:pt idx="76">
                  <c:v>7094.4161716530225</c:v>
                </c:pt>
                <c:pt idx="77">
                  <c:v>7646.6300097014837</c:v>
                </c:pt>
                <c:pt idx="78">
                  <c:v>8038.8582604082403</c:v>
                </c:pt>
                <c:pt idx="79">
                  <c:v>8229.1451460330427</c:v>
                </c:pt>
                <c:pt idx="80">
                  <c:v>8198.5443475177617</c:v>
                </c:pt>
                <c:pt idx="81">
                  <c:v>7954.1846986100973</c:v>
                </c:pt>
                <c:pt idx="82">
                  <c:v>7530.0054285210363</c:v>
                </c:pt>
                <c:pt idx="83">
                  <c:v>6983.9075121251708</c:v>
                </c:pt>
                <c:pt idx="84">
                  <c:v>6389.9474711715739</c:v>
                </c:pt>
                <c:pt idx="85">
                  <c:v>5826.2024325475804</c:v>
                </c:pt>
                <c:pt idx="86">
                  <c:v>5361.9091753820057</c:v>
                </c:pt>
                <c:pt idx="87">
                  <c:v>5048.0900031111669</c:v>
                </c:pt>
                <c:pt idx="88">
                  <c:v>4913.2233977946144</c:v>
                </c:pt>
                <c:pt idx="89">
                  <c:v>4962.718966370453</c:v>
                </c:pt>
                <c:pt idx="90">
                  <c:v>5180.4831766847255</c:v>
                </c:pt>
                <c:pt idx="91">
                  <c:v>5531.96209560838</c:v>
                </c:pt>
                <c:pt idx="92">
                  <c:v>5968.8910254122038</c:v>
                </c:pt>
                <c:pt idx="93">
                  <c:v>6435.7038207841179</c:v>
                </c:pt>
                <c:pt idx="94">
                  <c:v>6876.6172388808618</c:v>
                </c:pt>
                <c:pt idx="95">
                  <c:v>7241.945559865525</c:v>
                </c:pt>
                <c:pt idx="96">
                  <c:v>7492.7728679062166</c:v>
                </c:pt>
                <c:pt idx="97">
                  <c:v>7604.1104471291374</c:v>
                </c:pt>
                <c:pt idx="98">
                  <c:v>7567.1550555505428</c:v>
                </c:pt>
                <c:pt idx="99">
                  <c:v>7390.8692186272619</c:v>
                </c:pt>
                <c:pt idx="100">
                  <c:v>7102.1144076606342</c:v>
                </c:pt>
                <c:pt idx="101">
                  <c:v>6742.8481855509526</c:v>
                </c:pt>
                <c:pt idx="102">
                  <c:v>6363.6509914333619</c:v>
                </c:pt>
                <c:pt idx="103">
                  <c:v>6015.1456474064635</c:v>
                </c:pt>
                <c:pt idx="104">
                  <c:v>5740.4128617053811</c:v>
                </c:pt>
                <c:pt idx="105">
                  <c:v>5570.3166939734647</c:v>
                </c:pt>
                <c:pt idx="106">
                  <c:v>5521.309767331536</c:v>
                </c:pt>
                <c:pt idx="107">
                  <c:v>5594.4281603306863</c:v>
                </c:pt>
                <c:pt idx="108">
                  <c:v>5775.0848298144274</c:v>
                </c:pt>
                <c:pt idx="109">
                  <c:v>6034.5119029931002</c:v>
                </c:pt>
                <c:pt idx="110">
                  <c:v>6333.8631884424694</c:v>
                </c:pt>
                <c:pt idx="111">
                  <c:v>6630.6341045933859</c:v>
                </c:pt>
                <c:pt idx="112">
                  <c:v>6885.4540516257957</c:v>
                </c:pt>
                <c:pt idx="113">
                  <c:v>7067.24383197514</c:v>
                </c:pt>
                <c:pt idx="114">
                  <c:v>7156.1283709467489</c:v>
                </c:pt>
                <c:pt idx="115">
                  <c:v>7144.7244602600767</c:v>
                </c:pt>
                <c:pt idx="116">
                  <c:v>7038.5549402511078</c:v>
                </c:pt>
                <c:pt idx="117">
                  <c:v>6855.6609031191056</c:v>
                </c:pt>
                <c:pt idx="118">
                  <c:v>6624.7060931212745</c:v>
                </c:pt>
                <c:pt idx="119">
                  <c:v>6380.8016914655909</c:v>
                </c:pt>
                <c:pt idx="120">
                  <c:v>6159.4614976746579</c:v>
                </c:pt>
                <c:pt idx="121">
                  <c:v>5990.6873684651846</c:v>
                </c:pt>
                <c:pt idx="122">
                  <c:v>5895.2166389173708</c:v>
                </c:pt>
                <c:pt idx="123">
                  <c:v>5883.1983092941819</c:v>
                </c:pt>
                <c:pt idx="124">
                  <c:v>5954.119954199964</c:v>
                </c:pt>
                <c:pt idx="125">
                  <c:v>6096.9898884725808</c:v>
                </c:pt>
                <c:pt idx="126">
                  <c:v>6290.9136990108673</c:v>
                </c:pt>
                <c:pt idx="127">
                  <c:v>6507.082582998758</c:v>
                </c:pt>
                <c:pt idx="128">
                  <c:v>6712.9087533598931</c:v>
                </c:pt>
                <c:pt idx="129">
                  <c:v>6877.5899212452996</c:v>
                </c:pt>
                <c:pt idx="130">
                  <c:v>6977.2065933485555</c:v>
                </c:pt>
                <c:pt idx="131">
                  <c:v>6997.9198991661524</c:v>
                </c:pt>
                <c:pt idx="132">
                  <c:v>6937.2217819420484</c:v>
                </c:pt>
                <c:pt idx="133">
                  <c:v>6803.9142776668723</c:v>
                </c:pt>
                <c:pt idx="134">
                  <c:v>6617.2023579024808</c:v>
                </c:pt>
                <c:pt idx="135">
                  <c:v>6404.6280108672699</c:v>
                </c:pt>
                <c:pt idx="136">
                  <c:v>6198.3084195015672</c:v>
                </c:pt>
                <c:pt idx="137">
                  <c:v>6029.5809396056811</c:v>
                </c:pt>
                <c:pt idx="138">
                  <c:v>5923.4465901245612</c:v>
                </c:pt>
                <c:pt idx="139">
                  <c:v>5894.7830173114671</c:v>
                </c:pt>
                <c:pt idx="140">
                  <c:v>5947.1973806652904</c:v>
                </c:pt>
                <c:pt idx="141">
                  <c:v>6073.7410452663871</c:v>
                </c:pt>
                <c:pt idx="142">
                  <c:v>6258.2414330176371</c:v>
                </c:pt>
                <c:pt idx="143">
                  <c:v>6476.7926270764801</c:v>
                </c:pt>
                <c:pt idx="144">
                  <c:v>6699.9105425337129</c:v>
                </c:pt>
                <c:pt idx="145">
                  <c:v>6896.0762539889711</c:v>
                </c:pt>
                <c:pt idx="146">
                  <c:v>7036.5430231935306</c:v>
                </c:pt>
                <c:pt idx="147">
                  <c:v>7100.0762326164477</c:v>
                </c:pt>
                <c:pt idx="148">
                  <c:v>7076.1109119106013</c:v>
                </c:pt>
                <c:pt idx="149">
                  <c:v>6965.877908878062</c:v>
                </c:pt>
                <c:pt idx="150">
                  <c:v>6782.0433819095824</c:v>
                </c:pt>
                <c:pt idx="151">
                  <c:v>6547.4209562102524</c:v>
                </c:pt>
                <c:pt idx="152">
                  <c:v>6292.7296253445156</c:v>
                </c:pt>
                <c:pt idx="153">
                  <c:v>6052.9696313852101</c:v>
                </c:pt>
                <c:pt idx="154">
                  <c:v>5862.3095380779414</c:v>
                </c:pt>
                <c:pt idx="155">
                  <c:v>5748.4022967998826</c:v>
                </c:pt>
                <c:pt idx="156">
                  <c:v>5727.8934460809996</c:v>
                </c:pt>
                <c:pt idx="157">
                  <c:v>5804.4502378929501</c:v>
                </c:pt>
                <c:pt idx="158">
                  <c:v>5969.1776003882987</c:v>
                </c:pt>
                <c:pt idx="159">
                  <c:v>6202.3104409562766</c:v>
                </c:pt>
                <c:pt idx="160">
                  <c:v>6475.3604288347615</c:v>
                </c:pt>
                <c:pt idx="161">
                  <c:v>6753.8050039475656</c:v>
                </c:pt>
                <c:pt idx="162">
                  <c:v>7000.9152353809986</c:v>
                </c:pt>
                <c:pt idx="163">
                  <c:v>7182.8475414778322</c:v>
                </c:pt>
                <c:pt idx="164">
                  <c:v>7273.9649691921149</c:v>
                </c:pt>
                <c:pt idx="165">
                  <c:v>7260.7295033843493</c:v>
                </c:pt>
                <c:pt idx="166">
                  <c:v>7143.2525381007972</c:v>
                </c:pt>
                <c:pt idx="167">
                  <c:v>6934.8515339441992</c:v>
                </c:pt>
                <c:pt idx="168">
                  <c:v>6660.4008150211575</c:v>
                </c:pt>
                <c:pt idx="169">
                  <c:v>6353.7916157422878</c:v>
                </c:pt>
                <c:pt idx="170">
                  <c:v>6054.2484698021963</c:v>
                </c:pt>
                <c:pt idx="171">
                  <c:v>5801.2843918144999</c:v>
                </c:pt>
                <c:pt idx="172">
                  <c:v>5628.8554117115855</c:v>
                </c:pt>
                <c:pt idx="173">
                  <c:v>5560.1832808967683</c:v>
                </c:pt>
                <c:pt idx="174">
                  <c:v>5604.7277976525183</c:v>
                </c:pt>
                <c:pt idx="175">
                  <c:v>5757.6817376947856</c:v>
                </c:pt>
                <c:pt idx="176">
                  <c:v>6001.2103776160602</c:v>
                </c:pt>
                <c:pt idx="177">
                  <c:v>6306.5115892316871</c:v>
                </c:pt>
                <c:pt idx="178">
                  <c:v>6636.4871125677537</c:v>
                </c:pt>
                <c:pt idx="179">
                  <c:v>6949.5073079005779</c:v>
                </c:pt>
                <c:pt idx="180">
                  <c:v>7204.6516164989371</c:v>
                </c:pt>
                <c:pt idx="181">
                  <c:v>7367.7951410274318</c:v>
                </c:pt>
                <c:pt idx="182">
                  <c:v>7416.8761772555845</c:v>
                </c:pt>
                <c:pt idx="183">
                  <c:v>7344.8434352762006</c:v>
                </c:pt>
                <c:pt idx="184">
                  <c:v>7160.0524962849413</c:v>
                </c:pt>
                <c:pt idx="185">
                  <c:v>6884.8570280572158</c:v>
                </c:pt>
                <c:pt idx="186">
                  <c:v>6553.0432131971656</c:v>
                </c:pt>
                <c:pt idx="187">
                  <c:v>6206.1336680036729</c:v>
                </c:pt>
                <c:pt idx="188">
                  <c:v>5888.3366755323896</c:v>
                </c:pt>
                <c:pt idx="189">
                  <c:v>5640.4496803899701</c:v>
                </c:pt>
                <c:pt idx="190">
                  <c:v>5493.9604434947978</c:v>
                </c:pt>
                <c:pt idx="191">
                  <c:v>5466.9312034282866</c:v>
                </c:pt>
                <c:pt idx="192">
                  <c:v>5562.436483399686</c:v>
                </c:pt>
                <c:pt idx="193">
                  <c:v>5769.0807226959605</c:v>
                </c:pt>
                <c:pt idx="194">
                  <c:v>6062.6212483283625</c:v>
                </c:pt>
                <c:pt idx="195">
                  <c:v>6408.2117540811287</c:v>
                </c:pt>
                <c:pt idx="196">
                  <c:v>6763.5796578147701</c:v>
                </c:pt>
                <c:pt idx="197">
                  <c:v>7083.7296694813876</c:v>
                </c:pt>
                <c:pt idx="198">
                  <c:v>7327.0922314459876</c:v>
                </c:pt>
                <c:pt idx="199">
                  <c:v>7461.8240682211399</c:v>
                </c:pt>
                <c:pt idx="200">
                  <c:v>7470.4406891590415</c:v>
                </c:pt>
                <c:pt idx="201">
                  <c:v>7351.7967244289839</c:v>
                </c:pt>
                <c:pt idx="202">
                  <c:v>7120.7131860620711</c:v>
                </c:pt>
                <c:pt idx="203">
                  <c:v>6806.005287411439</c:v>
                </c:pt>
                <c:pt idx="204">
                  <c:v>6447.2256776948861</c:v>
                </c:pt>
                <c:pt idx="205">
                  <c:v>6089.9625439952351</c:v>
                </c:pt>
                <c:pt idx="206">
                  <c:v>5779.7501774636848</c:v>
                </c:pt>
                <c:pt idx="207">
                  <c:v>5555.5446990159908</c:v>
                </c:pt>
                <c:pt idx="208">
                  <c:v>5444.4219559112353</c:v>
                </c:pt>
                <c:pt idx="209">
                  <c:v>5458.7449171680082</c:v>
                </c:pt>
                <c:pt idx="210">
                  <c:v>5595.7740977621979</c:v>
                </c:pt>
                <c:pt idx="211">
                  <c:v>5838.7826592570163</c:v>
                </c:pt>
                <c:pt idx="212">
                  <c:v>6158.8779194656372</c:v>
                </c:pt>
                <c:pt idx="213">
                  <c:v>6517.5125631900255</c:v>
                </c:pt>
                <c:pt idx="214">
                  <c:v>6870.2652303059704</c:v>
                </c:pt>
                <c:pt idx="215">
                  <c:v>7172.264332395197</c:v>
                </c:pt>
                <c:pt idx="216">
                  <c:v>7384.6024280528236</c:v>
                </c:pt>
                <c:pt idx="217">
                  <c:v>7480.1039424898254</c:v>
                </c:pt>
                <c:pt idx="218">
                  <c:v>7446.9401486671404</c:v>
                </c:pt>
                <c:pt idx="219">
                  <c:v>7289.7173966521614</c:v>
                </c:pt>
                <c:pt idx="220">
                  <c:v>7028.5717719490194</c:v>
                </c:pt>
                <c:pt idx="221">
                  <c:v>6696.7756120095919</c:v>
                </c:pt>
                <c:pt idx="222">
                  <c:v>6336.8559434883928</c:v>
                </c:pt>
                <c:pt idx="223">
                  <c:v>5995.0977466330223</c:v>
                </c:pt>
                <c:pt idx="224">
                  <c:v>5714.9568698958019</c:v>
                </c:pt>
                <c:pt idx="225">
                  <c:v>5530.8463395450199</c:v>
                </c:pt>
                <c:pt idx="226">
                  <c:v>5463.9190573471897</c:v>
                </c:pt>
                <c:pt idx="227">
                  <c:v>5520.4641574111592</c:v>
                </c:pt>
                <c:pt idx="228">
                  <c:v>5692.3043154034376</c:v>
                </c:pt>
                <c:pt idx="229">
                  <c:v>5958.2213170011946</c:v>
                </c:pt>
                <c:pt idx="230">
                  <c:v>6285.9893223696581</c:v>
                </c:pt>
                <c:pt idx="231">
                  <c:v>6635.3361273697847</c:v>
                </c:pt>
                <c:pt idx="232">
                  <c:v>6962.3626996681805</c:v>
                </c:pt>
                <c:pt idx="233">
                  <c:v>7225.329371458286</c:v>
                </c:pt>
                <c:pt idx="234">
                  <c:v>7390.685207027951</c:v>
                </c:pt>
                <c:pt idx="235">
                  <c:v>7437.774722008242</c:v>
                </c:pt>
                <c:pt idx="236">
                  <c:v>7361.2994222401967</c:v>
                </c:pt>
                <c:pt idx="237">
                  <c:v>7171.6222247043688</c:v>
                </c:pt>
                <c:pt idx="238">
                  <c:v>6893.3988767860492</c:v>
                </c:pt>
                <c:pt idx="239">
                  <c:v>6562.7190534859265</c:v>
                </c:pt>
                <c:pt idx="240">
                  <c:v>6222.6160862143424</c:v>
                </c:pt>
                <c:pt idx="241">
                  <c:v>5917.0950982764161</c:v>
                </c:pt>
                <c:pt idx="242">
                  <c:v>5684.7018255748108</c:v>
                </c:pt>
                <c:pt idx="243">
                  <c:v>5553.2677822096202</c:v>
                </c:pt>
                <c:pt idx="244">
                  <c:v>5537.0035836845436</c:v>
                </c:pt>
                <c:pt idx="245">
                  <c:v>5635.9040682092491</c:v>
                </c:pt>
                <c:pt idx="246">
                  <c:v>5836.621005496746</c:v>
                </c:pt>
                <c:pt idx="247">
                  <c:v>6114.1043725897816</c:v>
                </c:pt>
                <c:pt idx="248">
                  <c:v>6433.9820113851565</c:v>
                </c:pt>
                <c:pt idx="249">
                  <c:v>6756.1056655801958</c:v>
                </c:pt>
                <c:pt idx="250">
                  <c:v>7039.4670462575177</c:v>
                </c:pt>
                <c:pt idx="251">
                  <c:v>7247.8683403297155</c:v>
                </c:pt>
                <c:pt idx="252">
                  <c:v>7355.0377453591218</c:v>
                </c:pt>
                <c:pt idx="253">
                  <c:v>7348.032904687926</c:v>
                </c:pt>
                <c:pt idx="254">
                  <c:v>7228.5947139713307</c:v>
                </c:pt>
                <c:pt idx="255">
                  <c:v>7012.7415246844621</c:v>
                </c:pt>
                <c:pt idx="256">
                  <c:v>6728.876201571913</c:v>
                </c:pt>
                <c:pt idx="257">
                  <c:v>6414.3582183109947</c:v>
                </c:pt>
                <c:pt idx="258">
                  <c:v>6110.5017997916475</c:v>
                </c:pt>
                <c:pt idx="259">
                  <c:v>5856.5772487936802</c:v>
                </c:pt>
                <c:pt idx="260">
                  <c:v>5684.1606500354465</c:v>
                </c:pt>
                <c:pt idx="261">
                  <c:v>5613.2317616314986</c:v>
                </c:pt>
                <c:pt idx="262">
                  <c:v>5650.5387531405859</c:v>
                </c:pt>
                <c:pt idx="263">
                  <c:v>5789.7514016704208</c:v>
                </c:pt>
                <c:pt idx="264">
                  <c:v>6012.6566358819364</c:v>
                </c:pt>
                <c:pt idx="265">
                  <c:v>6291.0871251372455</c:v>
                </c:pt>
                <c:pt idx="266">
                  <c:v>6589.8023387573921</c:v>
                </c:pt>
                <c:pt idx="267">
                  <c:v>6870.6012208906277</c:v>
                </c:pt>
                <c:pt idx="268">
                  <c:v>7097.3984996242025</c:v>
                </c:pt>
                <c:pt idx="269">
                  <c:v>7241.2840165234184</c:v>
                </c:pt>
                <c:pt idx="270">
                  <c:v>7284.4097466215117</c:v>
                </c:pt>
                <c:pt idx="271">
                  <c:v>7222.0887604708332</c:v>
                </c:pt>
                <c:pt idx="272">
                  <c:v>7063.1594447898151</c:v>
                </c:pt>
                <c:pt idx="273">
                  <c:v>6828.8768236436226</c:v>
                </c:pt>
                <c:pt idx="274">
                  <c:v>6550.3837021085183</c:v>
                </c:pt>
                <c:pt idx="275">
                  <c:v>6264.6827195755423</c:v>
                </c:pt>
                <c:pt idx="276">
                  <c:v>6009.3813164203511</c:v>
                </c:pt>
                <c:pt idx="277">
                  <c:v>5817.1828786454425</c:v>
                </c:pt>
                <c:pt idx="278">
                  <c:v>5711.4663182330614</c:v>
                </c:pt>
                <c:pt idx="279">
                  <c:v>5703.821707567311</c:v>
                </c:pt>
                <c:pt idx="280">
                  <c:v>5793.4757254060487</c:v>
                </c:pt>
                <c:pt idx="281">
                  <c:v>5967.994933083869</c:v>
                </c:pt>
                <c:pt idx="282">
                  <c:v>6204.812100220558</c:v>
                </c:pt>
                <c:pt idx="283">
                  <c:v>6473.5931321128401</c:v>
                </c:pt>
                <c:pt idx="284">
                  <c:v>6739.6869511438017</c:v>
                </c:pt>
                <c:pt idx="285">
                  <c:v>6968.5924116171182</c:v>
                </c:pt>
                <c:pt idx="286">
                  <c:v>7130.7482479753207</c:v>
                </c:pt>
                <c:pt idx="287">
                  <c:v>7205.5971259521157</c:v>
                </c:pt>
                <c:pt idx="288">
                  <c:v>7184.1588211012649</c:v>
                </c:pt>
                <c:pt idx="289">
                  <c:v>7069.9566944419867</c:v>
                </c:pt>
                <c:pt idx="290">
                  <c:v>6878.4932552600876</c:v>
                </c:pt>
                <c:pt idx="291">
                  <c:v>6635.3976387730418</c:v>
                </c:pt>
                <c:pt idx="292">
                  <c:v>6373.1988882670385</c:v>
                </c:pt>
                <c:pt idx="293">
                  <c:v>6126.8326659051281</c:v>
                </c:pt>
                <c:pt idx="294">
                  <c:v>5928.5386661435869</c:v>
                </c:pt>
                <c:pt idx="295">
                  <c:v>5803.2997005445795</c:v>
                </c:pt>
                <c:pt idx="296">
                  <c:v>5765.8334990448056</c:v>
                </c:pt>
                <c:pt idx="297">
                  <c:v>5819.4064259919614</c:v>
                </c:pt>
                <c:pt idx="298">
                  <c:v>5956.0692075742863</c:v>
                </c:pt>
                <c:pt idx="299">
                  <c:v>6157.8260848138607</c:v>
                </c:pt>
                <c:pt idx="300">
                  <c:v>6398.5996388441099</c:v>
                </c:pt>
                <c:pt idx="301">
                  <c:v>6647.1534041837567</c:v>
                </c:pt>
                <c:pt idx="302">
                  <c:v>6871.0136373556252</c:v>
                </c:pt>
                <c:pt idx="303">
                  <c:v>7040.9244454857944</c:v>
                </c:pt>
                <c:pt idx="304">
                  <c:v>7134.9299135241563</c:v>
                </c:pt>
                <c:pt idx="305">
                  <c:v>7141.2508354819329</c:v>
                </c:pt>
                <c:pt idx="306">
                  <c:v>7059.6272200775002</c:v>
                </c:pt>
                <c:pt idx="307">
                  <c:v>6901.2285258213678</c:v>
                </c:pt>
                <c:pt idx="308">
                  <c:v>6687.2901787979063</c:v>
                </c:pt>
                <c:pt idx="309">
                  <c:v>6446.4873866198859</c:v>
                </c:pt>
                <c:pt idx="310">
                  <c:v>6211.0851468174069</c:v>
                </c:pt>
                <c:pt idx="311">
                  <c:v>6012.295323768004</c:v>
                </c:pt>
                <c:pt idx="312">
                  <c:v>5875.7750098277247</c:v>
                </c:pt>
                <c:pt idx="313">
                  <c:v>5818.2889786640126</c:v>
                </c:pt>
                <c:pt idx="314">
                  <c:v>5846.0395298259818</c:v>
                </c:pt>
                <c:pt idx="315">
                  <c:v>5954.4867294770502</c:v>
                </c:pt>
                <c:pt idx="316">
                  <c:v>6129.2082607908796</c:v>
                </c:pt>
                <c:pt idx="317">
                  <c:v>6347.5538575386709</c:v>
                </c:pt>
                <c:pt idx="318">
                  <c:v>6581.1618689034312</c:v>
                </c:pt>
                <c:pt idx="319">
                  <c:v>6799.4244199809646</c:v>
                </c:pt>
                <c:pt idx="320">
                  <c:v>6973.6117917509591</c:v>
                </c:pt>
                <c:pt idx="321">
                  <c:v>7080.9036622338517</c:v>
                </c:pt>
                <c:pt idx="322">
                  <c:v>7107.4824463746008</c:v>
                </c:pt>
                <c:pt idx="323">
                  <c:v>7050.21838044584</c:v>
                </c:pt>
                <c:pt idx="324">
                  <c:v>6916.9365101228195</c:v>
                </c:pt>
                <c:pt idx="325">
                  <c:v>6725.4265510288169</c:v>
                </c:pt>
                <c:pt idx="326">
                  <c:v>6501.2634001115684</c:v>
                </c:pt>
                <c:pt idx="327">
                  <c:v>6274.463561786285</c:v>
                </c:pt>
                <c:pt idx="328">
                  <c:v>6075.2593210387868</c:v>
                </c:pt>
                <c:pt idx="329">
                  <c:v>5929.7289459571703</c:v>
                </c:pt>
                <c:pt idx="330">
                  <c:v>5856.2492217669169</c:v>
                </c:pt>
                <c:pt idx="331">
                  <c:v>5863.4238123966679</c:v>
                </c:pt>
                <c:pt idx="332">
                  <c:v>5949.5179226946821</c:v>
                </c:pt>
                <c:pt idx="333">
                  <c:v>6103.0312590325475</c:v>
                </c:pt>
                <c:pt idx="334">
                  <c:v>6304.1000421191247</c:v>
                </c:pt>
                <c:pt idx="335">
                  <c:v>6526.7004166024371</c:v>
                </c:pt>
                <c:pt idx="336">
                  <c:v>6741.7413576228537</c:v>
                </c:pt>
                <c:pt idx="337">
                  <c:v>6920.8879994052168</c:v>
                </c:pt>
                <c:pt idx="338">
                  <c:v>7040.5163304629687</c:v>
                </c:pt>
                <c:pt idx="339">
                  <c:v>7084.9839868699055</c:v>
                </c:pt>
                <c:pt idx="340">
                  <c:v>7048.6357511752003</c:v>
                </c:pt>
                <c:pt idx="341">
                  <c:v>6936.4096550415961</c:v>
                </c:pt>
                <c:pt idx="342">
                  <c:v>6763.1743141983534</c:v>
                </c:pt>
                <c:pt idx="343">
                  <c:v>6551.9088535573901</c:v>
                </c:pt>
                <c:pt idx="344">
                  <c:v>6330.7654566090487</c:v>
                </c:pt>
                <c:pt idx="345">
                  <c:v>6129.2035331192037</c:v>
                </c:pt>
                <c:pt idx="346">
                  <c:v>5973.770003847404</c:v>
                </c:pt>
                <c:pt idx="347">
                  <c:v>5884.403517499356</c:v>
                </c:pt>
                <c:pt idx="348">
                  <c:v>5872.0037871067043</c:v>
                </c:pt>
                <c:pt idx="349">
                  <c:v>5937.4806213525717</c:v>
                </c:pt>
                <c:pt idx="350">
                  <c:v>6072.0275150351445</c:v>
                </c:pt>
                <c:pt idx="351">
                  <c:v>6258.2862643875651</c:v>
                </c:pt>
                <c:pt idx="352">
                  <c:v>6472.2886673574158</c:v>
                </c:pt>
                <c:pt idx="353">
                  <c:v>6686.2354879992363</c:v>
                </c:pt>
                <c:pt idx="354">
                  <c:v>6872.0432854943983</c:v>
                </c:pt>
                <c:pt idx="355">
                  <c:v>7005.2049256107994</c:v>
                </c:pt>
                <c:pt idx="356">
                  <c:v>7068.2117534169756</c:v>
                </c:pt>
                <c:pt idx="357">
                  <c:v>7052.8783432812425</c:v>
                </c:pt>
                <c:pt idx="358">
                  <c:v>6961.3059765056369</c:v>
                </c:pt>
                <c:pt idx="359">
                  <c:v>6805.5530622478418</c:v>
                </c:pt>
                <c:pt idx="360">
                  <c:v>6606.1458700240573</c:v>
                </c:pt>
                <c:pt idx="361">
                  <c:v>6389.4960570791973</c:v>
                </c:pt>
                <c:pt idx="362">
                  <c:v>6184.3600930481198</c:v>
                </c:pt>
                <c:pt idx="363">
                  <c:v>6017.781943052204</c:v>
                </c:pt>
                <c:pt idx="364">
                  <c:v>5911.293760601533</c:v>
                </c:pt>
                <c:pt idx="365">
                  <c:v>5878.1557797449459</c:v>
                </c:pt>
                <c:pt idx="366">
                  <c:v>5922.0075800964714</c:v>
                </c:pt>
                <c:pt idx="367">
                  <c:v>6036.8084346763417</c:v>
                </c:pt>
                <c:pt idx="368">
                  <c:v>6207.746501547651</c:v>
                </c:pt>
                <c:pt idx="369">
                  <c:v>6412.9327781880893</c:v>
                </c:pt>
                <c:pt idx="370">
                  <c:v>6625.893344815242</c:v>
                </c:pt>
                <c:pt idx="371">
                  <c:v>6818.8446345164448</c:v>
                </c:pt>
                <c:pt idx="372">
                  <c:v>6966.4283747734253</c:v>
                </c:pt>
                <c:pt idx="373">
                  <c:v>7049.2447957047634</c:v>
                </c:pt>
                <c:pt idx="374">
                  <c:v>7056.4859405473508</c:v>
                </c:pt>
                <c:pt idx="375">
                  <c:v>6987.2812281606512</c:v>
                </c:pt>
                <c:pt idx="376">
                  <c:v>6850.7328128200652</c:v>
                </c:pt>
                <c:pt idx="377">
                  <c:v>6664.7682133984626</c:v>
                </c:pt>
                <c:pt idx="378">
                  <c:v>6453.9026515449459</c:v>
                </c:pt>
                <c:pt idx="379">
                  <c:v>6246.0188689753741</c:v>
                </c:pt>
                <c:pt idx="380">
                  <c:v>6068.4993909167924</c:v>
                </c:pt>
                <c:pt idx="381">
                  <c:v>5944.3764998279803</c:v>
                </c:pt>
                <c:pt idx="382">
                  <c:v>5889.2819008299666</c:v>
                </c:pt>
                <c:pt idx="383">
                  <c:v>5909.6961660152829</c:v>
                </c:pt>
                <c:pt idx="384">
                  <c:v>6002.5196472942207</c:v>
                </c:pt>
                <c:pt idx="385">
                  <c:v>6155.6929865312604</c:v>
                </c:pt>
                <c:pt idx="386">
                  <c:v>6349.6350074651018</c:v>
                </c:pt>
                <c:pt idx="387">
                  <c:v>6559.4549078417558</c:v>
                </c:pt>
                <c:pt idx="388">
                  <c:v>6757.9459397168057</c:v>
                </c:pt>
                <c:pt idx="389">
                  <c:v>6919.1478704897099</c:v>
                </c:pt>
                <c:pt idx="390">
                  <c:v>7021.9263441584917</c:v>
                </c:pt>
                <c:pt idx="391">
                  <c:v>7052.874251917834</c:v>
                </c:pt>
                <c:pt idx="392">
                  <c:v>7008.0437931717552</c:v>
                </c:pt>
                <c:pt idx="393">
                  <c:v>6893.377870102523</c:v>
                </c:pt>
                <c:pt idx="394">
                  <c:v>6723.9320780361868</c:v>
                </c:pt>
                <c:pt idx="395">
                  <c:v>6521.9953681150155</c:v>
                </c:pt>
                <c:pt idx="396">
                  <c:v>6314.2067609173428</c:v>
                </c:pt>
                <c:pt idx="397">
                  <c:v>6127.9204362789251</c:v>
                </c:pt>
                <c:pt idx="398">
                  <c:v>5987.3738900997041</c:v>
                </c:pt>
                <c:pt idx="399">
                  <c:v>5910.4078384530476</c:v>
                </c:pt>
                <c:pt idx="400">
                  <c:v>5906.3315430904786</c:v>
                </c:pt>
                <c:pt idx="401">
                  <c:v>5975.1004673469333</c:v>
                </c:pt>
                <c:pt idx="402">
                  <c:v>6107.6141394987017</c:v>
                </c:pt>
                <c:pt idx="403">
                  <c:v>6286.8812445266522</c:v>
                </c:pt>
                <c:pt idx="404">
                  <c:v>6489.9511515209806</c:v>
                </c:pt>
                <c:pt idx="405">
                  <c:v>6690.6141930376098</c:v>
                </c:pt>
                <c:pt idx="406">
                  <c:v>6862.7421786940586</c:v>
                </c:pt>
                <c:pt idx="407">
                  <c:v>6983.8333289499069</c:v>
                </c:pt>
                <c:pt idx="408">
                  <c:v>7038.1096554247852</c:v>
                </c:pt>
                <c:pt idx="409">
                  <c:v>7018.6056805019762</c:v>
                </c:pt>
                <c:pt idx="410">
                  <c:v>6928.0053817642838</c:v>
                </c:pt>
                <c:pt idx="411">
                  <c:v>6778.2559348529394</c:v>
                </c:pt>
                <c:pt idx="412">
                  <c:v>6589.0649181700019</c:v>
                </c:pt>
                <c:pt idx="413">
                  <c:v>6385.3765560428146</c:v>
                </c:pt>
                <c:pt idx="414">
                  <c:v>6194.0183275407444</c:v>
                </c:pt>
                <c:pt idx="415">
                  <c:v>6039.9668404765389</c:v>
                </c:pt>
                <c:pt idx="416">
                  <c:v>5942.9199494265586</c:v>
                </c:pt>
                <c:pt idx="417">
                  <c:v>5914.8233811218779</c:v>
                </c:pt>
                <c:pt idx="418">
                  <c:v>5958.6530929025012</c:v>
                </c:pt>
                <c:pt idx="419">
                  <c:v>6068.3653529322091</c:v>
                </c:pt>
                <c:pt idx="420">
                  <c:v>6229.77189360579</c:v>
                </c:pt>
                <c:pt idx="421">
                  <c:v>6422.1902164855173</c:v>
                </c:pt>
                <c:pt idx="422">
                  <c:v>6620.8462711959492</c:v>
                </c:pt>
                <c:pt idx="423">
                  <c:v>6799.9553562115916</c:v>
                </c:pt>
                <c:pt idx="424">
                  <c:v>6936.1543473942993</c:v>
                </c:pt>
                <c:pt idx="425">
                  <c:v>7011.7054991902451</c:v>
                </c:pt>
                <c:pt idx="426">
                  <c:v>7016.8804805043719</c:v>
                </c:pt>
                <c:pt idx="427">
                  <c:v>6951.1826976810689</c:v>
                </c:pt>
                <c:pt idx="428">
                  <c:v>6823.3568339511567</c:v>
                </c:pt>
                <c:pt idx="429">
                  <c:v>6650.2714992889905</c:v>
                </c:pt>
                <c:pt idx="430">
                  <c:v>6454.7700589510987</c:v>
                </c:pt>
                <c:pt idx="431">
                  <c:v>6262.6390164128452</c:v>
                </c:pt>
                <c:pt idx="432">
                  <c:v>6099.0482883819805</c:v>
                </c:pt>
                <c:pt idx="433">
                  <c:v>5985.0690966301845</c:v>
                </c:pt>
                <c:pt idx="434">
                  <c:v>5934.9322269156428</c:v>
                </c:pt>
                <c:pt idx="435">
                  <c:v>5954.4387945063208</c:v>
                </c:pt>
                <c:pt idx="436">
                  <c:v>6040.5525621848565</c:v>
                </c:pt>
                <c:pt idx="437">
                  <c:v>6181.9721420645828</c:v>
                </c:pt>
                <c:pt idx="438">
                  <c:v>6360.5013496323727</c:v>
                </c:pt>
                <c:pt idx="439">
                  <c:v>6553.1593590355806</c:v>
                </c:pt>
                <c:pt idx="440">
                  <c:v>6734.9827472979687</c:v>
                </c:pt>
                <c:pt idx="441">
                  <c:v>6882.2837589959354</c:v>
                </c:pt>
                <c:pt idx="442">
                  <c:v>6975.8722113357817</c:v>
                </c:pt>
                <c:pt idx="443">
                  <c:v>7003.6560938205903</c:v>
                </c:pt>
                <c:pt idx="444">
                  <c:v>6962.2039438145202</c:v>
                </c:pt>
                <c:pt idx="445">
                  <c:v>6857.1331189188395</c:v>
                </c:pt>
                <c:pt idx="446">
                  <c:v>6702.3718609715179</c:v>
                </c:pt>
                <c:pt idx="447">
                  <c:v>6518.3854435294625</c:v>
                </c:pt>
                <c:pt idx="448">
                  <c:v>6329.4888587616606</c:v>
                </c:pt>
                <c:pt idx="449">
                  <c:v>6160.5219993578248</c:v>
                </c:pt>
                <c:pt idx="450">
                  <c:v>6033.4034510609772</c:v>
                </c:pt>
                <c:pt idx="451">
                  <c:v>5964.2048601727811</c:v>
                </c:pt>
                <c:pt idx="452">
                  <c:v>5961.2367333284756</c:v>
                </c:pt>
                <c:pt idx="453">
                  <c:v>6024.2909932623224</c:v>
                </c:pt>
                <c:pt idx="454">
                  <c:v>6144.9045063722251</c:v>
                </c:pt>
                <c:pt idx="455">
                  <c:v>6307.4525273180998</c:v>
                </c:pt>
                <c:pt idx="456">
                  <c:v>6490.9777137853644</c:v>
                </c:pt>
                <c:pt idx="457">
                  <c:v>6671.7109622964626</c:v>
                </c:pt>
                <c:pt idx="458">
                  <c:v>6826.1170447833483</c:v>
                </c:pt>
                <c:pt idx="459">
                  <c:v>6934.0613130604361</c:v>
                </c:pt>
                <c:pt idx="460">
                  <c:v>6981.5467124452853</c:v>
                </c:pt>
                <c:pt idx="461">
                  <c:v>6962.5571080321961</c:v>
                </c:pt>
                <c:pt idx="462">
                  <c:v>6879.791297031511</c:v>
                </c:pt>
                <c:pt idx="463">
                  <c:v>6744.2853127278941</c:v>
                </c:pt>
                <c:pt idx="464">
                  <c:v>6574.0010272777427</c:v>
                </c:pt>
                <c:pt idx="465">
                  <c:v>6391.4865573750067</c:v>
                </c:pt>
                <c:pt idx="466">
                  <c:v>6220.8239886697593</c:v>
                </c:pt>
                <c:pt idx="467">
                  <c:v>6084.2930664929609</c:v>
                </c:pt>
                <c:pt idx="468">
                  <c:v>5999.346388523617</c:v>
                </c:pt>
                <c:pt idx="469">
                  <c:v>5976.4311105017023</c:v>
                </c:pt>
                <c:pt idx="470">
                  <c:v>6017.9059168209678</c:v>
                </c:pt>
                <c:pt idx="471">
                  <c:v>6117.9988515628456</c:v>
                </c:pt>
                <c:pt idx="472">
                  <c:v>6263.6285999504535</c:v>
                </c:pt>
                <c:pt idx="473">
                  <c:v>6435.9663352940652</c:v>
                </c:pt>
                <c:pt idx="474">
                  <c:v>6612.6843641411751</c:v>
                </c:pt>
                <c:pt idx="475">
                  <c:v>6770.770884848509</c:v>
                </c:pt>
                <c:pt idx="476">
                  <c:v>6889.5884447696744</c:v>
                </c:pt>
                <c:pt idx="477">
                  <c:v>6953.6769174042847</c:v>
                </c:pt>
                <c:pt idx="478">
                  <c:v>6954.8163067557825</c:v>
                </c:pt>
                <c:pt idx="479">
                  <c:v>6893.0657307199053</c:v>
                </c:pt>
                <c:pt idx="480">
                  <c:v>6776.7192462267994</c:v>
                </c:pt>
                <c:pt idx="481">
                  <c:v>6621.2356473224272</c:v>
                </c:pt>
                <c:pt idx="482">
                  <c:v>6447.2356894417999</c:v>
                </c:pt>
                <c:pt idx="483">
                  <c:v>6277.7383433432333</c:v>
                </c:pt>
                <c:pt idx="484">
                  <c:v>6134.9866616255849</c:v>
                </c:pt>
                <c:pt idx="485">
                  <c:v>6037.3977865781317</c:v>
                </c:pt>
                <c:pt idx="486">
                  <c:v>5997.1852312510482</c:v>
                </c:pt>
                <c:pt idx="487">
                  <c:v>6018.9852009304459</c:v>
                </c:pt>
                <c:pt idx="488">
                  <c:v>6099.519410959856</c:v>
                </c:pt>
                <c:pt idx="489">
                  <c:v>6228.1503525115277</c:v>
                </c:pt>
                <c:pt idx="490">
                  <c:v>6388.1896671950517</c:v>
                </c:pt>
                <c:pt idx="491">
                  <c:v>6558.8891076757127</c:v>
                </c:pt>
                <c:pt idx="492">
                  <c:v>6718.0207531091773</c:v>
                </c:pt>
                <c:pt idx="493">
                  <c:v>6844.7930333943832</c:v>
                </c:pt>
                <c:pt idx="494">
                  <c:v>6922.6633304115312</c:v>
                </c:pt>
                <c:pt idx="495">
                  <c:v>6941.5637790108494</c:v>
                </c:pt>
                <c:pt idx="496">
                  <c:v>6899.2035514704185</c:v>
                </c:pt>
                <c:pt idx="497">
                  <c:v>6801.3296466721631</c:v>
                </c:pt>
                <c:pt idx="498">
                  <c:v>6660.9742446434266</c:v>
                </c:pt>
                <c:pt idx="499">
                  <c:v>6496.7706720464348</c:v>
                </c:pt>
                <c:pt idx="500">
                  <c:v>6330.4787703444854</c:v>
                </c:pt>
                <c:pt idx="501">
                  <c:v>6184.0049743822756</c:v>
                </c:pt>
                <c:pt idx="502">
                  <c:v>6076.3855461326648</c:v>
                </c:pt>
                <c:pt idx="503">
                  <c:v>6021.2699774062166</c:v>
                </c:pt>
                <c:pt idx="504">
                  <c:v>6025.2962396354833</c:v>
                </c:pt>
                <c:pt idx="505">
                  <c:v>6087.4744406101017</c:v>
                </c:pt>
                <c:pt idx="506">
                  <c:v>6199.4828338880016</c:v>
                </c:pt>
                <c:pt idx="507">
                  <c:v>6346.7341967776274</c:v>
                </c:pt>
                <c:pt idx="508">
                  <c:v>6510.1244403594701</c:v>
                </c:pt>
                <c:pt idx="509">
                  <c:v>6668.3829536193289</c:v>
                </c:pt>
                <c:pt idx="510">
                  <c:v>6800.8262711820762</c:v>
                </c:pt>
                <c:pt idx="511">
                  <c:v>6890.137485968452</c:v>
                </c:pt>
                <c:pt idx="512">
                  <c:v>6924.706255456781</c:v>
                </c:pt>
                <c:pt idx="513">
                  <c:v>6900.1554726380145</c:v>
                </c:pt>
                <c:pt idx="514">
                  <c:v>6819.8801886729589</c:v>
                </c:pt>
                <c:pt idx="515">
                  <c:v>6694.5908392570973</c:v>
                </c:pt>
                <c:pt idx="516">
                  <c:v>6540.9289217047753</c:v>
                </c:pt>
                <c:pt idx="517">
                  <c:v>6379.2740505676929</c:v>
                </c:pt>
                <c:pt idx="518">
                  <c:v>6230.9755088827842</c:v>
                </c:pt>
                <c:pt idx="519">
                  <c:v>6115.4121816730803</c:v>
                </c:pt>
                <c:pt idx="520">
                  <c:v>6047.3899214599733</c:v>
                </c:pt>
                <c:pt idx="521">
                  <c:v>6035.3056546485113</c:v>
                </c:pt>
                <c:pt idx="522">
                  <c:v>6080.2705119909788</c:v>
                </c:pt>
                <c:pt idx="523">
                  <c:v>6176.1532097536228</c:v>
                </c:pt>
                <c:pt idx="524">
                  <c:v>6310.4126282733841</c:v>
                </c:pt>
                <c:pt idx="525">
                  <c:v>6465.6171695330422</c:v>
                </c:pt>
                <c:pt idx="526">
                  <c:v>6621.573181781926</c:v>
                </c:pt>
                <c:pt idx="527">
                  <c:v>6757.9055046378398</c:v>
                </c:pt>
                <c:pt idx="528">
                  <c:v>6856.7714310836491</c:v>
                </c:pt>
                <c:pt idx="529">
                  <c:v>6905.2732807718321</c:v>
                </c:pt>
                <c:pt idx="530">
                  <c:v>6897.1739127793626</c:v>
                </c:pt>
                <c:pt idx="531">
                  <c:v>6833.6895815177722</c:v>
                </c:pt>
                <c:pt idx="532">
                  <c:v>6723.3110404113859</c:v>
                </c:pt>
                <c:pt idx="533">
                  <c:v>6580.7026614039851</c:v>
                </c:pt>
                <c:pt idx="534">
                  <c:v>6424.7815843824228</c:v>
                </c:pt>
                <c:pt idx="535">
                  <c:v>6276.1693261265855</c:v>
                </c:pt>
                <c:pt idx="536">
                  <c:v>6154.3604853224715</c:v>
                </c:pt>
                <c:pt idx="537">
                  <c:v>6075.0791980267441</c:v>
                </c:pt>
                <c:pt idx="538">
                  <c:v>6048.2706522378621</c:v>
                </c:pt>
                <c:pt idx="539">
                  <c:v>6076.9839772373716</c:v>
                </c:pt>
                <c:pt idx="540">
                  <c:v>6157.1694742887539</c:v>
                </c:pt>
                <c:pt idx="541">
                  <c:v>6278.2822748850649</c:v>
                </c:pt>
                <c:pt idx="542">
                  <c:v>6424.5818482528703</c:v>
                </c:pt>
                <c:pt idx="543">
                  <c:v>6577.0464243260049</c:v>
                </c:pt>
                <c:pt idx="544">
                  <c:v>6715.7746839501679</c:v>
                </c:pt>
                <c:pt idx="545">
                  <c:v>6822.6092642887479</c:v>
                </c:pt>
                <c:pt idx="546">
                  <c:v>6883.5855396563566</c:v>
                </c:pt>
                <c:pt idx="547">
                  <c:v>6890.8026363965355</c:v>
                </c:pt>
                <c:pt idx="548">
                  <c:v>6843.4475742700261</c:v>
                </c:pt>
                <c:pt idx="549">
                  <c:v>6747.8793855690392</c:v>
                </c:pt>
                <c:pt idx="550">
                  <c:v>6616.7992192089414</c:v>
                </c:pt>
                <c:pt idx="551">
                  <c:v>6467.5931031573291</c:v>
                </c:pt>
                <c:pt idx="552">
                  <c:v>6320.0081697657834</c:v>
                </c:pt>
                <c:pt idx="553">
                  <c:v>6193.4547078457499</c:v>
                </c:pt>
                <c:pt idx="554">
                  <c:v>6104.3608097878323</c:v>
                </c:pt>
                <c:pt idx="555">
                  <c:v>6064.0285560233069</c:v>
                </c:pt>
                <c:pt idx="556">
                  <c:v>6077.2987262735114</c:v>
                </c:pt>
                <c:pt idx="557">
                  <c:v>6142.1090738531047</c:v>
                </c:pt>
                <c:pt idx="558">
                  <c:v>6249.8715776541703</c:v>
                </c:pt>
                <c:pt idx="559">
                  <c:v>6386.5577517163347</c:v>
                </c:pt>
                <c:pt idx="560">
                  <c:v>6534.4053471602383</c:v>
                </c:pt>
                <c:pt idx="561">
                  <c:v>6674.137876833368</c:v>
                </c:pt>
                <c:pt idx="562">
                  <c:v>6787.4774655612091</c:v>
                </c:pt>
                <c:pt idx="563">
                  <c:v>6859.5970264171519</c:v>
                </c:pt>
                <c:pt idx="564">
                  <c:v>6881.1141145277725</c:v>
                </c:pt>
                <c:pt idx="565">
                  <c:v>6849.3233686500316</c:v>
                </c:pt>
                <c:pt idx="566">
                  <c:v>6768.5300016913761</c:v>
                </c:pt>
                <c:pt idx="567">
                  <c:v>6649.4813259966941</c:v>
                </c:pt>
                <c:pt idx="568">
                  <c:v>6507.9666751753248</c:v>
                </c:pt>
                <c:pt idx="569">
                  <c:v>6362.7213245442572</c:v>
                </c:pt>
                <c:pt idx="570">
                  <c:v>6232.881790473275</c:v>
                </c:pt>
                <c:pt idx="571">
                  <c:v>6135.3734845087101</c:v>
                </c:pt>
                <c:pt idx="572">
                  <c:v>6082.668217543991</c:v>
                </c:pt>
                <c:pt idx="573">
                  <c:v>6081.2552787773157</c:v>
                </c:pt>
                <c:pt idx="574">
                  <c:v>6130.9700363664124</c:v>
                </c:pt>
                <c:pt idx="575">
                  <c:v>6225.1465372735111</c:v>
                </c:pt>
                <c:pt idx="576">
                  <c:v>6351.4914525048707</c:v>
                </c:pt>
                <c:pt idx="577">
                  <c:v>6493.5874098798049</c:v>
                </c:pt>
                <c:pt idx="578">
                  <c:v>6632.9282369093289</c:v>
                </c:pt>
                <c:pt idx="579">
                  <c:v>6751.3044867165863</c:v>
                </c:pt>
                <c:pt idx="580">
                  <c:v>6833.2289046995629</c:v>
                </c:pt>
                <c:pt idx="581">
                  <c:v>6868.020252381697</c:v>
                </c:pt>
                <c:pt idx="582">
                  <c:v>6851.2191213370961</c:v>
                </c:pt>
                <c:pt idx="583">
                  <c:v>6785.1561686618643</c:v>
                </c:pt>
                <c:pt idx="584">
                  <c:v>6678.6365070636857</c:v>
                </c:pt>
                <c:pt idx="585">
                  <c:v>6545.7917031158076</c:v>
                </c:pt>
                <c:pt idx="586">
                  <c:v>6404.2137449281572</c:v>
                </c:pt>
                <c:pt idx="587">
                  <c:v>6272.5801828703461</c:v>
                </c:pt>
                <c:pt idx="588">
                  <c:v>6168.1062519203406</c:v>
                </c:pt>
                <c:pt idx="589">
                  <c:v>6104.2400638143354</c:v>
                </c:pt>
                <c:pt idx="590">
                  <c:v>6088.9675992619141</c:v>
                </c:pt>
                <c:pt idx="591">
                  <c:v>6123.9243040086512</c:v>
                </c:pt>
                <c:pt idx="592">
                  <c:v>6204.3257901973411</c:v>
                </c:pt>
                <c:pt idx="593">
                  <c:v>6319.6318307786032</c:v>
                </c:pt>
                <c:pt idx="594">
                  <c:v>6454.8492114898909</c:v>
                </c:pt>
                <c:pt idx="595">
                  <c:v>6592.3814465758469</c:v>
                </c:pt>
                <c:pt idx="596">
                  <c:v>6714.2734689196359</c:v>
                </c:pt>
                <c:pt idx="597">
                  <c:v>6804.5830810484713</c:v>
                </c:pt>
                <c:pt idx="598">
                  <c:v>6851.5218169221134</c:v>
                </c:pt>
                <c:pt idx="599">
                  <c:v>6849.0266100519711</c:v>
                </c:pt>
                <c:pt idx="600">
                  <c:v>6797.545531605605</c:v>
                </c:pt>
                <c:pt idx="601">
                  <c:v>6703.9655656677669</c:v>
                </c:pt>
                <c:pt idx="602">
                  <c:v>6580.7116568777756</c:v>
                </c:pt>
                <c:pt idx="603">
                  <c:v>6444.1120386679477</c:v>
                </c:pt>
                <c:pt idx="604">
                  <c:v>6312.2067565119069</c:v>
                </c:pt>
                <c:pt idx="605">
                  <c:v>6202.2923894235018</c:v>
                </c:pt>
                <c:pt idx="606">
                  <c:v>6128.5906186621578</c:v>
                </c:pt>
                <c:pt idx="607">
                  <c:v>6100.4175312230627</c:v>
                </c:pt>
                <c:pt idx="608">
                  <c:v>6121.0950171316717</c:v>
                </c:pt>
                <c:pt idx="609">
                  <c:v>6187.6647955734634</c:v>
                </c:pt>
                <c:pt idx="610">
                  <c:v>6291.3438701194227</c:v>
                </c:pt>
                <c:pt idx="611">
                  <c:v>6418.6290552151122</c:v>
                </c:pt>
                <c:pt idx="612">
                  <c:v>6552.9608435717482</c:v>
                </c:pt>
                <c:pt idx="613">
                  <c:v>6676.8169340348377</c:v>
                </c:pt>
                <c:pt idx="614">
                  <c:v>6774.0057735415721</c:v>
                </c:pt>
                <c:pt idx="615">
                  <c:v>6831.8324337860849</c:v>
                </c:pt>
                <c:pt idx="616">
                  <c:v>6842.7964589641942</c:v>
                </c:pt>
                <c:pt idx="617">
                  <c:v>6805.5746093675107</c:v>
                </c:pt>
                <c:pt idx="618">
                  <c:v>6725.1802740476169</c:v>
                </c:pt>
                <c:pt idx="619">
                  <c:v>6612.3033571873448</c:v>
                </c:pt>
                <c:pt idx="620">
                  <c:v>6481.9066014495347</c:v>
                </c:pt>
                <c:pt idx="621">
                  <c:v>6351.2277219993257</c:v>
                </c:pt>
                <c:pt idx="622">
                  <c:v>6237.4410070030481</c:v>
                </c:pt>
                <c:pt idx="623">
                  <c:v>6155.3332619335088</c:v>
                </c:pt>
                <c:pt idx="624">
                  <c:v>6115.3697795345879</c:v>
                </c:pt>
                <c:pt idx="625">
                  <c:v>6122.4264648393</c:v>
                </c:pt>
                <c:pt idx="626">
                  <c:v>6175.2957825232688</c:v>
                </c:pt>
                <c:pt idx="627">
                  <c:v>6266.9362323012419</c:v>
                </c:pt>
                <c:pt idx="628">
                  <c:v>6385.3806588300085</c:v>
                </c:pt>
                <c:pt idx="629">
                  <c:v>6515.2149450907591</c:v>
                </c:pt>
                <c:pt idx="630">
                  <c:v>6639.5132259570755</c:v>
                </c:pt>
                <c:pt idx="631">
                  <c:v>6742.0336594185273</c:v>
                </c:pt>
                <c:pt idx="632">
                  <c:v>6809.3795025226946</c:v>
                </c:pt>
                <c:pt idx="633">
                  <c:v>6832.7925068936074</c:v>
                </c:pt>
                <c:pt idx="634">
                  <c:v>6809.3092487333415</c:v>
                </c:pt>
                <c:pt idx="635">
                  <c:v>6742.1376409262848</c:v>
                </c:pt>
                <c:pt idx="636">
                  <c:v>6640.2295097209535</c:v>
                </c:pt>
                <c:pt idx="637">
                  <c:v>6517.1054106829461</c:v>
                </c:pt>
                <c:pt idx="638">
                  <c:v>6389.0570540392137</c:v>
                </c:pt>
                <c:pt idx="639">
                  <c:v>6272.945644575263</c:v>
                </c:pt>
                <c:pt idx="640">
                  <c:v>6183.9162867424266</c:v>
                </c:pt>
                <c:pt idx="641">
                  <c:v>6133.3935286699098</c:v>
                </c:pt>
                <c:pt idx="642">
                  <c:v>6127.6585306805473</c:v>
                </c:pt>
                <c:pt idx="643">
                  <c:v>6167.1591554268216</c:v>
                </c:pt>
                <c:pt idx="644">
                  <c:v>6246.5579181725525</c:v>
                </c:pt>
                <c:pt idx="645">
                  <c:v>6355.4466524351601</c:v>
                </c:pt>
                <c:pt idx="646">
                  <c:v>6479.6416451177456</c:v>
                </c:pt>
                <c:pt idx="647">
                  <c:v>6602.9562987310774</c:v>
                </c:pt>
                <c:pt idx="648">
                  <c:v>6709.2835696775783</c:v>
                </c:pt>
                <c:pt idx="649">
                  <c:v>6784.7257573121287</c:v>
                </c:pt>
                <c:pt idx="650">
                  <c:v>6819.4533172237034</c:v>
                </c:pt>
                <c:pt idx="651">
                  <c:v>6809.0094086412482</c:v>
                </c:pt>
                <c:pt idx="652">
                  <c:v>6754.8863768728788</c:v>
                </c:pt>
                <c:pt idx="653">
                  <c:v>6664.3207473376442</c:v>
                </c:pt>
                <c:pt idx="654">
                  <c:v>6549.3418235551389</c:v>
                </c:pt>
                <c:pt idx="655">
                  <c:v>6425.1776230933528</c:v>
                </c:pt>
                <c:pt idx="656">
                  <c:v>6308.205156574275</c:v>
                </c:pt>
                <c:pt idx="657">
                  <c:v>6213.7304536730326</c:v>
                </c:pt>
                <c:pt idx="658">
                  <c:v>6153.945622260233</c:v>
                </c:pt>
                <c:pt idx="659">
                  <c:v>6136.3775735534809</c:v>
                </c:pt>
                <c:pt idx="660">
                  <c:v>6163.0177884690784</c:v>
                </c:pt>
                <c:pt idx="661">
                  <c:v>6230.1754287358772</c:v>
                </c:pt>
                <c:pt idx="662">
                  <c:v>6329.0017075435817</c:v>
                </c:pt>
                <c:pt idx="663">
                  <c:v>6446.6038524218056</c:v>
                </c:pt>
                <c:pt idx="664">
                  <c:v>6567.6533875339883</c:v>
                </c:pt>
                <c:pt idx="665">
                  <c:v>6676.3437866489085</c:v>
                </c:pt>
                <c:pt idx="666">
                  <c:v>6758.4664642204962</c:v>
                </c:pt>
                <c:pt idx="667">
                  <c:v>6803.3066535258358</c:v>
                </c:pt>
                <c:pt idx="668">
                  <c:v>6805.0700370310542</c:v>
                </c:pt>
                <c:pt idx="669">
                  <c:v>6763.6401086036267</c:v>
                </c:pt>
                <c:pt idx="670">
                  <c:v>6684.5834216892408</c:v>
                </c:pt>
                <c:pt idx="671">
                  <c:v>6578.4153214391126</c:v>
                </c:pt>
                <c:pt idx="672">
                  <c:v>6459.2095901254006</c:v>
                </c:pt>
                <c:pt idx="673">
                  <c:v>6342.711425837525</c:v>
                </c:pt>
                <c:pt idx="674">
                  <c:v>6244.2057974813888</c:v>
                </c:pt>
                <c:pt idx="675">
                  <c:v>6176.4657276728249</c:v>
                </c:pt>
                <c:pt idx="676">
                  <c:v>6148.0999680632794</c:v>
                </c:pt>
                <c:pt idx="677">
                  <c:v>6162.5206112969554</c:v>
                </c:pt>
                <c:pt idx="678">
                  <c:v>6217.6102846025569</c:v>
                </c:pt>
                <c:pt idx="679">
                  <c:v>6306.06050917012</c:v>
                </c:pt>
                <c:pt idx="680">
                  <c:v>6416.3074315618815</c:v>
                </c:pt>
                <c:pt idx="681">
                  <c:v>6533.9756709404528</c:v>
                </c:pt>
                <c:pt idx="682">
                  <c:v>6643.7032877829479</c:v>
                </c:pt>
                <c:pt idx="683">
                  <c:v>6731.145553929523</c:v>
                </c:pt>
                <c:pt idx="684">
                  <c:v>6784.8821671105652</c:v>
                </c:pt>
                <c:pt idx="685">
                  <c:v>6797.9401214751797</c:v>
                </c:pt>
                <c:pt idx="686">
                  <c:v>6768.7116467191236</c:v>
                </c:pt>
                <c:pt idx="687">
                  <c:v>6701.1560791275888</c:v>
                </c:pt>
                <c:pt idx="688">
                  <c:v>6604.2745791356574</c:v>
                </c:pt>
                <c:pt idx="689">
                  <c:v>6490.9213173741255</c:v>
                </c:pt>
                <c:pt idx="690">
                  <c:v>6376.0860765272791</c:v>
                </c:pt>
                <c:pt idx="691">
                  <c:v>6274.8691980131516</c:v>
                </c:pt>
                <c:pt idx="692">
                  <c:v>6200.447761012545</c:v>
                </c:pt>
                <c:pt idx="693">
                  <c:v>6162.3493259578099</c:v>
                </c:pt>
                <c:pt idx="694">
                  <c:v>6165.2773928608294</c:v>
                </c:pt>
                <c:pt idx="695">
                  <c:v>6208.603636691797</c:v>
                </c:pt>
                <c:pt idx="696">
                  <c:v>6286.5255413236218</c:v>
                </c:pt>
                <c:pt idx="697">
                  <c:v>6388.827214780039</c:v>
                </c:pt>
                <c:pt idx="698">
                  <c:v>6502.1598980704021</c:v>
                </c:pt>
                <c:pt idx="699">
                  <c:v>6611.7291604771617</c:v>
                </c:pt>
                <c:pt idx="700">
                  <c:v>6703.211810012036</c:v>
                </c:pt>
                <c:pt idx="701">
                  <c:v>6764.6517239855912</c:v>
                </c:pt>
                <c:pt idx="702">
                  <c:v>6788.0541673546504</c:v>
                </c:pt>
                <c:pt idx="703">
                  <c:v>6770.4434454640314</c:v>
                </c:pt>
                <c:pt idx="704">
                  <c:v>6714.2467080022925</c:v>
                </c:pt>
                <c:pt idx="705">
                  <c:v>6626.9684189124282</c:v>
                </c:pt>
                <c:pt idx="706">
                  <c:v>6520.1992140574957</c:v>
                </c:pt>
                <c:pt idx="707">
                  <c:v>6408.0719964804684</c:v>
                </c:pt>
                <c:pt idx="708">
                  <c:v>6305.3577043037048</c:v>
                </c:pt>
                <c:pt idx="709">
                  <c:v>6225.4727012882922</c:v>
                </c:pt>
                <c:pt idx="710">
                  <c:v>6178.7045906934454</c:v>
                </c:pt>
                <c:pt idx="711">
                  <c:v>6170.9166030716051</c:v>
                </c:pt>
                <c:pt idx="712">
                  <c:v>6202.8775966973562</c:v>
                </c:pt>
                <c:pt idx="713">
                  <c:v>6270.2452973084401</c:v>
                </c:pt>
                <c:pt idx="714">
                  <c:v>6364.1557998634644</c:v>
                </c:pt>
                <c:pt idx="715">
                  <c:v>6472.3424892880248</c:v>
                </c:pt>
                <c:pt idx="716">
                  <c:v>6580.6824292082583</c:v>
                </c:pt>
                <c:pt idx="717">
                  <c:v>6675.0150231057032</c:v>
                </c:pt>
                <c:pt idx="718">
                  <c:v>6743.0067699329438</c:v>
                </c:pt>
                <c:pt idx="719">
                  <c:v>6775.7937347606903</c:v>
                </c:pt>
                <c:pt idx="720">
                  <c:v>6769.1579598860371</c:v>
                </c:pt>
                <c:pt idx="721">
                  <c:v>6724.0777432161476</c:v>
                </c:pt>
                <c:pt idx="722">
                  <c:v>6646.5918205116895</c:v>
                </c:pt>
                <c:pt idx="723">
                  <c:v>6547.0008514723522</c:v>
                </c:pt>
                <c:pt idx="724">
                  <c:v>6438.4985866605002</c:v>
                </c:pt>
                <c:pt idx="725">
                  <c:v>6335.3992667221028</c:v>
                </c:pt>
                <c:pt idx="726">
                  <c:v>6251.2062299662894</c:v>
                </c:pt>
                <c:pt idx="727">
                  <c:v>6196.8141733130751</c:v>
                </c:pt>
                <c:pt idx="728">
                  <c:v>6179.1140324661555</c:v>
                </c:pt>
                <c:pt idx="729">
                  <c:v>6200.1749685543182</c:v>
                </c:pt>
                <c:pt idx="730">
                  <c:v>6257.0606507793573</c:v>
                </c:pt>
                <c:pt idx="731">
                  <c:v>6342.2513653669639</c:v>
                </c:pt>
                <c:pt idx="732">
                  <c:v>6444.6034355336105</c:v>
                </c:pt>
                <c:pt idx="733">
                  <c:v>6550.7531880646648</c:v>
                </c:pt>
                <c:pt idx="734">
                  <c:v>6646.8286277737398</c:v>
                </c:pt>
                <c:pt idx="735">
                  <c:v>6720.2662647393472</c:v>
                </c:pt>
                <c:pt idx="736">
                  <c:v>6761.4801518190234</c:v>
                </c:pt>
                <c:pt idx="737">
                  <c:v>6765.1363108532732</c:v>
                </c:pt>
                <c:pt idx="738">
                  <c:v>6730.8534201579323</c:v>
                </c:pt>
                <c:pt idx="739">
                  <c:v>6663.2459717148295</c:v>
                </c:pt>
                <c:pt idx="740">
                  <c:v>6571.3124812201186</c:v>
                </c:pt>
                <c:pt idx="741">
                  <c:v>6467.2416129345111</c:v>
                </c:pt>
                <c:pt idx="742">
                  <c:v>6364.77922818979</c:v>
                </c:pt>
                <c:pt idx="743">
                  <c:v>6277.3751549636772</c:v>
                </c:pt>
                <c:pt idx="744">
                  <c:v>6216.3843901129294</c:v>
                </c:pt>
                <c:pt idx="745">
                  <c:v>6189.5940618742716</c:v>
                </c:pt>
                <c:pt idx="746">
                  <c:v>6200.2728888399215</c:v>
                </c:pt>
                <c:pt idx="747">
                  <c:v>6246.8291317834955</c:v>
                </c:pt>
                <c:pt idx="748">
                  <c:v>6323.0696861508941</c:v>
                </c:pt>
                <c:pt idx="749">
                  <c:v>6419.0022974842577</c:v>
                </c:pt>
                <c:pt idx="750">
                  <c:v>6522.0964447593924</c:v>
                </c:pt>
                <c:pt idx="751">
                  <c:v>6618.8814017498216</c:v>
                </c:pt>
                <c:pt idx="752">
                  <c:v>6696.7008468895092</c:v>
                </c:pt>
                <c:pt idx="753">
                  <c:v>6745.3886762316815</c:v>
                </c:pt>
                <c:pt idx="754">
                  <c:v>6758.6211226789374</c:v>
                </c:pt>
                <c:pt idx="755">
                  <c:v>6734.7512677193436</c:v>
                </c:pt>
                <c:pt idx="756">
                  <c:v>6677.0197236488748</c:v>
                </c:pt>
                <c:pt idx="757">
                  <c:v>6593.1229131556511</c:v>
                </c:pt>
                <c:pt idx="758">
                  <c:v>6494.1927341764285</c:v>
                </c:pt>
                <c:pt idx="759">
                  <c:v>6393.3090053331471</c:v>
                </c:pt>
                <c:pt idx="760">
                  <c:v>6303.7385895655516</c:v>
                </c:pt>
                <c:pt idx="761">
                  <c:v>6237.1560387387017</c:v>
                </c:pt>
                <c:pt idx="762">
                  <c:v>6202.113905378349</c:v>
                </c:pt>
                <c:pt idx="763">
                  <c:v>6202.9762065070881</c:v>
                </c:pt>
                <c:pt idx="764">
                  <c:v>6239.4279400455625</c:v>
                </c:pt>
                <c:pt idx="765">
                  <c:v>6306.5761980394691</c:v>
                </c:pt>
                <c:pt idx="766">
                  <c:v>6395.5977111855882</c:v>
                </c:pt>
                <c:pt idx="767">
                  <c:v>6494.8566596039427</c:v>
                </c:pt>
                <c:pt idx="768">
                  <c:v>6591.384173432989</c:v>
                </c:pt>
                <c:pt idx="769">
                  <c:v>6672.5587291381908</c:v>
                </c:pt>
                <c:pt idx="770">
                  <c:v>6727.7707757780126</c:v>
                </c:pt>
                <c:pt idx="771">
                  <c:v>6749.8328311977721</c:v>
                </c:pt>
                <c:pt idx="772">
                  <c:v>6735.9307986573631</c:v>
                </c:pt>
                <c:pt idx="773">
                  <c:v>6687.9899496624475</c:v>
                </c:pt>
                <c:pt idx="774">
                  <c:v>6612.4158436349717</c:v>
                </c:pt>
                <c:pt idx="775">
                  <c:v>6519.2450079147138</c:v>
                </c:pt>
                <c:pt idx="776">
                  <c:v>6420.8066322365066</c:v>
                </c:pt>
                <c:pt idx="777">
                  <c:v>6330.0657644392504</c:v>
                </c:pt>
                <c:pt idx="778">
                  <c:v>6258.8818557068598</c:v>
                </c:pt>
                <c:pt idx="779">
                  <c:v>6216.4430635336621</c:v>
                </c:pt>
                <c:pt idx="780">
                  <c:v>6208.101060267838</c:v>
                </c:pt>
                <c:pt idx="781">
                  <c:v>6234.7433144744264</c:v>
                </c:pt>
                <c:pt idx="782">
                  <c:v>6292.7421415879189</c:v>
                </c:pt>
                <c:pt idx="783">
                  <c:v>6374.4504798753142</c:v>
                </c:pt>
                <c:pt idx="784">
                  <c:v>6469.1771775287461</c:v>
                </c:pt>
                <c:pt idx="785">
                  <c:v>6564.5443457957936</c:v>
                </c:pt>
                <c:pt idx="786">
                  <c:v>6648.0836011958481</c:v>
                </c:pt>
                <c:pt idx="787">
                  <c:v>6708.8733981347996</c:v>
                </c:pt>
                <c:pt idx="788">
                  <c:v>6738.9881926168491</c:v>
                </c:pt>
                <c:pt idx="789">
                  <c:v>6734.5492470447361</c:v>
                </c:pt>
                <c:pt idx="790">
                  <c:v>6696.2328814131197</c:v>
                </c:pt>
                <c:pt idx="791">
                  <c:v>6629.1757500063659</c:v>
                </c:pt>
                <c:pt idx="792">
                  <c:v>6542.2929731790609</c:v>
                </c:pt>
                <c:pt idx="793">
                  <c:v>6447.0912813600899</c:v>
                </c:pt>
                <c:pt idx="794">
                  <c:v>6356.1257484508187</c:v>
                </c:pt>
                <c:pt idx="795">
                  <c:v>6281.3126201774712</c:v>
                </c:pt>
                <c:pt idx="796">
                  <c:v>6232.3473384868303</c:v>
                </c:pt>
                <c:pt idx="797">
                  <c:v>6215.4585571058269</c:v>
                </c:pt>
                <c:pt idx="798">
                  <c:v>6232.6556494283441</c:v>
                </c:pt>
                <c:pt idx="799">
                  <c:v>6281.5326725226432</c:v>
                </c:pt>
                <c:pt idx="800">
                  <c:v>6355.6158213575291</c:v>
                </c:pt>
                <c:pt idx="801">
                  <c:v>6445.1972489559521</c:v>
                </c:pt>
                <c:pt idx="802">
                  <c:v>6538.5678218705852</c:v>
                </c:pt>
                <c:pt idx="803">
                  <c:v>6623.5211195454276</c:v>
                </c:pt>
                <c:pt idx="804">
                  <c:v>6688.9492410265902</c:v>
                </c:pt>
                <c:pt idx="805">
                  <c:v>6726.3131531339986</c:v>
                </c:pt>
                <c:pt idx="806">
                  <c:v>6730.775577649074</c:v>
                </c:pt>
                <c:pt idx="807">
                  <c:v>6701.8377143851367</c:v>
                </c:pt>
                <c:pt idx="808">
                  <c:v>6643.3996767140798</c:v>
                </c:pt>
                <c:pt idx="809">
                  <c:v>6563.24148242709</c:v>
                </c:pt>
                <c:pt idx="810">
                  <c:v>6471.9883531058886</c:v>
                </c:pt>
                <c:pt idx="811">
                  <c:v>6381.6883735924121</c:v>
                </c:pt>
                <c:pt idx="812">
                  <c:v>6304.1938875736432</c:v>
                </c:pt>
                <c:pt idx="813">
                  <c:v>6249.5817862192534</c:v>
                </c:pt>
                <c:pt idx="814">
                  <c:v>6224.8447829283496</c:v>
                </c:pt>
                <c:pt idx="815">
                  <c:v>6233.0277307297447</c:v>
                </c:pt>
                <c:pt idx="816">
                  <c:v>6272.8946380362122</c:v>
                </c:pt>
                <c:pt idx="817">
                  <c:v>6339.1319632088907</c:v>
                </c:pt>
                <c:pt idx="818">
                  <c:v>6423.0425603054027</c:v>
                </c:pt>
                <c:pt idx="819">
                  <c:v>6513.6523635317808</c:v>
                </c:pt>
                <c:pt idx="820">
                  <c:v>6599.1157211740574</c:v>
                </c:pt>
                <c:pt idx="821">
                  <c:v>6668.2573158464293</c:v>
                </c:pt>
                <c:pt idx="822">
                  <c:v>6712.0470564153402</c:v>
                </c:pt>
                <c:pt idx="823">
                  <c:v>6724.7978175433309</c:v>
                </c:pt>
                <c:pt idx="824">
                  <c:v>6704.9162072427962</c:v>
                </c:pt>
                <c:pt idx="825">
                  <c:v>6655.1080456282461</c:v>
                </c:pt>
                <c:pt idx="826">
                  <c:v>6582.0165975505824</c:v>
                </c:pt>
                <c:pt idx="827">
                  <c:v>6495.3393541566966</c:v>
                </c:pt>
                <c:pt idx="828">
                  <c:v>6406.5320839708738</c:v>
                </c:pt>
                <c:pt idx="829">
                  <c:v>6327.2709836690083</c:v>
                </c:pt>
                <c:pt idx="830">
                  <c:v>6267.8923402038345</c:v>
                </c:pt>
                <c:pt idx="831">
                  <c:v>6236.0389473881714</c:v>
                </c:pt>
                <c:pt idx="832">
                  <c:v>6235.6997089081615</c:v>
                </c:pt>
                <c:pt idx="833">
                  <c:v>6266.7490168648501</c:v>
                </c:pt>
                <c:pt idx="834">
                  <c:v>6325.0108961185015</c:v>
                </c:pt>
                <c:pt idx="835">
                  <c:v>6402.815255429904</c:v>
                </c:pt>
                <c:pt idx="836">
                  <c:v>6489.9778859084117</c:v>
                </c:pt>
                <c:pt idx="837">
                  <c:v>6575.1021923751314</c:v>
                </c:pt>
                <c:pt idx="838">
                  <c:v>6647.0566950580824</c:v>
                </c:pt>
                <c:pt idx="839">
                  <c:v>6696.4392472969357</c:v>
                </c:pt>
                <c:pt idx="840">
                  <c:v>6716.8228594684961</c:v>
                </c:pt>
                <c:pt idx="841">
                  <c:v>6705.6056591959705</c:v>
                </c:pt>
                <c:pt idx="842">
                  <c:v>6664.3504489759171</c:v>
                </c:pt>
                <c:pt idx="843">
                  <c:v>6598.5735695851663</c:v>
                </c:pt>
                <c:pt idx="844">
                  <c:v>6517.0112176207513</c:v>
                </c:pt>
                <c:pt idx="845">
                  <c:v>6430.4535862231751</c:v>
                </c:pt>
                <c:pt idx="846">
                  <c:v>6350.297906656886</c:v>
                </c:pt>
                <c:pt idx="847">
                  <c:v>6287.0229679270979</c:v>
                </c:pt>
                <c:pt idx="848">
                  <c:v>6248.8080360756139</c:v>
                </c:pt>
                <c:pt idx="849">
                  <c:v>6240.4908213896988</c:v>
                </c:pt>
                <c:pt idx="850">
                  <c:v>6262.9896245147602</c:v>
                </c:pt>
                <c:pt idx="851">
                  <c:v>6313.2342646472453</c:v>
                </c:pt>
                <c:pt idx="852">
                  <c:v>6384.5874561523851</c:v>
                </c:pt>
                <c:pt idx="853">
                  <c:v>6467.6982731202279</c:v>
                </c:pt>
                <c:pt idx="854">
                  <c:v>6551.6966460114618</c:v>
                </c:pt>
                <c:pt idx="855">
                  <c:v>6625.5976498214623</c:v>
                </c:pt>
                <c:pt idx="856">
                  <c:v>6679.7413718557282</c:v>
                </c:pt>
                <c:pt idx="857">
                  <c:v>6707.0707830938481</c:v>
                </c:pt>
                <c:pt idx="858">
                  <c:v>6704.0658619045889</c:v>
                </c:pt>
                <c:pt idx="859">
                  <c:v>6671.2055459222529</c:v>
                </c:pt>
                <c:pt idx="860">
                  <c:v>6612.8996867116466</c:v>
                </c:pt>
                <c:pt idx="861">
                  <c:v>6536.9017941303118</c:v>
                </c:pt>
                <c:pt idx="862">
                  <c:v>6453.2753623391563</c:v>
                </c:pt>
                <c:pt idx="863">
                  <c:v>6373.0459781302088</c:v>
                </c:pt>
                <c:pt idx="864">
                  <c:v>6306.7244381210849</c:v>
                </c:pt>
                <c:pt idx="865">
                  <c:v>6262.9146986687456</c:v>
                </c:pt>
                <c:pt idx="866">
                  <c:v>6247.2055706092815</c:v>
                </c:pt>
                <c:pt idx="867">
                  <c:v>6261.4869820023041</c:v>
                </c:pt>
                <c:pt idx="868">
                  <c:v>6303.7545694917144</c:v>
                </c:pt>
                <c:pt idx="869">
                  <c:v>6368.3996844469411</c:v>
                </c:pt>
                <c:pt idx="870">
                  <c:v>6446.9371729403829</c:v>
                </c:pt>
                <c:pt idx="871">
                  <c:v>6529.0901349012483</c:v>
                </c:pt>
                <c:pt idx="872">
                  <c:v>6604.1138063222297</c:v>
                </c:pt>
                <c:pt idx="873">
                  <c:v>6662.1989915982031</c:v>
                </c:pt>
                <c:pt idx="874">
                  <c:v>6695.7668982340465</c:v>
                </c:pt>
                <c:pt idx="875">
                  <c:v>6700.4724710004066</c:v>
                </c:pt>
                <c:pt idx="876">
                  <c:v>6675.7764993797364</c:v>
                </c:pt>
                <c:pt idx="877">
                  <c:v>6625.0122884145003</c:v>
                </c:pt>
                <c:pt idx="878">
                  <c:v>6554.9406716820477</c:v>
                </c:pt>
                <c:pt idx="879">
                  <c:v>6474.8491868998472</c:v>
                </c:pt>
                <c:pt idx="880">
                  <c:v>6395.3096027803022</c:v>
                </c:pt>
                <c:pt idx="881">
                  <c:v>6326.7615889468716</c:v>
                </c:pt>
                <c:pt idx="882">
                  <c:v>6278.1251450200753</c:v>
                </c:pt>
                <c:pt idx="883">
                  <c:v>6255.6413597878227</c:v>
                </c:pt>
                <c:pt idx="884">
                  <c:v>6262.0948888634657</c:v>
                </c:pt>
                <c:pt idx="885">
                  <c:v>6296.5000051476482</c:v>
                </c:pt>
                <c:pt idx="886">
                  <c:v>6354.2634533152996</c:v>
                </c:pt>
                <c:pt idx="887">
                  <c:v>6427.7880423278311</c:v>
                </c:pt>
                <c:pt idx="888">
                  <c:v>6507.4461326287101</c:v>
                </c:pt>
                <c:pt idx="889">
                  <c:v>6582.8173594855625</c:v>
                </c:pt>
                <c:pt idx="890">
                  <c:v>6644.0451152497944</c:v>
                </c:pt>
                <c:pt idx="891">
                  <c:v>6683.1343757475634</c:v>
                </c:pt>
                <c:pt idx="892">
                  <c:v>6695.0096011264768</c:v>
                </c:pt>
                <c:pt idx="893">
                  <c:v>6678.184387633557</c:v>
                </c:pt>
                <c:pt idx="894">
                  <c:v>6634.9537529668369</c:v>
                </c:pt>
                <c:pt idx="895">
                  <c:v>6571.0863214807687</c:v>
                </c:pt>
                <c:pt idx="896">
                  <c:v>6495.0557482642935</c:v>
                </c:pt>
                <c:pt idx="897">
                  <c:v>6416.9083546045367</c:v>
                </c:pt>
                <c:pt idx="898">
                  <c:v>6346.9175481555585</c:v>
                </c:pt>
                <c:pt idx="899">
                  <c:v>6294.2149280557196</c:v>
                </c:pt>
                <c:pt idx="900">
                  <c:v>6265.5951390584605</c:v>
                </c:pt>
                <c:pt idx="901">
                  <c:v>6264.6571949636536</c:v>
                </c:pt>
                <c:pt idx="902">
                  <c:v>6291.3806337917213</c:v>
                </c:pt>
                <c:pt idx="903">
                  <c:v>6342.1661719708909</c:v>
                </c:pt>
                <c:pt idx="904">
                  <c:v>6410.3172254689689</c:v>
                </c:pt>
                <c:pt idx="905">
                  <c:v>6486.9014224671246</c:v>
                </c:pt>
                <c:pt idx="906">
                  <c:v>6561.8976817740477</c:v>
                </c:pt>
                <c:pt idx="907">
                  <c:v>6625.4967294202379</c:v>
                </c:pt>
                <c:pt idx="908">
                  <c:v>6669.3891538637508</c:v>
                </c:pt>
                <c:pt idx="909">
                  <c:v>6687.8637372835619</c:v>
                </c:pt>
                <c:pt idx="910">
                  <c:v>6678.5618481240272</c:v>
                </c:pt>
                <c:pt idx="911">
                  <c:v>6642.7856275459399</c:v>
                </c:pt>
                <c:pt idx="912">
                  <c:v>6585.3214135949347</c:v>
                </c:pt>
                <c:pt idx="913">
                  <c:v>6513.8016964525004</c:v>
                </c:pt>
                <c:pt idx="914">
                  <c:v>6437.68606093791</c:v>
                </c:pt>
                <c:pt idx="915">
                  <c:v>6366.9948741422631</c:v>
                </c:pt>
                <c:pt idx="916">
                  <c:v>6310.9719094100656</c:v>
                </c:pt>
                <c:pt idx="917">
                  <c:v>6276.8677840073651</c:v>
                </c:pt>
                <c:pt idx="918">
                  <c:v>6269.0130719173394</c:v>
                </c:pt>
                <c:pt idx="919">
                  <c:v>6288.2939640880877</c:v>
                </c:pt>
                <c:pt idx="920">
                  <c:v>6332.0764109667534</c:v>
                </c:pt>
                <c:pt idx="921">
                  <c:v>6394.5682974096953</c:v>
                </c:pt>
                <c:pt idx="922">
                  <c:v>6467.5690052504178</c:v>
                </c:pt>
                <c:pt idx="923">
                  <c:v>6541.5224627459475</c:v>
                </c:pt>
                <c:pt idx="924">
                  <c:v>6606.7540738075541</c:v>
                </c:pt>
                <c:pt idx="925">
                  <c:v>6654.7374896580768</c:v>
                </c:pt>
                <c:pt idx="926">
                  <c:v>6679.2199005364373</c:v>
                </c:pt>
                <c:pt idx="927">
                  <c:v>6677.0483431234188</c:v>
                </c:pt>
                <c:pt idx="928">
                  <c:v>6648.583578554365</c:v>
                </c:pt>
                <c:pt idx="929">
                  <c:v>6597.6480747518399</c:v>
                </c:pt>
                <c:pt idx="930">
                  <c:v>6531.0157848893605</c:v>
                </c:pt>
                <c:pt idx="931">
                  <c:v>6457.5082646118017</c:v>
                </c:pt>
                <c:pt idx="932">
                  <c:v>6386.8145703328182</c:v>
                </c:pt>
                <c:pt idx="933">
                  <c:v>6328.196846115442</c:v>
                </c:pt>
                <c:pt idx="934">
                  <c:v>6289.2661031954449</c:v>
                </c:pt>
                <c:pt idx="935">
                  <c:v>6275.0001668751793</c:v>
                </c:pt>
                <c:pt idx="936">
                  <c:v>6287.1288816148053</c:v>
                </c:pt>
                <c:pt idx="937">
                  <c:v>6323.9481583454817</c:v>
                </c:pt>
                <c:pt idx="938">
                  <c:v>6380.5661418922155</c:v>
                </c:pt>
                <c:pt idx="939">
                  <c:v>6449.5415031472912</c:v>
                </c:pt>
                <c:pt idx="940">
                  <c:v>6521.8400332087622</c:v>
                </c:pt>
                <c:pt idx="941">
                  <c:v>6588.0016370484573</c:v>
                </c:pt>
                <c:pt idx="942">
                  <c:v>6639.375559574044</c:v>
                </c:pt>
                <c:pt idx="943">
                  <c:v>6669.2599553713289</c:v>
                </c:pt>
                <c:pt idx="944">
                  <c:v>6673.7874195584982</c:v>
                </c:pt>
                <c:pt idx="945">
                  <c:v>6652.4339673837057</c:v>
                </c:pt>
                <c:pt idx="946">
                  <c:v>6608.0842264039702</c:v>
                </c:pt>
                <c:pt idx="947">
                  <c:v>6546.6454405799841</c:v>
                </c:pt>
                <c:pt idx="948">
                  <c:v>6476.2594404955871</c:v>
                </c:pt>
                <c:pt idx="949">
                  <c:v>6406.214238688156</c:v>
                </c:pt>
                <c:pt idx="950">
                  <c:v>6345.7026221504711</c:v>
                </c:pt>
                <c:pt idx="951">
                  <c:v>6302.6031572015472</c:v>
                </c:pt>
                <c:pt idx="952">
                  <c:v>6282.4559188320109</c:v>
                </c:pt>
                <c:pt idx="953">
                  <c:v>6287.7677888945063</c:v>
                </c:pt>
                <c:pt idx="954">
                  <c:v>6317.7235260171155</c:v>
                </c:pt>
                <c:pt idx="955">
                  <c:v>6368.3198896238127</c:v>
                </c:pt>
                <c:pt idx="956">
                  <c:v>6432.8939550145251</c:v>
                </c:pt>
                <c:pt idx="957">
                  <c:v>6502.9816662589519</c:v>
                </c:pt>
                <c:pt idx="958">
                  <c:v>6569.4096980160502</c:v>
                </c:pt>
                <c:pt idx="959">
                  <c:v>6623.4900948076956</c:v>
                </c:pt>
                <c:pt idx="960">
                  <c:v>6658.1623132220457</c:v>
                </c:pt>
                <c:pt idx="961">
                  <c:v>6668.9255625709102</c:v>
                </c:pt>
                <c:pt idx="962">
                  <c:v>6654.4320332570778</c:v>
                </c:pt>
                <c:pt idx="963">
                  <c:v>6616.6613594838682</c:v>
                </c:pt>
                <c:pt idx="964">
                  <c:v>6560.6544430845688</c:v>
                </c:pt>
                <c:pt idx="965">
                  <c:v>6493.8408840807342</c:v>
                </c:pt>
                <c:pt idx="966">
                  <c:v>6425.0464182445367</c:v>
                </c:pt>
                <c:pt idx="967">
                  <c:v>6363.3131825151568</c:v>
                </c:pt>
                <c:pt idx="968">
                  <c:v>6316.6978469865371</c:v>
                </c:pt>
                <c:pt idx="969">
                  <c:v>6291.2177977884503</c:v>
                </c:pt>
                <c:pt idx="970">
                  <c:v>6290.0874419635511</c:v>
                </c:pt>
                <c:pt idx="971">
                  <c:v>6313.3340729653783</c:v>
                </c:pt>
                <c:pt idx="972">
                  <c:v>6357.8245513328602</c:v>
                </c:pt>
                <c:pt idx="973">
                  <c:v>6417.6855308725862</c:v>
                </c:pt>
                <c:pt idx="974">
                  <c:v>6485.0631354779362</c:v>
                </c:pt>
                <c:pt idx="975">
                  <c:v>6551.1355309089531</c:v>
                </c:pt>
                <c:pt idx="976">
                  <c:v>6607.2591083924235</c:v>
                </c:pt>
                <c:pt idx="977">
                  <c:v>6646.1021321553744</c:v>
                </c:pt>
                <c:pt idx="978">
                  <c:v>6662.6118843164277</c:v>
                </c:pt>
                <c:pt idx="979">
                  <c:v>6654.681147531106</c:v>
                </c:pt>
                <c:pt idx="980">
                  <c:v>6623.4234874417289</c:v>
                </c:pt>
                <c:pt idx="981">
                  <c:v>6573.0217514258802</c:v>
                </c:pt>
                <c:pt idx="982">
                  <c:v>6510.1695937532995</c:v>
                </c:pt>
                <c:pt idx="983">
                  <c:v>6443.1776671912476</c:v>
                </c:pt>
                <c:pt idx="984">
                  <c:v>6380.8628972001161</c:v>
                </c:pt>
                <c:pt idx="985">
                  <c:v>6331.3745860311128</c:v>
                </c:pt>
                <c:pt idx="986">
                  <c:v>6301.1232802639643</c:v>
                </c:pt>
                <c:pt idx="987">
                  <c:v>6293.9592092886123</c:v>
                </c:pt>
                <c:pt idx="988">
                  <c:v>6310.7013066148083</c:v>
                </c:pt>
                <c:pt idx="989">
                  <c:v>6349.0616846297653</c:v>
                </c:pt>
                <c:pt idx="990">
                  <c:v>6403.9602504841387</c:v>
                </c:pt>
                <c:pt idx="991">
                  <c:v>6468.1853587988453</c:v>
                </c:pt>
                <c:pt idx="992">
                  <c:v>6533.3238717672839</c:v>
                </c:pt>
                <c:pt idx="993">
                  <c:v>6590.8521301051305</c:v>
                </c:pt>
                <c:pt idx="994">
                  <c:v>6633.2513149545894</c:v>
                </c:pt>
                <c:pt idx="995">
                  <c:v>6654.9979156385807</c:v>
                </c:pt>
                <c:pt idx="996">
                  <c:v>6653.2924549031268</c:v>
                </c:pt>
                <c:pt idx="997">
                  <c:v>6628.4267161824346</c:v>
                </c:pt>
                <c:pt idx="998">
                  <c:v>6583.7410991937595</c:v>
                </c:pt>
                <c:pt idx="999">
                  <c:v>6525.1779835828556</c:v>
                </c:pt>
                <c:pt idx="1000">
                  <c:v>6460.4884512589833</c:v>
                </c:pt>
                <c:pt idx="1001">
                  <c:v>6398.1966293970463</c:v>
                </c:pt>
                <c:pt idx="1002">
                  <c:v>6346.4635072484743</c:v>
                </c:pt>
                <c:pt idx="1003">
                  <c:v>6312.0101367843417</c:v>
                </c:pt>
                <c:pt idx="1004">
                  <c:v>6299.2493885985796</c:v>
                </c:pt>
                <c:pt idx="1005">
                  <c:v>6309.7369871674464</c:v>
                </c:pt>
                <c:pt idx="1006">
                  <c:v>6341.9996404329631</c:v>
                </c:pt>
                <c:pt idx="1007">
                  <c:v>6391.7471152959597</c:v>
                </c:pt>
                <c:pt idx="1008">
                  <c:v>6452.434360449226</c:v>
                </c:pt>
                <c:pt idx="1009">
                  <c:v>6516.1066818333702</c:v>
                </c:pt>
                <c:pt idx="1010">
                  <c:v>6574.4297884718526</c:v>
                </c:pt>
                <c:pt idx="1011">
                  <c:v>6619.777970166183</c:v>
                </c:pt>
                <c:pt idx="1012">
                  <c:v>6646.2370308737936</c:v>
                </c:pt>
                <c:pt idx="1013">
                  <c:v>6650.3843528691914</c:v>
                </c:pt>
                <c:pt idx="1014">
                  <c:v>6631.7388667877203</c:v>
                </c:pt>
                <c:pt idx="1015">
                  <c:v>6592.8208411240548</c:v>
                </c:pt>
                <c:pt idx="1016">
                  <c:v>6538.8140116300383</c:v>
                </c:pt>
                <c:pt idx="1017">
                  <c:v>6476.8735657460638</c:v>
                </c:pt>
                <c:pt idx="1018">
                  <c:v>6415.170402014468</c:v>
                </c:pt>
                <c:pt idx="1019">
                  <c:v>6361.801272547651</c:v>
                </c:pt>
                <c:pt idx="1020">
                  <c:v>6323.7172620080328</c:v>
                </c:pt>
                <c:pt idx="1021">
                  <c:v>6305.8199463742967</c:v>
                </c:pt>
                <c:pt idx="1022">
                  <c:v>6310.3436902655249</c:v>
                </c:pt>
                <c:pt idx="1023">
                  <c:v>6336.5938823495144</c:v>
                </c:pt>
                <c:pt idx="1024">
                  <c:v>6381.0601304388301</c:v>
                </c:pt>
                <c:pt idx="1025">
                  <c:v>6437.8809604460857</c:v>
                </c:pt>
                <c:pt idx="1026">
                  <c:v>6499.602508279173</c:v>
                </c:pt>
                <c:pt idx="1027">
                  <c:v>6558.1429016554166</c:v>
                </c:pt>
                <c:pt idx="1028">
                  <c:v>6605.8453440685762</c:v>
                </c:pt>
                <c:pt idx="1029">
                  <c:v>6636.4833618591238</c:v>
                </c:pt>
                <c:pt idx="1030">
                  <c:v>6646.0815330935557</c:v>
                </c:pt>
                <c:pt idx="1031">
                  <c:v>6633.4387767692997</c:v>
                </c:pt>
                <c:pt idx="1032">
                  <c:v>6600.2836232441186</c:v>
                </c:pt>
                <c:pt idx="1033">
                  <c:v>6551.0412900352494</c:v>
                </c:pt>
                <c:pt idx="1034">
                  <c:v>6492.2426977240557</c:v>
                </c:pt>
                <c:pt idx="1035">
                  <c:v>6431.6523498845054</c:v>
                </c:pt>
                <c:pt idx="1036">
                  <c:v>6377.2322850275123</c:v>
                </c:pt>
                <c:pt idx="1037">
                  <c:v>6336.0859795475326</c:v>
                </c:pt>
                <c:pt idx="1038">
                  <c:v>6313.5297484614466</c:v>
                </c:pt>
                <c:pt idx="1039">
                  <c:v>6312.415821309075</c:v>
                </c:pt>
                <c:pt idx="1040">
                  <c:v>6332.7876719211272</c:v>
                </c:pt>
                <c:pt idx="1041">
                  <c:v>6371.8985744554684</c:v>
                </c:pt>
                <c:pt idx="1042">
                  <c:v>6424.5805743136443</c:v>
                </c:pt>
                <c:pt idx="1043">
                  <c:v>6483.9158091089976</c:v>
                </c:pt>
                <c:pt idx="1044">
                  <c:v>6542.131389407924</c:v>
                </c:pt>
                <c:pt idx="1045">
                  <c:v>6591.6104479924152</c:v>
                </c:pt>
                <c:pt idx="1046">
                  <c:v>6625.8903144496035</c:v>
                </c:pt>
                <c:pt idx="1047">
                  <c:v>6640.513576744137</c:v>
                </c:pt>
                <c:pt idx="1048">
                  <c:v>6633.6151549860897</c:v>
                </c:pt>
                <c:pt idx="1049">
                  <c:v>6606.165652079676</c:v>
                </c:pt>
                <c:pt idx="1050">
                  <c:v>6561.8388797637626</c:v>
                </c:pt>
                <c:pt idx="1051">
                  <c:v>6506.5207920235462</c:v>
                </c:pt>
                <c:pt idx="1052">
                  <c:v>6447.5236186903676</c:v>
                </c:pt>
                <c:pt idx="1053">
                  <c:v>6392.6099991548081</c:v>
                </c:pt>
                <c:pt idx="1054">
                  <c:v>6348.9615841378545</c:v>
                </c:pt>
                <c:pt idx="1055">
                  <c:v>6322.2361363187119</c:v>
                </c:pt>
                <c:pt idx="1056">
                  <c:v>6315.8410407155861</c:v>
                </c:pt>
                <c:pt idx="1057">
                  <c:v>6330.5131842738992</c:v>
                </c:pt>
                <c:pt idx="1058">
                  <c:v>6364.247675973842</c:v>
                </c:pt>
                <c:pt idx="1059">
                  <c:v>6412.5733575891845</c:v>
                </c:pt>
                <c:pt idx="1060">
                  <c:v>6469.1365261143628</c:v>
                </c:pt>
                <c:pt idx="1061">
                  <c:v>6526.5233083429885</c:v>
                </c:pt>
                <c:pt idx="1062">
                  <c:v>6577.2226683337958</c:v>
                </c:pt>
                <c:pt idx="1063">
                  <c:v>6614.608928206937</c:v>
                </c:pt>
                <c:pt idx="1064">
                  <c:v>6633.813271961345</c:v>
                </c:pt>
                <c:pt idx="1065">
                  <c:v>6632.3650693686859</c:v>
                </c:pt>
                <c:pt idx="1066">
                  <c:v>6610.515547060565</c:v>
                </c:pt>
                <c:pt idx="1067">
                  <c:v>6571.2006632742214</c:v>
                </c:pt>
                <c:pt idx="1068">
                  <c:v>6519.6480366147362</c:v>
                </c:pt>
                <c:pt idx="1069">
                  <c:v>6462.6789698205457</c:v>
                </c:pt>
                <c:pt idx="1070">
                  <c:v>6407.7980593551683</c:v>
                </c:pt>
                <c:pt idx="1071">
                  <c:v>6362.1948537202461</c:v>
                </c:pt>
                <c:pt idx="1072">
                  <c:v>6331.7966134362223</c:v>
                </c:pt>
                <c:pt idx="1073">
                  <c:v>6320.5019211937833</c:v>
                </c:pt>
                <c:pt idx="1074">
                  <c:v>6329.6929485824312</c:v>
                </c:pt>
                <c:pt idx="1075">
                  <c:v>6358.0796734923897</c:v>
                </c:pt>
                <c:pt idx="1076">
                  <c:v>6401.8847534397282</c:v>
                </c:pt>
                <c:pt idx="1077">
                  <c:v>6455.340039034033</c:v>
                </c:pt>
                <c:pt idx="1078">
                  <c:v>6511.4342035138116</c:v>
                </c:pt>
                <c:pt idx="1079">
                  <c:v>6562.8225901479491</c:v>
                </c:pt>
                <c:pt idx="1080">
                  <c:v>6602.7863215409452</c:v>
                </c:pt>
                <c:pt idx="1081">
                  <c:v>6626.1148797731039</c:v>
                </c:pt>
                <c:pt idx="1082">
                  <c:v>6629.7922533061137</c:v>
                </c:pt>
                <c:pt idx="1083">
                  <c:v>6613.3929024613153</c:v>
                </c:pt>
                <c:pt idx="1084">
                  <c:v>6579.1343495968858</c:v>
                </c:pt>
                <c:pt idx="1085">
                  <c:v>6531.5794452129803</c:v>
                </c:pt>
                <c:pt idx="1086">
                  <c:v>6477.0269958267845</c:v>
                </c:pt>
                <c:pt idx="1087">
                  <c:v>6422.6711106344446</c:v>
                </c:pt>
                <c:pt idx="1088">
                  <c:v>6375.6433334190151</c:v>
                </c:pt>
                <c:pt idx="1089">
                  <c:v>6342.0704259490758</c:v>
                </c:pt>
                <c:pt idx="1090">
                  <c:v>6326.2776272993578</c:v>
                </c:pt>
                <c:pt idx="1091">
                  <c:v>6330.2414316117538</c:v>
                </c:pt>
                <c:pt idx="1092">
                  <c:v>6353.3551223013428</c:v>
                </c:pt>
                <c:pt idx="1093">
                  <c:v>6392.526366252805</c:v>
                </c:pt>
                <c:pt idx="1094">
                  <c:v>6442.5874901900725</c:v>
                </c:pt>
                <c:pt idx="1095">
                  <c:v>6496.9668327643603</c:v>
                </c:pt>
                <c:pt idx="1096">
                  <c:v>6548.5411510353342</c:v>
                </c:pt>
                <c:pt idx="1097">
                  <c:v>6590.5643850364659</c:v>
                </c:pt>
                <c:pt idx="1098">
                  <c:v>6617.5525378630855</c:v>
                </c:pt>
                <c:pt idx="1099">
                  <c:v>6626.0054252162063</c:v>
                </c:pt>
                <c:pt idx="1100">
                  <c:v>6614.8667372683785</c:v>
                </c:pt>
                <c:pt idx="1101">
                  <c:v>6585.6602549737072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B-4509-947B-FDCD5231E0E5}"/>
            </c:ext>
          </c:extLst>
        </c:ser>
        <c:ser>
          <c:idx val="2"/>
          <c:order val="2"/>
          <c:tx>
            <c:v>Planete2</c:v>
          </c:tx>
          <c:spPr>
            <a:ln w="127000" cap="rnd">
              <a:solidFill>
                <a:srgbClr val="92D050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initiales'!$AA$43:$AA$403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'Conditions initiales'!$AB$43:$AB$403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4B-4509-947B-FDCD5231E0E5}"/>
            </c:ext>
          </c:extLst>
        </c:ser>
        <c:ser>
          <c:idx val="3"/>
          <c:order val="3"/>
          <c:tx>
            <c:v>Planete3</c:v>
          </c:tx>
          <c:spPr>
            <a:ln w="127000" cap="rnd">
              <a:solidFill>
                <a:srgbClr val="00B0F0"/>
              </a:solidFill>
              <a:round/>
            </a:ln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'Conditions initiales'!$AC$43:$AC$403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'Conditions initiales'!$AD$43:$AD$403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4B-4509-947B-FDCD5231E0E5}"/>
            </c:ext>
          </c:extLst>
        </c:ser>
        <c:ser>
          <c:idx val="4"/>
          <c:order val="4"/>
          <c:tx>
            <c:v>Étoile</c:v>
          </c:tx>
          <c:spPr>
            <a:ln w="19050" cap="rnd">
              <a:gradFill flip="none" rotWithShape="1">
                <a:gsLst>
                  <a:gs pos="86000">
                    <a:schemeClr val="accent2">
                      <a:lumMod val="0"/>
                      <a:lumOff val="100000"/>
                    </a:schemeClr>
                  </a:gs>
                  <a:gs pos="100000">
                    <a:schemeClr val="accent2">
                      <a:lumMod val="0"/>
                      <a:lumOff val="100000"/>
                    </a:schemeClr>
                  </a:gs>
                  <a:gs pos="45000">
                    <a:schemeClr val="accent2">
                      <a:lumMod val="100000"/>
                    </a:schemeClr>
                  </a:gs>
                </a:gsLst>
                <a:path path="shape">
                  <a:fillToRect l="50000" t="50000" r="50000" b="50000"/>
                </a:path>
                <a:tileRect/>
              </a:gradFill>
              <a:round/>
            </a:ln>
            <a:effectLst/>
          </c:spPr>
          <c:marker>
            <c:symbol val="none"/>
          </c:marker>
          <c:xVal>
            <c:numRef>
              <c:f>'Simulation mouvement'!$C$36:$M$36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3000</c:v>
                </c:pt>
                <c:pt idx="3">
                  <c:v>1000</c:v>
                </c:pt>
                <c:pt idx="4">
                  <c:v>2000</c:v>
                </c:pt>
                <c:pt idx="5">
                  <c:v>0</c:v>
                </c:pt>
                <c:pt idx="6">
                  <c:v>-2000</c:v>
                </c:pt>
                <c:pt idx="7">
                  <c:v>-1000</c:v>
                </c:pt>
                <c:pt idx="8">
                  <c:v>-3000</c:v>
                </c:pt>
                <c:pt idx="9">
                  <c:v>-1000</c:v>
                </c:pt>
                <c:pt idx="10">
                  <c:v>0</c:v>
                </c:pt>
              </c:numCache>
            </c:numRef>
          </c:xVal>
          <c:yVal>
            <c:numRef>
              <c:f>'Simulation mouvement'!$C$37:$M$37</c:f>
              <c:numCache>
                <c:formatCode>General</c:formatCode>
                <c:ptCount val="11"/>
                <c:pt idx="0">
                  <c:v>3000</c:v>
                </c:pt>
                <c:pt idx="1">
                  <c:v>750</c:v>
                </c:pt>
                <c:pt idx="2">
                  <c:v>500</c:v>
                </c:pt>
                <c:pt idx="3">
                  <c:v>-750</c:v>
                </c:pt>
                <c:pt idx="4">
                  <c:v>-3000</c:v>
                </c:pt>
                <c:pt idx="5">
                  <c:v>-1500</c:v>
                </c:pt>
                <c:pt idx="6">
                  <c:v>-3000</c:v>
                </c:pt>
                <c:pt idx="7">
                  <c:v>-750</c:v>
                </c:pt>
                <c:pt idx="8">
                  <c:v>500</c:v>
                </c:pt>
                <c:pt idx="9">
                  <c:v>750</c:v>
                </c:pt>
                <c:pt idx="10">
                  <c:v>3000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6C-443A-993A-262E46530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valAx>
        <c:axId val="1288773680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1288763696"/>
        <c:crosses val="autoZero"/>
        <c:crossBetween val="midCat"/>
      </c:valAx>
      <c:valAx>
        <c:axId val="128876369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128877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sphere">
      <a:fgClr>
        <a:schemeClr val="accent1">
          <a:lumMod val="50000"/>
        </a:schemeClr>
      </a:fgClr>
      <a:bgClr>
        <a:schemeClr val="accent5">
          <a:lumMod val="50000"/>
        </a:schemeClr>
      </a:bgClr>
    </a:pattFill>
    <a:ln w="38100" cap="flat" cmpd="sng" algn="ctr">
      <a:solidFill>
        <a:schemeClr val="accent4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374761608036396E-3"/>
          <c:y val="1.0624671916010499E-2"/>
          <c:w val="0.9897342994192847"/>
          <c:h val="0.98314119103171094"/>
        </c:manualLayout>
      </c:layout>
      <c:scatterChart>
        <c:scatterStyle val="smoothMarker"/>
        <c:varyColors val="0"/>
        <c:ser>
          <c:idx val="1"/>
          <c:order val="0"/>
          <c:tx>
            <c:v>Planete1</c:v>
          </c:tx>
          <c:spPr>
            <a:ln w="63500" cap="rnd">
              <a:solidFill>
                <a:srgbClr val="F42A7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initiales'!$Y$43:$Y$403</c:f>
              <c:numCache>
                <c:formatCode>General</c:formatCode>
                <c:ptCount val="361"/>
                <c:pt idx="0">
                  <c:v>15000</c:v>
                </c:pt>
                <c:pt idx="1">
                  <c:v>14999.238475781956</c:v>
                </c:pt>
                <c:pt idx="2">
                  <c:v>14996.954135095479</c:v>
                </c:pt>
                <c:pt idx="3">
                  <c:v>14993.14767377287</c:v>
                </c:pt>
                <c:pt idx="4">
                  <c:v>14987.820251299121</c:v>
                </c:pt>
                <c:pt idx="5">
                  <c:v>14980.973490458728</c:v>
                </c:pt>
                <c:pt idx="6">
                  <c:v>14972.609476841368</c:v>
                </c:pt>
                <c:pt idx="7">
                  <c:v>14962.73075820661</c:v>
                </c:pt>
                <c:pt idx="8">
                  <c:v>14951.340343707852</c:v>
                </c:pt>
                <c:pt idx="9">
                  <c:v>14938.441702975688</c:v>
                </c:pt>
                <c:pt idx="10">
                  <c:v>14924.038765061039</c:v>
                </c:pt>
                <c:pt idx="11">
                  <c:v>14908.13591723832</c:v>
                </c:pt>
                <c:pt idx="12">
                  <c:v>14890.738003669028</c:v>
                </c:pt>
                <c:pt idx="13">
                  <c:v>14871.850323926177</c:v>
                </c:pt>
                <c:pt idx="14">
                  <c:v>14851.478631379981</c:v>
                </c:pt>
                <c:pt idx="15">
                  <c:v>14829.629131445341</c:v>
                </c:pt>
                <c:pt idx="16">
                  <c:v>14806.308479691594</c:v>
                </c:pt>
                <c:pt idx="17">
                  <c:v>14781.523779815177</c:v>
                </c:pt>
                <c:pt idx="18">
                  <c:v>14755.282581475767</c:v>
                </c:pt>
                <c:pt idx="19">
                  <c:v>14727.592877996583</c:v>
                </c:pt>
                <c:pt idx="20">
                  <c:v>14698.463103929542</c:v>
                </c:pt>
                <c:pt idx="21">
                  <c:v>14667.902132486008</c:v>
                </c:pt>
                <c:pt idx="22">
                  <c:v>14635.919272833937</c:v>
                </c:pt>
                <c:pt idx="23">
                  <c:v>14602.524267262201</c:v>
                </c:pt>
                <c:pt idx="24">
                  <c:v>14567.727288213006</c:v>
                </c:pt>
                <c:pt idx="25">
                  <c:v>14531.538935183249</c:v>
                </c:pt>
                <c:pt idx="26">
                  <c:v>14493.970231495834</c:v>
                </c:pt>
                <c:pt idx="27">
                  <c:v>14455.03262094184</c:v>
                </c:pt>
                <c:pt idx="28">
                  <c:v>14414.737964294636</c:v>
                </c:pt>
                <c:pt idx="29">
                  <c:v>14373.09853569698</c:v>
                </c:pt>
                <c:pt idx="30">
                  <c:v>14330.127018922194</c:v>
                </c:pt>
                <c:pt idx="31">
                  <c:v>14285.836503510562</c:v>
                </c:pt>
                <c:pt idx="32">
                  <c:v>14240.240480782129</c:v>
                </c:pt>
                <c:pt idx="33">
                  <c:v>14193.35283972712</c:v>
                </c:pt>
                <c:pt idx="34">
                  <c:v>14145.187862775208</c:v>
                </c:pt>
                <c:pt idx="35">
                  <c:v>14095.760221444958</c:v>
                </c:pt>
                <c:pt idx="36">
                  <c:v>14045.084971874738</c:v>
                </c:pt>
                <c:pt idx="37">
                  <c:v>13993.177550236464</c:v>
                </c:pt>
                <c:pt idx="38">
                  <c:v>13940.053768033609</c:v>
                </c:pt>
                <c:pt idx="39">
                  <c:v>13885.729807284853</c:v>
                </c:pt>
                <c:pt idx="40">
                  <c:v>13830.222215594891</c:v>
                </c:pt>
                <c:pt idx="41">
                  <c:v>13773.54790111386</c:v>
                </c:pt>
                <c:pt idx="42">
                  <c:v>13715.724127386971</c:v>
                </c:pt>
                <c:pt idx="43">
                  <c:v>13656.768508095853</c:v>
                </c:pt>
                <c:pt idx="44">
                  <c:v>13596.699001693256</c:v>
                </c:pt>
                <c:pt idx="45">
                  <c:v>13535.533905932738</c:v>
                </c:pt>
                <c:pt idx="46">
                  <c:v>13473.291852294988</c:v>
                </c:pt>
                <c:pt idx="47">
                  <c:v>13409.991800312491</c:v>
                </c:pt>
                <c:pt idx="48">
                  <c:v>13345.653031794291</c:v>
                </c:pt>
                <c:pt idx="49">
                  <c:v>13280.295144952535</c:v>
                </c:pt>
                <c:pt idx="50">
                  <c:v>13213.938048432698</c:v>
                </c:pt>
                <c:pt idx="51">
                  <c:v>13146.601955249187</c:v>
                </c:pt>
                <c:pt idx="52">
                  <c:v>13078.307376628291</c:v>
                </c:pt>
                <c:pt idx="53">
                  <c:v>13009.075115760243</c:v>
                </c:pt>
                <c:pt idx="54">
                  <c:v>12938.926261462366</c:v>
                </c:pt>
                <c:pt idx="55">
                  <c:v>12867.882181755231</c:v>
                </c:pt>
                <c:pt idx="56">
                  <c:v>12795.964517353734</c:v>
                </c:pt>
                <c:pt idx="57">
                  <c:v>12723.195175075136</c:v>
                </c:pt>
                <c:pt idx="58">
                  <c:v>12649.596321166024</c:v>
                </c:pt>
                <c:pt idx="59">
                  <c:v>12575.190374550271</c:v>
                </c:pt>
                <c:pt idx="60">
                  <c:v>12500</c:v>
                </c:pt>
                <c:pt idx="61">
                  <c:v>12424.048101231685</c:v>
                </c:pt>
                <c:pt idx="62">
                  <c:v>12347.357813929455</c:v>
                </c:pt>
                <c:pt idx="63">
                  <c:v>12269.952498697734</c:v>
                </c:pt>
                <c:pt idx="64">
                  <c:v>12191.855733945387</c:v>
                </c:pt>
                <c:pt idx="65">
                  <c:v>12113.091308703497</c:v>
                </c:pt>
                <c:pt idx="66">
                  <c:v>12033.683215379002</c:v>
                </c:pt>
                <c:pt idx="67">
                  <c:v>11953.655642446371</c:v>
                </c:pt>
                <c:pt idx="68">
                  <c:v>11873.03296707956</c:v>
                </c:pt>
                <c:pt idx="69">
                  <c:v>11791.839747726503</c:v>
                </c:pt>
                <c:pt idx="70">
                  <c:v>11710.100716628343</c:v>
                </c:pt>
                <c:pt idx="71">
                  <c:v>11627.840772285785</c:v>
                </c:pt>
                <c:pt idx="72">
                  <c:v>11545.084971874738</c:v>
                </c:pt>
                <c:pt idx="73">
                  <c:v>11461.858523613684</c:v>
                </c:pt>
                <c:pt idx="74">
                  <c:v>11378.186779084996</c:v>
                </c:pt>
                <c:pt idx="75">
                  <c:v>11294.095225512603</c:v>
                </c:pt>
                <c:pt idx="76">
                  <c:v>11209.60947799834</c:v>
                </c:pt>
                <c:pt idx="77">
                  <c:v>11124.755271719325</c:v>
                </c:pt>
                <c:pt idx="78">
                  <c:v>11039.558454088798</c:v>
                </c:pt>
                <c:pt idx="79">
                  <c:v>10954.044976882724</c:v>
                </c:pt>
                <c:pt idx="80">
                  <c:v>10868.240888334652</c:v>
                </c:pt>
                <c:pt idx="81">
                  <c:v>10782.172325201154</c:v>
                </c:pt>
                <c:pt idx="82">
                  <c:v>10695.865504800329</c:v>
                </c:pt>
                <c:pt idx="83">
                  <c:v>10609.346717025737</c:v>
                </c:pt>
                <c:pt idx="84">
                  <c:v>10522.642316338268</c:v>
                </c:pt>
                <c:pt idx="85">
                  <c:v>10435.778713738291</c:v>
                </c:pt>
                <c:pt idx="86">
                  <c:v>10348.782368720627</c:v>
                </c:pt>
                <c:pt idx="87">
                  <c:v>10261.67978121472</c:v>
                </c:pt>
                <c:pt idx="88">
                  <c:v>10174.497483512505</c:v>
                </c:pt>
                <c:pt idx="89">
                  <c:v>10087.262032186416</c:v>
                </c:pt>
                <c:pt idx="90">
                  <c:v>10000</c:v>
                </c:pt>
                <c:pt idx="91">
                  <c:v>9912.7379678135821</c:v>
                </c:pt>
                <c:pt idx="92">
                  <c:v>9825.5025164874969</c:v>
                </c:pt>
                <c:pt idx="93">
                  <c:v>9738.3202187852821</c:v>
                </c:pt>
                <c:pt idx="94">
                  <c:v>9651.2176312793727</c:v>
                </c:pt>
                <c:pt idx="95">
                  <c:v>9564.2212862617089</c:v>
                </c:pt>
                <c:pt idx="96">
                  <c:v>9477.357683661734</c:v>
                </c:pt>
                <c:pt idx="97">
                  <c:v>9390.6532829742628</c:v>
                </c:pt>
                <c:pt idx="98">
                  <c:v>9304.1344951996725</c:v>
                </c:pt>
                <c:pt idx="99">
                  <c:v>9217.8276747988457</c:v>
                </c:pt>
                <c:pt idx="100">
                  <c:v>9131.7591116653493</c:v>
                </c:pt>
                <c:pt idx="101">
                  <c:v>9045.9550231172761</c:v>
                </c:pt>
                <c:pt idx="102">
                  <c:v>8960.4415459112042</c:v>
                </c:pt>
                <c:pt idx="103">
                  <c:v>8875.2447282806752</c:v>
                </c:pt>
                <c:pt idx="104">
                  <c:v>8790.3905220016604</c:v>
                </c:pt>
                <c:pt idx="105">
                  <c:v>8705.9047744873951</c:v>
                </c:pt>
                <c:pt idx="106">
                  <c:v>8621.8132209150044</c:v>
                </c:pt>
                <c:pt idx="107">
                  <c:v>8538.1414763863177</c:v>
                </c:pt>
                <c:pt idx="108">
                  <c:v>8454.9150281252623</c:v>
                </c:pt>
                <c:pt idx="109">
                  <c:v>8372.1592277142172</c:v>
                </c:pt>
                <c:pt idx="110">
                  <c:v>8289.8992833716566</c:v>
                </c:pt>
                <c:pt idx="111">
                  <c:v>8208.1602522734993</c:v>
                </c:pt>
                <c:pt idx="112">
                  <c:v>8126.96703292044</c:v>
                </c:pt>
                <c:pt idx="113">
                  <c:v>8046.3443575536321</c:v>
                </c:pt>
                <c:pt idx="114">
                  <c:v>7966.3167846209999</c:v>
                </c:pt>
                <c:pt idx="115">
                  <c:v>7886.9086912965031</c:v>
                </c:pt>
                <c:pt idx="116">
                  <c:v>7808.1442660546127</c:v>
                </c:pt>
                <c:pt idx="117">
                  <c:v>7730.047501302266</c:v>
                </c:pt>
                <c:pt idx="118">
                  <c:v>7652.6421860705468</c:v>
                </c:pt>
                <c:pt idx="119">
                  <c:v>7575.951898768315</c:v>
                </c:pt>
                <c:pt idx="120">
                  <c:v>7500.0000000000009</c:v>
                </c:pt>
                <c:pt idx="121">
                  <c:v>7424.8096254497286</c:v>
                </c:pt>
                <c:pt idx="122">
                  <c:v>7350.4036788339763</c:v>
                </c:pt>
                <c:pt idx="123">
                  <c:v>7276.8048249248641</c:v>
                </c:pt>
                <c:pt idx="124">
                  <c:v>7204.0354826462662</c:v>
                </c:pt>
                <c:pt idx="125">
                  <c:v>7132.1178182447711</c:v>
                </c:pt>
                <c:pt idx="126">
                  <c:v>7061.0737385376342</c:v>
                </c:pt>
                <c:pt idx="127">
                  <c:v>6990.9248842397583</c:v>
                </c:pt>
                <c:pt idx="128">
                  <c:v>6921.6926233717086</c:v>
                </c:pt>
                <c:pt idx="129">
                  <c:v>6853.3980447508138</c:v>
                </c:pt>
                <c:pt idx="130">
                  <c:v>6786.0619515673034</c:v>
                </c:pt>
                <c:pt idx="131">
                  <c:v>6719.7048550474628</c:v>
                </c:pt>
                <c:pt idx="132">
                  <c:v>6654.3469682057093</c:v>
                </c:pt>
                <c:pt idx="133">
                  <c:v>6590.0081996875087</c:v>
                </c:pt>
                <c:pt idx="134">
                  <c:v>6526.7081477050142</c:v>
                </c:pt>
                <c:pt idx="135">
                  <c:v>6464.466094067262</c:v>
                </c:pt>
                <c:pt idx="136">
                  <c:v>6403.3009983067441</c:v>
                </c:pt>
                <c:pt idx="137">
                  <c:v>6343.2314919041473</c:v>
                </c:pt>
                <c:pt idx="138">
                  <c:v>6284.2758726130305</c:v>
                </c:pt>
                <c:pt idx="139">
                  <c:v>6226.4520988861404</c:v>
                </c:pt>
                <c:pt idx="140">
                  <c:v>6169.7777844051107</c:v>
                </c:pt>
                <c:pt idx="141">
                  <c:v>6114.2701927151465</c:v>
                </c:pt>
                <c:pt idx="142">
                  <c:v>6059.9462319663908</c:v>
                </c:pt>
                <c:pt idx="143">
                  <c:v>6006.8224497635347</c:v>
                </c:pt>
                <c:pt idx="144">
                  <c:v>5954.9150281252632</c:v>
                </c:pt>
                <c:pt idx="145">
                  <c:v>5904.239778555042</c:v>
                </c:pt>
                <c:pt idx="146">
                  <c:v>5854.8121372247915</c:v>
                </c:pt>
                <c:pt idx="147">
                  <c:v>5806.6471602728789</c:v>
                </c:pt>
                <c:pt idx="148">
                  <c:v>5759.7595192178705</c:v>
                </c:pt>
                <c:pt idx="149">
                  <c:v>5714.1634964894392</c:v>
                </c:pt>
                <c:pt idx="150">
                  <c:v>5669.8729810778068</c:v>
                </c:pt>
                <c:pt idx="151">
                  <c:v>5626.9014643030214</c:v>
                </c:pt>
                <c:pt idx="152">
                  <c:v>5585.2620357053665</c:v>
                </c:pt>
                <c:pt idx="153">
                  <c:v>5544.967379058161</c:v>
                </c:pt>
                <c:pt idx="154">
                  <c:v>5506.0297685041651</c:v>
                </c:pt>
                <c:pt idx="155">
                  <c:v>5468.46106481675</c:v>
                </c:pt>
                <c:pt idx="156">
                  <c:v>5432.2727117869963</c:v>
                </c:pt>
                <c:pt idx="157">
                  <c:v>5397.4757327377993</c:v>
                </c:pt>
                <c:pt idx="158">
                  <c:v>5364.0807271660633</c:v>
                </c:pt>
                <c:pt idx="159">
                  <c:v>5332.0978675139913</c:v>
                </c:pt>
                <c:pt idx="160">
                  <c:v>5301.5368960704582</c:v>
                </c:pt>
                <c:pt idx="161">
                  <c:v>5272.4071220034166</c:v>
                </c:pt>
                <c:pt idx="162">
                  <c:v>5244.717418524232</c:v>
                </c:pt>
                <c:pt idx="163">
                  <c:v>5218.4762201848225</c:v>
                </c:pt>
                <c:pt idx="164">
                  <c:v>5193.6915203084063</c:v>
                </c:pt>
                <c:pt idx="165">
                  <c:v>5170.370868554659</c:v>
                </c:pt>
                <c:pt idx="166">
                  <c:v>5148.5213686200177</c:v>
                </c:pt>
                <c:pt idx="167">
                  <c:v>5128.1496760738237</c:v>
                </c:pt>
                <c:pt idx="168">
                  <c:v>5109.2619963309717</c:v>
                </c:pt>
                <c:pt idx="169">
                  <c:v>5091.86408276168</c:v>
                </c:pt>
                <c:pt idx="170">
                  <c:v>5075.9612349389599</c:v>
                </c:pt>
                <c:pt idx="171">
                  <c:v>5061.5582970243113</c:v>
                </c:pt>
                <c:pt idx="172">
                  <c:v>5048.6596562921486</c:v>
                </c:pt>
                <c:pt idx="173">
                  <c:v>5037.2692417933904</c:v>
                </c:pt>
                <c:pt idx="174">
                  <c:v>5027.3905231586332</c:v>
                </c:pt>
                <c:pt idx="175">
                  <c:v>5019.0265095412724</c:v>
                </c:pt>
                <c:pt idx="176">
                  <c:v>5012.1797487008789</c:v>
                </c:pt>
                <c:pt idx="177">
                  <c:v>5006.852326227131</c:v>
                </c:pt>
                <c:pt idx="178">
                  <c:v>5003.0458649045213</c:v>
                </c:pt>
                <c:pt idx="179">
                  <c:v>5000.7615242180436</c:v>
                </c:pt>
                <c:pt idx="180">
                  <c:v>5000</c:v>
                </c:pt>
                <c:pt idx="181">
                  <c:v>5000.7615242180436</c:v>
                </c:pt>
                <c:pt idx="182">
                  <c:v>5003.0458649045213</c:v>
                </c:pt>
                <c:pt idx="183">
                  <c:v>5006.852326227131</c:v>
                </c:pt>
                <c:pt idx="184">
                  <c:v>5012.179748700878</c:v>
                </c:pt>
                <c:pt idx="185">
                  <c:v>5019.0265095412724</c:v>
                </c:pt>
                <c:pt idx="186">
                  <c:v>5027.3905231586332</c:v>
                </c:pt>
                <c:pt idx="187">
                  <c:v>5037.2692417933904</c:v>
                </c:pt>
                <c:pt idx="188">
                  <c:v>5048.6596562921486</c:v>
                </c:pt>
                <c:pt idx="189">
                  <c:v>5061.5582970243113</c:v>
                </c:pt>
                <c:pt idx="190">
                  <c:v>5075.9612349389599</c:v>
                </c:pt>
                <c:pt idx="191">
                  <c:v>5091.86408276168</c:v>
                </c:pt>
                <c:pt idx="192">
                  <c:v>5109.2619963309717</c:v>
                </c:pt>
                <c:pt idx="193">
                  <c:v>5128.1496760738237</c:v>
                </c:pt>
                <c:pt idx="194">
                  <c:v>5148.5213686200177</c:v>
                </c:pt>
                <c:pt idx="195">
                  <c:v>5170.370868554658</c:v>
                </c:pt>
                <c:pt idx="196">
                  <c:v>5193.6915203084054</c:v>
                </c:pt>
                <c:pt idx="197">
                  <c:v>5218.4762201848225</c:v>
                </c:pt>
                <c:pt idx="198">
                  <c:v>5244.717418524232</c:v>
                </c:pt>
                <c:pt idx="199">
                  <c:v>5272.4071220034166</c:v>
                </c:pt>
                <c:pt idx="200">
                  <c:v>5301.5368960704582</c:v>
                </c:pt>
                <c:pt idx="201">
                  <c:v>5332.0978675139913</c:v>
                </c:pt>
                <c:pt idx="202">
                  <c:v>5364.0807271660633</c:v>
                </c:pt>
                <c:pt idx="203">
                  <c:v>5397.4757327377984</c:v>
                </c:pt>
                <c:pt idx="204">
                  <c:v>5432.2727117869945</c:v>
                </c:pt>
                <c:pt idx="205">
                  <c:v>5468.46106481675</c:v>
                </c:pt>
                <c:pt idx="206">
                  <c:v>5506.0297685041642</c:v>
                </c:pt>
                <c:pt idx="207">
                  <c:v>5544.9673790581592</c:v>
                </c:pt>
                <c:pt idx="208">
                  <c:v>5585.2620357053656</c:v>
                </c:pt>
                <c:pt idx="209">
                  <c:v>5626.9014643030205</c:v>
                </c:pt>
                <c:pt idx="210">
                  <c:v>5669.8729810778068</c:v>
                </c:pt>
                <c:pt idx="211">
                  <c:v>5714.1634964894383</c:v>
                </c:pt>
                <c:pt idx="212">
                  <c:v>5759.7595192178696</c:v>
                </c:pt>
                <c:pt idx="213">
                  <c:v>5806.6471602728798</c:v>
                </c:pt>
                <c:pt idx="214">
                  <c:v>5854.8121372247906</c:v>
                </c:pt>
                <c:pt idx="215">
                  <c:v>5904.2397785550402</c:v>
                </c:pt>
                <c:pt idx="216">
                  <c:v>5954.9150281252623</c:v>
                </c:pt>
                <c:pt idx="217">
                  <c:v>6006.8224497635347</c:v>
                </c:pt>
                <c:pt idx="218">
                  <c:v>6059.946231966389</c:v>
                </c:pt>
                <c:pt idx="219">
                  <c:v>6114.2701927151465</c:v>
                </c:pt>
                <c:pt idx="220">
                  <c:v>6169.7777844051097</c:v>
                </c:pt>
                <c:pt idx="221">
                  <c:v>6226.4520988861404</c:v>
                </c:pt>
                <c:pt idx="222">
                  <c:v>6284.2758726130287</c:v>
                </c:pt>
                <c:pt idx="223">
                  <c:v>6343.2314919041473</c:v>
                </c:pt>
                <c:pt idx="224">
                  <c:v>6403.3009983067441</c:v>
                </c:pt>
                <c:pt idx="225">
                  <c:v>6464.466094067262</c:v>
                </c:pt>
                <c:pt idx="226">
                  <c:v>6526.7081477050124</c:v>
                </c:pt>
                <c:pt idx="227">
                  <c:v>6590.0081996875051</c:v>
                </c:pt>
                <c:pt idx="228">
                  <c:v>6654.3469682057075</c:v>
                </c:pt>
                <c:pt idx="229">
                  <c:v>6719.7048550474619</c:v>
                </c:pt>
                <c:pt idx="230">
                  <c:v>6786.0619515673025</c:v>
                </c:pt>
                <c:pt idx="231">
                  <c:v>6853.3980447508147</c:v>
                </c:pt>
                <c:pt idx="232">
                  <c:v>6921.6926233717095</c:v>
                </c:pt>
                <c:pt idx="233">
                  <c:v>6990.9248842397592</c:v>
                </c:pt>
                <c:pt idx="234">
                  <c:v>7061.0737385376342</c:v>
                </c:pt>
                <c:pt idx="235">
                  <c:v>7132.1178182447675</c:v>
                </c:pt>
                <c:pt idx="236">
                  <c:v>7204.0354826462644</c:v>
                </c:pt>
                <c:pt idx="237">
                  <c:v>7276.804824924865</c:v>
                </c:pt>
                <c:pt idx="238">
                  <c:v>7350.4036788339745</c:v>
                </c:pt>
                <c:pt idx="239">
                  <c:v>7424.8096254497277</c:v>
                </c:pt>
                <c:pt idx="240">
                  <c:v>7499.9999999999982</c:v>
                </c:pt>
                <c:pt idx="241">
                  <c:v>7575.9518987683159</c:v>
                </c:pt>
                <c:pt idx="242">
                  <c:v>7652.6421860705468</c:v>
                </c:pt>
                <c:pt idx="243">
                  <c:v>7730.047501302266</c:v>
                </c:pt>
                <c:pt idx="244">
                  <c:v>7808.1442660546109</c:v>
                </c:pt>
                <c:pt idx="245">
                  <c:v>7886.9086912965004</c:v>
                </c:pt>
                <c:pt idx="246">
                  <c:v>7966.3167846209999</c:v>
                </c:pt>
                <c:pt idx="247">
                  <c:v>8046.3443575536312</c:v>
                </c:pt>
                <c:pt idx="248">
                  <c:v>8126.9670329204382</c:v>
                </c:pt>
                <c:pt idx="249">
                  <c:v>8208.1602522734956</c:v>
                </c:pt>
                <c:pt idx="250">
                  <c:v>8289.8992833716529</c:v>
                </c:pt>
                <c:pt idx="251">
                  <c:v>8372.1592277142172</c:v>
                </c:pt>
                <c:pt idx="252">
                  <c:v>8454.9150281252623</c:v>
                </c:pt>
                <c:pt idx="253">
                  <c:v>8538.141476386314</c:v>
                </c:pt>
                <c:pt idx="254">
                  <c:v>8621.8132209150062</c:v>
                </c:pt>
                <c:pt idx="255">
                  <c:v>8705.9047744873969</c:v>
                </c:pt>
                <c:pt idx="256">
                  <c:v>8790.3905220016604</c:v>
                </c:pt>
                <c:pt idx="257">
                  <c:v>8875.2447282806734</c:v>
                </c:pt>
                <c:pt idx="258">
                  <c:v>8960.4415459112006</c:v>
                </c:pt>
                <c:pt idx="259">
                  <c:v>9045.9550231172725</c:v>
                </c:pt>
                <c:pt idx="260">
                  <c:v>9131.7591116653475</c:v>
                </c:pt>
                <c:pt idx="261">
                  <c:v>9217.8276747988457</c:v>
                </c:pt>
                <c:pt idx="262">
                  <c:v>9304.1344951996762</c:v>
                </c:pt>
                <c:pt idx="263">
                  <c:v>9390.6532829742646</c:v>
                </c:pt>
                <c:pt idx="264">
                  <c:v>9477.357683661734</c:v>
                </c:pt>
                <c:pt idx="265">
                  <c:v>9564.2212862617089</c:v>
                </c:pt>
                <c:pt idx="266">
                  <c:v>9651.2176312793727</c:v>
                </c:pt>
                <c:pt idx="267">
                  <c:v>9738.3202187852785</c:v>
                </c:pt>
                <c:pt idx="268">
                  <c:v>9825.5025164874914</c:v>
                </c:pt>
                <c:pt idx="269">
                  <c:v>9912.7379678135821</c:v>
                </c:pt>
                <c:pt idx="270">
                  <c:v>9999.9999999999982</c:v>
                </c:pt>
                <c:pt idx="271">
                  <c:v>10087.262032186416</c:v>
                </c:pt>
                <c:pt idx="272">
                  <c:v>10174.497483512507</c:v>
                </c:pt>
                <c:pt idx="273">
                  <c:v>10261.67978121472</c:v>
                </c:pt>
                <c:pt idx="274">
                  <c:v>10348.782368720626</c:v>
                </c:pt>
                <c:pt idx="275">
                  <c:v>10435.778713738289</c:v>
                </c:pt>
                <c:pt idx="276">
                  <c:v>10522.642316338264</c:v>
                </c:pt>
                <c:pt idx="277">
                  <c:v>10609.346717025739</c:v>
                </c:pt>
                <c:pt idx="278">
                  <c:v>10695.865504800327</c:v>
                </c:pt>
                <c:pt idx="279">
                  <c:v>10782.172325201154</c:v>
                </c:pt>
                <c:pt idx="280">
                  <c:v>10868.240888334651</c:v>
                </c:pt>
                <c:pt idx="281">
                  <c:v>10954.044976882722</c:v>
                </c:pt>
                <c:pt idx="282">
                  <c:v>11039.558454088792</c:v>
                </c:pt>
                <c:pt idx="283">
                  <c:v>11124.755271719325</c:v>
                </c:pt>
                <c:pt idx="284">
                  <c:v>11209.609477998338</c:v>
                </c:pt>
                <c:pt idx="285">
                  <c:v>11294.095225512605</c:v>
                </c:pt>
                <c:pt idx="286">
                  <c:v>11378.186779084997</c:v>
                </c:pt>
                <c:pt idx="287">
                  <c:v>11461.858523613684</c:v>
                </c:pt>
                <c:pt idx="288">
                  <c:v>11545.084971874736</c:v>
                </c:pt>
                <c:pt idx="289">
                  <c:v>11627.840772285781</c:v>
                </c:pt>
                <c:pt idx="290">
                  <c:v>11710.100716628342</c:v>
                </c:pt>
                <c:pt idx="291">
                  <c:v>11791.839747726497</c:v>
                </c:pt>
                <c:pt idx="292">
                  <c:v>11873.03296707956</c:v>
                </c:pt>
                <c:pt idx="293">
                  <c:v>11953.655642446367</c:v>
                </c:pt>
                <c:pt idx="294">
                  <c:v>12033.683215379002</c:v>
                </c:pt>
                <c:pt idx="295">
                  <c:v>12113.091308703497</c:v>
                </c:pt>
                <c:pt idx="296">
                  <c:v>12191.855733945387</c:v>
                </c:pt>
                <c:pt idx="297">
                  <c:v>12269.952498697734</c:v>
                </c:pt>
                <c:pt idx="298">
                  <c:v>12347.357813929451</c:v>
                </c:pt>
                <c:pt idx="299">
                  <c:v>12424.048101231683</c:v>
                </c:pt>
                <c:pt idx="300">
                  <c:v>12500</c:v>
                </c:pt>
                <c:pt idx="301">
                  <c:v>12575.190374550271</c:v>
                </c:pt>
                <c:pt idx="302">
                  <c:v>12649.596321166024</c:v>
                </c:pt>
                <c:pt idx="303">
                  <c:v>12723.195175075132</c:v>
                </c:pt>
                <c:pt idx="304">
                  <c:v>12795.964517353732</c:v>
                </c:pt>
                <c:pt idx="305">
                  <c:v>12867.882181755231</c:v>
                </c:pt>
                <c:pt idx="306">
                  <c:v>12938.926261462364</c:v>
                </c:pt>
                <c:pt idx="307">
                  <c:v>13009.075115760239</c:v>
                </c:pt>
                <c:pt idx="308">
                  <c:v>13078.307376628292</c:v>
                </c:pt>
                <c:pt idx="309">
                  <c:v>13146.601955249187</c:v>
                </c:pt>
                <c:pt idx="310">
                  <c:v>13213.938048432696</c:v>
                </c:pt>
                <c:pt idx="311">
                  <c:v>13280.295144952535</c:v>
                </c:pt>
                <c:pt idx="312">
                  <c:v>13345.653031794289</c:v>
                </c:pt>
                <c:pt idx="313">
                  <c:v>13409.991800312491</c:v>
                </c:pt>
                <c:pt idx="314">
                  <c:v>13473.291852294984</c:v>
                </c:pt>
                <c:pt idx="315">
                  <c:v>13535.533905932736</c:v>
                </c:pt>
                <c:pt idx="316">
                  <c:v>13596.699001693254</c:v>
                </c:pt>
                <c:pt idx="317">
                  <c:v>13656.768508095854</c:v>
                </c:pt>
                <c:pt idx="318">
                  <c:v>13715.724127386971</c:v>
                </c:pt>
                <c:pt idx="319">
                  <c:v>13773.54790111386</c:v>
                </c:pt>
                <c:pt idx="320">
                  <c:v>13830.222215594889</c:v>
                </c:pt>
                <c:pt idx="321">
                  <c:v>13885.729807284853</c:v>
                </c:pt>
                <c:pt idx="322">
                  <c:v>13940.053768033607</c:v>
                </c:pt>
                <c:pt idx="323">
                  <c:v>13993.177550236464</c:v>
                </c:pt>
                <c:pt idx="324">
                  <c:v>14045.084971874738</c:v>
                </c:pt>
                <c:pt idx="325">
                  <c:v>14095.760221444958</c:v>
                </c:pt>
                <c:pt idx="326">
                  <c:v>14145.187862775207</c:v>
                </c:pt>
                <c:pt idx="327">
                  <c:v>14193.35283972712</c:v>
                </c:pt>
                <c:pt idx="328">
                  <c:v>14240.240480782126</c:v>
                </c:pt>
                <c:pt idx="329">
                  <c:v>14285.83650351056</c:v>
                </c:pt>
                <c:pt idx="330">
                  <c:v>14330.127018922192</c:v>
                </c:pt>
                <c:pt idx="331">
                  <c:v>14373.09853569698</c:v>
                </c:pt>
                <c:pt idx="332">
                  <c:v>14414.737964294634</c:v>
                </c:pt>
                <c:pt idx="333">
                  <c:v>14455.032620941838</c:v>
                </c:pt>
                <c:pt idx="334">
                  <c:v>14493.970231495836</c:v>
                </c:pt>
                <c:pt idx="335">
                  <c:v>14531.538935183249</c:v>
                </c:pt>
                <c:pt idx="336">
                  <c:v>14567.727288213006</c:v>
                </c:pt>
                <c:pt idx="337">
                  <c:v>14602.524267262201</c:v>
                </c:pt>
                <c:pt idx="338">
                  <c:v>14635.919272833937</c:v>
                </c:pt>
                <c:pt idx="339">
                  <c:v>14667.902132486008</c:v>
                </c:pt>
                <c:pt idx="340">
                  <c:v>14698.463103929542</c:v>
                </c:pt>
                <c:pt idx="341">
                  <c:v>14727.592877996583</c:v>
                </c:pt>
                <c:pt idx="342">
                  <c:v>14755.282581475767</c:v>
                </c:pt>
                <c:pt idx="343">
                  <c:v>14781.523779815179</c:v>
                </c:pt>
                <c:pt idx="344">
                  <c:v>14806.308479691594</c:v>
                </c:pt>
                <c:pt idx="345">
                  <c:v>14829.629131445341</c:v>
                </c:pt>
                <c:pt idx="346">
                  <c:v>14851.478631379981</c:v>
                </c:pt>
                <c:pt idx="347">
                  <c:v>14871.850323926175</c:v>
                </c:pt>
                <c:pt idx="348">
                  <c:v>14890.738003669028</c:v>
                </c:pt>
                <c:pt idx="349">
                  <c:v>14908.13591723832</c:v>
                </c:pt>
                <c:pt idx="350">
                  <c:v>14924.038765061039</c:v>
                </c:pt>
                <c:pt idx="351">
                  <c:v>14938.441702975688</c:v>
                </c:pt>
                <c:pt idx="352">
                  <c:v>14951.340343707852</c:v>
                </c:pt>
                <c:pt idx="353">
                  <c:v>14962.73075820661</c:v>
                </c:pt>
                <c:pt idx="354">
                  <c:v>14972.609476841368</c:v>
                </c:pt>
                <c:pt idx="355">
                  <c:v>14980.973490458728</c:v>
                </c:pt>
                <c:pt idx="356">
                  <c:v>14987.820251299123</c:v>
                </c:pt>
                <c:pt idx="357">
                  <c:v>14993.14767377287</c:v>
                </c:pt>
                <c:pt idx="358">
                  <c:v>14996.954135095479</c:v>
                </c:pt>
                <c:pt idx="359">
                  <c:v>14999.238475781956</c:v>
                </c:pt>
                <c:pt idx="360">
                  <c:v>15000</c:v>
                </c:pt>
              </c:numCache>
            </c:numRef>
          </c:xVal>
          <c:yVal>
            <c:numRef>
              <c:f>'Conditions initiales'!$Z$43:$Z$403</c:f>
              <c:numCache>
                <c:formatCode>General</c:formatCode>
                <c:ptCount val="361"/>
                <c:pt idx="0">
                  <c:v>7500</c:v>
                </c:pt>
                <c:pt idx="1">
                  <c:v>7587.2620321864179</c:v>
                </c:pt>
                <c:pt idx="2">
                  <c:v>7674.4974835125049</c:v>
                </c:pt>
                <c:pt idx="3">
                  <c:v>7761.6797812147188</c:v>
                </c:pt>
                <c:pt idx="4">
                  <c:v>7848.7823687206264</c:v>
                </c:pt>
                <c:pt idx="5">
                  <c:v>7935.7787137382911</c:v>
                </c:pt>
                <c:pt idx="6">
                  <c:v>8022.6423163382669</c:v>
                </c:pt>
                <c:pt idx="7">
                  <c:v>8109.3467170257372</c:v>
                </c:pt>
                <c:pt idx="8">
                  <c:v>8195.8655048003275</c:v>
                </c:pt>
                <c:pt idx="9">
                  <c:v>8282.1723252011543</c:v>
                </c:pt>
                <c:pt idx="10">
                  <c:v>8368.2408883346525</c:v>
                </c:pt>
                <c:pt idx="11">
                  <c:v>8454.0449768827239</c:v>
                </c:pt>
                <c:pt idx="12">
                  <c:v>8539.5584540887976</c:v>
                </c:pt>
                <c:pt idx="13">
                  <c:v>8624.7552717193248</c:v>
                </c:pt>
                <c:pt idx="14">
                  <c:v>8709.6094779983396</c:v>
                </c:pt>
                <c:pt idx="15">
                  <c:v>8794.0952255126031</c:v>
                </c:pt>
                <c:pt idx="16">
                  <c:v>8878.1867790849956</c:v>
                </c:pt>
                <c:pt idx="17">
                  <c:v>8961.8585236136842</c:v>
                </c:pt>
                <c:pt idx="18">
                  <c:v>9045.0849718747377</c:v>
                </c:pt>
                <c:pt idx="19">
                  <c:v>9127.8407722857828</c:v>
                </c:pt>
                <c:pt idx="20">
                  <c:v>9210.1007166283434</c:v>
                </c:pt>
                <c:pt idx="21">
                  <c:v>9291.8397477265007</c:v>
                </c:pt>
                <c:pt idx="22">
                  <c:v>9373.03296707956</c:v>
                </c:pt>
                <c:pt idx="23">
                  <c:v>9453.6556424463688</c:v>
                </c:pt>
                <c:pt idx="24">
                  <c:v>9533.6832153790001</c:v>
                </c:pt>
                <c:pt idx="25">
                  <c:v>9613.0913087034969</c:v>
                </c:pt>
                <c:pt idx="26">
                  <c:v>9691.8557339453873</c:v>
                </c:pt>
                <c:pt idx="27">
                  <c:v>9769.952498697734</c:v>
                </c:pt>
                <c:pt idx="28">
                  <c:v>9847.357813929455</c:v>
                </c:pt>
                <c:pt idx="29">
                  <c:v>9924.048101231685</c:v>
                </c:pt>
                <c:pt idx="30">
                  <c:v>10000</c:v>
                </c:pt>
                <c:pt idx="31">
                  <c:v>10075.190374550271</c:v>
                </c:pt>
                <c:pt idx="32">
                  <c:v>10149.596321166024</c:v>
                </c:pt>
                <c:pt idx="33">
                  <c:v>10223.195175075136</c:v>
                </c:pt>
                <c:pt idx="34">
                  <c:v>10295.964517353736</c:v>
                </c:pt>
                <c:pt idx="35">
                  <c:v>10367.882181755231</c:v>
                </c:pt>
                <c:pt idx="36">
                  <c:v>10438.926261462366</c:v>
                </c:pt>
                <c:pt idx="37">
                  <c:v>10509.075115760241</c:v>
                </c:pt>
                <c:pt idx="38">
                  <c:v>10578.307376628291</c:v>
                </c:pt>
                <c:pt idx="39">
                  <c:v>10646.601955249187</c:v>
                </c:pt>
                <c:pt idx="40">
                  <c:v>10713.938048432696</c:v>
                </c:pt>
                <c:pt idx="41">
                  <c:v>10780.295144952535</c:v>
                </c:pt>
                <c:pt idx="42">
                  <c:v>10845.653031794291</c:v>
                </c:pt>
                <c:pt idx="43">
                  <c:v>10909.991800312491</c:v>
                </c:pt>
                <c:pt idx="44">
                  <c:v>10973.291852294986</c:v>
                </c:pt>
                <c:pt idx="45">
                  <c:v>11035.533905932738</c:v>
                </c:pt>
                <c:pt idx="46">
                  <c:v>11096.699001693256</c:v>
                </c:pt>
                <c:pt idx="47">
                  <c:v>11156.768508095853</c:v>
                </c:pt>
                <c:pt idx="48">
                  <c:v>11215.724127386971</c:v>
                </c:pt>
                <c:pt idx="49">
                  <c:v>11273.54790111386</c:v>
                </c:pt>
                <c:pt idx="50">
                  <c:v>11330.222215594891</c:v>
                </c:pt>
                <c:pt idx="51">
                  <c:v>11385.729807284853</c:v>
                </c:pt>
                <c:pt idx="52">
                  <c:v>11440.053768033609</c:v>
                </c:pt>
                <c:pt idx="53">
                  <c:v>11493.177550236464</c:v>
                </c:pt>
                <c:pt idx="54">
                  <c:v>11545.084971874738</c:v>
                </c:pt>
                <c:pt idx="55">
                  <c:v>11595.760221444958</c:v>
                </c:pt>
                <c:pt idx="56">
                  <c:v>11645.187862775208</c:v>
                </c:pt>
                <c:pt idx="57">
                  <c:v>11693.352839727118</c:v>
                </c:pt>
                <c:pt idx="58">
                  <c:v>11740.240480782129</c:v>
                </c:pt>
                <c:pt idx="59">
                  <c:v>11785.83650351056</c:v>
                </c:pt>
                <c:pt idx="60">
                  <c:v>11830.127018922194</c:v>
                </c:pt>
                <c:pt idx="61">
                  <c:v>11873.09853569698</c:v>
                </c:pt>
                <c:pt idx="62">
                  <c:v>11914.737964294634</c:v>
                </c:pt>
                <c:pt idx="63">
                  <c:v>11955.032620941838</c:v>
                </c:pt>
                <c:pt idx="64">
                  <c:v>11993.970231495834</c:v>
                </c:pt>
                <c:pt idx="65">
                  <c:v>12031.538935183249</c:v>
                </c:pt>
                <c:pt idx="66">
                  <c:v>12067.727288213006</c:v>
                </c:pt>
                <c:pt idx="67">
                  <c:v>12102.524267262201</c:v>
                </c:pt>
                <c:pt idx="68">
                  <c:v>12135.919272833937</c:v>
                </c:pt>
                <c:pt idx="69">
                  <c:v>12167.902132486008</c:v>
                </c:pt>
                <c:pt idx="70">
                  <c:v>12198.463103929542</c:v>
                </c:pt>
                <c:pt idx="71">
                  <c:v>12227.592877996583</c:v>
                </c:pt>
                <c:pt idx="72">
                  <c:v>12255.282581475767</c:v>
                </c:pt>
                <c:pt idx="73">
                  <c:v>12281.523779815177</c:v>
                </c:pt>
                <c:pt idx="74">
                  <c:v>12306.308479691594</c:v>
                </c:pt>
                <c:pt idx="75">
                  <c:v>12329.629131445341</c:v>
                </c:pt>
                <c:pt idx="76">
                  <c:v>12351.478631379981</c:v>
                </c:pt>
                <c:pt idx="77">
                  <c:v>12371.850323926177</c:v>
                </c:pt>
                <c:pt idx="78">
                  <c:v>12390.738003669028</c:v>
                </c:pt>
                <c:pt idx="79">
                  <c:v>12408.13591723832</c:v>
                </c:pt>
                <c:pt idx="80">
                  <c:v>12424.038765061039</c:v>
                </c:pt>
                <c:pt idx="81">
                  <c:v>12438.441702975688</c:v>
                </c:pt>
                <c:pt idx="82">
                  <c:v>12451.340343707852</c:v>
                </c:pt>
                <c:pt idx="83">
                  <c:v>12462.73075820661</c:v>
                </c:pt>
                <c:pt idx="84">
                  <c:v>12472.609476841368</c:v>
                </c:pt>
                <c:pt idx="85">
                  <c:v>12480.973490458728</c:v>
                </c:pt>
                <c:pt idx="86">
                  <c:v>12487.820251299121</c:v>
                </c:pt>
                <c:pt idx="87">
                  <c:v>12493.14767377287</c:v>
                </c:pt>
                <c:pt idx="88">
                  <c:v>12496.954135095479</c:v>
                </c:pt>
                <c:pt idx="89">
                  <c:v>12499.238475781956</c:v>
                </c:pt>
                <c:pt idx="90">
                  <c:v>12500</c:v>
                </c:pt>
                <c:pt idx="91">
                  <c:v>12499.238475781956</c:v>
                </c:pt>
                <c:pt idx="92">
                  <c:v>12496.954135095479</c:v>
                </c:pt>
                <c:pt idx="93">
                  <c:v>12493.14767377287</c:v>
                </c:pt>
                <c:pt idx="94">
                  <c:v>12487.820251299121</c:v>
                </c:pt>
                <c:pt idx="95">
                  <c:v>12480.973490458728</c:v>
                </c:pt>
                <c:pt idx="96">
                  <c:v>12472.609476841368</c:v>
                </c:pt>
                <c:pt idx="97">
                  <c:v>12462.73075820661</c:v>
                </c:pt>
                <c:pt idx="98">
                  <c:v>12451.340343707852</c:v>
                </c:pt>
                <c:pt idx="99">
                  <c:v>12438.441702975688</c:v>
                </c:pt>
                <c:pt idx="100">
                  <c:v>12424.038765061039</c:v>
                </c:pt>
                <c:pt idx="101">
                  <c:v>12408.13591723832</c:v>
                </c:pt>
                <c:pt idx="102">
                  <c:v>12390.738003669028</c:v>
                </c:pt>
                <c:pt idx="103">
                  <c:v>12371.850323926177</c:v>
                </c:pt>
                <c:pt idx="104">
                  <c:v>12351.478631379981</c:v>
                </c:pt>
                <c:pt idx="105">
                  <c:v>12329.629131445341</c:v>
                </c:pt>
                <c:pt idx="106">
                  <c:v>12306.308479691594</c:v>
                </c:pt>
                <c:pt idx="107">
                  <c:v>12281.523779815177</c:v>
                </c:pt>
                <c:pt idx="108">
                  <c:v>12255.282581475767</c:v>
                </c:pt>
                <c:pt idx="109">
                  <c:v>12227.592877996583</c:v>
                </c:pt>
                <c:pt idx="110">
                  <c:v>12198.463103929542</c:v>
                </c:pt>
                <c:pt idx="111">
                  <c:v>12167.902132486008</c:v>
                </c:pt>
                <c:pt idx="112">
                  <c:v>12135.919272833937</c:v>
                </c:pt>
                <c:pt idx="113">
                  <c:v>12102.524267262201</c:v>
                </c:pt>
                <c:pt idx="114">
                  <c:v>12067.727288213006</c:v>
                </c:pt>
                <c:pt idx="115">
                  <c:v>12031.538935183249</c:v>
                </c:pt>
                <c:pt idx="116">
                  <c:v>11993.970231495834</c:v>
                </c:pt>
                <c:pt idx="117">
                  <c:v>11955.03262094184</c:v>
                </c:pt>
                <c:pt idx="118">
                  <c:v>11914.737964294636</c:v>
                </c:pt>
                <c:pt idx="119">
                  <c:v>11873.09853569698</c:v>
                </c:pt>
                <c:pt idx="120">
                  <c:v>11830.127018922194</c:v>
                </c:pt>
                <c:pt idx="121">
                  <c:v>11785.836503510562</c:v>
                </c:pt>
                <c:pt idx="122">
                  <c:v>11740.240480782129</c:v>
                </c:pt>
                <c:pt idx="123">
                  <c:v>11693.352839727118</c:v>
                </c:pt>
                <c:pt idx="124">
                  <c:v>11645.187862775208</c:v>
                </c:pt>
                <c:pt idx="125">
                  <c:v>11595.76022144496</c:v>
                </c:pt>
                <c:pt idx="126">
                  <c:v>11545.084971874738</c:v>
                </c:pt>
                <c:pt idx="127">
                  <c:v>11493.177550236464</c:v>
                </c:pt>
                <c:pt idx="128">
                  <c:v>11440.053768033609</c:v>
                </c:pt>
                <c:pt idx="129">
                  <c:v>11385.729807284855</c:v>
                </c:pt>
                <c:pt idx="130">
                  <c:v>11330.222215594891</c:v>
                </c:pt>
                <c:pt idx="131">
                  <c:v>11273.54790111386</c:v>
                </c:pt>
                <c:pt idx="132">
                  <c:v>11215.724127386971</c:v>
                </c:pt>
                <c:pt idx="133">
                  <c:v>11156.768508095853</c:v>
                </c:pt>
                <c:pt idx="134">
                  <c:v>11096.699001693258</c:v>
                </c:pt>
                <c:pt idx="135">
                  <c:v>11035.533905932738</c:v>
                </c:pt>
                <c:pt idx="136">
                  <c:v>10973.291852294986</c:v>
                </c:pt>
                <c:pt idx="137">
                  <c:v>10909.991800312493</c:v>
                </c:pt>
                <c:pt idx="138">
                  <c:v>10845.653031794292</c:v>
                </c:pt>
                <c:pt idx="139">
                  <c:v>10780.295144952535</c:v>
                </c:pt>
                <c:pt idx="140">
                  <c:v>10713.938048432698</c:v>
                </c:pt>
                <c:pt idx="141">
                  <c:v>10646.601955249189</c:v>
                </c:pt>
                <c:pt idx="142">
                  <c:v>10578.307376628292</c:v>
                </c:pt>
                <c:pt idx="143">
                  <c:v>10509.075115760241</c:v>
                </c:pt>
                <c:pt idx="144">
                  <c:v>10438.926261462366</c:v>
                </c:pt>
                <c:pt idx="145">
                  <c:v>10367.882181755233</c:v>
                </c:pt>
                <c:pt idx="146">
                  <c:v>10295.964517353736</c:v>
                </c:pt>
                <c:pt idx="147">
                  <c:v>10223.195175075136</c:v>
                </c:pt>
                <c:pt idx="148">
                  <c:v>10149.596321166024</c:v>
                </c:pt>
                <c:pt idx="149">
                  <c:v>10075.190374550271</c:v>
                </c:pt>
                <c:pt idx="150">
                  <c:v>10000</c:v>
                </c:pt>
                <c:pt idx="151">
                  <c:v>9924.048101231685</c:v>
                </c:pt>
                <c:pt idx="152">
                  <c:v>9847.357813929455</c:v>
                </c:pt>
                <c:pt idx="153">
                  <c:v>9769.952498697734</c:v>
                </c:pt>
                <c:pt idx="154">
                  <c:v>9691.8557339453873</c:v>
                </c:pt>
                <c:pt idx="155">
                  <c:v>9613.0913087034969</c:v>
                </c:pt>
                <c:pt idx="156">
                  <c:v>9533.6832153790019</c:v>
                </c:pt>
                <c:pt idx="157">
                  <c:v>9453.6556424463706</c:v>
                </c:pt>
                <c:pt idx="158">
                  <c:v>9373.0329670795618</c:v>
                </c:pt>
                <c:pt idx="159">
                  <c:v>9291.8397477265007</c:v>
                </c:pt>
                <c:pt idx="160">
                  <c:v>9210.1007166283453</c:v>
                </c:pt>
                <c:pt idx="161">
                  <c:v>9127.8407722857846</c:v>
                </c:pt>
                <c:pt idx="162">
                  <c:v>9045.0849718747377</c:v>
                </c:pt>
                <c:pt idx="163">
                  <c:v>8961.858523613686</c:v>
                </c:pt>
                <c:pt idx="164">
                  <c:v>8878.1867790849974</c:v>
                </c:pt>
                <c:pt idx="165">
                  <c:v>8794.0952255126049</c:v>
                </c:pt>
                <c:pt idx="166">
                  <c:v>8709.6094779983396</c:v>
                </c:pt>
                <c:pt idx="167">
                  <c:v>8624.7552717193248</c:v>
                </c:pt>
                <c:pt idx="168">
                  <c:v>8539.5584540887976</c:v>
                </c:pt>
                <c:pt idx="169">
                  <c:v>8454.0449768827257</c:v>
                </c:pt>
                <c:pt idx="170">
                  <c:v>8368.2408883346507</c:v>
                </c:pt>
                <c:pt idx="171">
                  <c:v>8282.1723252011543</c:v>
                </c:pt>
                <c:pt idx="172">
                  <c:v>8195.8655048003293</c:v>
                </c:pt>
                <c:pt idx="173">
                  <c:v>8109.3467170257372</c:v>
                </c:pt>
                <c:pt idx="174">
                  <c:v>8022.6423163382688</c:v>
                </c:pt>
                <c:pt idx="175">
                  <c:v>7935.7787137382929</c:v>
                </c:pt>
                <c:pt idx="176">
                  <c:v>7848.7823687206273</c:v>
                </c:pt>
                <c:pt idx="177">
                  <c:v>7761.6797812147188</c:v>
                </c:pt>
                <c:pt idx="178">
                  <c:v>7674.4974835125031</c:v>
                </c:pt>
                <c:pt idx="179">
                  <c:v>7587.2620321864169</c:v>
                </c:pt>
                <c:pt idx="180">
                  <c:v>7500.0000000000009</c:v>
                </c:pt>
                <c:pt idx="181">
                  <c:v>7412.737967813584</c:v>
                </c:pt>
                <c:pt idx="182">
                  <c:v>7325.5025164874951</c:v>
                </c:pt>
                <c:pt idx="183">
                  <c:v>7238.3202187852821</c:v>
                </c:pt>
                <c:pt idx="184">
                  <c:v>7151.2176312793763</c:v>
                </c:pt>
                <c:pt idx="185">
                  <c:v>7064.2212862617107</c:v>
                </c:pt>
                <c:pt idx="186">
                  <c:v>6977.3576836617349</c:v>
                </c:pt>
                <c:pt idx="187">
                  <c:v>6890.6532829742609</c:v>
                </c:pt>
                <c:pt idx="188">
                  <c:v>6804.1344951996725</c:v>
                </c:pt>
                <c:pt idx="189">
                  <c:v>6717.8276747988466</c:v>
                </c:pt>
                <c:pt idx="190">
                  <c:v>6631.7591116653475</c:v>
                </c:pt>
                <c:pt idx="191">
                  <c:v>6545.9550231172761</c:v>
                </c:pt>
                <c:pt idx="192">
                  <c:v>6460.4415459112042</c:v>
                </c:pt>
                <c:pt idx="193">
                  <c:v>6375.2447282806752</c:v>
                </c:pt>
                <c:pt idx="194">
                  <c:v>6290.3905220016622</c:v>
                </c:pt>
                <c:pt idx="195">
                  <c:v>6205.9047744873988</c:v>
                </c:pt>
                <c:pt idx="196">
                  <c:v>6121.8132209150053</c:v>
                </c:pt>
                <c:pt idx="197">
                  <c:v>6038.1414763863177</c:v>
                </c:pt>
                <c:pt idx="198">
                  <c:v>5954.9150281252614</c:v>
                </c:pt>
                <c:pt idx="199">
                  <c:v>5872.1592277142163</c:v>
                </c:pt>
                <c:pt idx="200">
                  <c:v>5789.8992833716566</c:v>
                </c:pt>
                <c:pt idx="201">
                  <c:v>5708.1602522734975</c:v>
                </c:pt>
                <c:pt idx="202">
                  <c:v>5626.96703292044</c:v>
                </c:pt>
                <c:pt idx="203">
                  <c:v>5546.3443575536321</c:v>
                </c:pt>
                <c:pt idx="204">
                  <c:v>5466.3167846210008</c:v>
                </c:pt>
                <c:pt idx="205">
                  <c:v>5386.9086912965031</c:v>
                </c:pt>
                <c:pt idx="206">
                  <c:v>5308.1442660546145</c:v>
                </c:pt>
                <c:pt idx="207">
                  <c:v>5230.0475013022688</c:v>
                </c:pt>
                <c:pt idx="208">
                  <c:v>5152.6421860705459</c:v>
                </c:pt>
                <c:pt idx="209">
                  <c:v>5075.951898768315</c:v>
                </c:pt>
                <c:pt idx="210">
                  <c:v>5000</c:v>
                </c:pt>
                <c:pt idx="211">
                  <c:v>4924.8096254497286</c:v>
                </c:pt>
                <c:pt idx="212">
                  <c:v>4850.4036788339763</c:v>
                </c:pt>
                <c:pt idx="213">
                  <c:v>4776.8048249248641</c:v>
                </c:pt>
                <c:pt idx="214">
                  <c:v>4704.0354826462662</c:v>
                </c:pt>
                <c:pt idx="215">
                  <c:v>4632.1178182447711</c:v>
                </c:pt>
                <c:pt idx="216">
                  <c:v>4561.0737385376342</c:v>
                </c:pt>
                <c:pt idx="217">
                  <c:v>4490.9248842397592</c:v>
                </c:pt>
                <c:pt idx="218">
                  <c:v>4421.6926233717113</c:v>
                </c:pt>
                <c:pt idx="219">
                  <c:v>4353.398044750812</c:v>
                </c:pt>
                <c:pt idx="220">
                  <c:v>4286.0619515673043</c:v>
                </c:pt>
                <c:pt idx="221">
                  <c:v>4219.7048550474628</c:v>
                </c:pt>
                <c:pt idx="222">
                  <c:v>4154.3469682057093</c:v>
                </c:pt>
                <c:pt idx="223">
                  <c:v>4090.0081996875083</c:v>
                </c:pt>
                <c:pt idx="224">
                  <c:v>4026.7081477050133</c:v>
                </c:pt>
                <c:pt idx="225">
                  <c:v>3964.4660940672625</c:v>
                </c:pt>
                <c:pt idx="226">
                  <c:v>3903.3009983067459</c:v>
                </c:pt>
                <c:pt idx="227">
                  <c:v>3843.2314919041492</c:v>
                </c:pt>
                <c:pt idx="228">
                  <c:v>3784.2758726130301</c:v>
                </c:pt>
                <c:pt idx="229">
                  <c:v>3726.4520988861418</c:v>
                </c:pt>
                <c:pt idx="230">
                  <c:v>3669.7777844051107</c:v>
                </c:pt>
                <c:pt idx="231">
                  <c:v>3614.2701927151443</c:v>
                </c:pt>
                <c:pt idx="232">
                  <c:v>3559.9462319663894</c:v>
                </c:pt>
                <c:pt idx="233">
                  <c:v>3506.822449763536</c:v>
                </c:pt>
                <c:pt idx="234">
                  <c:v>3454.9150281252632</c:v>
                </c:pt>
                <c:pt idx="235">
                  <c:v>3404.239778555042</c:v>
                </c:pt>
                <c:pt idx="236">
                  <c:v>3354.8121372247933</c:v>
                </c:pt>
                <c:pt idx="237">
                  <c:v>3306.6471602728798</c:v>
                </c:pt>
                <c:pt idx="238">
                  <c:v>3259.7595192178705</c:v>
                </c:pt>
                <c:pt idx="239">
                  <c:v>3214.1634964894392</c:v>
                </c:pt>
                <c:pt idx="240">
                  <c:v>3169.8729810778077</c:v>
                </c:pt>
                <c:pt idx="241">
                  <c:v>3126.9014643030205</c:v>
                </c:pt>
                <c:pt idx="242">
                  <c:v>3085.2620357053647</c:v>
                </c:pt>
                <c:pt idx="243">
                  <c:v>3044.967379058161</c:v>
                </c:pt>
                <c:pt idx="244">
                  <c:v>3006.029768504166</c:v>
                </c:pt>
                <c:pt idx="245">
                  <c:v>2968.4610648167518</c:v>
                </c:pt>
                <c:pt idx="246">
                  <c:v>2932.2727117869954</c:v>
                </c:pt>
                <c:pt idx="247">
                  <c:v>2897.4757327377984</c:v>
                </c:pt>
                <c:pt idx="248">
                  <c:v>2864.0807271660633</c:v>
                </c:pt>
                <c:pt idx="249">
                  <c:v>2832.0978675139922</c:v>
                </c:pt>
                <c:pt idx="250">
                  <c:v>2801.5368960704591</c:v>
                </c:pt>
                <c:pt idx="251">
                  <c:v>2772.4071220034157</c:v>
                </c:pt>
                <c:pt idx="252">
                  <c:v>2744.717418524232</c:v>
                </c:pt>
                <c:pt idx="253">
                  <c:v>2718.4762201848234</c:v>
                </c:pt>
                <c:pt idx="254">
                  <c:v>2693.6915203084054</c:v>
                </c:pt>
                <c:pt idx="255">
                  <c:v>2670.370868554658</c:v>
                </c:pt>
                <c:pt idx="256">
                  <c:v>2648.5213686200177</c:v>
                </c:pt>
                <c:pt idx="257">
                  <c:v>2628.1496760738246</c:v>
                </c:pt>
                <c:pt idx="258">
                  <c:v>2609.2619963309717</c:v>
                </c:pt>
                <c:pt idx="259">
                  <c:v>2591.8640827616809</c:v>
                </c:pt>
                <c:pt idx="260">
                  <c:v>2575.9612349389599</c:v>
                </c:pt>
                <c:pt idx="261">
                  <c:v>2561.5582970243113</c:v>
                </c:pt>
                <c:pt idx="262">
                  <c:v>2548.6596562921486</c:v>
                </c:pt>
                <c:pt idx="263">
                  <c:v>2537.2692417933895</c:v>
                </c:pt>
                <c:pt idx="264">
                  <c:v>2527.3905231586332</c:v>
                </c:pt>
                <c:pt idx="265">
                  <c:v>2519.0265095412724</c:v>
                </c:pt>
                <c:pt idx="266">
                  <c:v>2512.1797487008789</c:v>
                </c:pt>
                <c:pt idx="267">
                  <c:v>2506.852326227131</c:v>
                </c:pt>
                <c:pt idx="268">
                  <c:v>2503.0458649045213</c:v>
                </c:pt>
                <c:pt idx="269">
                  <c:v>2500.7615242180436</c:v>
                </c:pt>
                <c:pt idx="270">
                  <c:v>2500</c:v>
                </c:pt>
                <c:pt idx="271">
                  <c:v>2500.7615242180436</c:v>
                </c:pt>
                <c:pt idx="272">
                  <c:v>2503.0458649045213</c:v>
                </c:pt>
                <c:pt idx="273">
                  <c:v>2506.852326227131</c:v>
                </c:pt>
                <c:pt idx="274">
                  <c:v>2512.179748700878</c:v>
                </c:pt>
                <c:pt idx="275">
                  <c:v>2519.0265095412724</c:v>
                </c:pt>
                <c:pt idx="276">
                  <c:v>2527.3905231586332</c:v>
                </c:pt>
                <c:pt idx="277">
                  <c:v>2537.2692417933904</c:v>
                </c:pt>
                <c:pt idx="278">
                  <c:v>2548.6596562921486</c:v>
                </c:pt>
                <c:pt idx="279">
                  <c:v>2561.5582970243113</c:v>
                </c:pt>
                <c:pt idx="280">
                  <c:v>2575.961234938959</c:v>
                </c:pt>
                <c:pt idx="281">
                  <c:v>2591.8640827616791</c:v>
                </c:pt>
                <c:pt idx="282">
                  <c:v>2609.2619963309708</c:v>
                </c:pt>
                <c:pt idx="283">
                  <c:v>2628.1496760738237</c:v>
                </c:pt>
                <c:pt idx="284">
                  <c:v>2648.5213686200168</c:v>
                </c:pt>
                <c:pt idx="285">
                  <c:v>2670.370868554659</c:v>
                </c:pt>
                <c:pt idx="286">
                  <c:v>2693.6915203084063</c:v>
                </c:pt>
                <c:pt idx="287">
                  <c:v>2718.4762201848225</c:v>
                </c:pt>
                <c:pt idx="288">
                  <c:v>2744.717418524232</c:v>
                </c:pt>
                <c:pt idx="289">
                  <c:v>2772.4071220034148</c:v>
                </c:pt>
                <c:pt idx="290">
                  <c:v>2801.5368960704573</c:v>
                </c:pt>
                <c:pt idx="291">
                  <c:v>2832.0978675139895</c:v>
                </c:pt>
                <c:pt idx="292">
                  <c:v>2864.0807271660633</c:v>
                </c:pt>
                <c:pt idx="293">
                  <c:v>2897.4757327377974</c:v>
                </c:pt>
                <c:pt idx="294">
                  <c:v>2932.2727117869963</c:v>
                </c:pt>
                <c:pt idx="295">
                  <c:v>2968.46106481675</c:v>
                </c:pt>
                <c:pt idx="296">
                  <c:v>3006.0297685041651</c:v>
                </c:pt>
                <c:pt idx="297">
                  <c:v>3044.9673790581601</c:v>
                </c:pt>
                <c:pt idx="298">
                  <c:v>3085.2620357053647</c:v>
                </c:pt>
                <c:pt idx="299">
                  <c:v>3126.9014643030196</c:v>
                </c:pt>
                <c:pt idx="300">
                  <c:v>3169.8729810778068</c:v>
                </c:pt>
                <c:pt idx="301">
                  <c:v>3214.1634964894383</c:v>
                </c:pt>
                <c:pt idx="302">
                  <c:v>3259.7595192178687</c:v>
                </c:pt>
                <c:pt idx="303">
                  <c:v>3306.6471602728789</c:v>
                </c:pt>
                <c:pt idx="304">
                  <c:v>3354.8121372247897</c:v>
                </c:pt>
                <c:pt idx="305">
                  <c:v>3404.2397785550411</c:v>
                </c:pt>
                <c:pt idx="306">
                  <c:v>3454.9150281252623</c:v>
                </c:pt>
                <c:pt idx="307">
                  <c:v>3506.8224497635347</c:v>
                </c:pt>
                <c:pt idx="308">
                  <c:v>3559.9462319663912</c:v>
                </c:pt>
                <c:pt idx="309">
                  <c:v>3614.2701927151461</c:v>
                </c:pt>
                <c:pt idx="310">
                  <c:v>3669.7777844051093</c:v>
                </c:pt>
                <c:pt idx="311">
                  <c:v>3726.4520988861386</c:v>
                </c:pt>
                <c:pt idx="312">
                  <c:v>3784.2758726130273</c:v>
                </c:pt>
                <c:pt idx="313">
                  <c:v>3843.2314919041451</c:v>
                </c:pt>
                <c:pt idx="314">
                  <c:v>3903.3009983067413</c:v>
                </c:pt>
                <c:pt idx="315">
                  <c:v>3964.4660940672616</c:v>
                </c:pt>
                <c:pt idx="316">
                  <c:v>4026.7081477050119</c:v>
                </c:pt>
                <c:pt idx="317">
                  <c:v>4090.0081996875087</c:v>
                </c:pt>
                <c:pt idx="318">
                  <c:v>4154.3469682057093</c:v>
                </c:pt>
                <c:pt idx="319">
                  <c:v>4219.7048550474628</c:v>
                </c:pt>
                <c:pt idx="320">
                  <c:v>4286.0619515673025</c:v>
                </c:pt>
                <c:pt idx="321">
                  <c:v>4353.3980447508111</c:v>
                </c:pt>
                <c:pt idx="322">
                  <c:v>4421.6926233717058</c:v>
                </c:pt>
                <c:pt idx="323">
                  <c:v>4490.9248842397592</c:v>
                </c:pt>
                <c:pt idx="324">
                  <c:v>4561.0737385376333</c:v>
                </c:pt>
                <c:pt idx="325">
                  <c:v>4632.1178182447675</c:v>
                </c:pt>
                <c:pt idx="326">
                  <c:v>4704.0354826462626</c:v>
                </c:pt>
                <c:pt idx="327">
                  <c:v>4776.804824924865</c:v>
                </c:pt>
                <c:pt idx="328">
                  <c:v>4850.4036788339708</c:v>
                </c:pt>
                <c:pt idx="329">
                  <c:v>4924.8096254497277</c:v>
                </c:pt>
                <c:pt idx="330">
                  <c:v>4999.9999999999982</c:v>
                </c:pt>
                <c:pt idx="331">
                  <c:v>5075.951898768315</c:v>
                </c:pt>
                <c:pt idx="332">
                  <c:v>5152.6421860705459</c:v>
                </c:pt>
                <c:pt idx="333">
                  <c:v>5230.0475013022651</c:v>
                </c:pt>
                <c:pt idx="334">
                  <c:v>5308.1442660546145</c:v>
                </c:pt>
                <c:pt idx="335">
                  <c:v>5386.9086912964995</c:v>
                </c:pt>
                <c:pt idx="336">
                  <c:v>5466.316784620999</c:v>
                </c:pt>
                <c:pt idx="337">
                  <c:v>5546.3443575536267</c:v>
                </c:pt>
                <c:pt idx="338">
                  <c:v>5626.9670329204382</c:v>
                </c:pt>
                <c:pt idx="339">
                  <c:v>5708.1602522734956</c:v>
                </c:pt>
                <c:pt idx="340">
                  <c:v>5789.8992833716566</c:v>
                </c:pt>
                <c:pt idx="341">
                  <c:v>5872.1592277142126</c:v>
                </c:pt>
                <c:pt idx="342">
                  <c:v>5954.9150281252623</c:v>
                </c:pt>
                <c:pt idx="343">
                  <c:v>6038.1414763863186</c:v>
                </c:pt>
                <c:pt idx="344">
                  <c:v>6121.8132209150008</c:v>
                </c:pt>
                <c:pt idx="345">
                  <c:v>6205.9047744873969</c:v>
                </c:pt>
                <c:pt idx="346">
                  <c:v>6290.3905220016604</c:v>
                </c:pt>
                <c:pt idx="347">
                  <c:v>6375.2447282806734</c:v>
                </c:pt>
                <c:pt idx="348">
                  <c:v>6460.4415459112006</c:v>
                </c:pt>
                <c:pt idx="349">
                  <c:v>6545.9550231172771</c:v>
                </c:pt>
                <c:pt idx="350">
                  <c:v>6631.7591116653439</c:v>
                </c:pt>
                <c:pt idx="351">
                  <c:v>6717.8276747988448</c:v>
                </c:pt>
                <c:pt idx="352">
                  <c:v>6804.1344951996707</c:v>
                </c:pt>
                <c:pt idx="353">
                  <c:v>6890.6532829742591</c:v>
                </c:pt>
                <c:pt idx="354">
                  <c:v>6977.3576836617331</c:v>
                </c:pt>
                <c:pt idx="355">
                  <c:v>7064.2212862617089</c:v>
                </c:pt>
                <c:pt idx="356">
                  <c:v>7151.2176312793763</c:v>
                </c:pt>
                <c:pt idx="357">
                  <c:v>7238.3202187852785</c:v>
                </c:pt>
                <c:pt idx="358">
                  <c:v>7325.502516487496</c:v>
                </c:pt>
                <c:pt idx="359">
                  <c:v>7412.7379678135776</c:v>
                </c:pt>
                <c:pt idx="36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D2-44C5-A25D-CDF3BBA8BBB6}"/>
            </c:ext>
          </c:extLst>
        </c:ser>
        <c:ser>
          <c:idx val="2"/>
          <c:order val="1"/>
          <c:tx>
            <c:v>Planete2</c:v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initiales'!$AA$43:$AA$403</c:f>
              <c:numCache>
                <c:formatCode>General</c:formatCode>
                <c:ptCount val="361"/>
                <c:pt idx="0">
                  <c:v>-16500</c:v>
                </c:pt>
                <c:pt idx="1">
                  <c:v>-16500.53306695263</c:v>
                </c:pt>
                <c:pt idx="2">
                  <c:v>-16502.132105433164</c:v>
                </c:pt>
                <c:pt idx="3">
                  <c:v>-16504.796628358992</c:v>
                </c:pt>
                <c:pt idx="4">
                  <c:v>-16508.525824090615</c:v>
                </c:pt>
                <c:pt idx="5">
                  <c:v>-16513.318556678889</c:v>
                </c:pt>
                <c:pt idx="6">
                  <c:v>-16519.173366211042</c:v>
                </c:pt>
                <c:pt idx="7">
                  <c:v>-16526.088469255374</c:v>
                </c:pt>
                <c:pt idx="8">
                  <c:v>-16534.061759404503</c:v>
                </c:pt>
                <c:pt idx="9">
                  <c:v>-16543.090807917019</c:v>
                </c:pt>
                <c:pt idx="10">
                  <c:v>-16553.172864457272</c:v>
                </c:pt>
                <c:pt idx="11">
                  <c:v>-16564.304857933177</c:v>
                </c:pt>
                <c:pt idx="12">
                  <c:v>-16576.483397431679</c:v>
                </c:pt>
                <c:pt idx="13">
                  <c:v>-16589.704773251677</c:v>
                </c:pt>
                <c:pt idx="14">
                  <c:v>-16603.964958034012</c:v>
                </c:pt>
                <c:pt idx="15">
                  <c:v>-16619.259607988261</c:v>
                </c:pt>
                <c:pt idx="16">
                  <c:v>-16635.584064215884</c:v>
                </c:pt>
                <c:pt idx="17">
                  <c:v>-16652.933354129374</c:v>
                </c:pt>
                <c:pt idx="18">
                  <c:v>-16671.302192966963</c:v>
                </c:pt>
                <c:pt idx="19">
                  <c:v>-16690.684985402389</c:v>
                </c:pt>
                <c:pt idx="20">
                  <c:v>-16711.075827249319</c:v>
                </c:pt>
                <c:pt idx="21">
                  <c:v>-16732.468507259793</c:v>
                </c:pt>
                <c:pt idx="22">
                  <c:v>-16754.856509016245</c:v>
                </c:pt>
                <c:pt idx="23">
                  <c:v>-16778.233012916458</c:v>
                </c:pt>
                <c:pt idx="24">
                  <c:v>-16802.590898250895</c:v>
                </c:pt>
                <c:pt idx="25">
                  <c:v>-16827.922745371725</c:v>
                </c:pt>
                <c:pt idx="26">
                  <c:v>-16854.220837952915</c:v>
                </c:pt>
                <c:pt idx="27">
                  <c:v>-16881.477165340712</c:v>
                </c:pt>
                <c:pt idx="28">
                  <c:v>-16909.683424993756</c:v>
                </c:pt>
                <c:pt idx="29">
                  <c:v>-16938.831025012114</c:v>
                </c:pt>
                <c:pt idx="30">
                  <c:v>-16968.911086754466</c:v>
                </c:pt>
                <c:pt idx="31">
                  <c:v>-16999.914447542607</c:v>
                </c:pt>
                <c:pt idx="32">
                  <c:v>-17031.831663452511</c:v>
                </c:pt>
                <c:pt idx="33">
                  <c:v>-17064.653012191015</c:v>
                </c:pt>
                <c:pt idx="34">
                  <c:v>-17098.368496057356</c:v>
                </c:pt>
                <c:pt idx="35">
                  <c:v>-17132.967844988529</c:v>
                </c:pt>
                <c:pt idx="36">
                  <c:v>-17168.440519687683</c:v>
                </c:pt>
                <c:pt idx="37">
                  <c:v>-17204.775714834475</c:v>
                </c:pt>
                <c:pt idx="38">
                  <c:v>-17241.962362376471</c:v>
                </c:pt>
                <c:pt idx="39">
                  <c:v>-17279.989134900603</c:v>
                </c:pt>
                <c:pt idx="40">
                  <c:v>-17318.844449083575</c:v>
                </c:pt>
                <c:pt idx="41">
                  <c:v>-17358.516469220296</c:v>
                </c:pt>
                <c:pt idx="42">
                  <c:v>-17398.99311082912</c:v>
                </c:pt>
                <c:pt idx="43">
                  <c:v>-17440.262044332903</c:v>
                </c:pt>
                <c:pt idx="44">
                  <c:v>-17482.310698814719</c:v>
                </c:pt>
                <c:pt idx="45">
                  <c:v>-17525.126265847084</c:v>
                </c:pt>
                <c:pt idx="46">
                  <c:v>-17568.69570339351</c:v>
                </c:pt>
                <c:pt idx="47">
                  <c:v>-17613.005739781256</c:v>
                </c:pt>
                <c:pt idx="48">
                  <c:v>-17658.042877743996</c:v>
                </c:pt>
                <c:pt idx="49">
                  <c:v>-17703.793398533224</c:v>
                </c:pt>
                <c:pt idx="50">
                  <c:v>-17750.243366097111</c:v>
                </c:pt>
                <c:pt idx="51">
                  <c:v>-17797.37863132557</c:v>
                </c:pt>
                <c:pt idx="52">
                  <c:v>-17845.184836360197</c:v>
                </c:pt>
                <c:pt idx="53">
                  <c:v>-17893.64741896783</c:v>
                </c:pt>
                <c:pt idx="54">
                  <c:v>-17942.751616976344</c:v>
                </c:pt>
                <c:pt idx="55">
                  <c:v>-17992.482472771339</c:v>
                </c:pt>
                <c:pt idx="56">
                  <c:v>-18042.824837852386</c:v>
                </c:pt>
                <c:pt idx="57">
                  <c:v>-18093.763377447405</c:v>
                </c:pt>
                <c:pt idx="58">
                  <c:v>-18145.282575183785</c:v>
                </c:pt>
                <c:pt idx="59">
                  <c:v>-18197.366737814809</c:v>
                </c:pt>
                <c:pt idx="60">
                  <c:v>-18250</c:v>
                </c:pt>
                <c:pt idx="61">
                  <c:v>-18303.166329137821</c:v>
                </c:pt>
                <c:pt idx="62">
                  <c:v>-18356.849530249383</c:v>
                </c:pt>
                <c:pt idx="63">
                  <c:v>-18411.033250911587</c:v>
                </c:pt>
                <c:pt idx="64">
                  <c:v>-18465.700986238229</c:v>
                </c:pt>
                <c:pt idx="65">
                  <c:v>-18520.83608390755</c:v>
                </c:pt>
                <c:pt idx="66">
                  <c:v>-18576.421749234698</c:v>
                </c:pt>
                <c:pt idx="67">
                  <c:v>-18632.44105028754</c:v>
                </c:pt>
                <c:pt idx="68">
                  <c:v>-18688.876923044307</c:v>
                </c:pt>
                <c:pt idx="69">
                  <c:v>-18745.712176591449</c:v>
                </c:pt>
                <c:pt idx="70">
                  <c:v>-18802.929498360158</c:v>
                </c:pt>
                <c:pt idx="71">
                  <c:v>-18860.51145939995</c:v>
                </c:pt>
                <c:pt idx="72">
                  <c:v>-18918.440519687683</c:v>
                </c:pt>
                <c:pt idx="73">
                  <c:v>-18976.699033470421</c:v>
                </c:pt>
                <c:pt idx="74">
                  <c:v>-19035.269254640501</c:v>
                </c:pt>
                <c:pt idx="75">
                  <c:v>-19094.133342141176</c:v>
                </c:pt>
                <c:pt idx="76">
                  <c:v>-19153.273365401161</c:v>
                </c:pt>
                <c:pt idx="77">
                  <c:v>-19212.671309796471</c:v>
                </c:pt>
                <c:pt idx="78">
                  <c:v>-19272.309082137843</c:v>
                </c:pt>
                <c:pt idx="79">
                  <c:v>-19332.168516182093</c:v>
                </c:pt>
                <c:pt idx="80">
                  <c:v>-19392.231378165743</c:v>
                </c:pt>
                <c:pt idx="81">
                  <c:v>-19452.47937235919</c:v>
                </c:pt>
                <c:pt idx="82">
                  <c:v>-19512.89414663977</c:v>
                </c:pt>
                <c:pt idx="83">
                  <c:v>-19573.457298081983</c:v>
                </c:pt>
                <c:pt idx="84">
                  <c:v>-19634.150378563212</c:v>
                </c:pt>
                <c:pt idx="85">
                  <c:v>-19694.954900383196</c:v>
                </c:pt>
                <c:pt idx="86">
                  <c:v>-19755.852341895559</c:v>
                </c:pt>
                <c:pt idx="87">
                  <c:v>-19816.824153149697</c:v>
                </c:pt>
                <c:pt idx="88">
                  <c:v>-19877.851761541246</c:v>
                </c:pt>
                <c:pt idx="89">
                  <c:v>-19938.916577469507</c:v>
                </c:pt>
                <c:pt idx="90">
                  <c:v>-20000</c:v>
                </c:pt>
                <c:pt idx="91">
                  <c:v>-20061.083422530493</c:v>
                </c:pt>
                <c:pt idx="92">
                  <c:v>-20122.148238458754</c:v>
                </c:pt>
                <c:pt idx="93">
                  <c:v>-20183.175846850303</c:v>
                </c:pt>
                <c:pt idx="94">
                  <c:v>-20244.147658104437</c:v>
                </c:pt>
                <c:pt idx="95">
                  <c:v>-20305.045099616804</c:v>
                </c:pt>
                <c:pt idx="96">
                  <c:v>-20365.849621436788</c:v>
                </c:pt>
                <c:pt idx="97">
                  <c:v>-20426.542701918017</c:v>
                </c:pt>
                <c:pt idx="98">
                  <c:v>-20487.10585336023</c:v>
                </c:pt>
                <c:pt idx="99">
                  <c:v>-20547.52062764081</c:v>
                </c:pt>
                <c:pt idx="100">
                  <c:v>-20607.768621834257</c:v>
                </c:pt>
                <c:pt idx="101">
                  <c:v>-20667.831483817907</c:v>
                </c:pt>
                <c:pt idx="102">
                  <c:v>-20727.690917862157</c:v>
                </c:pt>
                <c:pt idx="103">
                  <c:v>-20787.328690203525</c:v>
                </c:pt>
                <c:pt idx="104">
                  <c:v>-20846.726634598836</c:v>
                </c:pt>
                <c:pt idx="105">
                  <c:v>-20905.866657858824</c:v>
                </c:pt>
                <c:pt idx="106">
                  <c:v>-20964.730745359499</c:v>
                </c:pt>
                <c:pt idx="107">
                  <c:v>-21023.300966529579</c:v>
                </c:pt>
                <c:pt idx="108">
                  <c:v>-21081.559480312317</c:v>
                </c:pt>
                <c:pt idx="109">
                  <c:v>-21139.488540600047</c:v>
                </c:pt>
                <c:pt idx="110">
                  <c:v>-21197.070501639842</c:v>
                </c:pt>
                <c:pt idx="111">
                  <c:v>-21254.287823408551</c:v>
                </c:pt>
                <c:pt idx="112">
                  <c:v>-21311.123076955693</c:v>
                </c:pt>
                <c:pt idx="113">
                  <c:v>-21367.558949712457</c:v>
                </c:pt>
                <c:pt idx="114">
                  <c:v>-21423.578250765298</c:v>
                </c:pt>
                <c:pt idx="115">
                  <c:v>-21479.163916092446</c:v>
                </c:pt>
                <c:pt idx="116">
                  <c:v>-21534.299013761771</c:v>
                </c:pt>
                <c:pt idx="117">
                  <c:v>-21588.966749088413</c:v>
                </c:pt>
                <c:pt idx="118">
                  <c:v>-21643.150469750617</c:v>
                </c:pt>
                <c:pt idx="119">
                  <c:v>-21696.833670862179</c:v>
                </c:pt>
                <c:pt idx="120">
                  <c:v>-21750</c:v>
                </c:pt>
                <c:pt idx="121">
                  <c:v>-21802.633262185191</c:v>
                </c:pt>
                <c:pt idx="122">
                  <c:v>-21854.717424816215</c:v>
                </c:pt>
                <c:pt idx="123">
                  <c:v>-21906.236622552595</c:v>
                </c:pt>
                <c:pt idx="124">
                  <c:v>-21957.175162147614</c:v>
                </c:pt>
                <c:pt idx="125">
                  <c:v>-22007.517527228661</c:v>
                </c:pt>
                <c:pt idx="126">
                  <c:v>-22057.248383023656</c:v>
                </c:pt>
                <c:pt idx="127">
                  <c:v>-22106.35258103217</c:v>
                </c:pt>
                <c:pt idx="128">
                  <c:v>-22154.815163639803</c:v>
                </c:pt>
                <c:pt idx="129">
                  <c:v>-22202.62136867443</c:v>
                </c:pt>
                <c:pt idx="130">
                  <c:v>-22249.756633902889</c:v>
                </c:pt>
                <c:pt idx="131">
                  <c:v>-22296.206601466776</c:v>
                </c:pt>
                <c:pt idx="132">
                  <c:v>-22341.957122256004</c:v>
                </c:pt>
                <c:pt idx="133">
                  <c:v>-22386.994260218744</c:v>
                </c:pt>
                <c:pt idx="134">
                  <c:v>-22431.30429660649</c:v>
                </c:pt>
                <c:pt idx="135">
                  <c:v>-22474.873734152916</c:v>
                </c:pt>
                <c:pt idx="136">
                  <c:v>-22517.689301185281</c:v>
                </c:pt>
                <c:pt idx="137">
                  <c:v>-22559.737955667097</c:v>
                </c:pt>
                <c:pt idx="138">
                  <c:v>-22601.00688917088</c:v>
                </c:pt>
                <c:pt idx="139">
                  <c:v>-22641.483530779704</c:v>
                </c:pt>
                <c:pt idx="140">
                  <c:v>-22681.155550916425</c:v>
                </c:pt>
                <c:pt idx="141">
                  <c:v>-22720.010865099397</c:v>
                </c:pt>
                <c:pt idx="142">
                  <c:v>-22758.037637623525</c:v>
                </c:pt>
                <c:pt idx="143">
                  <c:v>-22795.224285165525</c:v>
                </c:pt>
                <c:pt idx="144">
                  <c:v>-22831.559480312317</c:v>
                </c:pt>
                <c:pt idx="145">
                  <c:v>-22867.032155011471</c:v>
                </c:pt>
                <c:pt idx="146">
                  <c:v>-22901.631503942644</c:v>
                </c:pt>
                <c:pt idx="147">
                  <c:v>-22935.346987808985</c:v>
                </c:pt>
                <c:pt idx="148">
                  <c:v>-22968.168336547489</c:v>
                </c:pt>
                <c:pt idx="149">
                  <c:v>-23000.085552457393</c:v>
                </c:pt>
                <c:pt idx="150">
                  <c:v>-23031.088913245534</c:v>
                </c:pt>
                <c:pt idx="151">
                  <c:v>-23061.168974987886</c:v>
                </c:pt>
                <c:pt idx="152">
                  <c:v>-23090.316575006244</c:v>
                </c:pt>
                <c:pt idx="153">
                  <c:v>-23118.522834659288</c:v>
                </c:pt>
                <c:pt idx="154">
                  <c:v>-23145.779162047085</c:v>
                </c:pt>
                <c:pt idx="155">
                  <c:v>-23172.077254628275</c:v>
                </c:pt>
                <c:pt idx="156">
                  <c:v>-23197.409101749101</c:v>
                </c:pt>
                <c:pt idx="157">
                  <c:v>-23221.766987083542</c:v>
                </c:pt>
                <c:pt idx="158">
                  <c:v>-23245.143490983755</c:v>
                </c:pt>
                <c:pt idx="159">
                  <c:v>-23267.531492740207</c:v>
                </c:pt>
                <c:pt idx="160">
                  <c:v>-23288.924172750678</c:v>
                </c:pt>
                <c:pt idx="161">
                  <c:v>-23309.315014597611</c:v>
                </c:pt>
                <c:pt idx="162">
                  <c:v>-23328.697807033037</c:v>
                </c:pt>
                <c:pt idx="163">
                  <c:v>-23347.066645870626</c:v>
                </c:pt>
                <c:pt idx="164">
                  <c:v>-23364.415935784116</c:v>
                </c:pt>
                <c:pt idx="165">
                  <c:v>-23380.740392011739</c:v>
                </c:pt>
                <c:pt idx="166">
                  <c:v>-23396.035041965988</c:v>
                </c:pt>
                <c:pt idx="167">
                  <c:v>-23410.295226748323</c:v>
                </c:pt>
                <c:pt idx="168">
                  <c:v>-23423.516602568321</c:v>
                </c:pt>
                <c:pt idx="169">
                  <c:v>-23435.695142066823</c:v>
                </c:pt>
                <c:pt idx="170">
                  <c:v>-23446.827135542728</c:v>
                </c:pt>
                <c:pt idx="171">
                  <c:v>-23456.909192082981</c:v>
                </c:pt>
                <c:pt idx="172">
                  <c:v>-23465.938240595497</c:v>
                </c:pt>
                <c:pt idx="173">
                  <c:v>-23473.911530744626</c:v>
                </c:pt>
                <c:pt idx="174">
                  <c:v>-23480.826633788958</c:v>
                </c:pt>
                <c:pt idx="175">
                  <c:v>-23486.681443321111</c:v>
                </c:pt>
                <c:pt idx="176">
                  <c:v>-23491.474175909385</c:v>
                </c:pt>
                <c:pt idx="177">
                  <c:v>-23495.203371641008</c:v>
                </c:pt>
                <c:pt idx="178">
                  <c:v>-23497.867894566836</c:v>
                </c:pt>
                <c:pt idx="179">
                  <c:v>-23499.46693304737</c:v>
                </c:pt>
                <c:pt idx="180">
                  <c:v>-23500</c:v>
                </c:pt>
                <c:pt idx="181">
                  <c:v>-23499.46693304737</c:v>
                </c:pt>
                <c:pt idx="182">
                  <c:v>-23497.867894566836</c:v>
                </c:pt>
                <c:pt idx="183">
                  <c:v>-23495.203371641008</c:v>
                </c:pt>
                <c:pt idx="184">
                  <c:v>-23491.474175909385</c:v>
                </c:pt>
                <c:pt idx="185">
                  <c:v>-23486.681443321111</c:v>
                </c:pt>
                <c:pt idx="186">
                  <c:v>-23480.826633788958</c:v>
                </c:pt>
                <c:pt idx="187">
                  <c:v>-23473.911530744626</c:v>
                </c:pt>
                <c:pt idx="188">
                  <c:v>-23465.938240595497</c:v>
                </c:pt>
                <c:pt idx="189">
                  <c:v>-23456.909192082981</c:v>
                </c:pt>
                <c:pt idx="190">
                  <c:v>-23446.827135542728</c:v>
                </c:pt>
                <c:pt idx="191">
                  <c:v>-23435.695142066823</c:v>
                </c:pt>
                <c:pt idx="192">
                  <c:v>-23423.516602568321</c:v>
                </c:pt>
                <c:pt idx="193">
                  <c:v>-23410.295226748323</c:v>
                </c:pt>
                <c:pt idx="194">
                  <c:v>-23396.035041965988</c:v>
                </c:pt>
                <c:pt idx="195">
                  <c:v>-23380.740392011739</c:v>
                </c:pt>
                <c:pt idx="196">
                  <c:v>-23364.415935784116</c:v>
                </c:pt>
                <c:pt idx="197">
                  <c:v>-23347.066645870626</c:v>
                </c:pt>
                <c:pt idx="198">
                  <c:v>-23328.697807033037</c:v>
                </c:pt>
                <c:pt idx="199">
                  <c:v>-23309.315014597611</c:v>
                </c:pt>
                <c:pt idx="200">
                  <c:v>-23288.924172750681</c:v>
                </c:pt>
                <c:pt idx="201">
                  <c:v>-23267.531492740207</c:v>
                </c:pt>
                <c:pt idx="202">
                  <c:v>-23245.143490983755</c:v>
                </c:pt>
                <c:pt idx="203">
                  <c:v>-23221.766987083542</c:v>
                </c:pt>
                <c:pt idx="204">
                  <c:v>-23197.409101749105</c:v>
                </c:pt>
                <c:pt idx="205">
                  <c:v>-23172.077254628275</c:v>
                </c:pt>
                <c:pt idx="206">
                  <c:v>-23145.779162047085</c:v>
                </c:pt>
                <c:pt idx="207">
                  <c:v>-23118.522834659288</c:v>
                </c:pt>
                <c:pt idx="208">
                  <c:v>-23090.316575006244</c:v>
                </c:pt>
                <c:pt idx="209">
                  <c:v>-23061.168974987886</c:v>
                </c:pt>
                <c:pt idx="210">
                  <c:v>-23031.088913245534</c:v>
                </c:pt>
                <c:pt idx="211">
                  <c:v>-23000.085552457393</c:v>
                </c:pt>
                <c:pt idx="212">
                  <c:v>-22968.168336547493</c:v>
                </c:pt>
                <c:pt idx="213">
                  <c:v>-22935.346987808985</c:v>
                </c:pt>
                <c:pt idx="214">
                  <c:v>-22901.631503942648</c:v>
                </c:pt>
                <c:pt idx="215">
                  <c:v>-22867.032155011471</c:v>
                </c:pt>
                <c:pt idx="216">
                  <c:v>-22831.559480312317</c:v>
                </c:pt>
                <c:pt idx="217">
                  <c:v>-22795.224285165525</c:v>
                </c:pt>
                <c:pt idx="218">
                  <c:v>-22758.037637623529</c:v>
                </c:pt>
                <c:pt idx="219">
                  <c:v>-22720.010865099397</c:v>
                </c:pt>
                <c:pt idx="220">
                  <c:v>-22681.155550916425</c:v>
                </c:pt>
                <c:pt idx="221">
                  <c:v>-22641.4835307797</c:v>
                </c:pt>
                <c:pt idx="222">
                  <c:v>-22601.00688917088</c:v>
                </c:pt>
                <c:pt idx="223">
                  <c:v>-22559.737955667097</c:v>
                </c:pt>
                <c:pt idx="224">
                  <c:v>-22517.689301185281</c:v>
                </c:pt>
                <c:pt idx="225">
                  <c:v>-22474.873734152916</c:v>
                </c:pt>
                <c:pt idx="226">
                  <c:v>-22431.30429660649</c:v>
                </c:pt>
                <c:pt idx="227">
                  <c:v>-22386.994260218748</c:v>
                </c:pt>
                <c:pt idx="228">
                  <c:v>-22341.957122256004</c:v>
                </c:pt>
                <c:pt idx="229">
                  <c:v>-22296.206601466776</c:v>
                </c:pt>
                <c:pt idx="230">
                  <c:v>-22249.756633902889</c:v>
                </c:pt>
                <c:pt idx="231">
                  <c:v>-22202.62136867443</c:v>
                </c:pt>
                <c:pt idx="232">
                  <c:v>-22154.815163639803</c:v>
                </c:pt>
                <c:pt idx="233">
                  <c:v>-22106.35258103217</c:v>
                </c:pt>
                <c:pt idx="234">
                  <c:v>-22057.248383023656</c:v>
                </c:pt>
                <c:pt idx="235">
                  <c:v>-22007.517527228661</c:v>
                </c:pt>
                <c:pt idx="236">
                  <c:v>-21957.175162147614</c:v>
                </c:pt>
                <c:pt idx="237">
                  <c:v>-21906.236622552595</c:v>
                </c:pt>
                <c:pt idx="238">
                  <c:v>-21854.717424816219</c:v>
                </c:pt>
                <c:pt idx="239">
                  <c:v>-21802.633262185191</c:v>
                </c:pt>
                <c:pt idx="240">
                  <c:v>-21750</c:v>
                </c:pt>
                <c:pt idx="241">
                  <c:v>-21696.833670862179</c:v>
                </c:pt>
                <c:pt idx="242">
                  <c:v>-21643.150469750617</c:v>
                </c:pt>
                <c:pt idx="243">
                  <c:v>-21588.966749088413</c:v>
                </c:pt>
                <c:pt idx="244">
                  <c:v>-21534.299013761771</c:v>
                </c:pt>
                <c:pt idx="245">
                  <c:v>-21479.16391609245</c:v>
                </c:pt>
                <c:pt idx="246">
                  <c:v>-21423.578250765298</c:v>
                </c:pt>
                <c:pt idx="247">
                  <c:v>-21367.55894971246</c:v>
                </c:pt>
                <c:pt idx="248">
                  <c:v>-21311.123076955693</c:v>
                </c:pt>
                <c:pt idx="249">
                  <c:v>-21254.287823408551</c:v>
                </c:pt>
                <c:pt idx="250">
                  <c:v>-21197.070501639842</c:v>
                </c:pt>
                <c:pt idx="251">
                  <c:v>-21139.488540600047</c:v>
                </c:pt>
                <c:pt idx="252">
                  <c:v>-21081.559480312317</c:v>
                </c:pt>
                <c:pt idx="253">
                  <c:v>-21023.300966529579</c:v>
                </c:pt>
                <c:pt idx="254">
                  <c:v>-20964.730745359495</c:v>
                </c:pt>
                <c:pt idx="255">
                  <c:v>-20905.866657858824</c:v>
                </c:pt>
                <c:pt idx="256">
                  <c:v>-20846.726634598836</c:v>
                </c:pt>
                <c:pt idx="257">
                  <c:v>-20787.328690203529</c:v>
                </c:pt>
                <c:pt idx="258">
                  <c:v>-20727.690917862161</c:v>
                </c:pt>
                <c:pt idx="259">
                  <c:v>-20667.83148381791</c:v>
                </c:pt>
                <c:pt idx="260">
                  <c:v>-20607.768621834257</c:v>
                </c:pt>
                <c:pt idx="261">
                  <c:v>-20547.52062764081</c:v>
                </c:pt>
                <c:pt idx="262">
                  <c:v>-20487.105853360226</c:v>
                </c:pt>
                <c:pt idx="263">
                  <c:v>-20426.542701918013</c:v>
                </c:pt>
                <c:pt idx="264">
                  <c:v>-20365.849621436788</c:v>
                </c:pt>
                <c:pt idx="265">
                  <c:v>-20305.045099616804</c:v>
                </c:pt>
                <c:pt idx="266">
                  <c:v>-20244.147658104441</c:v>
                </c:pt>
                <c:pt idx="267">
                  <c:v>-20183.175846850307</c:v>
                </c:pt>
                <c:pt idx="268">
                  <c:v>-20122.148238458754</c:v>
                </c:pt>
                <c:pt idx="269">
                  <c:v>-20061.083422530493</c:v>
                </c:pt>
                <c:pt idx="270">
                  <c:v>-20000</c:v>
                </c:pt>
                <c:pt idx="271">
                  <c:v>-19938.91657746951</c:v>
                </c:pt>
                <c:pt idx="272">
                  <c:v>-19877.851761541246</c:v>
                </c:pt>
                <c:pt idx="273">
                  <c:v>-19816.824153149697</c:v>
                </c:pt>
                <c:pt idx="274">
                  <c:v>-19755.852341895563</c:v>
                </c:pt>
                <c:pt idx="275">
                  <c:v>-19694.954900383196</c:v>
                </c:pt>
                <c:pt idx="276">
                  <c:v>-19634.150378563216</c:v>
                </c:pt>
                <c:pt idx="277">
                  <c:v>-19573.457298081983</c:v>
                </c:pt>
                <c:pt idx="278">
                  <c:v>-19512.89414663977</c:v>
                </c:pt>
                <c:pt idx="279">
                  <c:v>-19452.479372359194</c:v>
                </c:pt>
                <c:pt idx="280">
                  <c:v>-19392.231378165747</c:v>
                </c:pt>
                <c:pt idx="281">
                  <c:v>-19332.168516182093</c:v>
                </c:pt>
                <c:pt idx="282">
                  <c:v>-19272.309082137846</c:v>
                </c:pt>
                <c:pt idx="283">
                  <c:v>-19212.671309796471</c:v>
                </c:pt>
                <c:pt idx="284">
                  <c:v>-19153.273365401164</c:v>
                </c:pt>
                <c:pt idx="285">
                  <c:v>-19094.133342141176</c:v>
                </c:pt>
                <c:pt idx="286">
                  <c:v>-19035.269254640501</c:v>
                </c:pt>
                <c:pt idx="287">
                  <c:v>-18976.699033470421</c:v>
                </c:pt>
                <c:pt idx="288">
                  <c:v>-18918.440519687683</c:v>
                </c:pt>
                <c:pt idx="289">
                  <c:v>-18860.511459399953</c:v>
                </c:pt>
                <c:pt idx="290">
                  <c:v>-18802.929498360161</c:v>
                </c:pt>
                <c:pt idx="291">
                  <c:v>-18745.712176591453</c:v>
                </c:pt>
                <c:pt idx="292">
                  <c:v>-18688.876923044307</c:v>
                </c:pt>
                <c:pt idx="293">
                  <c:v>-18632.441050287543</c:v>
                </c:pt>
                <c:pt idx="294">
                  <c:v>-18576.421749234698</c:v>
                </c:pt>
                <c:pt idx="295">
                  <c:v>-18520.83608390755</c:v>
                </c:pt>
                <c:pt idx="296">
                  <c:v>-18465.700986238229</c:v>
                </c:pt>
                <c:pt idx="297">
                  <c:v>-18411.033250911587</c:v>
                </c:pt>
                <c:pt idx="298">
                  <c:v>-18356.849530249383</c:v>
                </c:pt>
                <c:pt idx="299">
                  <c:v>-18303.166329137821</c:v>
                </c:pt>
                <c:pt idx="300">
                  <c:v>-18250</c:v>
                </c:pt>
                <c:pt idx="301">
                  <c:v>-18197.366737814809</c:v>
                </c:pt>
                <c:pt idx="302">
                  <c:v>-18145.282575183785</c:v>
                </c:pt>
                <c:pt idx="303">
                  <c:v>-18093.763377447405</c:v>
                </c:pt>
                <c:pt idx="304">
                  <c:v>-18042.824837852389</c:v>
                </c:pt>
                <c:pt idx="305">
                  <c:v>-17992.482472771339</c:v>
                </c:pt>
                <c:pt idx="306">
                  <c:v>-17942.751616976344</c:v>
                </c:pt>
                <c:pt idx="307">
                  <c:v>-17893.647418967834</c:v>
                </c:pt>
                <c:pt idx="308">
                  <c:v>-17845.184836360197</c:v>
                </c:pt>
                <c:pt idx="309">
                  <c:v>-17797.37863132557</c:v>
                </c:pt>
                <c:pt idx="310">
                  <c:v>-17750.243366097115</c:v>
                </c:pt>
                <c:pt idx="311">
                  <c:v>-17703.793398533224</c:v>
                </c:pt>
                <c:pt idx="312">
                  <c:v>-17658.042877743999</c:v>
                </c:pt>
                <c:pt idx="313">
                  <c:v>-17613.005739781256</c:v>
                </c:pt>
                <c:pt idx="314">
                  <c:v>-17568.69570339351</c:v>
                </c:pt>
                <c:pt idx="315">
                  <c:v>-17525.126265847084</c:v>
                </c:pt>
                <c:pt idx="316">
                  <c:v>-17482.310698814723</c:v>
                </c:pt>
                <c:pt idx="317">
                  <c:v>-17440.262044332903</c:v>
                </c:pt>
                <c:pt idx="318">
                  <c:v>-17398.99311082912</c:v>
                </c:pt>
                <c:pt idx="319">
                  <c:v>-17358.5164692203</c:v>
                </c:pt>
                <c:pt idx="320">
                  <c:v>-17318.844449083579</c:v>
                </c:pt>
                <c:pt idx="321">
                  <c:v>-17279.989134900603</c:v>
                </c:pt>
                <c:pt idx="322">
                  <c:v>-17241.962362376475</c:v>
                </c:pt>
                <c:pt idx="323">
                  <c:v>-17204.775714834475</c:v>
                </c:pt>
                <c:pt idx="324">
                  <c:v>-17168.440519687683</c:v>
                </c:pt>
                <c:pt idx="325">
                  <c:v>-17132.967844988529</c:v>
                </c:pt>
                <c:pt idx="326">
                  <c:v>-17098.368496057356</c:v>
                </c:pt>
                <c:pt idx="327">
                  <c:v>-17064.653012191015</c:v>
                </c:pt>
                <c:pt idx="328">
                  <c:v>-17031.831663452511</c:v>
                </c:pt>
                <c:pt idx="329">
                  <c:v>-16999.914447542607</c:v>
                </c:pt>
                <c:pt idx="330">
                  <c:v>-16968.911086754466</c:v>
                </c:pt>
                <c:pt idx="331">
                  <c:v>-16938.831025012114</c:v>
                </c:pt>
                <c:pt idx="332">
                  <c:v>-16909.683424993756</c:v>
                </c:pt>
                <c:pt idx="333">
                  <c:v>-16881.477165340712</c:v>
                </c:pt>
                <c:pt idx="334">
                  <c:v>-16854.220837952915</c:v>
                </c:pt>
                <c:pt idx="335">
                  <c:v>-16827.922745371725</c:v>
                </c:pt>
                <c:pt idx="336">
                  <c:v>-16802.590898250895</c:v>
                </c:pt>
                <c:pt idx="337">
                  <c:v>-16778.233012916462</c:v>
                </c:pt>
                <c:pt idx="338">
                  <c:v>-16754.856509016245</c:v>
                </c:pt>
                <c:pt idx="339">
                  <c:v>-16732.468507259793</c:v>
                </c:pt>
                <c:pt idx="340">
                  <c:v>-16711.075827249319</c:v>
                </c:pt>
                <c:pt idx="341">
                  <c:v>-16690.684985402393</c:v>
                </c:pt>
                <c:pt idx="342">
                  <c:v>-16671.302192966963</c:v>
                </c:pt>
                <c:pt idx="343">
                  <c:v>-16652.933354129374</c:v>
                </c:pt>
                <c:pt idx="344">
                  <c:v>-16635.584064215884</c:v>
                </c:pt>
                <c:pt idx="345">
                  <c:v>-16619.259607988261</c:v>
                </c:pt>
                <c:pt idx="346">
                  <c:v>-16603.964958034012</c:v>
                </c:pt>
                <c:pt idx="347">
                  <c:v>-16589.704773251677</c:v>
                </c:pt>
                <c:pt idx="348">
                  <c:v>-16576.483397431679</c:v>
                </c:pt>
                <c:pt idx="349">
                  <c:v>-16564.304857933177</c:v>
                </c:pt>
                <c:pt idx="350">
                  <c:v>-16553.172864457272</c:v>
                </c:pt>
                <c:pt idx="351">
                  <c:v>-16543.090807917019</c:v>
                </c:pt>
                <c:pt idx="352">
                  <c:v>-16534.061759404503</c:v>
                </c:pt>
                <c:pt idx="353">
                  <c:v>-16526.088469255374</c:v>
                </c:pt>
                <c:pt idx="354">
                  <c:v>-16519.173366211042</c:v>
                </c:pt>
                <c:pt idx="355">
                  <c:v>-16513.318556678889</c:v>
                </c:pt>
                <c:pt idx="356">
                  <c:v>-16508.525824090615</c:v>
                </c:pt>
                <c:pt idx="357">
                  <c:v>-16504.796628358992</c:v>
                </c:pt>
                <c:pt idx="358">
                  <c:v>-16502.132105433164</c:v>
                </c:pt>
                <c:pt idx="359">
                  <c:v>-16500.53306695263</c:v>
                </c:pt>
                <c:pt idx="360">
                  <c:v>-16500</c:v>
                </c:pt>
              </c:numCache>
            </c:numRef>
          </c:xVal>
          <c:yVal>
            <c:numRef>
              <c:f>'Conditions initiales'!$AB$43:$AB$403</c:f>
              <c:numCache>
                <c:formatCode>General</c:formatCode>
                <c:ptCount val="361"/>
                <c:pt idx="0">
                  <c:v>10000</c:v>
                </c:pt>
                <c:pt idx="1">
                  <c:v>10061.083422530492</c:v>
                </c:pt>
                <c:pt idx="2">
                  <c:v>10122.148238458753</c:v>
                </c:pt>
                <c:pt idx="3">
                  <c:v>10183.175846850303</c:v>
                </c:pt>
                <c:pt idx="4">
                  <c:v>10244.147658104439</c:v>
                </c:pt>
                <c:pt idx="5">
                  <c:v>10305.045099616804</c:v>
                </c:pt>
                <c:pt idx="6">
                  <c:v>10365.849621436788</c:v>
                </c:pt>
                <c:pt idx="7">
                  <c:v>10426.542701918017</c:v>
                </c:pt>
                <c:pt idx="8">
                  <c:v>10487.10585336023</c:v>
                </c:pt>
                <c:pt idx="9">
                  <c:v>10547.520627640808</c:v>
                </c:pt>
                <c:pt idx="10">
                  <c:v>10607.768621834257</c:v>
                </c:pt>
                <c:pt idx="11">
                  <c:v>10667.831483817907</c:v>
                </c:pt>
                <c:pt idx="12">
                  <c:v>10727.690917862157</c:v>
                </c:pt>
                <c:pt idx="13">
                  <c:v>10787.328690203527</c:v>
                </c:pt>
                <c:pt idx="14">
                  <c:v>10846.726634598837</c:v>
                </c:pt>
                <c:pt idx="15">
                  <c:v>10905.866657858822</c:v>
                </c:pt>
                <c:pt idx="16">
                  <c:v>10964.730745359497</c:v>
                </c:pt>
                <c:pt idx="17">
                  <c:v>11023.300966529579</c:v>
                </c:pt>
                <c:pt idx="18">
                  <c:v>11081.559480312317</c:v>
                </c:pt>
                <c:pt idx="19">
                  <c:v>11139.488540600049</c:v>
                </c:pt>
                <c:pt idx="20">
                  <c:v>11197.070501639841</c:v>
                </c:pt>
                <c:pt idx="21">
                  <c:v>11254.287823408551</c:v>
                </c:pt>
                <c:pt idx="22">
                  <c:v>11311.123076955691</c:v>
                </c:pt>
                <c:pt idx="23">
                  <c:v>11367.558949712458</c:v>
                </c:pt>
                <c:pt idx="24">
                  <c:v>11423.5782507653</c:v>
                </c:pt>
                <c:pt idx="25">
                  <c:v>11479.163916092448</c:v>
                </c:pt>
                <c:pt idx="26">
                  <c:v>11534.299013761771</c:v>
                </c:pt>
                <c:pt idx="27">
                  <c:v>11588.966749088413</c:v>
                </c:pt>
                <c:pt idx="28">
                  <c:v>11643.150469750617</c:v>
                </c:pt>
                <c:pt idx="29">
                  <c:v>11696.833670862179</c:v>
                </c:pt>
                <c:pt idx="30">
                  <c:v>11750</c:v>
                </c:pt>
                <c:pt idx="31">
                  <c:v>11802.633262185189</c:v>
                </c:pt>
                <c:pt idx="32">
                  <c:v>11854.717424816217</c:v>
                </c:pt>
                <c:pt idx="33">
                  <c:v>11906.236622552595</c:v>
                </c:pt>
                <c:pt idx="34">
                  <c:v>11957.175162147614</c:v>
                </c:pt>
                <c:pt idx="35">
                  <c:v>12007.517527228661</c:v>
                </c:pt>
                <c:pt idx="36">
                  <c:v>12057.248383023656</c:v>
                </c:pt>
                <c:pt idx="37">
                  <c:v>12106.35258103217</c:v>
                </c:pt>
                <c:pt idx="38">
                  <c:v>12154.815163639803</c:v>
                </c:pt>
                <c:pt idx="39">
                  <c:v>12202.62136867443</c:v>
                </c:pt>
                <c:pt idx="40">
                  <c:v>12249.756633902887</c:v>
                </c:pt>
                <c:pt idx="41">
                  <c:v>12296.206601466776</c:v>
                </c:pt>
                <c:pt idx="42">
                  <c:v>12341.957122256004</c:v>
                </c:pt>
                <c:pt idx="43">
                  <c:v>12386.994260218744</c:v>
                </c:pt>
                <c:pt idx="44">
                  <c:v>12431.30429660649</c:v>
                </c:pt>
                <c:pt idx="45">
                  <c:v>12474.873734152916</c:v>
                </c:pt>
                <c:pt idx="46">
                  <c:v>12517.689301185279</c:v>
                </c:pt>
                <c:pt idx="47">
                  <c:v>12559.737955667097</c:v>
                </c:pt>
                <c:pt idx="48">
                  <c:v>12601.00688917088</c:v>
                </c:pt>
                <c:pt idx="49">
                  <c:v>12641.483530779702</c:v>
                </c:pt>
                <c:pt idx="50">
                  <c:v>12681.155550916423</c:v>
                </c:pt>
                <c:pt idx="51">
                  <c:v>12720.010865099397</c:v>
                </c:pt>
                <c:pt idx="52">
                  <c:v>12758.037637623527</c:v>
                </c:pt>
                <c:pt idx="53">
                  <c:v>12795.224285165525</c:v>
                </c:pt>
                <c:pt idx="54">
                  <c:v>12831.559480312317</c:v>
                </c:pt>
                <c:pt idx="55">
                  <c:v>12867.032155011471</c:v>
                </c:pt>
                <c:pt idx="56">
                  <c:v>12901.631503942646</c:v>
                </c:pt>
                <c:pt idx="57">
                  <c:v>12935.346987808984</c:v>
                </c:pt>
                <c:pt idx="58">
                  <c:v>12968.168336547491</c:v>
                </c:pt>
                <c:pt idx="59">
                  <c:v>13000.085552457393</c:v>
                </c:pt>
                <c:pt idx="60">
                  <c:v>13031.088913245534</c:v>
                </c:pt>
                <c:pt idx="61">
                  <c:v>13061.168974987886</c:v>
                </c:pt>
                <c:pt idx="62">
                  <c:v>13090.316575006244</c:v>
                </c:pt>
                <c:pt idx="63">
                  <c:v>13118.522834659287</c:v>
                </c:pt>
                <c:pt idx="64">
                  <c:v>13145.779162047085</c:v>
                </c:pt>
                <c:pt idx="65">
                  <c:v>13172.077254628275</c:v>
                </c:pt>
                <c:pt idx="66">
                  <c:v>13197.409101749103</c:v>
                </c:pt>
                <c:pt idx="67">
                  <c:v>13221.766987083542</c:v>
                </c:pt>
                <c:pt idx="68">
                  <c:v>13245.143490983755</c:v>
                </c:pt>
                <c:pt idx="69">
                  <c:v>13267.531492740207</c:v>
                </c:pt>
                <c:pt idx="70">
                  <c:v>13288.92417275068</c:v>
                </c:pt>
                <c:pt idx="71">
                  <c:v>13309.315014597609</c:v>
                </c:pt>
                <c:pt idx="72">
                  <c:v>13328.697807033037</c:v>
                </c:pt>
                <c:pt idx="73">
                  <c:v>13347.066645870624</c:v>
                </c:pt>
                <c:pt idx="74">
                  <c:v>13364.415935784116</c:v>
                </c:pt>
                <c:pt idx="75">
                  <c:v>13380.740392011739</c:v>
                </c:pt>
                <c:pt idx="76">
                  <c:v>13396.035041965988</c:v>
                </c:pt>
                <c:pt idx="77">
                  <c:v>13410.295226748323</c:v>
                </c:pt>
                <c:pt idx="78">
                  <c:v>13423.516602568319</c:v>
                </c:pt>
                <c:pt idx="79">
                  <c:v>13435.695142066823</c:v>
                </c:pt>
                <c:pt idx="80">
                  <c:v>13446.827135542728</c:v>
                </c:pt>
                <c:pt idx="81">
                  <c:v>13456.909192082981</c:v>
                </c:pt>
                <c:pt idx="82">
                  <c:v>13465.938240595497</c:v>
                </c:pt>
                <c:pt idx="83">
                  <c:v>13473.911530744626</c:v>
                </c:pt>
                <c:pt idx="84">
                  <c:v>13480.826633788956</c:v>
                </c:pt>
                <c:pt idx="85">
                  <c:v>13486.681443321109</c:v>
                </c:pt>
                <c:pt idx="86">
                  <c:v>13491.474175909385</c:v>
                </c:pt>
                <c:pt idx="87">
                  <c:v>13495.203371641008</c:v>
                </c:pt>
                <c:pt idx="88">
                  <c:v>13497.867894566836</c:v>
                </c:pt>
                <c:pt idx="89">
                  <c:v>13499.46693304737</c:v>
                </c:pt>
                <c:pt idx="90">
                  <c:v>13500</c:v>
                </c:pt>
                <c:pt idx="91">
                  <c:v>13499.46693304737</c:v>
                </c:pt>
                <c:pt idx="92">
                  <c:v>13497.867894566836</c:v>
                </c:pt>
                <c:pt idx="93">
                  <c:v>13495.203371641008</c:v>
                </c:pt>
                <c:pt idx="94">
                  <c:v>13491.474175909385</c:v>
                </c:pt>
                <c:pt idx="95">
                  <c:v>13486.681443321109</c:v>
                </c:pt>
                <c:pt idx="96">
                  <c:v>13480.826633788956</c:v>
                </c:pt>
                <c:pt idx="97">
                  <c:v>13473.911530744626</c:v>
                </c:pt>
                <c:pt idx="98">
                  <c:v>13465.938240595497</c:v>
                </c:pt>
                <c:pt idx="99">
                  <c:v>13456.909192082981</c:v>
                </c:pt>
                <c:pt idx="100">
                  <c:v>13446.827135542728</c:v>
                </c:pt>
                <c:pt idx="101">
                  <c:v>13435.695142066823</c:v>
                </c:pt>
                <c:pt idx="102">
                  <c:v>13423.516602568319</c:v>
                </c:pt>
                <c:pt idx="103">
                  <c:v>13410.295226748323</c:v>
                </c:pt>
                <c:pt idx="104">
                  <c:v>13396.035041965988</c:v>
                </c:pt>
                <c:pt idx="105">
                  <c:v>13380.740392011739</c:v>
                </c:pt>
                <c:pt idx="106">
                  <c:v>13364.415935784116</c:v>
                </c:pt>
                <c:pt idx="107">
                  <c:v>13347.066645870626</c:v>
                </c:pt>
                <c:pt idx="108">
                  <c:v>13328.697807033037</c:v>
                </c:pt>
                <c:pt idx="109">
                  <c:v>13309.315014597609</c:v>
                </c:pt>
                <c:pt idx="110">
                  <c:v>13288.92417275068</c:v>
                </c:pt>
                <c:pt idx="111">
                  <c:v>13267.531492740207</c:v>
                </c:pt>
                <c:pt idx="112">
                  <c:v>13245.143490983755</c:v>
                </c:pt>
                <c:pt idx="113">
                  <c:v>13221.766987083542</c:v>
                </c:pt>
                <c:pt idx="114">
                  <c:v>13197.409101749103</c:v>
                </c:pt>
                <c:pt idx="115">
                  <c:v>13172.077254628275</c:v>
                </c:pt>
                <c:pt idx="116">
                  <c:v>13145.779162047085</c:v>
                </c:pt>
                <c:pt idx="117">
                  <c:v>13118.522834659288</c:v>
                </c:pt>
                <c:pt idx="118">
                  <c:v>13090.316575006245</c:v>
                </c:pt>
                <c:pt idx="119">
                  <c:v>13061.168974987886</c:v>
                </c:pt>
                <c:pt idx="120">
                  <c:v>13031.088913245536</c:v>
                </c:pt>
                <c:pt idx="121">
                  <c:v>13000.085552457393</c:v>
                </c:pt>
                <c:pt idx="122">
                  <c:v>12968.168336547491</c:v>
                </c:pt>
                <c:pt idx="123">
                  <c:v>12935.346987808984</c:v>
                </c:pt>
                <c:pt idx="124">
                  <c:v>12901.631503942646</c:v>
                </c:pt>
                <c:pt idx="125">
                  <c:v>12867.032155011471</c:v>
                </c:pt>
                <c:pt idx="126">
                  <c:v>12831.559480312317</c:v>
                </c:pt>
                <c:pt idx="127">
                  <c:v>12795.224285165525</c:v>
                </c:pt>
                <c:pt idx="128">
                  <c:v>12758.037637623527</c:v>
                </c:pt>
                <c:pt idx="129">
                  <c:v>12720.010865099399</c:v>
                </c:pt>
                <c:pt idx="130">
                  <c:v>12681.155550916423</c:v>
                </c:pt>
                <c:pt idx="131">
                  <c:v>12641.4835307797</c:v>
                </c:pt>
                <c:pt idx="132">
                  <c:v>12601.00688917088</c:v>
                </c:pt>
                <c:pt idx="133">
                  <c:v>12559.737955667097</c:v>
                </c:pt>
                <c:pt idx="134">
                  <c:v>12517.689301185281</c:v>
                </c:pt>
                <c:pt idx="135">
                  <c:v>12474.873734152916</c:v>
                </c:pt>
                <c:pt idx="136">
                  <c:v>12431.30429660649</c:v>
                </c:pt>
                <c:pt idx="137">
                  <c:v>12386.994260218746</c:v>
                </c:pt>
                <c:pt idx="138">
                  <c:v>12341.957122256004</c:v>
                </c:pt>
                <c:pt idx="139">
                  <c:v>12296.206601466776</c:v>
                </c:pt>
                <c:pt idx="140">
                  <c:v>12249.756633902889</c:v>
                </c:pt>
                <c:pt idx="141">
                  <c:v>12202.621368674432</c:v>
                </c:pt>
                <c:pt idx="142">
                  <c:v>12154.815163639803</c:v>
                </c:pt>
                <c:pt idx="143">
                  <c:v>12106.352581032168</c:v>
                </c:pt>
                <c:pt idx="144">
                  <c:v>12057.248383023656</c:v>
                </c:pt>
                <c:pt idx="145">
                  <c:v>12007.517527228661</c:v>
                </c:pt>
                <c:pt idx="146">
                  <c:v>11957.175162147614</c:v>
                </c:pt>
                <c:pt idx="147">
                  <c:v>11906.236622552595</c:v>
                </c:pt>
                <c:pt idx="148">
                  <c:v>11854.717424816217</c:v>
                </c:pt>
                <c:pt idx="149">
                  <c:v>11802.633262185191</c:v>
                </c:pt>
                <c:pt idx="150">
                  <c:v>11750</c:v>
                </c:pt>
                <c:pt idx="151">
                  <c:v>11696.833670862179</c:v>
                </c:pt>
                <c:pt idx="152">
                  <c:v>11643.150469750619</c:v>
                </c:pt>
                <c:pt idx="153">
                  <c:v>11588.966749088413</c:v>
                </c:pt>
                <c:pt idx="154">
                  <c:v>11534.299013761771</c:v>
                </c:pt>
                <c:pt idx="155">
                  <c:v>11479.163916092448</c:v>
                </c:pt>
                <c:pt idx="156">
                  <c:v>11423.578250765302</c:v>
                </c:pt>
                <c:pt idx="157">
                  <c:v>11367.55894971246</c:v>
                </c:pt>
                <c:pt idx="158">
                  <c:v>11311.123076955693</c:v>
                </c:pt>
                <c:pt idx="159">
                  <c:v>11254.287823408551</c:v>
                </c:pt>
                <c:pt idx="160">
                  <c:v>11197.070501639841</c:v>
                </c:pt>
                <c:pt idx="161">
                  <c:v>11139.48854060005</c:v>
                </c:pt>
                <c:pt idx="162">
                  <c:v>11081.559480312317</c:v>
                </c:pt>
                <c:pt idx="163">
                  <c:v>11023.300966529579</c:v>
                </c:pt>
                <c:pt idx="164">
                  <c:v>10964.730745359499</c:v>
                </c:pt>
                <c:pt idx="165">
                  <c:v>10905.866657858824</c:v>
                </c:pt>
                <c:pt idx="166">
                  <c:v>10846.726634598837</c:v>
                </c:pt>
                <c:pt idx="167">
                  <c:v>10787.328690203527</c:v>
                </c:pt>
                <c:pt idx="168">
                  <c:v>10727.690917862157</c:v>
                </c:pt>
                <c:pt idx="169">
                  <c:v>10667.831483817907</c:v>
                </c:pt>
                <c:pt idx="170">
                  <c:v>10607.768621834257</c:v>
                </c:pt>
                <c:pt idx="171">
                  <c:v>10547.520627640808</c:v>
                </c:pt>
                <c:pt idx="172">
                  <c:v>10487.10585336023</c:v>
                </c:pt>
                <c:pt idx="173">
                  <c:v>10426.542701918017</c:v>
                </c:pt>
                <c:pt idx="174">
                  <c:v>10365.849621436788</c:v>
                </c:pt>
                <c:pt idx="175">
                  <c:v>10305.045099616806</c:v>
                </c:pt>
                <c:pt idx="176">
                  <c:v>10244.147658104439</c:v>
                </c:pt>
                <c:pt idx="177">
                  <c:v>10183.175846850303</c:v>
                </c:pt>
                <c:pt idx="178">
                  <c:v>10122.148238458753</c:v>
                </c:pt>
                <c:pt idx="179">
                  <c:v>10061.083422530492</c:v>
                </c:pt>
                <c:pt idx="180">
                  <c:v>10000</c:v>
                </c:pt>
                <c:pt idx="181">
                  <c:v>9938.9165774695084</c:v>
                </c:pt>
                <c:pt idx="182">
                  <c:v>9877.8517615412475</c:v>
                </c:pt>
                <c:pt idx="183">
                  <c:v>9816.8241531496969</c:v>
                </c:pt>
                <c:pt idx="184">
                  <c:v>9755.8523418955629</c:v>
                </c:pt>
                <c:pt idx="185">
                  <c:v>9694.954900383198</c:v>
                </c:pt>
                <c:pt idx="186">
                  <c:v>9634.150378563214</c:v>
                </c:pt>
                <c:pt idx="187">
                  <c:v>9573.457298081983</c:v>
                </c:pt>
                <c:pt idx="188">
                  <c:v>9512.89414663977</c:v>
                </c:pt>
                <c:pt idx="189">
                  <c:v>9452.479372359192</c:v>
                </c:pt>
                <c:pt idx="190">
                  <c:v>9392.2313781657431</c:v>
                </c:pt>
                <c:pt idx="191">
                  <c:v>9332.1685161820933</c:v>
                </c:pt>
                <c:pt idx="192">
                  <c:v>9272.3090821378428</c:v>
                </c:pt>
                <c:pt idx="193">
                  <c:v>9212.671309796473</c:v>
                </c:pt>
                <c:pt idx="194">
                  <c:v>9153.2733654011645</c:v>
                </c:pt>
                <c:pt idx="195">
                  <c:v>9094.1333421411782</c:v>
                </c:pt>
                <c:pt idx="196">
                  <c:v>9035.2692546405033</c:v>
                </c:pt>
                <c:pt idx="197">
                  <c:v>8976.6990334704224</c:v>
                </c:pt>
                <c:pt idx="198">
                  <c:v>8918.4405196876833</c:v>
                </c:pt>
                <c:pt idx="199">
                  <c:v>8860.5114593999515</c:v>
                </c:pt>
                <c:pt idx="200">
                  <c:v>8802.9294983601594</c:v>
                </c:pt>
                <c:pt idx="201">
                  <c:v>8745.712176591449</c:v>
                </c:pt>
                <c:pt idx="202">
                  <c:v>8688.8769230443086</c:v>
                </c:pt>
                <c:pt idx="203">
                  <c:v>8632.4410502875435</c:v>
                </c:pt>
                <c:pt idx="204">
                  <c:v>8576.4217492347016</c:v>
                </c:pt>
                <c:pt idx="205">
                  <c:v>8520.8360839075522</c:v>
                </c:pt>
                <c:pt idx="206">
                  <c:v>8465.7009862382292</c:v>
                </c:pt>
                <c:pt idx="207">
                  <c:v>8411.0332509115888</c:v>
                </c:pt>
                <c:pt idx="208">
                  <c:v>8356.849530249383</c:v>
                </c:pt>
                <c:pt idx="209">
                  <c:v>8303.1663291378209</c:v>
                </c:pt>
                <c:pt idx="210">
                  <c:v>8250</c:v>
                </c:pt>
                <c:pt idx="211">
                  <c:v>8197.3667378148111</c:v>
                </c:pt>
                <c:pt idx="212">
                  <c:v>8145.2825751837827</c:v>
                </c:pt>
                <c:pt idx="213">
                  <c:v>8093.7633774474052</c:v>
                </c:pt>
                <c:pt idx="214">
                  <c:v>8042.8248378523867</c:v>
                </c:pt>
                <c:pt idx="215">
                  <c:v>7992.4824727713394</c:v>
                </c:pt>
                <c:pt idx="216">
                  <c:v>7942.7516169763439</c:v>
                </c:pt>
                <c:pt idx="217">
                  <c:v>7893.647418967832</c:v>
                </c:pt>
                <c:pt idx="218">
                  <c:v>7845.1848363601976</c:v>
                </c:pt>
                <c:pt idx="219">
                  <c:v>7797.3786313255678</c:v>
                </c:pt>
                <c:pt idx="220">
                  <c:v>7750.2433660971128</c:v>
                </c:pt>
                <c:pt idx="221">
                  <c:v>7703.7933985332238</c:v>
                </c:pt>
                <c:pt idx="222">
                  <c:v>7658.0428777439956</c:v>
                </c:pt>
                <c:pt idx="223">
                  <c:v>7613.0057397812561</c:v>
                </c:pt>
                <c:pt idx="224">
                  <c:v>7568.6957033935087</c:v>
                </c:pt>
                <c:pt idx="225">
                  <c:v>7525.1262658470841</c:v>
                </c:pt>
                <c:pt idx="226">
                  <c:v>7482.3106988147219</c:v>
                </c:pt>
                <c:pt idx="227">
                  <c:v>7440.2620443329051</c:v>
                </c:pt>
                <c:pt idx="228">
                  <c:v>7398.9931108291203</c:v>
                </c:pt>
                <c:pt idx="229">
                  <c:v>7358.5164692202998</c:v>
                </c:pt>
                <c:pt idx="230">
                  <c:v>7318.8444490835773</c:v>
                </c:pt>
                <c:pt idx="231">
                  <c:v>7279.9891349006011</c:v>
                </c:pt>
                <c:pt idx="232">
                  <c:v>7241.9623623764728</c:v>
                </c:pt>
                <c:pt idx="233">
                  <c:v>7204.7757148344754</c:v>
                </c:pt>
                <c:pt idx="234">
                  <c:v>7168.4405196876842</c:v>
                </c:pt>
                <c:pt idx="235">
                  <c:v>7132.9678449885296</c:v>
                </c:pt>
                <c:pt idx="236">
                  <c:v>7098.3684960573555</c:v>
                </c:pt>
                <c:pt idx="237">
                  <c:v>7064.6530121910164</c:v>
                </c:pt>
                <c:pt idx="238">
                  <c:v>7031.831663452509</c:v>
                </c:pt>
                <c:pt idx="239">
                  <c:v>6999.9144475426074</c:v>
                </c:pt>
                <c:pt idx="240">
                  <c:v>6968.9110867544659</c:v>
                </c:pt>
                <c:pt idx="241">
                  <c:v>6938.831025012114</c:v>
                </c:pt>
                <c:pt idx="242">
                  <c:v>6909.6834249937556</c:v>
                </c:pt>
                <c:pt idx="243">
                  <c:v>6881.4771653407133</c:v>
                </c:pt>
                <c:pt idx="244">
                  <c:v>6854.2208379529166</c:v>
                </c:pt>
                <c:pt idx="245">
                  <c:v>6827.9227453717258</c:v>
                </c:pt>
                <c:pt idx="246">
                  <c:v>6802.5908982508972</c:v>
                </c:pt>
                <c:pt idx="247">
                  <c:v>6778.2330129164593</c:v>
                </c:pt>
                <c:pt idx="248">
                  <c:v>6754.8565090162447</c:v>
                </c:pt>
                <c:pt idx="249">
                  <c:v>6732.4685072597949</c:v>
                </c:pt>
                <c:pt idx="250">
                  <c:v>6711.0758272493213</c:v>
                </c:pt>
                <c:pt idx="251">
                  <c:v>6690.6849854023912</c:v>
                </c:pt>
                <c:pt idx="252">
                  <c:v>6671.302192966963</c:v>
                </c:pt>
                <c:pt idx="253">
                  <c:v>6652.9333541293763</c:v>
                </c:pt>
                <c:pt idx="254">
                  <c:v>6635.5840642158837</c:v>
                </c:pt>
                <c:pt idx="255">
                  <c:v>6619.2596079882605</c:v>
                </c:pt>
                <c:pt idx="256">
                  <c:v>6603.9649580340119</c:v>
                </c:pt>
                <c:pt idx="257">
                  <c:v>6589.7047732516767</c:v>
                </c:pt>
                <c:pt idx="258">
                  <c:v>6576.4833974316807</c:v>
                </c:pt>
                <c:pt idx="259">
                  <c:v>6564.3048579331771</c:v>
                </c:pt>
                <c:pt idx="260">
                  <c:v>6553.1728644572722</c:v>
                </c:pt>
                <c:pt idx="261">
                  <c:v>6543.0908079170185</c:v>
                </c:pt>
                <c:pt idx="262">
                  <c:v>6534.0617594045034</c:v>
                </c:pt>
                <c:pt idx="263">
                  <c:v>6526.0884692553727</c:v>
                </c:pt>
                <c:pt idx="264">
                  <c:v>6519.1733662110437</c:v>
                </c:pt>
                <c:pt idx="265">
                  <c:v>6513.3185566788907</c:v>
                </c:pt>
                <c:pt idx="266">
                  <c:v>6508.5258240906151</c:v>
                </c:pt>
                <c:pt idx="267">
                  <c:v>6504.7966283589922</c:v>
                </c:pt>
                <c:pt idx="268">
                  <c:v>6502.1321054331656</c:v>
                </c:pt>
                <c:pt idx="269">
                  <c:v>6500.5330669526302</c:v>
                </c:pt>
                <c:pt idx="270">
                  <c:v>6500</c:v>
                </c:pt>
                <c:pt idx="271">
                  <c:v>6500.5330669526302</c:v>
                </c:pt>
                <c:pt idx="272">
                  <c:v>6502.1321054331647</c:v>
                </c:pt>
                <c:pt idx="273">
                  <c:v>6504.7966283589922</c:v>
                </c:pt>
                <c:pt idx="274">
                  <c:v>6508.5258240906151</c:v>
                </c:pt>
                <c:pt idx="275">
                  <c:v>6513.3185566788907</c:v>
                </c:pt>
                <c:pt idx="276">
                  <c:v>6519.1733662110437</c:v>
                </c:pt>
                <c:pt idx="277">
                  <c:v>6526.0884692553736</c:v>
                </c:pt>
                <c:pt idx="278">
                  <c:v>6534.0617594045034</c:v>
                </c:pt>
                <c:pt idx="279">
                  <c:v>6543.0908079170176</c:v>
                </c:pt>
                <c:pt idx="280">
                  <c:v>6553.1728644572713</c:v>
                </c:pt>
                <c:pt idx="281">
                  <c:v>6564.3048579331753</c:v>
                </c:pt>
                <c:pt idx="282">
                  <c:v>6576.4833974316798</c:v>
                </c:pt>
                <c:pt idx="283">
                  <c:v>6589.7047732516767</c:v>
                </c:pt>
                <c:pt idx="284">
                  <c:v>6603.9649580340119</c:v>
                </c:pt>
                <c:pt idx="285">
                  <c:v>6619.2596079882615</c:v>
                </c:pt>
                <c:pt idx="286">
                  <c:v>6635.5840642158837</c:v>
                </c:pt>
                <c:pt idx="287">
                  <c:v>6652.9333541293763</c:v>
                </c:pt>
                <c:pt idx="288">
                  <c:v>6671.3021929669621</c:v>
                </c:pt>
                <c:pt idx="289">
                  <c:v>6690.6849854023912</c:v>
                </c:pt>
                <c:pt idx="290">
                  <c:v>6711.0758272493204</c:v>
                </c:pt>
                <c:pt idx="291">
                  <c:v>6732.4685072597931</c:v>
                </c:pt>
                <c:pt idx="292">
                  <c:v>6754.8565090162447</c:v>
                </c:pt>
                <c:pt idx="293">
                  <c:v>6778.2330129164584</c:v>
                </c:pt>
                <c:pt idx="294">
                  <c:v>6802.5908982508972</c:v>
                </c:pt>
                <c:pt idx="295">
                  <c:v>6827.9227453717249</c:v>
                </c:pt>
                <c:pt idx="296">
                  <c:v>6854.2208379529147</c:v>
                </c:pt>
                <c:pt idx="297">
                  <c:v>6881.4771653407124</c:v>
                </c:pt>
                <c:pt idx="298">
                  <c:v>6909.6834249937547</c:v>
                </c:pt>
                <c:pt idx="299">
                  <c:v>6938.831025012114</c:v>
                </c:pt>
                <c:pt idx="300">
                  <c:v>6968.911086754465</c:v>
                </c:pt>
                <c:pt idx="301">
                  <c:v>6999.9144475426074</c:v>
                </c:pt>
                <c:pt idx="302">
                  <c:v>7031.831663452509</c:v>
                </c:pt>
                <c:pt idx="303">
                  <c:v>7064.6530121910146</c:v>
                </c:pt>
                <c:pt idx="304">
                  <c:v>7098.3684960573528</c:v>
                </c:pt>
                <c:pt idx="305">
                  <c:v>7132.9678449885287</c:v>
                </c:pt>
                <c:pt idx="306">
                  <c:v>7168.4405196876833</c:v>
                </c:pt>
                <c:pt idx="307">
                  <c:v>7204.7757148344745</c:v>
                </c:pt>
                <c:pt idx="308">
                  <c:v>7241.9623623764737</c:v>
                </c:pt>
                <c:pt idx="309">
                  <c:v>7279.989134900602</c:v>
                </c:pt>
                <c:pt idx="310">
                  <c:v>7318.8444490835764</c:v>
                </c:pt>
                <c:pt idx="311">
                  <c:v>7358.516469220297</c:v>
                </c:pt>
                <c:pt idx="312">
                  <c:v>7398.9931108291185</c:v>
                </c:pt>
                <c:pt idx="313">
                  <c:v>7440.2620443329015</c:v>
                </c:pt>
                <c:pt idx="314">
                  <c:v>7482.3106988147192</c:v>
                </c:pt>
                <c:pt idx="315">
                  <c:v>7525.1262658470832</c:v>
                </c:pt>
                <c:pt idx="316">
                  <c:v>7568.6957033935087</c:v>
                </c:pt>
                <c:pt idx="317">
                  <c:v>7613.0057397812561</c:v>
                </c:pt>
                <c:pt idx="318">
                  <c:v>7658.0428777439965</c:v>
                </c:pt>
                <c:pt idx="319">
                  <c:v>7703.7933985332238</c:v>
                </c:pt>
                <c:pt idx="320">
                  <c:v>7750.243366097111</c:v>
                </c:pt>
                <c:pt idx="321">
                  <c:v>7797.3786313255678</c:v>
                </c:pt>
                <c:pt idx="322">
                  <c:v>7845.1848363601939</c:v>
                </c:pt>
                <c:pt idx="323">
                  <c:v>7893.6474189678311</c:v>
                </c:pt>
                <c:pt idx="324">
                  <c:v>7942.751616976343</c:v>
                </c:pt>
                <c:pt idx="325">
                  <c:v>7992.4824727713376</c:v>
                </c:pt>
                <c:pt idx="326">
                  <c:v>8042.824837852384</c:v>
                </c:pt>
                <c:pt idx="327">
                  <c:v>8093.7633774474052</c:v>
                </c:pt>
                <c:pt idx="328">
                  <c:v>8145.28257518378</c:v>
                </c:pt>
                <c:pt idx="329">
                  <c:v>8197.3667378148093</c:v>
                </c:pt>
                <c:pt idx="330">
                  <c:v>8249.9999999999982</c:v>
                </c:pt>
                <c:pt idx="331">
                  <c:v>8303.1663291378209</c:v>
                </c:pt>
                <c:pt idx="332">
                  <c:v>8356.849530249383</c:v>
                </c:pt>
                <c:pt idx="333">
                  <c:v>8411.0332509115851</c:v>
                </c:pt>
                <c:pt idx="334">
                  <c:v>8465.7009862382311</c:v>
                </c:pt>
                <c:pt idx="335">
                  <c:v>8520.8360839075503</c:v>
                </c:pt>
                <c:pt idx="336">
                  <c:v>8576.4217492346997</c:v>
                </c:pt>
                <c:pt idx="337">
                  <c:v>8632.441050287538</c:v>
                </c:pt>
                <c:pt idx="338">
                  <c:v>8688.8769230443067</c:v>
                </c:pt>
                <c:pt idx="339">
                  <c:v>8745.7121765914471</c:v>
                </c:pt>
                <c:pt idx="340">
                  <c:v>8802.9294983601594</c:v>
                </c:pt>
                <c:pt idx="341">
                  <c:v>8860.5114593999479</c:v>
                </c:pt>
                <c:pt idx="342">
                  <c:v>8918.4405196876833</c:v>
                </c:pt>
                <c:pt idx="343">
                  <c:v>8976.6990334704224</c:v>
                </c:pt>
                <c:pt idx="344">
                  <c:v>9035.2692546405015</c:v>
                </c:pt>
                <c:pt idx="345">
                  <c:v>9094.1333421411782</c:v>
                </c:pt>
                <c:pt idx="346">
                  <c:v>9153.2733654011627</c:v>
                </c:pt>
                <c:pt idx="347">
                  <c:v>9212.6713097964712</c:v>
                </c:pt>
                <c:pt idx="348">
                  <c:v>9272.309082137841</c:v>
                </c:pt>
                <c:pt idx="349">
                  <c:v>9332.1685161820933</c:v>
                </c:pt>
                <c:pt idx="350">
                  <c:v>9392.2313781657413</c:v>
                </c:pt>
                <c:pt idx="351">
                  <c:v>9452.4793723591902</c:v>
                </c:pt>
                <c:pt idx="352">
                  <c:v>9512.89414663977</c:v>
                </c:pt>
                <c:pt idx="353">
                  <c:v>9573.4572980819812</c:v>
                </c:pt>
                <c:pt idx="354">
                  <c:v>9634.1503785632121</c:v>
                </c:pt>
                <c:pt idx="355">
                  <c:v>9694.9549003831962</c:v>
                </c:pt>
                <c:pt idx="356">
                  <c:v>9755.8523418955629</c:v>
                </c:pt>
                <c:pt idx="357">
                  <c:v>9816.8241531496951</c:v>
                </c:pt>
                <c:pt idx="358">
                  <c:v>9877.8517615412475</c:v>
                </c:pt>
                <c:pt idx="359">
                  <c:v>9938.9165774695048</c:v>
                </c:pt>
                <c:pt idx="36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D2-44C5-A25D-CDF3BBA8BBB6}"/>
            </c:ext>
          </c:extLst>
        </c:ser>
        <c:ser>
          <c:idx val="3"/>
          <c:order val="2"/>
          <c:tx>
            <c:v>Planete3</c:v>
          </c:tx>
          <c:spPr>
            <a:ln w="381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'Conditions initiales'!$AC$43:$AC$403</c:f>
              <c:numCache>
                <c:formatCode>General</c:formatCode>
                <c:ptCount val="361"/>
                <c:pt idx="0">
                  <c:v>0</c:v>
                </c:pt>
                <c:pt idx="1">
                  <c:v>-0.76152421804363257</c:v>
                </c:pt>
                <c:pt idx="2">
                  <c:v>-3.0458649045212951</c:v>
                </c:pt>
                <c:pt idx="3">
                  <c:v>-6.8523262271310159</c:v>
                </c:pt>
                <c:pt idx="4">
                  <c:v>-12.179748700878918</c:v>
                </c:pt>
                <c:pt idx="5">
                  <c:v>-19.026509541272389</c:v>
                </c:pt>
                <c:pt idx="6">
                  <c:v>-27.390523158633187</c:v>
                </c:pt>
                <c:pt idx="7">
                  <c:v>-37.269241793390393</c:v>
                </c:pt>
                <c:pt idx="8">
                  <c:v>-48.659656292148611</c:v>
                </c:pt>
                <c:pt idx="9">
                  <c:v>-61.558297024311287</c:v>
                </c:pt>
                <c:pt idx="10">
                  <c:v>-75.961234938959933</c:v>
                </c:pt>
                <c:pt idx="11">
                  <c:v>-91.864082761680038</c:v>
                </c:pt>
                <c:pt idx="12">
                  <c:v>-109.26199633097167</c:v>
                </c:pt>
                <c:pt idx="13">
                  <c:v>-128.14967607382368</c:v>
                </c:pt>
                <c:pt idx="14">
                  <c:v>-148.52136862001771</c:v>
                </c:pt>
                <c:pt idx="15">
                  <c:v>-170.37086855465805</c:v>
                </c:pt>
                <c:pt idx="16">
                  <c:v>-193.69152030840542</c:v>
                </c:pt>
                <c:pt idx="17">
                  <c:v>-218.47622018482252</c:v>
                </c:pt>
                <c:pt idx="18">
                  <c:v>-244.71741852423202</c:v>
                </c:pt>
                <c:pt idx="19">
                  <c:v>-272.40712200341568</c:v>
                </c:pt>
                <c:pt idx="20">
                  <c:v>-301.53689607045817</c:v>
                </c:pt>
                <c:pt idx="21">
                  <c:v>-332.09786751399133</c:v>
                </c:pt>
                <c:pt idx="22">
                  <c:v>-364.0807271660633</c:v>
                </c:pt>
                <c:pt idx="23">
                  <c:v>-397.47573273779835</c:v>
                </c:pt>
                <c:pt idx="24">
                  <c:v>-432.27271178699539</c:v>
                </c:pt>
                <c:pt idx="25">
                  <c:v>-468.46106481674997</c:v>
                </c:pt>
                <c:pt idx="26">
                  <c:v>-506.02976850416508</c:v>
                </c:pt>
                <c:pt idx="27">
                  <c:v>-544.96737905816008</c:v>
                </c:pt>
                <c:pt idx="28">
                  <c:v>-585.26203570536472</c:v>
                </c:pt>
                <c:pt idx="29">
                  <c:v>-626.90146430302138</c:v>
                </c:pt>
                <c:pt idx="30">
                  <c:v>-669.8729810778068</c:v>
                </c:pt>
                <c:pt idx="31">
                  <c:v>-714.16349648943833</c:v>
                </c:pt>
                <c:pt idx="32">
                  <c:v>-759.75951921787055</c:v>
                </c:pt>
                <c:pt idx="33">
                  <c:v>-806.64716027287977</c:v>
                </c:pt>
                <c:pt idx="34">
                  <c:v>-854.81213722479151</c:v>
                </c:pt>
                <c:pt idx="35">
                  <c:v>-904.23977855504108</c:v>
                </c:pt>
                <c:pt idx="36">
                  <c:v>-954.91502812526278</c:v>
                </c:pt>
                <c:pt idx="37">
                  <c:v>-1006.822449763536</c:v>
                </c:pt>
                <c:pt idx="38">
                  <c:v>-1059.9462319663899</c:v>
                </c:pt>
                <c:pt idx="39">
                  <c:v>-1114.2701927151456</c:v>
                </c:pt>
                <c:pt idx="40">
                  <c:v>-1169.7777844051097</c:v>
                </c:pt>
                <c:pt idx="41">
                  <c:v>-1226.4520988861395</c:v>
                </c:pt>
                <c:pt idx="42">
                  <c:v>-1284.2758726130287</c:v>
                </c:pt>
                <c:pt idx="43">
                  <c:v>-1343.2314919041473</c:v>
                </c:pt>
                <c:pt idx="44">
                  <c:v>-1403.3009983067441</c:v>
                </c:pt>
                <c:pt idx="45">
                  <c:v>-1464.466094067262</c:v>
                </c:pt>
                <c:pt idx="46">
                  <c:v>-1526.7081477050133</c:v>
                </c:pt>
                <c:pt idx="47">
                  <c:v>-1590.0081996875078</c:v>
                </c:pt>
                <c:pt idx="48">
                  <c:v>-1654.3469682057089</c:v>
                </c:pt>
                <c:pt idx="49">
                  <c:v>-1719.7048550474638</c:v>
                </c:pt>
                <c:pt idx="50">
                  <c:v>-1786.0619515673034</c:v>
                </c:pt>
                <c:pt idx="51">
                  <c:v>-1853.3980447508125</c:v>
                </c:pt>
                <c:pt idx="52">
                  <c:v>-1921.6926233717086</c:v>
                </c:pt>
                <c:pt idx="53">
                  <c:v>-1990.9248842397583</c:v>
                </c:pt>
                <c:pt idx="54">
                  <c:v>-2061.0737385376342</c:v>
                </c:pt>
                <c:pt idx="55">
                  <c:v>-2132.1178182447693</c:v>
                </c:pt>
                <c:pt idx="56">
                  <c:v>-2204.0354826462662</c:v>
                </c:pt>
                <c:pt idx="57">
                  <c:v>-2276.8048249248641</c:v>
                </c:pt>
                <c:pt idx="58">
                  <c:v>-2350.4036788339754</c:v>
                </c:pt>
                <c:pt idx="59">
                  <c:v>-2424.8096254497282</c:v>
                </c:pt>
                <c:pt idx="60">
                  <c:v>-2499.9999999999995</c:v>
                </c:pt>
                <c:pt idx="61">
                  <c:v>-2575.9518987683145</c:v>
                </c:pt>
                <c:pt idx="62">
                  <c:v>-2652.6421860705459</c:v>
                </c:pt>
                <c:pt idx="63">
                  <c:v>-2730.047501302266</c:v>
                </c:pt>
                <c:pt idx="64">
                  <c:v>-2808.1442660546127</c:v>
                </c:pt>
                <c:pt idx="65">
                  <c:v>-2886.9086912965026</c:v>
                </c:pt>
                <c:pt idx="66">
                  <c:v>-2966.316784620999</c:v>
                </c:pt>
                <c:pt idx="67">
                  <c:v>-3046.3443575536303</c:v>
                </c:pt>
                <c:pt idx="68">
                  <c:v>-3126.96703292044</c:v>
                </c:pt>
                <c:pt idx="69">
                  <c:v>-3208.1602522734984</c:v>
                </c:pt>
                <c:pt idx="70">
                  <c:v>-3289.8992833716557</c:v>
                </c:pt>
                <c:pt idx="71">
                  <c:v>-3372.1592277142163</c:v>
                </c:pt>
                <c:pt idx="72">
                  <c:v>-3454.9150281252628</c:v>
                </c:pt>
                <c:pt idx="73">
                  <c:v>-3538.1414763863158</c:v>
                </c:pt>
                <c:pt idx="74">
                  <c:v>-3621.8132209150044</c:v>
                </c:pt>
                <c:pt idx="75">
                  <c:v>-3705.904774487396</c:v>
                </c:pt>
                <c:pt idx="76">
                  <c:v>-3790.3905220016604</c:v>
                </c:pt>
                <c:pt idx="77">
                  <c:v>-3875.2447282806752</c:v>
                </c:pt>
                <c:pt idx="78">
                  <c:v>-3960.4415459112024</c:v>
                </c:pt>
                <c:pt idx="79">
                  <c:v>-4045.9550231172752</c:v>
                </c:pt>
                <c:pt idx="80">
                  <c:v>-4131.7591116653475</c:v>
                </c:pt>
                <c:pt idx="81">
                  <c:v>-4217.8276747988457</c:v>
                </c:pt>
                <c:pt idx="82">
                  <c:v>-4304.1344951996716</c:v>
                </c:pt>
                <c:pt idx="83">
                  <c:v>-4390.6532829742628</c:v>
                </c:pt>
                <c:pt idx="84">
                  <c:v>-4477.3576836617331</c:v>
                </c:pt>
                <c:pt idx="85">
                  <c:v>-4564.2212862617089</c:v>
                </c:pt>
                <c:pt idx="86">
                  <c:v>-4651.2176312793727</c:v>
                </c:pt>
                <c:pt idx="87">
                  <c:v>-4738.3202187852803</c:v>
                </c:pt>
                <c:pt idx="88">
                  <c:v>-4825.5025164874942</c:v>
                </c:pt>
                <c:pt idx="89">
                  <c:v>-4912.7379678135831</c:v>
                </c:pt>
                <c:pt idx="90">
                  <c:v>-5000</c:v>
                </c:pt>
                <c:pt idx="91">
                  <c:v>-5087.2620321864169</c:v>
                </c:pt>
                <c:pt idx="92">
                  <c:v>-5174.497483512504</c:v>
                </c:pt>
                <c:pt idx="93">
                  <c:v>-5261.6797812147179</c:v>
                </c:pt>
                <c:pt idx="94">
                  <c:v>-5348.7823687206264</c:v>
                </c:pt>
                <c:pt idx="95">
                  <c:v>-5435.7787137382911</c:v>
                </c:pt>
                <c:pt idx="96">
                  <c:v>-5522.6423163382669</c:v>
                </c:pt>
                <c:pt idx="97">
                  <c:v>-5609.3467170257372</c:v>
                </c:pt>
                <c:pt idx="98">
                  <c:v>-5695.8655048003266</c:v>
                </c:pt>
                <c:pt idx="99">
                  <c:v>-5782.1723252011552</c:v>
                </c:pt>
                <c:pt idx="100">
                  <c:v>-5868.2408883346516</c:v>
                </c:pt>
                <c:pt idx="101">
                  <c:v>-5954.0449768827239</c:v>
                </c:pt>
                <c:pt idx="102">
                  <c:v>-6039.5584540887958</c:v>
                </c:pt>
                <c:pt idx="103">
                  <c:v>-6124.7552717193239</c:v>
                </c:pt>
                <c:pt idx="104">
                  <c:v>-6209.6094779983387</c:v>
                </c:pt>
                <c:pt idx="105">
                  <c:v>-6294.095225512604</c:v>
                </c:pt>
                <c:pt idx="106">
                  <c:v>-6378.1867790849956</c:v>
                </c:pt>
                <c:pt idx="107">
                  <c:v>-6461.8585236136832</c:v>
                </c:pt>
                <c:pt idx="108">
                  <c:v>-6545.0849718747368</c:v>
                </c:pt>
                <c:pt idx="109">
                  <c:v>-6627.8407722857819</c:v>
                </c:pt>
                <c:pt idx="110">
                  <c:v>-6710.1007166283434</c:v>
                </c:pt>
                <c:pt idx="111">
                  <c:v>-6791.8397477265016</c:v>
                </c:pt>
                <c:pt idx="112">
                  <c:v>-6873.03296707956</c:v>
                </c:pt>
                <c:pt idx="113">
                  <c:v>-6953.6556424463679</c:v>
                </c:pt>
                <c:pt idx="114">
                  <c:v>-7033.6832153790001</c:v>
                </c:pt>
                <c:pt idx="115">
                  <c:v>-7113.0913087034969</c:v>
                </c:pt>
                <c:pt idx="116">
                  <c:v>-7191.8557339453873</c:v>
                </c:pt>
                <c:pt idx="117">
                  <c:v>-7269.952498697734</c:v>
                </c:pt>
                <c:pt idx="118">
                  <c:v>-7347.3578139294532</c:v>
                </c:pt>
                <c:pt idx="119">
                  <c:v>-7424.048101231685</c:v>
                </c:pt>
                <c:pt idx="120">
                  <c:v>-7499.9999999999991</c:v>
                </c:pt>
                <c:pt idx="121">
                  <c:v>-7575.1903745502714</c:v>
                </c:pt>
                <c:pt idx="122">
                  <c:v>-7649.5963211660237</c:v>
                </c:pt>
                <c:pt idx="123">
                  <c:v>-7723.1951750751359</c:v>
                </c:pt>
                <c:pt idx="124">
                  <c:v>-7795.9645173537338</c:v>
                </c:pt>
                <c:pt idx="125">
                  <c:v>-7867.8821817552289</c:v>
                </c:pt>
                <c:pt idx="126">
                  <c:v>-7938.9262614623658</c:v>
                </c:pt>
                <c:pt idx="127">
                  <c:v>-8009.0751157602417</c:v>
                </c:pt>
                <c:pt idx="128">
                  <c:v>-8078.3073766282914</c:v>
                </c:pt>
                <c:pt idx="129">
                  <c:v>-8146.6019552491862</c:v>
                </c:pt>
                <c:pt idx="130">
                  <c:v>-8213.9380484326975</c:v>
                </c:pt>
                <c:pt idx="131">
                  <c:v>-8280.2951449525372</c:v>
                </c:pt>
                <c:pt idx="132">
                  <c:v>-8345.6530317942907</c:v>
                </c:pt>
                <c:pt idx="133">
                  <c:v>-8409.9918003124913</c:v>
                </c:pt>
                <c:pt idx="134">
                  <c:v>-8473.2918522949858</c:v>
                </c:pt>
                <c:pt idx="135">
                  <c:v>-8535.533905932738</c:v>
                </c:pt>
                <c:pt idx="136">
                  <c:v>-8596.6990016932559</c:v>
                </c:pt>
                <c:pt idx="137">
                  <c:v>-8656.7685080958527</c:v>
                </c:pt>
                <c:pt idx="138">
                  <c:v>-8715.7241273869695</c:v>
                </c:pt>
                <c:pt idx="139">
                  <c:v>-8773.5479011138596</c:v>
                </c:pt>
                <c:pt idx="140">
                  <c:v>-8830.2222155948893</c:v>
                </c:pt>
                <c:pt idx="141">
                  <c:v>-8885.7298072848535</c:v>
                </c:pt>
                <c:pt idx="142">
                  <c:v>-8940.0537680336092</c:v>
                </c:pt>
                <c:pt idx="143">
                  <c:v>-8993.1775502364653</c:v>
                </c:pt>
                <c:pt idx="144">
                  <c:v>-9045.0849718747377</c:v>
                </c:pt>
                <c:pt idx="145">
                  <c:v>-9095.760221444958</c:v>
                </c:pt>
                <c:pt idx="146">
                  <c:v>-9145.1878627752085</c:v>
                </c:pt>
                <c:pt idx="147">
                  <c:v>-9193.352839727122</c:v>
                </c:pt>
                <c:pt idx="148">
                  <c:v>-9240.2404807821295</c:v>
                </c:pt>
                <c:pt idx="149">
                  <c:v>-9285.8365035105599</c:v>
                </c:pt>
                <c:pt idx="150">
                  <c:v>-9330.1270189221941</c:v>
                </c:pt>
                <c:pt idx="151">
                  <c:v>-9373.0985356969795</c:v>
                </c:pt>
                <c:pt idx="152">
                  <c:v>-9414.7379642946325</c:v>
                </c:pt>
                <c:pt idx="153">
                  <c:v>-9455.0326209418381</c:v>
                </c:pt>
                <c:pt idx="154">
                  <c:v>-9493.970231495834</c:v>
                </c:pt>
                <c:pt idx="155">
                  <c:v>-9531.5389351832491</c:v>
                </c:pt>
                <c:pt idx="156">
                  <c:v>-9567.7272882130037</c:v>
                </c:pt>
                <c:pt idx="157">
                  <c:v>-9602.5242672622007</c:v>
                </c:pt>
                <c:pt idx="158">
                  <c:v>-9635.9192728339367</c:v>
                </c:pt>
                <c:pt idx="159">
                  <c:v>-9667.9021324860078</c:v>
                </c:pt>
                <c:pt idx="160">
                  <c:v>-9698.4631039295418</c:v>
                </c:pt>
                <c:pt idx="161">
                  <c:v>-9727.5928779965834</c:v>
                </c:pt>
                <c:pt idx="162">
                  <c:v>-9755.2825814757671</c:v>
                </c:pt>
                <c:pt idx="163">
                  <c:v>-9781.5237798151775</c:v>
                </c:pt>
                <c:pt idx="164">
                  <c:v>-9806.3084796915937</c:v>
                </c:pt>
                <c:pt idx="165">
                  <c:v>-9829.629131445341</c:v>
                </c:pt>
                <c:pt idx="166">
                  <c:v>-9851.4786313799814</c:v>
                </c:pt>
                <c:pt idx="167">
                  <c:v>-9871.8503239261772</c:v>
                </c:pt>
                <c:pt idx="168">
                  <c:v>-9890.7380036690283</c:v>
                </c:pt>
                <c:pt idx="169">
                  <c:v>-9908.13591723832</c:v>
                </c:pt>
                <c:pt idx="170">
                  <c:v>-9924.0387650610392</c:v>
                </c:pt>
                <c:pt idx="171">
                  <c:v>-9938.4417029756878</c:v>
                </c:pt>
                <c:pt idx="172">
                  <c:v>-9951.3403437078523</c:v>
                </c:pt>
                <c:pt idx="173">
                  <c:v>-9962.7307582066096</c:v>
                </c:pt>
                <c:pt idx="174">
                  <c:v>-9972.6094768413677</c:v>
                </c:pt>
                <c:pt idx="175">
                  <c:v>-9980.9734904587276</c:v>
                </c:pt>
                <c:pt idx="176">
                  <c:v>-9987.8202512991211</c:v>
                </c:pt>
                <c:pt idx="177">
                  <c:v>-9993.1476737728699</c:v>
                </c:pt>
                <c:pt idx="178">
                  <c:v>-9996.9541350954787</c:v>
                </c:pt>
                <c:pt idx="179">
                  <c:v>-9999.2384757819564</c:v>
                </c:pt>
                <c:pt idx="180">
                  <c:v>-10000</c:v>
                </c:pt>
                <c:pt idx="181">
                  <c:v>-9999.2384757819564</c:v>
                </c:pt>
                <c:pt idx="182">
                  <c:v>-9996.9541350954787</c:v>
                </c:pt>
                <c:pt idx="183">
                  <c:v>-9993.1476737728699</c:v>
                </c:pt>
                <c:pt idx="184">
                  <c:v>-9987.8202512991229</c:v>
                </c:pt>
                <c:pt idx="185">
                  <c:v>-9980.9734904587276</c:v>
                </c:pt>
                <c:pt idx="186">
                  <c:v>-9972.6094768413677</c:v>
                </c:pt>
                <c:pt idx="187">
                  <c:v>-9962.7307582066096</c:v>
                </c:pt>
                <c:pt idx="188">
                  <c:v>-9951.3403437078523</c:v>
                </c:pt>
                <c:pt idx="189">
                  <c:v>-9938.4417029756878</c:v>
                </c:pt>
                <c:pt idx="190">
                  <c:v>-9924.0387650610392</c:v>
                </c:pt>
                <c:pt idx="191">
                  <c:v>-9908.13591723832</c:v>
                </c:pt>
                <c:pt idx="192">
                  <c:v>-9890.7380036690283</c:v>
                </c:pt>
                <c:pt idx="193">
                  <c:v>-9871.8503239261772</c:v>
                </c:pt>
                <c:pt idx="194">
                  <c:v>-9851.4786313799814</c:v>
                </c:pt>
                <c:pt idx="195">
                  <c:v>-9829.629131445341</c:v>
                </c:pt>
                <c:pt idx="196">
                  <c:v>-9806.3084796915937</c:v>
                </c:pt>
                <c:pt idx="197">
                  <c:v>-9781.5237798151775</c:v>
                </c:pt>
                <c:pt idx="198">
                  <c:v>-9755.2825814757671</c:v>
                </c:pt>
                <c:pt idx="199">
                  <c:v>-9727.5928779965834</c:v>
                </c:pt>
                <c:pt idx="200">
                  <c:v>-9698.4631039295418</c:v>
                </c:pt>
                <c:pt idx="201">
                  <c:v>-9667.9021324860078</c:v>
                </c:pt>
                <c:pt idx="202">
                  <c:v>-9635.9192728339367</c:v>
                </c:pt>
                <c:pt idx="203">
                  <c:v>-9602.5242672622007</c:v>
                </c:pt>
                <c:pt idx="204">
                  <c:v>-9567.7272882130055</c:v>
                </c:pt>
                <c:pt idx="205">
                  <c:v>-9531.5389351832491</c:v>
                </c:pt>
                <c:pt idx="206">
                  <c:v>-9493.9702314958358</c:v>
                </c:pt>
                <c:pt idx="207">
                  <c:v>-9455.0326209418417</c:v>
                </c:pt>
                <c:pt idx="208">
                  <c:v>-9414.7379642946344</c:v>
                </c:pt>
                <c:pt idx="209">
                  <c:v>-9373.0985356969795</c:v>
                </c:pt>
                <c:pt idx="210">
                  <c:v>-9330.1270189221941</c:v>
                </c:pt>
                <c:pt idx="211">
                  <c:v>-9285.8365035105617</c:v>
                </c:pt>
                <c:pt idx="212">
                  <c:v>-9240.2404807821295</c:v>
                </c:pt>
                <c:pt idx="213">
                  <c:v>-9193.3528397271202</c:v>
                </c:pt>
                <c:pt idx="214">
                  <c:v>-9145.1878627752085</c:v>
                </c:pt>
                <c:pt idx="215">
                  <c:v>-9095.7602214449598</c:v>
                </c:pt>
                <c:pt idx="216">
                  <c:v>-9045.0849718747377</c:v>
                </c:pt>
                <c:pt idx="217">
                  <c:v>-8993.1775502364653</c:v>
                </c:pt>
                <c:pt idx="218">
                  <c:v>-8940.053768033611</c:v>
                </c:pt>
                <c:pt idx="219">
                  <c:v>-8885.7298072848535</c:v>
                </c:pt>
                <c:pt idx="220">
                  <c:v>-8830.2222155948912</c:v>
                </c:pt>
                <c:pt idx="221">
                  <c:v>-8773.5479011138596</c:v>
                </c:pt>
                <c:pt idx="222">
                  <c:v>-8715.7241273869713</c:v>
                </c:pt>
                <c:pt idx="223">
                  <c:v>-8656.7685080958527</c:v>
                </c:pt>
                <c:pt idx="224">
                  <c:v>-8596.6990016932559</c:v>
                </c:pt>
                <c:pt idx="225">
                  <c:v>-8535.533905932738</c:v>
                </c:pt>
                <c:pt idx="226">
                  <c:v>-8473.2918522949876</c:v>
                </c:pt>
                <c:pt idx="227">
                  <c:v>-8409.9918003124949</c:v>
                </c:pt>
                <c:pt idx="228">
                  <c:v>-8345.6530317942925</c:v>
                </c:pt>
                <c:pt idx="229">
                  <c:v>-8280.295144952539</c:v>
                </c:pt>
                <c:pt idx="230">
                  <c:v>-8213.9380484326975</c:v>
                </c:pt>
                <c:pt idx="231">
                  <c:v>-8146.6019552491853</c:v>
                </c:pt>
                <c:pt idx="232">
                  <c:v>-8078.3073766282905</c:v>
                </c:pt>
                <c:pt idx="233">
                  <c:v>-8009.0751157602408</c:v>
                </c:pt>
                <c:pt idx="234">
                  <c:v>-7938.9262614623658</c:v>
                </c:pt>
                <c:pt idx="235">
                  <c:v>-7867.8821817552325</c:v>
                </c:pt>
                <c:pt idx="236">
                  <c:v>-7795.9645173537356</c:v>
                </c:pt>
                <c:pt idx="237">
                  <c:v>-7723.195175075135</c:v>
                </c:pt>
                <c:pt idx="238">
                  <c:v>-7649.5963211660255</c:v>
                </c:pt>
                <c:pt idx="239">
                  <c:v>-7575.1903745502723</c:v>
                </c:pt>
                <c:pt idx="240">
                  <c:v>-7500.0000000000018</c:v>
                </c:pt>
                <c:pt idx="241">
                  <c:v>-7424.0481012316841</c:v>
                </c:pt>
                <c:pt idx="242">
                  <c:v>-7347.3578139294532</c:v>
                </c:pt>
                <c:pt idx="243">
                  <c:v>-7269.952498697734</c:v>
                </c:pt>
                <c:pt idx="244">
                  <c:v>-7191.8557339453891</c:v>
                </c:pt>
                <c:pt idx="245">
                  <c:v>-7113.0913087034996</c:v>
                </c:pt>
                <c:pt idx="246">
                  <c:v>-7033.6832153790001</c:v>
                </c:pt>
                <c:pt idx="247">
                  <c:v>-6953.6556424463688</c:v>
                </c:pt>
                <c:pt idx="248">
                  <c:v>-6873.0329670795618</c:v>
                </c:pt>
                <c:pt idx="249">
                  <c:v>-6791.8397477265034</c:v>
                </c:pt>
                <c:pt idx="250">
                  <c:v>-6710.1007166283471</c:v>
                </c:pt>
                <c:pt idx="251">
                  <c:v>-6627.8407722857828</c:v>
                </c:pt>
                <c:pt idx="252">
                  <c:v>-6545.0849718747377</c:v>
                </c:pt>
                <c:pt idx="253">
                  <c:v>-6461.858523613686</c:v>
                </c:pt>
                <c:pt idx="254">
                  <c:v>-6378.1867790849947</c:v>
                </c:pt>
                <c:pt idx="255">
                  <c:v>-6294.0952255126031</c:v>
                </c:pt>
                <c:pt idx="256">
                  <c:v>-6209.6094779983387</c:v>
                </c:pt>
                <c:pt idx="257">
                  <c:v>-6124.7552717193266</c:v>
                </c:pt>
                <c:pt idx="258">
                  <c:v>-6039.5584540887994</c:v>
                </c:pt>
                <c:pt idx="259">
                  <c:v>-5954.0449768827275</c:v>
                </c:pt>
                <c:pt idx="260">
                  <c:v>-5868.2408883346516</c:v>
                </c:pt>
                <c:pt idx="261">
                  <c:v>-5782.1723252011552</c:v>
                </c:pt>
                <c:pt idx="262">
                  <c:v>-5695.8655048003247</c:v>
                </c:pt>
                <c:pt idx="263">
                  <c:v>-5609.3467170257354</c:v>
                </c:pt>
                <c:pt idx="264">
                  <c:v>-5522.6423163382669</c:v>
                </c:pt>
                <c:pt idx="265">
                  <c:v>-5435.7787137382911</c:v>
                </c:pt>
                <c:pt idx="266">
                  <c:v>-5348.7823687206283</c:v>
                </c:pt>
                <c:pt idx="267">
                  <c:v>-5261.6797812147215</c:v>
                </c:pt>
                <c:pt idx="268">
                  <c:v>-5174.4974835125086</c:v>
                </c:pt>
                <c:pt idx="269">
                  <c:v>-5087.2620321864179</c:v>
                </c:pt>
                <c:pt idx="270">
                  <c:v>-5000.0000000000009</c:v>
                </c:pt>
                <c:pt idx="271">
                  <c:v>-4912.737967813584</c:v>
                </c:pt>
                <c:pt idx="272">
                  <c:v>-4825.5025164874933</c:v>
                </c:pt>
                <c:pt idx="273">
                  <c:v>-4738.3202187852803</c:v>
                </c:pt>
                <c:pt idx="274">
                  <c:v>-4651.2176312793736</c:v>
                </c:pt>
                <c:pt idx="275">
                  <c:v>-4564.2212862617107</c:v>
                </c:pt>
                <c:pt idx="276">
                  <c:v>-4477.3576836617349</c:v>
                </c:pt>
                <c:pt idx="277">
                  <c:v>-4390.6532829742619</c:v>
                </c:pt>
                <c:pt idx="278">
                  <c:v>-4304.1344951996725</c:v>
                </c:pt>
                <c:pt idx="279">
                  <c:v>-4217.8276747988466</c:v>
                </c:pt>
                <c:pt idx="280">
                  <c:v>-4131.7591116653502</c:v>
                </c:pt>
                <c:pt idx="281">
                  <c:v>-4045.9550231172789</c:v>
                </c:pt>
                <c:pt idx="282">
                  <c:v>-3960.441545911207</c:v>
                </c:pt>
                <c:pt idx="283">
                  <c:v>-3875.2447282806752</c:v>
                </c:pt>
                <c:pt idx="284">
                  <c:v>-3790.3905220016627</c:v>
                </c:pt>
                <c:pt idx="285">
                  <c:v>-3705.9047744873942</c:v>
                </c:pt>
                <c:pt idx="286">
                  <c:v>-3621.8132209150031</c:v>
                </c:pt>
                <c:pt idx="287">
                  <c:v>-3538.1414763863168</c:v>
                </c:pt>
                <c:pt idx="288">
                  <c:v>-3454.9150281252641</c:v>
                </c:pt>
                <c:pt idx="289">
                  <c:v>-3372.1592277142181</c:v>
                </c:pt>
                <c:pt idx="290">
                  <c:v>-3289.8992833716593</c:v>
                </c:pt>
                <c:pt idx="291">
                  <c:v>-3208.160252273502</c:v>
                </c:pt>
                <c:pt idx="292">
                  <c:v>-3126.96703292044</c:v>
                </c:pt>
                <c:pt idx="293">
                  <c:v>-3046.3443575536326</c:v>
                </c:pt>
                <c:pt idx="294">
                  <c:v>-2966.3167846209972</c:v>
                </c:pt>
                <c:pt idx="295">
                  <c:v>-2886.9086912965022</c:v>
                </c:pt>
                <c:pt idx="296">
                  <c:v>-2808.1442660546131</c:v>
                </c:pt>
                <c:pt idx="297">
                  <c:v>-2730.0475013022669</c:v>
                </c:pt>
                <c:pt idx="298">
                  <c:v>-2652.6421860705477</c:v>
                </c:pt>
                <c:pt idx="299">
                  <c:v>-2575.9518987683173</c:v>
                </c:pt>
                <c:pt idx="300">
                  <c:v>-2499.9999999999995</c:v>
                </c:pt>
                <c:pt idx="301">
                  <c:v>-2424.8096254497291</c:v>
                </c:pt>
                <c:pt idx="302">
                  <c:v>-2350.4036788339768</c:v>
                </c:pt>
                <c:pt idx="303">
                  <c:v>-2276.8048249248668</c:v>
                </c:pt>
                <c:pt idx="304">
                  <c:v>-2204.035482646269</c:v>
                </c:pt>
                <c:pt idx="305">
                  <c:v>-2132.1178182447698</c:v>
                </c:pt>
                <c:pt idx="306">
                  <c:v>-2061.0737385376356</c:v>
                </c:pt>
                <c:pt idx="307">
                  <c:v>-1990.9248842397601</c:v>
                </c:pt>
                <c:pt idx="308">
                  <c:v>-1921.6926233717072</c:v>
                </c:pt>
                <c:pt idx="309">
                  <c:v>-1853.3980447508125</c:v>
                </c:pt>
                <c:pt idx="310">
                  <c:v>-1786.0619515673038</c:v>
                </c:pt>
                <c:pt idx="311">
                  <c:v>-1719.7048550474647</c:v>
                </c:pt>
                <c:pt idx="312">
                  <c:v>-1654.3469682057112</c:v>
                </c:pt>
                <c:pt idx="313">
                  <c:v>-1590.0081996875097</c:v>
                </c:pt>
                <c:pt idx="314">
                  <c:v>-1526.7081477050169</c:v>
                </c:pt>
                <c:pt idx="315">
                  <c:v>-1464.4660940672634</c:v>
                </c:pt>
                <c:pt idx="316">
                  <c:v>-1403.3009983067459</c:v>
                </c:pt>
                <c:pt idx="317">
                  <c:v>-1343.2314919041464</c:v>
                </c:pt>
                <c:pt idx="318">
                  <c:v>-1284.2758726130287</c:v>
                </c:pt>
                <c:pt idx="319">
                  <c:v>-1226.4520988861404</c:v>
                </c:pt>
                <c:pt idx="320">
                  <c:v>-1169.7777844051111</c:v>
                </c:pt>
                <c:pt idx="321">
                  <c:v>-1114.270192715147</c:v>
                </c:pt>
                <c:pt idx="322">
                  <c:v>-1059.9462319663921</c:v>
                </c:pt>
                <c:pt idx="323">
                  <c:v>-1006.822449763536</c:v>
                </c:pt>
                <c:pt idx="324">
                  <c:v>-954.91502812526323</c:v>
                </c:pt>
                <c:pt idx="325">
                  <c:v>-904.23977855504199</c:v>
                </c:pt>
                <c:pt idx="326">
                  <c:v>-854.81213722479333</c:v>
                </c:pt>
                <c:pt idx="327">
                  <c:v>-806.64716027287977</c:v>
                </c:pt>
                <c:pt idx="328">
                  <c:v>-759.75951921787328</c:v>
                </c:pt>
                <c:pt idx="329">
                  <c:v>-714.16349648943924</c:v>
                </c:pt>
                <c:pt idx="330">
                  <c:v>-669.87298107780771</c:v>
                </c:pt>
                <c:pt idx="331">
                  <c:v>-626.90146430302048</c:v>
                </c:pt>
                <c:pt idx="332">
                  <c:v>-585.26203570536563</c:v>
                </c:pt>
                <c:pt idx="333">
                  <c:v>-544.96737905816099</c:v>
                </c:pt>
                <c:pt idx="334">
                  <c:v>-506.02976850416417</c:v>
                </c:pt>
                <c:pt idx="335">
                  <c:v>-468.46106481675179</c:v>
                </c:pt>
                <c:pt idx="336">
                  <c:v>-432.27271178699539</c:v>
                </c:pt>
                <c:pt idx="337">
                  <c:v>-397.47573273780017</c:v>
                </c:pt>
                <c:pt idx="338">
                  <c:v>-364.0807271660633</c:v>
                </c:pt>
                <c:pt idx="339">
                  <c:v>-332.09786751399224</c:v>
                </c:pt>
                <c:pt idx="340">
                  <c:v>-301.53689607045817</c:v>
                </c:pt>
                <c:pt idx="341">
                  <c:v>-272.4071220034175</c:v>
                </c:pt>
                <c:pt idx="342">
                  <c:v>-244.71741852423202</c:v>
                </c:pt>
                <c:pt idx="343">
                  <c:v>-218.47622018482161</c:v>
                </c:pt>
                <c:pt idx="344">
                  <c:v>-193.69152030840633</c:v>
                </c:pt>
                <c:pt idx="345">
                  <c:v>-170.37086855465805</c:v>
                </c:pt>
                <c:pt idx="346">
                  <c:v>-148.52136862001771</c:v>
                </c:pt>
                <c:pt idx="347">
                  <c:v>-128.14967607382459</c:v>
                </c:pt>
                <c:pt idx="348">
                  <c:v>-109.26199633097167</c:v>
                </c:pt>
                <c:pt idx="349">
                  <c:v>-91.864082761680038</c:v>
                </c:pt>
                <c:pt idx="350">
                  <c:v>-75.961234938960843</c:v>
                </c:pt>
                <c:pt idx="351">
                  <c:v>-61.558297024311287</c:v>
                </c:pt>
                <c:pt idx="352">
                  <c:v>-48.659656292148611</c:v>
                </c:pt>
                <c:pt idx="353">
                  <c:v>-37.269241793390393</c:v>
                </c:pt>
                <c:pt idx="354">
                  <c:v>-27.390523158633187</c:v>
                </c:pt>
                <c:pt idx="355">
                  <c:v>-19.026509541272389</c:v>
                </c:pt>
                <c:pt idx="356">
                  <c:v>-12.179748700878008</c:v>
                </c:pt>
                <c:pt idx="357">
                  <c:v>-6.8523262271310159</c:v>
                </c:pt>
                <c:pt idx="358">
                  <c:v>-3.0458649045212951</c:v>
                </c:pt>
                <c:pt idx="359">
                  <c:v>-0.76152421804363257</c:v>
                </c:pt>
                <c:pt idx="360">
                  <c:v>0</c:v>
                </c:pt>
              </c:numCache>
            </c:numRef>
          </c:xVal>
          <c:yVal>
            <c:numRef>
              <c:f>'Conditions initiales'!$AD$43:$AD$403</c:f>
              <c:numCache>
                <c:formatCode>General</c:formatCode>
                <c:ptCount val="361"/>
                <c:pt idx="0">
                  <c:v>-15000</c:v>
                </c:pt>
                <c:pt idx="1">
                  <c:v>-14912.737967813582</c:v>
                </c:pt>
                <c:pt idx="2">
                  <c:v>-14825.502516487495</c:v>
                </c:pt>
                <c:pt idx="3">
                  <c:v>-14738.32021878528</c:v>
                </c:pt>
                <c:pt idx="4">
                  <c:v>-14651.217631279373</c:v>
                </c:pt>
                <c:pt idx="5">
                  <c:v>-14564.221286261709</c:v>
                </c:pt>
                <c:pt idx="6">
                  <c:v>-14477.357683661732</c:v>
                </c:pt>
                <c:pt idx="7">
                  <c:v>-14390.653282974263</c:v>
                </c:pt>
                <c:pt idx="8">
                  <c:v>-14304.134495199673</c:v>
                </c:pt>
                <c:pt idx="9">
                  <c:v>-14217.827674798846</c:v>
                </c:pt>
                <c:pt idx="10">
                  <c:v>-14131.759111665348</c:v>
                </c:pt>
                <c:pt idx="11">
                  <c:v>-14045.955023117276</c:v>
                </c:pt>
                <c:pt idx="12">
                  <c:v>-13960.441545911202</c:v>
                </c:pt>
                <c:pt idx="13">
                  <c:v>-13875.244728280675</c:v>
                </c:pt>
                <c:pt idx="14">
                  <c:v>-13790.39052200166</c:v>
                </c:pt>
                <c:pt idx="15">
                  <c:v>-13705.904774487397</c:v>
                </c:pt>
                <c:pt idx="16">
                  <c:v>-13621.813220915004</c:v>
                </c:pt>
                <c:pt idx="17">
                  <c:v>-13538.141476386316</c:v>
                </c:pt>
                <c:pt idx="18">
                  <c:v>-13454.915028125262</c:v>
                </c:pt>
                <c:pt idx="19">
                  <c:v>-13372.159227714217</c:v>
                </c:pt>
                <c:pt idx="20">
                  <c:v>-13289.899283371657</c:v>
                </c:pt>
                <c:pt idx="21">
                  <c:v>-13208.160252273499</c:v>
                </c:pt>
                <c:pt idx="22">
                  <c:v>-13126.96703292044</c:v>
                </c:pt>
                <c:pt idx="23">
                  <c:v>-13046.344357553631</c:v>
                </c:pt>
                <c:pt idx="24">
                  <c:v>-12966.316784621</c:v>
                </c:pt>
                <c:pt idx="25">
                  <c:v>-12886.908691296503</c:v>
                </c:pt>
                <c:pt idx="26">
                  <c:v>-12808.144266054613</c:v>
                </c:pt>
                <c:pt idx="27">
                  <c:v>-12730.047501302266</c:v>
                </c:pt>
                <c:pt idx="28">
                  <c:v>-12652.642186070545</c:v>
                </c:pt>
                <c:pt idx="29">
                  <c:v>-12575.951898768315</c:v>
                </c:pt>
                <c:pt idx="30">
                  <c:v>-12500</c:v>
                </c:pt>
                <c:pt idx="31">
                  <c:v>-12424.809625449729</c:v>
                </c:pt>
                <c:pt idx="32">
                  <c:v>-12350.403678833976</c:v>
                </c:pt>
                <c:pt idx="33">
                  <c:v>-12276.804824924864</c:v>
                </c:pt>
                <c:pt idx="34">
                  <c:v>-12204.035482646264</c:v>
                </c:pt>
                <c:pt idx="35">
                  <c:v>-12132.117818244769</c:v>
                </c:pt>
                <c:pt idx="36">
                  <c:v>-12061.073738537634</c:v>
                </c:pt>
                <c:pt idx="37">
                  <c:v>-11990.924884239759</c:v>
                </c:pt>
                <c:pt idx="38">
                  <c:v>-11921.692623371709</c:v>
                </c:pt>
                <c:pt idx="39">
                  <c:v>-11853.398044750813</c:v>
                </c:pt>
                <c:pt idx="40">
                  <c:v>-11786.061951567304</c:v>
                </c:pt>
                <c:pt idx="41">
                  <c:v>-11719.704855047465</c:v>
                </c:pt>
                <c:pt idx="42">
                  <c:v>-11654.346968205709</c:v>
                </c:pt>
                <c:pt idx="43">
                  <c:v>-11590.008199687509</c:v>
                </c:pt>
                <c:pt idx="44">
                  <c:v>-11526.708147705014</c:v>
                </c:pt>
                <c:pt idx="45">
                  <c:v>-11464.466094067262</c:v>
                </c:pt>
                <c:pt idx="46">
                  <c:v>-11403.300998306744</c:v>
                </c:pt>
                <c:pt idx="47">
                  <c:v>-11343.231491904147</c:v>
                </c:pt>
                <c:pt idx="48">
                  <c:v>-11284.275872613029</c:v>
                </c:pt>
                <c:pt idx="49">
                  <c:v>-11226.45209888614</c:v>
                </c:pt>
                <c:pt idx="50">
                  <c:v>-11169.777784405109</c:v>
                </c:pt>
                <c:pt idx="51">
                  <c:v>-11114.270192715147</c:v>
                </c:pt>
                <c:pt idx="52">
                  <c:v>-11059.946231966391</c:v>
                </c:pt>
                <c:pt idx="53">
                  <c:v>-11006.822449763536</c:v>
                </c:pt>
                <c:pt idx="54">
                  <c:v>-10954.915028125262</c:v>
                </c:pt>
                <c:pt idx="55">
                  <c:v>-10904.239778555042</c:v>
                </c:pt>
                <c:pt idx="56">
                  <c:v>-10854.812137224792</c:v>
                </c:pt>
                <c:pt idx="57">
                  <c:v>-10806.647160272882</c:v>
                </c:pt>
                <c:pt idx="58">
                  <c:v>-10759.759519217871</c:v>
                </c:pt>
                <c:pt idx="59">
                  <c:v>-10714.16349648944</c:v>
                </c:pt>
                <c:pt idx="60">
                  <c:v>-10669.872981077806</c:v>
                </c:pt>
                <c:pt idx="61">
                  <c:v>-10626.90146430302</c:v>
                </c:pt>
                <c:pt idx="62">
                  <c:v>-10585.262035705366</c:v>
                </c:pt>
                <c:pt idx="63">
                  <c:v>-10544.967379058162</c:v>
                </c:pt>
                <c:pt idx="64">
                  <c:v>-10506.029768504166</c:v>
                </c:pt>
                <c:pt idx="65">
                  <c:v>-10468.461064816751</c:v>
                </c:pt>
                <c:pt idx="66">
                  <c:v>-10432.272711786994</c:v>
                </c:pt>
                <c:pt idx="67">
                  <c:v>-10397.475732737799</c:v>
                </c:pt>
                <c:pt idx="68">
                  <c:v>-10364.080727166063</c:v>
                </c:pt>
                <c:pt idx="69">
                  <c:v>-10332.097867513992</c:v>
                </c:pt>
                <c:pt idx="70">
                  <c:v>-10301.536896070458</c:v>
                </c:pt>
                <c:pt idx="71">
                  <c:v>-10272.407122003417</c:v>
                </c:pt>
                <c:pt idx="72">
                  <c:v>-10244.717418524233</c:v>
                </c:pt>
                <c:pt idx="73">
                  <c:v>-10218.476220184823</c:v>
                </c:pt>
                <c:pt idx="74">
                  <c:v>-10193.691520308406</c:v>
                </c:pt>
                <c:pt idx="75">
                  <c:v>-10170.370868554659</c:v>
                </c:pt>
                <c:pt idx="76">
                  <c:v>-10148.521368620019</c:v>
                </c:pt>
                <c:pt idx="77">
                  <c:v>-10128.149676073823</c:v>
                </c:pt>
                <c:pt idx="78">
                  <c:v>-10109.261996330972</c:v>
                </c:pt>
                <c:pt idx="79">
                  <c:v>-10091.86408276168</c:v>
                </c:pt>
                <c:pt idx="80">
                  <c:v>-10075.961234938961</c:v>
                </c:pt>
                <c:pt idx="81">
                  <c:v>-10061.558297024312</c:v>
                </c:pt>
                <c:pt idx="82">
                  <c:v>-10048.659656292148</c:v>
                </c:pt>
                <c:pt idx="83">
                  <c:v>-10037.26924179339</c:v>
                </c:pt>
                <c:pt idx="84">
                  <c:v>-10027.390523158632</c:v>
                </c:pt>
                <c:pt idx="85">
                  <c:v>-10019.026509541272</c:v>
                </c:pt>
                <c:pt idx="86">
                  <c:v>-10012.179748700879</c:v>
                </c:pt>
                <c:pt idx="87">
                  <c:v>-10006.85232622713</c:v>
                </c:pt>
                <c:pt idx="88">
                  <c:v>-10003.045864904521</c:v>
                </c:pt>
                <c:pt idx="89">
                  <c:v>-10000.761524218044</c:v>
                </c:pt>
                <c:pt idx="90">
                  <c:v>-10000</c:v>
                </c:pt>
                <c:pt idx="91">
                  <c:v>-10000.761524218044</c:v>
                </c:pt>
                <c:pt idx="92">
                  <c:v>-10003.045864904521</c:v>
                </c:pt>
                <c:pt idx="93">
                  <c:v>-10006.85232622713</c:v>
                </c:pt>
                <c:pt idx="94">
                  <c:v>-10012.179748700879</c:v>
                </c:pt>
                <c:pt idx="95">
                  <c:v>-10019.026509541272</c:v>
                </c:pt>
                <c:pt idx="96">
                  <c:v>-10027.390523158632</c:v>
                </c:pt>
                <c:pt idx="97">
                  <c:v>-10037.26924179339</c:v>
                </c:pt>
                <c:pt idx="98">
                  <c:v>-10048.659656292148</c:v>
                </c:pt>
                <c:pt idx="99">
                  <c:v>-10061.558297024312</c:v>
                </c:pt>
                <c:pt idx="100">
                  <c:v>-10075.961234938961</c:v>
                </c:pt>
                <c:pt idx="101">
                  <c:v>-10091.86408276168</c:v>
                </c:pt>
                <c:pt idx="102">
                  <c:v>-10109.261996330972</c:v>
                </c:pt>
                <c:pt idx="103">
                  <c:v>-10128.149676073823</c:v>
                </c:pt>
                <c:pt idx="104">
                  <c:v>-10148.521368620019</c:v>
                </c:pt>
                <c:pt idx="105">
                  <c:v>-10170.370868554659</c:v>
                </c:pt>
                <c:pt idx="106">
                  <c:v>-10193.691520308406</c:v>
                </c:pt>
                <c:pt idx="107">
                  <c:v>-10218.476220184823</c:v>
                </c:pt>
                <c:pt idx="108">
                  <c:v>-10244.717418524233</c:v>
                </c:pt>
                <c:pt idx="109">
                  <c:v>-10272.407122003417</c:v>
                </c:pt>
                <c:pt idx="110">
                  <c:v>-10301.536896070458</c:v>
                </c:pt>
                <c:pt idx="111">
                  <c:v>-10332.097867513992</c:v>
                </c:pt>
                <c:pt idx="112">
                  <c:v>-10364.080727166063</c:v>
                </c:pt>
                <c:pt idx="113">
                  <c:v>-10397.475732737799</c:v>
                </c:pt>
                <c:pt idx="114">
                  <c:v>-10432.272711786994</c:v>
                </c:pt>
                <c:pt idx="115">
                  <c:v>-10468.461064816751</c:v>
                </c:pt>
                <c:pt idx="116">
                  <c:v>-10506.029768504166</c:v>
                </c:pt>
                <c:pt idx="117">
                  <c:v>-10544.96737905816</c:v>
                </c:pt>
                <c:pt idx="118">
                  <c:v>-10585.262035705364</c:v>
                </c:pt>
                <c:pt idx="119">
                  <c:v>-10626.90146430302</c:v>
                </c:pt>
                <c:pt idx="120">
                  <c:v>-10669.872981077806</c:v>
                </c:pt>
                <c:pt idx="121">
                  <c:v>-10714.163496489438</c:v>
                </c:pt>
                <c:pt idx="122">
                  <c:v>-10759.759519217871</c:v>
                </c:pt>
                <c:pt idx="123">
                  <c:v>-10806.647160272882</c:v>
                </c:pt>
                <c:pt idx="124">
                  <c:v>-10854.812137224792</c:v>
                </c:pt>
                <c:pt idx="125">
                  <c:v>-10904.23977855504</c:v>
                </c:pt>
                <c:pt idx="126">
                  <c:v>-10954.915028125262</c:v>
                </c:pt>
                <c:pt idx="127">
                  <c:v>-11006.822449763536</c:v>
                </c:pt>
                <c:pt idx="128">
                  <c:v>-11059.946231966391</c:v>
                </c:pt>
                <c:pt idx="129">
                  <c:v>-11114.270192715145</c:v>
                </c:pt>
                <c:pt idx="130">
                  <c:v>-11169.777784405109</c:v>
                </c:pt>
                <c:pt idx="131">
                  <c:v>-11226.45209888614</c:v>
                </c:pt>
                <c:pt idx="132">
                  <c:v>-11284.275872613029</c:v>
                </c:pt>
                <c:pt idx="133">
                  <c:v>-11343.231491904147</c:v>
                </c:pt>
                <c:pt idx="134">
                  <c:v>-11403.300998306742</c:v>
                </c:pt>
                <c:pt idx="135">
                  <c:v>-11464.466094067262</c:v>
                </c:pt>
                <c:pt idx="136">
                  <c:v>-11526.708147705014</c:v>
                </c:pt>
                <c:pt idx="137">
                  <c:v>-11590.008199687507</c:v>
                </c:pt>
                <c:pt idx="138">
                  <c:v>-11654.346968205708</c:v>
                </c:pt>
                <c:pt idx="139">
                  <c:v>-11719.704855047465</c:v>
                </c:pt>
                <c:pt idx="140">
                  <c:v>-11786.061951567302</c:v>
                </c:pt>
                <c:pt idx="141">
                  <c:v>-11853.398044750811</c:v>
                </c:pt>
                <c:pt idx="142">
                  <c:v>-11921.692623371708</c:v>
                </c:pt>
                <c:pt idx="143">
                  <c:v>-11990.924884239759</c:v>
                </c:pt>
                <c:pt idx="144">
                  <c:v>-12061.073738537634</c:v>
                </c:pt>
                <c:pt idx="145">
                  <c:v>-12132.117818244767</c:v>
                </c:pt>
                <c:pt idx="146">
                  <c:v>-12204.035482646264</c:v>
                </c:pt>
                <c:pt idx="147">
                  <c:v>-12276.804824924864</c:v>
                </c:pt>
                <c:pt idx="148">
                  <c:v>-12350.403678833976</c:v>
                </c:pt>
                <c:pt idx="149">
                  <c:v>-12424.809625449729</c:v>
                </c:pt>
                <c:pt idx="150">
                  <c:v>-12500</c:v>
                </c:pt>
                <c:pt idx="151">
                  <c:v>-12575.951898768315</c:v>
                </c:pt>
                <c:pt idx="152">
                  <c:v>-12652.642186070545</c:v>
                </c:pt>
                <c:pt idx="153">
                  <c:v>-12730.047501302266</c:v>
                </c:pt>
                <c:pt idx="154">
                  <c:v>-12808.144266054613</c:v>
                </c:pt>
                <c:pt idx="155">
                  <c:v>-12886.908691296503</c:v>
                </c:pt>
                <c:pt idx="156">
                  <c:v>-12966.316784620998</c:v>
                </c:pt>
                <c:pt idx="157">
                  <c:v>-13046.344357553629</c:v>
                </c:pt>
                <c:pt idx="158">
                  <c:v>-13126.967032920438</c:v>
                </c:pt>
                <c:pt idx="159">
                  <c:v>-13208.160252273499</c:v>
                </c:pt>
                <c:pt idx="160">
                  <c:v>-13289.899283371655</c:v>
                </c:pt>
                <c:pt idx="161">
                  <c:v>-13372.159227714215</c:v>
                </c:pt>
                <c:pt idx="162">
                  <c:v>-13454.915028125262</c:v>
                </c:pt>
                <c:pt idx="163">
                  <c:v>-13538.141476386314</c:v>
                </c:pt>
                <c:pt idx="164">
                  <c:v>-13621.813220915003</c:v>
                </c:pt>
                <c:pt idx="165">
                  <c:v>-13705.904774487395</c:v>
                </c:pt>
                <c:pt idx="166">
                  <c:v>-13790.39052200166</c:v>
                </c:pt>
                <c:pt idx="167">
                  <c:v>-13875.244728280675</c:v>
                </c:pt>
                <c:pt idx="168">
                  <c:v>-13960.441545911202</c:v>
                </c:pt>
                <c:pt idx="169">
                  <c:v>-14045.955023117274</c:v>
                </c:pt>
                <c:pt idx="170">
                  <c:v>-14131.759111665349</c:v>
                </c:pt>
                <c:pt idx="171">
                  <c:v>-14217.827674798846</c:v>
                </c:pt>
                <c:pt idx="172">
                  <c:v>-14304.134495199671</c:v>
                </c:pt>
                <c:pt idx="173">
                  <c:v>-14390.653282974263</c:v>
                </c:pt>
                <c:pt idx="174">
                  <c:v>-14477.357683661732</c:v>
                </c:pt>
                <c:pt idx="175">
                  <c:v>-14564.221286261707</c:v>
                </c:pt>
                <c:pt idx="176">
                  <c:v>-14651.217631279373</c:v>
                </c:pt>
                <c:pt idx="177">
                  <c:v>-14738.32021878528</c:v>
                </c:pt>
                <c:pt idx="178">
                  <c:v>-14825.502516487497</c:v>
                </c:pt>
                <c:pt idx="179">
                  <c:v>-14912.737967813582</c:v>
                </c:pt>
                <c:pt idx="180">
                  <c:v>-15000</c:v>
                </c:pt>
                <c:pt idx="181">
                  <c:v>-15087.262032186416</c:v>
                </c:pt>
                <c:pt idx="182">
                  <c:v>-15174.497483512505</c:v>
                </c:pt>
                <c:pt idx="183">
                  <c:v>-15261.679781214718</c:v>
                </c:pt>
                <c:pt idx="184">
                  <c:v>-15348.782368720624</c:v>
                </c:pt>
                <c:pt idx="185">
                  <c:v>-15435.778713738289</c:v>
                </c:pt>
                <c:pt idx="186">
                  <c:v>-15522.642316338266</c:v>
                </c:pt>
                <c:pt idx="187">
                  <c:v>-15609.346717025739</c:v>
                </c:pt>
                <c:pt idx="188">
                  <c:v>-15695.865504800327</c:v>
                </c:pt>
                <c:pt idx="189">
                  <c:v>-15782.172325201154</c:v>
                </c:pt>
                <c:pt idx="190">
                  <c:v>-15868.240888334652</c:v>
                </c:pt>
                <c:pt idx="191">
                  <c:v>-15954.044976882724</c:v>
                </c:pt>
                <c:pt idx="192">
                  <c:v>-16039.558454088796</c:v>
                </c:pt>
                <c:pt idx="193">
                  <c:v>-16124.755271719325</c:v>
                </c:pt>
                <c:pt idx="194">
                  <c:v>-16209.609477998338</c:v>
                </c:pt>
                <c:pt idx="195">
                  <c:v>-16294.095225512601</c:v>
                </c:pt>
                <c:pt idx="196">
                  <c:v>-16378.186779084996</c:v>
                </c:pt>
                <c:pt idx="197">
                  <c:v>-16461.858523613682</c:v>
                </c:pt>
                <c:pt idx="198">
                  <c:v>-16545.084971874738</c:v>
                </c:pt>
                <c:pt idx="199">
                  <c:v>-16627.840772285785</c:v>
                </c:pt>
                <c:pt idx="200">
                  <c:v>-16710.100716628342</c:v>
                </c:pt>
                <c:pt idx="201">
                  <c:v>-16791.839747726503</c:v>
                </c:pt>
                <c:pt idx="202">
                  <c:v>-16873.032967079562</c:v>
                </c:pt>
                <c:pt idx="203">
                  <c:v>-16953.655642446367</c:v>
                </c:pt>
                <c:pt idx="204">
                  <c:v>-17033.683215378998</c:v>
                </c:pt>
                <c:pt idx="205">
                  <c:v>-17113.091308703497</c:v>
                </c:pt>
                <c:pt idx="206">
                  <c:v>-17191.855733945384</c:v>
                </c:pt>
                <c:pt idx="207">
                  <c:v>-17269.95249869773</c:v>
                </c:pt>
                <c:pt idx="208">
                  <c:v>-17347.357813929455</c:v>
                </c:pt>
                <c:pt idx="209">
                  <c:v>-17424.048101231685</c:v>
                </c:pt>
                <c:pt idx="210">
                  <c:v>-17500</c:v>
                </c:pt>
                <c:pt idx="211">
                  <c:v>-17575.190374550271</c:v>
                </c:pt>
                <c:pt idx="212">
                  <c:v>-17649.596321166024</c:v>
                </c:pt>
                <c:pt idx="213">
                  <c:v>-17723.195175075136</c:v>
                </c:pt>
                <c:pt idx="214">
                  <c:v>-17795.964517353732</c:v>
                </c:pt>
                <c:pt idx="215">
                  <c:v>-17867.882181755231</c:v>
                </c:pt>
                <c:pt idx="216">
                  <c:v>-17938.926261462366</c:v>
                </c:pt>
                <c:pt idx="217">
                  <c:v>-18009.075115760239</c:v>
                </c:pt>
                <c:pt idx="218">
                  <c:v>-18078.307376628291</c:v>
                </c:pt>
                <c:pt idx="219">
                  <c:v>-18146.601955249189</c:v>
                </c:pt>
                <c:pt idx="220">
                  <c:v>-18213.938048432698</c:v>
                </c:pt>
                <c:pt idx="221">
                  <c:v>-18280.295144952535</c:v>
                </c:pt>
                <c:pt idx="222">
                  <c:v>-18345.653031794292</c:v>
                </c:pt>
                <c:pt idx="223">
                  <c:v>-18409.991800312491</c:v>
                </c:pt>
                <c:pt idx="224">
                  <c:v>-18473.291852294988</c:v>
                </c:pt>
                <c:pt idx="225">
                  <c:v>-18535.533905932738</c:v>
                </c:pt>
                <c:pt idx="226">
                  <c:v>-18596.699001693254</c:v>
                </c:pt>
                <c:pt idx="227">
                  <c:v>-18656.768508095851</c:v>
                </c:pt>
                <c:pt idx="228">
                  <c:v>-18715.724127386969</c:v>
                </c:pt>
                <c:pt idx="229">
                  <c:v>-18773.54790111386</c:v>
                </c:pt>
                <c:pt idx="230">
                  <c:v>-18830.222215594891</c:v>
                </c:pt>
                <c:pt idx="231">
                  <c:v>-18885.729807284857</c:v>
                </c:pt>
                <c:pt idx="232">
                  <c:v>-18940.053768033609</c:v>
                </c:pt>
                <c:pt idx="233">
                  <c:v>-18993.177550236465</c:v>
                </c:pt>
                <c:pt idx="234">
                  <c:v>-19045.084971874738</c:v>
                </c:pt>
                <c:pt idx="235">
                  <c:v>-19095.760221444958</c:v>
                </c:pt>
                <c:pt idx="236">
                  <c:v>-19145.187862775208</c:v>
                </c:pt>
                <c:pt idx="237">
                  <c:v>-19193.352839727122</c:v>
                </c:pt>
                <c:pt idx="238">
                  <c:v>-19240.240480782129</c:v>
                </c:pt>
                <c:pt idx="239">
                  <c:v>-19285.83650351056</c:v>
                </c:pt>
                <c:pt idx="240">
                  <c:v>-19330.12701892219</c:v>
                </c:pt>
                <c:pt idx="241">
                  <c:v>-19373.09853569698</c:v>
                </c:pt>
                <c:pt idx="242">
                  <c:v>-19414.737964294636</c:v>
                </c:pt>
                <c:pt idx="243">
                  <c:v>-19455.032620941838</c:v>
                </c:pt>
                <c:pt idx="244">
                  <c:v>-19493.970231495834</c:v>
                </c:pt>
                <c:pt idx="245">
                  <c:v>-19531.538935183249</c:v>
                </c:pt>
                <c:pt idx="246">
                  <c:v>-19567.727288213006</c:v>
                </c:pt>
                <c:pt idx="247">
                  <c:v>-19602.524267262201</c:v>
                </c:pt>
                <c:pt idx="248">
                  <c:v>-19635.919272833937</c:v>
                </c:pt>
                <c:pt idx="249">
                  <c:v>-19667.902132486008</c:v>
                </c:pt>
                <c:pt idx="250">
                  <c:v>-19698.463103929542</c:v>
                </c:pt>
                <c:pt idx="251">
                  <c:v>-19727.592877996583</c:v>
                </c:pt>
                <c:pt idx="252">
                  <c:v>-19755.282581475767</c:v>
                </c:pt>
                <c:pt idx="253">
                  <c:v>-19781.523779815176</c:v>
                </c:pt>
                <c:pt idx="254">
                  <c:v>-19806.308479691594</c:v>
                </c:pt>
                <c:pt idx="255">
                  <c:v>-19829.629131445341</c:v>
                </c:pt>
                <c:pt idx="256">
                  <c:v>-19851.478631379981</c:v>
                </c:pt>
                <c:pt idx="257">
                  <c:v>-19871.850323926177</c:v>
                </c:pt>
                <c:pt idx="258">
                  <c:v>-19890.73800366903</c:v>
                </c:pt>
                <c:pt idx="259">
                  <c:v>-19908.13591723832</c:v>
                </c:pt>
                <c:pt idx="260">
                  <c:v>-19924.038765061039</c:v>
                </c:pt>
                <c:pt idx="261">
                  <c:v>-19938.441702975688</c:v>
                </c:pt>
                <c:pt idx="262">
                  <c:v>-19951.340343707852</c:v>
                </c:pt>
                <c:pt idx="263">
                  <c:v>-19962.73075820661</c:v>
                </c:pt>
                <c:pt idx="264">
                  <c:v>-19972.609476841368</c:v>
                </c:pt>
                <c:pt idx="265">
                  <c:v>-19980.973490458728</c:v>
                </c:pt>
                <c:pt idx="266">
                  <c:v>-19987.820251299119</c:v>
                </c:pt>
                <c:pt idx="267">
                  <c:v>-19993.14767377287</c:v>
                </c:pt>
                <c:pt idx="268">
                  <c:v>-19996.954135095479</c:v>
                </c:pt>
                <c:pt idx="269">
                  <c:v>-19999.238475781956</c:v>
                </c:pt>
                <c:pt idx="270">
                  <c:v>-20000</c:v>
                </c:pt>
                <c:pt idx="271">
                  <c:v>-19999.238475781956</c:v>
                </c:pt>
                <c:pt idx="272">
                  <c:v>-19996.954135095479</c:v>
                </c:pt>
                <c:pt idx="273">
                  <c:v>-19993.14767377287</c:v>
                </c:pt>
                <c:pt idx="274">
                  <c:v>-19987.820251299123</c:v>
                </c:pt>
                <c:pt idx="275">
                  <c:v>-19980.973490458728</c:v>
                </c:pt>
                <c:pt idx="276">
                  <c:v>-19972.609476841368</c:v>
                </c:pt>
                <c:pt idx="277">
                  <c:v>-19962.73075820661</c:v>
                </c:pt>
                <c:pt idx="278">
                  <c:v>-19951.340343707852</c:v>
                </c:pt>
                <c:pt idx="279">
                  <c:v>-19938.441702975688</c:v>
                </c:pt>
                <c:pt idx="280">
                  <c:v>-19924.038765061043</c:v>
                </c:pt>
                <c:pt idx="281">
                  <c:v>-19908.13591723832</c:v>
                </c:pt>
                <c:pt idx="282">
                  <c:v>-19890.73800366903</c:v>
                </c:pt>
                <c:pt idx="283">
                  <c:v>-19871.850323926177</c:v>
                </c:pt>
                <c:pt idx="284">
                  <c:v>-19851.478631379985</c:v>
                </c:pt>
                <c:pt idx="285">
                  <c:v>-19829.629131445341</c:v>
                </c:pt>
                <c:pt idx="286">
                  <c:v>-19806.308479691594</c:v>
                </c:pt>
                <c:pt idx="287">
                  <c:v>-19781.523779815179</c:v>
                </c:pt>
                <c:pt idx="288">
                  <c:v>-19755.282581475767</c:v>
                </c:pt>
                <c:pt idx="289">
                  <c:v>-19727.592877996583</c:v>
                </c:pt>
                <c:pt idx="290">
                  <c:v>-19698.463103929542</c:v>
                </c:pt>
                <c:pt idx="291">
                  <c:v>-19667.902132486011</c:v>
                </c:pt>
                <c:pt idx="292">
                  <c:v>-19635.919272833937</c:v>
                </c:pt>
                <c:pt idx="293">
                  <c:v>-19602.524267262204</c:v>
                </c:pt>
                <c:pt idx="294">
                  <c:v>-19567.727288213006</c:v>
                </c:pt>
                <c:pt idx="295">
                  <c:v>-19531.538935183249</c:v>
                </c:pt>
                <c:pt idx="296">
                  <c:v>-19493.970231495834</c:v>
                </c:pt>
                <c:pt idx="297">
                  <c:v>-19455.032620941842</c:v>
                </c:pt>
                <c:pt idx="298">
                  <c:v>-19414.737964294636</c:v>
                </c:pt>
                <c:pt idx="299">
                  <c:v>-19373.09853569698</c:v>
                </c:pt>
                <c:pt idx="300">
                  <c:v>-19330.127018922194</c:v>
                </c:pt>
                <c:pt idx="301">
                  <c:v>-19285.83650351056</c:v>
                </c:pt>
                <c:pt idx="302">
                  <c:v>-19240.240480782129</c:v>
                </c:pt>
                <c:pt idx="303">
                  <c:v>-19193.352839727122</c:v>
                </c:pt>
                <c:pt idx="304">
                  <c:v>-19145.187862775208</c:v>
                </c:pt>
                <c:pt idx="305">
                  <c:v>-19095.760221444958</c:v>
                </c:pt>
                <c:pt idx="306">
                  <c:v>-19045.084971874738</c:v>
                </c:pt>
                <c:pt idx="307">
                  <c:v>-18993.177550236465</c:v>
                </c:pt>
                <c:pt idx="308">
                  <c:v>-18940.053768033609</c:v>
                </c:pt>
                <c:pt idx="309">
                  <c:v>-18885.729807284853</c:v>
                </c:pt>
                <c:pt idx="310">
                  <c:v>-18830.222215594891</c:v>
                </c:pt>
                <c:pt idx="311">
                  <c:v>-18773.54790111386</c:v>
                </c:pt>
                <c:pt idx="312">
                  <c:v>-18715.724127386973</c:v>
                </c:pt>
                <c:pt idx="313">
                  <c:v>-18656.768508095854</c:v>
                </c:pt>
                <c:pt idx="314">
                  <c:v>-18596.699001693258</c:v>
                </c:pt>
                <c:pt idx="315">
                  <c:v>-18535.533905932738</c:v>
                </c:pt>
                <c:pt idx="316">
                  <c:v>-18473.291852294988</c:v>
                </c:pt>
                <c:pt idx="317">
                  <c:v>-18409.991800312491</c:v>
                </c:pt>
                <c:pt idx="318">
                  <c:v>-18345.653031794289</c:v>
                </c:pt>
                <c:pt idx="319">
                  <c:v>-18280.295144952535</c:v>
                </c:pt>
                <c:pt idx="320">
                  <c:v>-18213.938048432698</c:v>
                </c:pt>
                <c:pt idx="321">
                  <c:v>-18146.601955249189</c:v>
                </c:pt>
                <c:pt idx="322">
                  <c:v>-18078.307376628294</c:v>
                </c:pt>
                <c:pt idx="323">
                  <c:v>-18009.075115760243</c:v>
                </c:pt>
                <c:pt idx="324">
                  <c:v>-17938.926261462366</c:v>
                </c:pt>
                <c:pt idx="325">
                  <c:v>-17867.882181755231</c:v>
                </c:pt>
                <c:pt idx="326">
                  <c:v>-17795.964517353736</c:v>
                </c:pt>
                <c:pt idx="327">
                  <c:v>-17723.195175075136</c:v>
                </c:pt>
                <c:pt idx="328">
                  <c:v>-17649.596321166027</c:v>
                </c:pt>
                <c:pt idx="329">
                  <c:v>-17575.190374550271</c:v>
                </c:pt>
                <c:pt idx="330">
                  <c:v>-17500.000000000004</c:v>
                </c:pt>
                <c:pt idx="331">
                  <c:v>-17424.048101231685</c:v>
                </c:pt>
                <c:pt idx="332">
                  <c:v>-17347.357813929455</c:v>
                </c:pt>
                <c:pt idx="333">
                  <c:v>-17269.952498697734</c:v>
                </c:pt>
                <c:pt idx="334">
                  <c:v>-17191.855733945384</c:v>
                </c:pt>
                <c:pt idx="335">
                  <c:v>-17113.091308703501</c:v>
                </c:pt>
                <c:pt idx="336">
                  <c:v>-17033.683215379002</c:v>
                </c:pt>
                <c:pt idx="337">
                  <c:v>-16953.655642446374</c:v>
                </c:pt>
                <c:pt idx="338">
                  <c:v>-16873.032967079562</c:v>
                </c:pt>
                <c:pt idx="339">
                  <c:v>-16791.839747726503</c:v>
                </c:pt>
                <c:pt idx="340">
                  <c:v>-16710.100716628342</c:v>
                </c:pt>
                <c:pt idx="341">
                  <c:v>-16627.840772285788</c:v>
                </c:pt>
                <c:pt idx="342">
                  <c:v>-16545.084971874738</c:v>
                </c:pt>
                <c:pt idx="343">
                  <c:v>-16461.858523613682</c:v>
                </c:pt>
                <c:pt idx="344">
                  <c:v>-16378.186779084999</c:v>
                </c:pt>
                <c:pt idx="345">
                  <c:v>-16294.095225512603</c:v>
                </c:pt>
                <c:pt idx="346">
                  <c:v>-16209.60947799834</c:v>
                </c:pt>
                <c:pt idx="347">
                  <c:v>-16124.755271719327</c:v>
                </c:pt>
                <c:pt idx="348">
                  <c:v>-16039.558454088799</c:v>
                </c:pt>
                <c:pt idx="349">
                  <c:v>-15954.044976882724</c:v>
                </c:pt>
                <c:pt idx="350">
                  <c:v>-15868.240888334656</c:v>
                </c:pt>
                <c:pt idx="351">
                  <c:v>-15782.172325201156</c:v>
                </c:pt>
                <c:pt idx="352">
                  <c:v>-15695.865504800329</c:v>
                </c:pt>
                <c:pt idx="353">
                  <c:v>-15609.346717025741</c:v>
                </c:pt>
                <c:pt idx="354">
                  <c:v>-15522.642316338268</c:v>
                </c:pt>
                <c:pt idx="355">
                  <c:v>-15435.778713738291</c:v>
                </c:pt>
                <c:pt idx="356">
                  <c:v>-15348.782368720624</c:v>
                </c:pt>
                <c:pt idx="357">
                  <c:v>-15261.679781214722</c:v>
                </c:pt>
                <c:pt idx="358">
                  <c:v>-15174.497483512505</c:v>
                </c:pt>
                <c:pt idx="359">
                  <c:v>-15087.262032186421</c:v>
                </c:pt>
                <c:pt idx="36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D2-44C5-A25D-CDF3BBA8BBB6}"/>
            </c:ext>
          </c:extLst>
        </c:ser>
        <c:ser>
          <c:idx val="0"/>
          <c:order val="3"/>
          <c:tx>
            <c:v>Onion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7448-400C-A962-E08004249CCF}"/>
              </c:ext>
            </c:extLst>
          </c:dPt>
          <c:xVal>
            <c:numRef>
              <c:f>'Simulation mouvement'!$D$31</c:f>
              <c:numCache>
                <c:formatCode>General</c:formatCode>
                <c:ptCount val="1"/>
                <c:pt idx="0">
                  <c:v>6287.8170257236516</c:v>
                </c:pt>
              </c:numCache>
            </c:numRef>
          </c:xVal>
          <c:yVal>
            <c:numRef>
              <c:f>'Simulation mouvement'!$D$32</c:f>
              <c:numCache>
                <c:formatCode>General</c:formatCode>
                <c:ptCount val="1"/>
                <c:pt idx="0">
                  <c:v>494.64278552863158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D2-44C5-A25D-CDF3BBA8BBB6}"/>
            </c:ext>
          </c:extLst>
        </c:ser>
        <c:ser>
          <c:idx val="4"/>
          <c:order val="4"/>
          <c:tx>
            <c:v>Onion1</c:v>
          </c:tx>
          <c:spPr>
            <a:ln w="38100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25000">
                    <a:schemeClr val="accent4">
                      <a:lumMod val="20000"/>
                      <a:lumOff val="80000"/>
                    </a:schemeClr>
                  </a:gs>
                  <a:gs pos="70000">
                    <a:srgbClr val="FFC000"/>
                  </a:gs>
                  <a:gs pos="100000">
                    <a:schemeClr val="accent2">
                      <a:lumMod val="75000"/>
                      <a:alpha val="44000"/>
                    </a:schemeClr>
                  </a:gs>
                </a:gsLst>
                <a:lin ang="5400000" scaled="1"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7448-400C-A962-E08004249CCF}"/>
              </c:ext>
            </c:extLst>
          </c:dPt>
          <c:xVal>
            <c:numRef>
              <c:f>'Simulation mouvement'!$E$31:$J$31</c:f>
              <c:numCache>
                <c:formatCode>General</c:formatCode>
                <c:ptCount val="6"/>
                <c:pt idx="0">
                  <c:v>5371.2029090760279</c:v>
                </c:pt>
                <c:pt idx="1">
                  <c:v>4468.7030813379124</c:v>
                </c:pt>
                <c:pt idx="2">
                  <c:v>3601.3168343608268</c:v>
                </c:pt>
                <c:pt idx="3">
                  <c:v>2788.9953190734213</c:v>
                </c:pt>
                <c:pt idx="4">
                  <c:v>2050.4453288274426</c:v>
                </c:pt>
                <c:pt idx="5">
                  <c:v>1402.8157588895531</c:v>
                </c:pt>
              </c:numCache>
            </c:numRef>
          </c:xVal>
          <c:yVal>
            <c:numRef>
              <c:f>'Simulation mouvement'!$E$32:$J$32</c:f>
              <c:numCache>
                <c:formatCode>General</c:formatCode>
                <c:ptCount val="6"/>
                <c:pt idx="0">
                  <c:v>93.385741753639195</c:v>
                </c:pt>
                <c:pt idx="1">
                  <c:v>-151.39104058870441</c:v>
                </c:pt>
                <c:pt idx="2">
                  <c:v>-273.17359077347771</c:v>
                </c:pt>
                <c:pt idx="3">
                  <c:v>-304.86875806678455</c:v>
                </c:pt>
                <c:pt idx="4">
                  <c:v>-276.81517989996593</c:v>
                </c:pt>
                <c:pt idx="5">
                  <c:v>-215.47891459434885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DD2-44C5-A25D-CDF3BBA8B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scatterChart>
        <c:scatterStyle val="lineMarker"/>
        <c:varyColors val="0"/>
        <c:ser>
          <c:idx val="5"/>
          <c:order val="5"/>
          <c:tx>
            <c:v>Vaisseau</c:v>
          </c:tx>
          <c:spPr>
            <a:ln w="19050" cap="rnd">
              <a:gradFill flip="none" rotWithShape="1"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46000">
                    <a:schemeClr val="accent2">
                      <a:lumMod val="95000"/>
                      <a:lumOff val="5000"/>
                    </a:schemeClr>
                  </a:gs>
                  <a:gs pos="100000">
                    <a:schemeClr val="accent2">
                      <a:lumMod val="60000"/>
                    </a:schemeClr>
                  </a:gs>
                </a:gsLst>
                <a:path path="shape">
                  <a:fillToRect l="50000" t="50000" r="50000" b="50000"/>
                </a:path>
                <a:tileRect/>
              </a:gra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'Simulation mouvement'!$C$34:$M$34</c:f>
              <c:numCache>
                <c:formatCode>General</c:formatCode>
                <c:ptCount val="11"/>
                <c:pt idx="0">
                  <c:v>6287.8170257236516</c:v>
                </c:pt>
                <c:pt idx="1">
                  <c:v>7287.8170257236516</c:v>
                </c:pt>
                <c:pt idx="2">
                  <c:v>9287.8170257236525</c:v>
                </c:pt>
                <c:pt idx="3">
                  <c:v>7287.8170257236516</c:v>
                </c:pt>
                <c:pt idx="4">
                  <c:v>8287.8170257236525</c:v>
                </c:pt>
                <c:pt idx="5">
                  <c:v>6287.8170257236516</c:v>
                </c:pt>
                <c:pt idx="6">
                  <c:v>4287.8170257236516</c:v>
                </c:pt>
                <c:pt idx="7">
                  <c:v>5287.8170257236516</c:v>
                </c:pt>
                <c:pt idx="8">
                  <c:v>3287.8170257236516</c:v>
                </c:pt>
                <c:pt idx="9">
                  <c:v>5287.8170257236516</c:v>
                </c:pt>
                <c:pt idx="10">
                  <c:v>6287.8170257236516</c:v>
                </c:pt>
              </c:numCache>
            </c:numRef>
          </c:xVal>
          <c:yVal>
            <c:numRef>
              <c:f>'Simulation mouvement'!$C$35:$M$35</c:f>
              <c:numCache>
                <c:formatCode>General</c:formatCode>
                <c:ptCount val="11"/>
                <c:pt idx="0">
                  <c:v>3494.6427855286315</c:v>
                </c:pt>
                <c:pt idx="1">
                  <c:v>1244.6427855286315</c:v>
                </c:pt>
                <c:pt idx="2">
                  <c:v>1244.6427855286315</c:v>
                </c:pt>
                <c:pt idx="3">
                  <c:v>-255.35721447136842</c:v>
                </c:pt>
                <c:pt idx="4">
                  <c:v>-2505.3572144713685</c:v>
                </c:pt>
                <c:pt idx="5">
                  <c:v>-1005.3572144713685</c:v>
                </c:pt>
                <c:pt idx="6">
                  <c:v>-2505.3572144713685</c:v>
                </c:pt>
                <c:pt idx="7">
                  <c:v>-255.35721447136842</c:v>
                </c:pt>
                <c:pt idx="8">
                  <c:v>1244.6427855286315</c:v>
                </c:pt>
                <c:pt idx="9">
                  <c:v>1244.6427855286315</c:v>
                </c:pt>
                <c:pt idx="10">
                  <c:v>3494.6427855286315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48-400C-A962-E0800424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8773680"/>
        <c:axId val="1288763696"/>
      </c:scatterChart>
      <c:valAx>
        <c:axId val="1288773680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out"/>
        <c:minorTickMark val="none"/>
        <c:tickLblPos val="nextTo"/>
        <c:crossAx val="1288763696"/>
        <c:crosses val="autoZero"/>
        <c:crossBetween val="midCat"/>
      </c:valAx>
      <c:valAx>
        <c:axId val="1288763696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out"/>
        <c:minorTickMark val="none"/>
        <c:tickLblPos val="nextTo"/>
        <c:crossAx val="1288773680"/>
        <c:crosses val="autoZero"/>
        <c:crossBetween val="midCat"/>
      </c:valAx>
      <c:spPr>
        <a:pattFill prst="pct60">
          <a:fgClr>
            <a:schemeClr val="accent5">
              <a:lumMod val="75000"/>
            </a:schemeClr>
          </a:fgClr>
          <a:bgClr>
            <a:srgbClr val="6A3C84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25400">
      <a:gradFill flip="none" rotWithShape="1">
        <a:gsLst>
          <a:gs pos="0">
            <a:schemeClr val="accent1">
              <a:lumMod val="89000"/>
            </a:schemeClr>
          </a:gs>
          <a:gs pos="23000">
            <a:schemeClr val="accent1">
              <a:lumMod val="89000"/>
            </a:schemeClr>
          </a:gs>
          <a:gs pos="69000">
            <a:schemeClr val="accent1">
              <a:lumMod val="75000"/>
            </a:schemeClr>
          </a:gs>
          <a:gs pos="97000">
            <a:schemeClr val="accent1">
              <a:lumMod val="70000"/>
            </a:schemeClr>
          </a:gs>
        </a:gsLst>
        <a:path path="circle">
          <a:fillToRect l="50000" t="50000" r="50000" b="50000"/>
        </a:path>
        <a:tileRect/>
      </a:gradFill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16</xdr:col>
      <xdr:colOff>11206</xdr:colOff>
      <xdr:row>40</xdr:row>
      <xdr:rowOff>8964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24</xdr:row>
          <xdr:rowOff>95250</xdr:rowOff>
        </xdr:from>
        <xdr:to>
          <xdr:col>10</xdr:col>
          <xdr:colOff>666750</xdr:colOff>
          <xdr:row>28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Bahnschrift SemiBold SemiConden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57151</xdr:colOff>
      <xdr:row>1</xdr:row>
      <xdr:rowOff>38100</xdr:rowOff>
    </xdr:from>
    <xdr:to>
      <xdr:col>8</xdr:col>
      <xdr:colOff>19051</xdr:colOff>
      <xdr:row>28</xdr:row>
      <xdr:rowOff>133350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133350</xdr:rowOff>
    </xdr:from>
    <xdr:to>
      <xdr:col>13</xdr:col>
      <xdr:colOff>171450</xdr:colOff>
      <xdr:row>39</xdr:row>
      <xdr:rowOff>57150</xdr:rowOff>
    </xdr:to>
    <xdr:sp macro="" textlink="">
      <xdr:nvSpPr>
        <xdr:cNvPr id="2" name="Rectangle 1"/>
        <xdr:cNvSpPr/>
      </xdr:nvSpPr>
      <xdr:spPr>
        <a:xfrm>
          <a:off x="0" y="5553075"/>
          <a:ext cx="9420225" cy="19431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AD1144"/>
  <sheetViews>
    <sheetView tabSelected="1" topLeftCell="A13" zoomScale="75" zoomScaleNormal="75" workbookViewId="0">
      <selection activeCell="B45" sqref="B45"/>
    </sheetView>
  </sheetViews>
  <sheetFormatPr baseColWidth="10" defaultRowHeight="15" x14ac:dyDescent="0.25"/>
  <cols>
    <col min="1" max="1" width="6.140625" customWidth="1"/>
    <col min="2" max="2" width="41.28515625" customWidth="1"/>
    <col min="3" max="3" width="22.140625" customWidth="1"/>
    <col min="4" max="4" width="14.5703125" customWidth="1"/>
    <col min="5" max="5" width="14.140625" customWidth="1"/>
    <col min="6" max="6" width="25.7109375" customWidth="1"/>
    <col min="7" max="7" width="15" customWidth="1"/>
    <col min="8" max="8" width="12.7109375" customWidth="1"/>
    <col min="17" max="17" width="16.7109375" customWidth="1"/>
    <col min="18" max="19" width="12.28515625" bestFit="1" customWidth="1"/>
    <col min="23" max="23" width="12.28515625" bestFit="1" customWidth="1"/>
  </cols>
  <sheetData>
    <row r="2" spans="2:6" ht="21" thickBot="1" x14ac:dyDescent="0.35">
      <c r="B2" s="107" t="s">
        <v>0</v>
      </c>
      <c r="C2" s="107"/>
      <c r="D2" s="107"/>
      <c r="E2" s="107"/>
      <c r="F2" s="107"/>
    </row>
    <row r="3" spans="2:6" x14ac:dyDescent="0.25">
      <c r="B3" s="1"/>
      <c r="C3" s="1"/>
      <c r="D3" s="1"/>
      <c r="E3" s="1"/>
      <c r="F3" s="1"/>
    </row>
    <row r="4" spans="2:6" x14ac:dyDescent="0.25">
      <c r="B4" s="150" t="s">
        <v>1</v>
      </c>
      <c r="C4" s="152"/>
      <c r="D4" s="152"/>
      <c r="E4" s="152"/>
      <c r="F4" s="152"/>
    </row>
    <row r="5" spans="2:6" x14ac:dyDescent="0.25">
      <c r="B5" s="2" t="s">
        <v>2</v>
      </c>
      <c r="C5" s="7" t="s">
        <v>5</v>
      </c>
      <c r="D5" s="154">
        <v>0.5</v>
      </c>
      <c r="E5" s="111"/>
      <c r="F5" s="3" t="s">
        <v>6</v>
      </c>
    </row>
    <row r="6" spans="2:6" x14ac:dyDescent="0.25">
      <c r="B6" s="4" t="s">
        <v>3</v>
      </c>
      <c r="C6" s="5"/>
      <c r="D6" s="108">
        <v>0</v>
      </c>
      <c r="E6" s="109"/>
      <c r="F6" s="6" t="s">
        <v>7</v>
      </c>
    </row>
    <row r="7" spans="2:6" x14ac:dyDescent="0.25">
      <c r="B7" s="2" t="s">
        <v>4</v>
      </c>
      <c r="C7" s="7" t="s">
        <v>9</v>
      </c>
      <c r="D7" s="110">
        <v>2</v>
      </c>
      <c r="E7" s="111"/>
      <c r="F7" s="8" t="s">
        <v>8</v>
      </c>
    </row>
    <row r="8" spans="2:6" x14ac:dyDescent="0.25">
      <c r="B8" s="9"/>
      <c r="C8" s="10"/>
      <c r="D8" s="1"/>
      <c r="E8" s="1"/>
      <c r="F8" s="1"/>
    </row>
    <row r="9" spans="2:6" x14ac:dyDescent="0.25">
      <c r="B9" s="150" t="s">
        <v>10</v>
      </c>
      <c r="C9" s="151"/>
      <c r="D9" s="152"/>
      <c r="E9" s="152"/>
      <c r="F9" s="152"/>
    </row>
    <row r="10" spans="2:6" x14ac:dyDescent="0.25">
      <c r="B10" s="11" t="s">
        <v>11</v>
      </c>
      <c r="C10" s="12" t="s">
        <v>29</v>
      </c>
      <c r="D10" s="105">
        <v>1</v>
      </c>
      <c r="E10" s="106"/>
      <c r="F10" s="13" t="s">
        <v>16</v>
      </c>
    </row>
    <row r="11" spans="2:6" ht="16.5" x14ac:dyDescent="0.3">
      <c r="B11" s="14" t="s">
        <v>12</v>
      </c>
      <c r="C11" s="15" t="s">
        <v>33</v>
      </c>
      <c r="D11" s="16">
        <v>0</v>
      </c>
      <c r="E11" s="17">
        <v>0</v>
      </c>
      <c r="F11" s="18" t="s">
        <v>16</v>
      </c>
    </row>
    <row r="12" spans="2:6" ht="16.5" x14ac:dyDescent="0.3">
      <c r="B12" s="11" t="s">
        <v>13</v>
      </c>
      <c r="C12" s="12" t="s">
        <v>34</v>
      </c>
      <c r="D12" s="19">
        <v>0</v>
      </c>
      <c r="E12" s="20">
        <v>0</v>
      </c>
      <c r="F12" s="13" t="s">
        <v>17</v>
      </c>
    </row>
    <row r="13" spans="2:6" ht="17.25" x14ac:dyDescent="0.3">
      <c r="B13" s="14" t="s">
        <v>14</v>
      </c>
      <c r="C13" s="15" t="s">
        <v>35</v>
      </c>
      <c r="D13" s="16">
        <v>0</v>
      </c>
      <c r="E13" s="17">
        <v>0</v>
      </c>
      <c r="F13" s="18" t="s">
        <v>36</v>
      </c>
    </row>
    <row r="14" spans="2:6" x14ac:dyDescent="0.25">
      <c r="B14" s="11" t="s">
        <v>15</v>
      </c>
      <c r="C14" s="12" t="s">
        <v>30</v>
      </c>
      <c r="D14" s="105">
        <v>2500</v>
      </c>
      <c r="E14" s="106"/>
      <c r="F14" s="13" t="s">
        <v>16</v>
      </c>
    </row>
    <row r="15" spans="2:6" x14ac:dyDescent="0.25">
      <c r="B15" s="9"/>
      <c r="C15" s="10"/>
      <c r="D15" s="1"/>
      <c r="E15" s="1"/>
      <c r="F15" s="21"/>
    </row>
    <row r="16" spans="2:6" ht="15.75" thickBot="1" x14ac:dyDescent="0.3">
      <c r="B16" s="150" t="s">
        <v>18</v>
      </c>
      <c r="C16" s="151"/>
      <c r="D16" s="152"/>
      <c r="E16" s="152"/>
      <c r="F16" s="153"/>
    </row>
    <row r="17" spans="2:6" ht="15.75" thickBot="1" x14ac:dyDescent="0.3">
      <c r="B17" s="142" t="s">
        <v>19</v>
      </c>
      <c r="C17" s="143"/>
      <c r="D17" s="144"/>
      <c r="E17" s="144"/>
      <c r="F17" s="145"/>
    </row>
    <row r="18" spans="2:6" ht="16.5" x14ac:dyDescent="0.3">
      <c r="B18" s="22" t="s">
        <v>20</v>
      </c>
      <c r="C18" s="23" t="s">
        <v>37</v>
      </c>
      <c r="D18" s="24">
        <v>10000</v>
      </c>
      <c r="E18" s="25">
        <v>7500</v>
      </c>
      <c r="F18" s="26" t="s">
        <v>16</v>
      </c>
    </row>
    <row r="19" spans="2:6" ht="16.5" x14ac:dyDescent="0.3">
      <c r="B19" s="27" t="s">
        <v>21</v>
      </c>
      <c r="C19" s="28" t="s">
        <v>38</v>
      </c>
      <c r="D19" s="112">
        <v>5000</v>
      </c>
      <c r="E19" s="113"/>
      <c r="F19" s="29" t="s">
        <v>16</v>
      </c>
    </row>
    <row r="20" spans="2:6" ht="17.25" x14ac:dyDescent="0.3">
      <c r="B20" s="30" t="s">
        <v>22</v>
      </c>
      <c r="C20" s="31" t="s">
        <v>39</v>
      </c>
      <c r="D20" s="114">
        <v>1</v>
      </c>
      <c r="E20" s="115"/>
      <c r="F20" s="32" t="s">
        <v>40</v>
      </c>
    </row>
    <row r="21" spans="2:6" ht="17.25" x14ac:dyDescent="0.3">
      <c r="B21" s="33" t="s">
        <v>23</v>
      </c>
      <c r="C21" s="34" t="s">
        <v>41</v>
      </c>
      <c r="D21" s="116">
        <f>((4*PI()*D19^3)/3)</f>
        <v>523598775598.29883</v>
      </c>
      <c r="E21" s="117"/>
      <c r="F21" s="35" t="s">
        <v>42</v>
      </c>
    </row>
    <row r="22" spans="2:6" ht="16.5" x14ac:dyDescent="0.3">
      <c r="B22" s="36" t="s">
        <v>24</v>
      </c>
      <c r="C22" s="37" t="s">
        <v>43</v>
      </c>
      <c r="D22" s="118">
        <f>D20*D21</f>
        <v>523598775598.29883</v>
      </c>
      <c r="E22" s="119"/>
      <c r="F22" s="38" t="s">
        <v>28</v>
      </c>
    </row>
    <row r="23" spans="2:6" ht="16.5" x14ac:dyDescent="0.3">
      <c r="B23" s="33" t="s">
        <v>25</v>
      </c>
      <c r="C23" s="34" t="s">
        <v>44</v>
      </c>
      <c r="D23" s="122">
        <f>D19*D7</f>
        <v>10000</v>
      </c>
      <c r="E23" s="117"/>
      <c r="F23" s="35" t="s">
        <v>16</v>
      </c>
    </row>
    <row r="24" spans="2:6" ht="17.25" thickBot="1" x14ac:dyDescent="0.35">
      <c r="B24" s="39" t="s">
        <v>26</v>
      </c>
      <c r="C24" s="40" t="s">
        <v>45</v>
      </c>
      <c r="D24" s="120" t="s">
        <v>27</v>
      </c>
      <c r="E24" s="121"/>
      <c r="F24" s="41" t="s">
        <v>8</v>
      </c>
    </row>
    <row r="25" spans="2:6" ht="15.75" thickBot="1" x14ac:dyDescent="0.3">
      <c r="B25" s="42" t="s">
        <v>31</v>
      </c>
      <c r="C25" s="43"/>
      <c r="D25" s="44"/>
      <c r="E25" s="44"/>
      <c r="F25" s="45"/>
    </row>
    <row r="26" spans="2:6" ht="16.5" x14ac:dyDescent="0.3">
      <c r="B26" s="46" t="s">
        <v>20</v>
      </c>
      <c r="C26" s="47" t="s">
        <v>37</v>
      </c>
      <c r="D26" s="48">
        <v>-20000</v>
      </c>
      <c r="E26" s="49">
        <v>10000</v>
      </c>
      <c r="F26" s="50" t="s">
        <v>16</v>
      </c>
    </row>
    <row r="27" spans="2:6" ht="16.5" x14ac:dyDescent="0.3">
      <c r="B27" s="51" t="s">
        <v>21</v>
      </c>
      <c r="C27" s="52" t="s">
        <v>46</v>
      </c>
      <c r="D27" s="125">
        <v>3500</v>
      </c>
      <c r="E27" s="126"/>
      <c r="F27" s="53" t="s">
        <v>16</v>
      </c>
    </row>
    <row r="28" spans="2:6" ht="17.25" x14ac:dyDescent="0.3">
      <c r="B28" s="54" t="s">
        <v>22</v>
      </c>
      <c r="C28" s="55" t="s">
        <v>47</v>
      </c>
      <c r="D28" s="127">
        <v>1</v>
      </c>
      <c r="E28" s="128"/>
      <c r="F28" s="56" t="s">
        <v>40</v>
      </c>
    </row>
    <row r="29" spans="2:6" ht="17.25" x14ac:dyDescent="0.3">
      <c r="B29" s="57" t="s">
        <v>23</v>
      </c>
      <c r="C29" s="58" t="s">
        <v>48</v>
      </c>
      <c r="D29" s="129">
        <f>((4*PI()*D27^3)/3)</f>
        <v>179594380030.21652</v>
      </c>
      <c r="E29" s="130"/>
      <c r="F29" s="59" t="s">
        <v>42</v>
      </c>
    </row>
    <row r="30" spans="2:6" ht="16.5" x14ac:dyDescent="0.3">
      <c r="B30" s="60" t="s">
        <v>24</v>
      </c>
      <c r="C30" s="61" t="s">
        <v>49</v>
      </c>
      <c r="D30" s="131">
        <f>D28*D29</f>
        <v>179594380030.21652</v>
      </c>
      <c r="E30" s="132"/>
      <c r="F30" s="62" t="s">
        <v>28</v>
      </c>
    </row>
    <row r="31" spans="2:6" ht="16.5" x14ac:dyDescent="0.3">
      <c r="B31" s="57" t="s">
        <v>25</v>
      </c>
      <c r="C31" s="58" t="s">
        <v>50</v>
      </c>
      <c r="D31" s="133">
        <f>D27*D7</f>
        <v>7000</v>
      </c>
      <c r="E31" s="130"/>
      <c r="F31" s="59" t="s">
        <v>16</v>
      </c>
    </row>
    <row r="32" spans="2:6" ht="17.25" thickBot="1" x14ac:dyDescent="0.35">
      <c r="B32" s="63" t="s">
        <v>26</v>
      </c>
      <c r="C32" s="64" t="s">
        <v>51</v>
      </c>
      <c r="D32" s="134" t="s">
        <v>27</v>
      </c>
      <c r="E32" s="135"/>
      <c r="F32" s="65" t="s">
        <v>8</v>
      </c>
    </row>
    <row r="33" spans="1:30" ht="15.75" thickBot="1" x14ac:dyDescent="0.3">
      <c r="B33" s="146" t="s">
        <v>32</v>
      </c>
      <c r="C33" s="147"/>
      <c r="D33" s="148"/>
      <c r="E33" s="148"/>
      <c r="F33" s="149"/>
    </row>
    <row r="34" spans="1:30" ht="16.5" x14ac:dyDescent="0.3">
      <c r="B34" s="66" t="s">
        <v>20</v>
      </c>
      <c r="C34" s="67" t="s">
        <v>37</v>
      </c>
      <c r="D34" s="68">
        <v>-5000</v>
      </c>
      <c r="E34" s="69">
        <v>-15000</v>
      </c>
      <c r="F34" s="70" t="s">
        <v>16</v>
      </c>
    </row>
    <row r="35" spans="1:30" ht="16.5" x14ac:dyDescent="0.3">
      <c r="B35" s="71" t="s">
        <v>21</v>
      </c>
      <c r="C35" s="72" t="s">
        <v>52</v>
      </c>
      <c r="D35" s="136">
        <v>5000</v>
      </c>
      <c r="E35" s="137"/>
      <c r="F35" s="73" t="s">
        <v>16</v>
      </c>
      <c r="Q35" s="98"/>
    </row>
    <row r="36" spans="1:30" ht="17.25" x14ac:dyDescent="0.3">
      <c r="B36" s="74" t="s">
        <v>22</v>
      </c>
      <c r="C36" s="75" t="s">
        <v>53</v>
      </c>
      <c r="D36" s="123">
        <v>1</v>
      </c>
      <c r="E36" s="124"/>
      <c r="F36" s="76" t="s">
        <v>40</v>
      </c>
    </row>
    <row r="37" spans="1:30" ht="17.25" x14ac:dyDescent="0.3">
      <c r="B37" s="77" t="s">
        <v>23</v>
      </c>
      <c r="C37" s="78" t="s">
        <v>54</v>
      </c>
      <c r="D37" s="138">
        <f>((4*PI()*D35^3)/3)</f>
        <v>523598775598.29883</v>
      </c>
      <c r="E37" s="139"/>
      <c r="F37" s="79" t="s">
        <v>42</v>
      </c>
    </row>
    <row r="38" spans="1:30" ht="16.5" x14ac:dyDescent="0.3">
      <c r="B38" s="80" t="s">
        <v>24</v>
      </c>
      <c r="C38" s="81" t="s">
        <v>55</v>
      </c>
      <c r="D38" s="140">
        <f>D36*D37</f>
        <v>523598775598.29883</v>
      </c>
      <c r="E38" s="141"/>
      <c r="F38" s="82" t="s">
        <v>28</v>
      </c>
    </row>
    <row r="39" spans="1:30" ht="16.5" x14ac:dyDescent="0.3">
      <c r="B39" s="77" t="s">
        <v>25</v>
      </c>
      <c r="C39" s="78" t="s">
        <v>56</v>
      </c>
      <c r="D39" s="138">
        <f>D35*D7</f>
        <v>10000</v>
      </c>
      <c r="E39" s="139"/>
      <c r="F39" s="79" t="s">
        <v>16</v>
      </c>
    </row>
    <row r="40" spans="1:30" ht="16.5" x14ac:dyDescent="0.3">
      <c r="B40" s="74" t="s">
        <v>26</v>
      </c>
      <c r="C40" s="83" t="s">
        <v>57</v>
      </c>
      <c r="D40" s="123" t="s">
        <v>27</v>
      </c>
      <c r="E40" s="124"/>
      <c r="F40" s="76" t="s">
        <v>8</v>
      </c>
    </row>
    <row r="41" spans="1:30" ht="15.75" thickBot="1" x14ac:dyDescent="0.3">
      <c r="B41" s="84"/>
      <c r="C41" s="85"/>
      <c r="D41" s="86"/>
      <c r="E41" s="86"/>
      <c r="F41" s="87"/>
    </row>
    <row r="42" spans="1:30" ht="15.75" thickBot="1" x14ac:dyDescent="0.3">
      <c r="B42" s="88" t="s">
        <v>58</v>
      </c>
      <c r="C42" s="89" t="s">
        <v>59</v>
      </c>
      <c r="D42" s="89" t="s">
        <v>72</v>
      </c>
      <c r="E42" s="89" t="s">
        <v>73</v>
      </c>
      <c r="F42" s="89" t="s">
        <v>74</v>
      </c>
      <c r="G42" s="91" t="s">
        <v>75</v>
      </c>
      <c r="H42" s="89" t="s">
        <v>60</v>
      </c>
      <c r="I42" s="89" t="s">
        <v>61</v>
      </c>
      <c r="J42" s="89" t="s">
        <v>62</v>
      </c>
      <c r="K42" s="89" t="s">
        <v>63</v>
      </c>
      <c r="L42" s="89" t="s">
        <v>64</v>
      </c>
      <c r="M42" s="89" t="s">
        <v>65</v>
      </c>
      <c r="N42" s="89" t="s">
        <v>66</v>
      </c>
      <c r="O42" s="89" t="s">
        <v>67</v>
      </c>
      <c r="P42" s="89" t="s">
        <v>68</v>
      </c>
      <c r="Q42" s="89" t="s">
        <v>69</v>
      </c>
      <c r="R42" s="89" t="s">
        <v>70</v>
      </c>
      <c r="S42" s="90" t="s">
        <v>71</v>
      </c>
      <c r="T42" s="92" t="s">
        <v>76</v>
      </c>
      <c r="V42" s="101"/>
      <c r="W42" s="101"/>
      <c r="X42" s="101"/>
      <c r="Y42" s="101" t="s">
        <v>77</v>
      </c>
      <c r="Z42" s="101" t="s">
        <v>78</v>
      </c>
      <c r="AA42" t="s">
        <v>79</v>
      </c>
      <c r="AB42" t="s">
        <v>80</v>
      </c>
      <c r="AC42" t="s">
        <v>81</v>
      </c>
      <c r="AD42" t="s">
        <v>82</v>
      </c>
    </row>
    <row r="43" spans="1:30" x14ac:dyDescent="0.25">
      <c r="A43">
        <v>0</v>
      </c>
      <c r="B43" s="93">
        <v>0</v>
      </c>
      <c r="C43" s="93">
        <v>0</v>
      </c>
      <c r="D43" s="93">
        <v>0</v>
      </c>
      <c r="E43" s="93">
        <v>0</v>
      </c>
      <c r="F43" s="93">
        <v>0</v>
      </c>
      <c r="G43" s="94">
        <v>0</v>
      </c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>
        <f>A44-A43</f>
        <v>0.5</v>
      </c>
      <c r="V43" s="101"/>
      <c r="W43" s="101"/>
      <c r="X43" s="101">
        <v>0</v>
      </c>
      <c r="Y43" s="101">
        <f>$D$19*COS(X43*PI()/180)+$D$18</f>
        <v>15000</v>
      </c>
      <c r="Z43" s="101">
        <f>$D$19*SIN(X43*PI()/180)+$E$18</f>
        <v>7500</v>
      </c>
      <c r="AA43" s="101">
        <f>$D$27*COS(X43*PI()/180)+$D$26</f>
        <v>-16500</v>
      </c>
      <c r="AB43" s="101">
        <f>$D$27*SIN($X43*PI()/180)+$E$26</f>
        <v>10000</v>
      </c>
      <c r="AC43" s="101">
        <f>$D$35*COS(X43*PI()/180)+$D$34</f>
        <v>0</v>
      </c>
      <c r="AD43" s="101">
        <f>$D$35*SIN(X43*PI()/180)+$E$34</f>
        <v>-15000</v>
      </c>
    </row>
    <row r="44" spans="1:30" x14ac:dyDescent="0.25">
      <c r="A44">
        <v>0.5</v>
      </c>
      <c r="B44" s="95">
        <f>B43+(D43*$T43)+(F43*($T43)^2)</f>
        <v>0</v>
      </c>
      <c r="C44" s="95">
        <f>C43+(E43*$T43)+(G43*($T43)^2)</f>
        <v>0</v>
      </c>
      <c r="D44" s="95">
        <f>D43+(F43*$T43)</f>
        <v>0</v>
      </c>
      <c r="E44" s="95">
        <f>E43+(G43*$T43)</f>
        <v>0</v>
      </c>
      <c r="F44" s="96">
        <f>SUM(H44,J44,L44)</f>
        <v>597.39380921662371</v>
      </c>
      <c r="G44" s="94">
        <f>SUM(I44,K44,M44)</f>
        <v>-102.51465577976228</v>
      </c>
      <c r="H44" s="97">
        <f>$D$22*(($D$18-$B44)/$Q44)</f>
        <v>1276.4470713046539</v>
      </c>
      <c r="I44" s="94">
        <f>$D$22*(($E$18-$C44)/$Q44)</f>
        <v>957.33530347849046</v>
      </c>
      <c r="J44" s="95">
        <f>$D$30*(($D$26-$B44)/$R44)</f>
        <v>-279.23137914452508</v>
      </c>
      <c r="K44" s="94">
        <f>$D$30*(($E$26-$C44)/$R44)</f>
        <v>139.61568957226254</v>
      </c>
      <c r="L44" s="94">
        <f>$D$38*(($D$34-$B44)/$S44)</f>
        <v>-399.8218829435051</v>
      </c>
      <c r="M44" s="94">
        <f>$D$38*(($E$34-$C44)/$S44)</f>
        <v>-1199.4656488305152</v>
      </c>
      <c r="N44" s="99">
        <f>SQRT(($D$18-$B43)^2+($E$18-$C43)^2)</f>
        <v>12500</v>
      </c>
      <c r="O44" s="99">
        <f>SQRT(($D$26-$B43)^2+($E$26-$C43)^2)</f>
        <v>22360.679774997898</v>
      </c>
      <c r="P44" s="100">
        <f>SQRT(($D$34-$B43)^2+($E$34-$C43)^2)</f>
        <v>15811.388300841896</v>
      </c>
      <c r="Q44" s="95">
        <f>(N44^2+$D$39^2)^(3/2)</f>
        <v>4102001464605.4189</v>
      </c>
      <c r="R44" s="95">
        <f>(O44^2+$D$31^2)^(3/2)</f>
        <v>12863481216218.305</v>
      </c>
      <c r="S44" s="95">
        <f>(P44^2+$D$23^2)^(3/2)</f>
        <v>6547900426854.3682</v>
      </c>
      <c r="T44">
        <f t="shared" ref="T44:T107" si="0">A45-A44</f>
        <v>0.5</v>
      </c>
      <c r="V44" s="101"/>
      <c r="W44" s="101"/>
      <c r="X44" s="101">
        <v>1</v>
      </c>
      <c r="Y44" s="101">
        <f t="shared" ref="Y44:Y107" si="1">$D$19*COS(X44*PI()/180)+$D$18</f>
        <v>14999.238475781956</v>
      </c>
      <c r="Z44" s="101">
        <f t="shared" ref="Z44:Z107" si="2">$D$19*SIN(X44*PI()/180)+$E$18</f>
        <v>7587.2620321864179</v>
      </c>
      <c r="AA44" s="101">
        <f t="shared" ref="AA44:AA107" si="3">$D$27*COS(X44*PI()/180)+$D$26</f>
        <v>-16500.53306695263</v>
      </c>
      <c r="AB44" s="101">
        <f t="shared" ref="AB44:AB107" si="4">$D$27*SIN($X44*PI()/180)+$E$26</f>
        <v>10061.083422530492</v>
      </c>
      <c r="AC44" s="101">
        <f t="shared" ref="AC44:AC107" si="5">$D$35*COS(X44*PI()/180)+$D$34</f>
        <v>-0.76152421804363257</v>
      </c>
      <c r="AD44" s="101">
        <f t="shared" ref="AD44:AD107" si="6">$D$35*SIN(X44*PI()/180)+$E$34</f>
        <v>-14912.737967813582</v>
      </c>
    </row>
    <row r="45" spans="1:30" x14ac:dyDescent="0.25">
      <c r="A45">
        <v>1</v>
      </c>
      <c r="B45" s="95">
        <f t="shared" ref="B45:B108" si="7">B44+(D44*$T44)+(F44*($T44)^2)</f>
        <v>149.34845230415593</v>
      </c>
      <c r="C45" s="95">
        <f t="shared" ref="C45:C108" si="8">C44+(E44*$T44)+(G44*($T44)^2)</f>
        <v>-25.62866394494057</v>
      </c>
      <c r="D45" s="95">
        <f t="shared" ref="D45:D108" si="9">D44+(F44*$T44)</f>
        <v>298.69690460831185</v>
      </c>
      <c r="E45" s="95">
        <f t="shared" ref="E45:E108" si="10">E44+(G44*$T44)</f>
        <v>-51.25732788988114</v>
      </c>
      <c r="F45" s="96">
        <f t="shared" ref="F45:F108" si="11">SUM(H45,J45,L45)</f>
        <v>564.30257516338281</v>
      </c>
      <c r="G45" s="94">
        <f t="shared" ref="G45:G108" si="12">SUM(I45,K45,M45)</f>
        <v>-96.836095982257575</v>
      </c>
      <c r="H45" s="97">
        <f t="shared" ref="H45:H108" si="13">$D$22*(($D$18-$B45)/$Q45)</f>
        <v>1257.3835318499016</v>
      </c>
      <c r="I45" s="94">
        <f t="shared" ref="I45:I108" si="14">$D$22*(($E$18-$C45)/$Q45)</f>
        <v>960.60666678188761</v>
      </c>
      <c r="J45" s="95">
        <f t="shared" ref="J45:J108" si="15">$D$30*(($D$26-$B45)/$R45)</f>
        <v>-281.31651786002459</v>
      </c>
      <c r="K45" s="94">
        <f t="shared" ref="K45:K108" si="16">$D$30*(($E$26-$C45)/$R45)</f>
        <v>139.97350593121141</v>
      </c>
      <c r="L45" s="94">
        <f t="shared" ref="L45:L108" si="17">$D$38*(($D$34-$B45)/$S45)</f>
        <v>-411.76443882649426</v>
      </c>
      <c r="M45" s="94">
        <f t="shared" ref="M45:M108" si="18">$D$38*(($E$34-$C45)/$S45)</f>
        <v>-1197.4162686953566</v>
      </c>
      <c r="N45" s="99">
        <f t="shared" ref="N45:N108" si="19">SQRT(($D$18-$B44)^2+($E$18-$C44)^2)</f>
        <v>12500</v>
      </c>
      <c r="O45" s="99">
        <f t="shared" ref="O45:O108" si="20">SQRT(($D$26-$B44)^2+($E$26-$C44)^2)</f>
        <v>22360.679774997898</v>
      </c>
      <c r="P45" s="100">
        <f t="shared" ref="P45:P108" si="21">SQRT(($D$34-$B44)^2+($E$34-$C44)^2)</f>
        <v>15811.388300841896</v>
      </c>
      <c r="Q45" s="95">
        <f t="shared" ref="Q45:Q108" si="22">(N45^2+$D$39^2)^(3/2)</f>
        <v>4102001464605.4189</v>
      </c>
      <c r="R45" s="95">
        <f t="shared" ref="R45:R108" si="23">(O45^2+$D$31^2)^(3/2)</f>
        <v>12863481216218.305</v>
      </c>
      <c r="S45" s="95">
        <f t="shared" ref="S45:S108" si="24">(P45^2+$D$23^2)^(3/2)</f>
        <v>6547900426854.3682</v>
      </c>
      <c r="T45">
        <f t="shared" si="0"/>
        <v>0.5</v>
      </c>
      <c r="V45" s="101"/>
      <c r="W45" s="101"/>
      <c r="X45" s="101">
        <v>2</v>
      </c>
      <c r="Y45" s="101">
        <f t="shared" si="1"/>
        <v>14996.954135095479</v>
      </c>
      <c r="Z45" s="101">
        <f t="shared" si="2"/>
        <v>7674.4974835125049</v>
      </c>
      <c r="AA45" s="101">
        <f t="shared" si="3"/>
        <v>-16502.132105433164</v>
      </c>
      <c r="AB45" s="101">
        <f t="shared" si="4"/>
        <v>10122.148238458753</v>
      </c>
      <c r="AC45" s="101">
        <f t="shared" si="5"/>
        <v>-3.0458649045212951</v>
      </c>
      <c r="AD45" s="101">
        <f t="shared" si="6"/>
        <v>-14825.502516487495</v>
      </c>
    </row>
    <row r="46" spans="1:30" x14ac:dyDescent="0.25">
      <c r="A46">
        <v>1.5</v>
      </c>
      <c r="B46" s="95">
        <f t="shared" si="7"/>
        <v>439.77254839915759</v>
      </c>
      <c r="C46" s="95">
        <f t="shared" si="8"/>
        <v>-75.466351885445533</v>
      </c>
      <c r="D46" s="95">
        <f t="shared" si="9"/>
        <v>580.84819219000326</v>
      </c>
      <c r="E46" s="95">
        <f t="shared" si="10"/>
        <v>-99.675375881009927</v>
      </c>
      <c r="F46" s="96">
        <f t="shared" si="11"/>
        <v>525.00563871149848</v>
      </c>
      <c r="G46" s="94">
        <f t="shared" si="12"/>
        <v>-69.658220133831037</v>
      </c>
      <c r="H46" s="97">
        <f t="shared" si="13"/>
        <v>1238.9737305821723</v>
      </c>
      <c r="I46" s="94">
        <f t="shared" si="14"/>
        <v>981.75528295862807</v>
      </c>
      <c r="J46" s="95">
        <f t="shared" si="15"/>
        <v>-280.3700357082007</v>
      </c>
      <c r="K46" s="94">
        <f t="shared" si="16"/>
        <v>138.20402620263698</v>
      </c>
      <c r="L46" s="94">
        <f t="shared" si="17"/>
        <v>-433.59805616247309</v>
      </c>
      <c r="M46" s="94">
        <f t="shared" si="18"/>
        <v>-1189.6175292950961</v>
      </c>
      <c r="N46" s="99">
        <f t="shared" si="19"/>
        <v>12396.387485945745</v>
      </c>
      <c r="O46" s="99">
        <f t="shared" si="20"/>
        <v>22505.765331569735</v>
      </c>
      <c r="P46" s="100">
        <f t="shared" si="21"/>
        <v>15835.011411215168</v>
      </c>
      <c r="Q46" s="95">
        <f t="shared" si="22"/>
        <v>4040217532091.9385</v>
      </c>
      <c r="R46" s="95">
        <f t="shared" si="23"/>
        <v>13092940797029.023</v>
      </c>
      <c r="S46" s="95">
        <f t="shared" si="24"/>
        <v>6568890716631.2773</v>
      </c>
      <c r="T46">
        <f t="shared" si="0"/>
        <v>0.5</v>
      </c>
      <c r="V46" s="101"/>
      <c r="W46" s="101"/>
      <c r="X46" s="101">
        <v>3</v>
      </c>
      <c r="Y46" s="101">
        <f t="shared" si="1"/>
        <v>14993.14767377287</v>
      </c>
      <c r="Z46" s="101">
        <f t="shared" si="2"/>
        <v>7761.6797812147188</v>
      </c>
      <c r="AA46" s="101">
        <f t="shared" si="3"/>
        <v>-16504.796628358992</v>
      </c>
      <c r="AB46" s="101">
        <f t="shared" si="4"/>
        <v>10183.175846850303</v>
      </c>
      <c r="AC46" s="101">
        <f t="shared" si="5"/>
        <v>-6.8523262271310159</v>
      </c>
      <c r="AD46" s="101">
        <f t="shared" si="6"/>
        <v>-14738.32021878528</v>
      </c>
    </row>
    <row r="47" spans="1:30" x14ac:dyDescent="0.25">
      <c r="A47">
        <v>2</v>
      </c>
      <c r="B47" s="95">
        <f t="shared" si="7"/>
        <v>861.44805417203384</v>
      </c>
      <c r="C47" s="95">
        <f t="shared" si="8"/>
        <v>-142.71859485940826</v>
      </c>
      <c r="D47" s="95">
        <f t="shared" si="9"/>
        <v>843.3510115457525</v>
      </c>
      <c r="E47" s="95">
        <f t="shared" si="10"/>
        <v>-134.50448594792545</v>
      </c>
      <c r="F47" s="96">
        <f t="shared" si="11"/>
        <v>478.76879577857164</v>
      </c>
      <c r="G47" s="94">
        <f t="shared" si="12"/>
        <v>-22.032307043911487</v>
      </c>
      <c r="H47" s="97">
        <f t="shared" si="13"/>
        <v>1219.3771293000448</v>
      </c>
      <c r="I47" s="94">
        <f t="shared" si="14"/>
        <v>1019.7847881690178</v>
      </c>
      <c r="J47" s="95">
        <f t="shared" si="15"/>
        <v>-276.54861253883348</v>
      </c>
      <c r="K47" s="94">
        <f t="shared" si="16"/>
        <v>134.45637845927192</v>
      </c>
      <c r="L47" s="94">
        <f t="shared" si="17"/>
        <v>-464.05972098263965</v>
      </c>
      <c r="M47" s="94">
        <f t="shared" si="18"/>
        <v>-1176.2734736722011</v>
      </c>
      <c r="N47" s="99">
        <f t="shared" si="19"/>
        <v>12197.771902068464</v>
      </c>
      <c r="O47" s="99">
        <f t="shared" si="20"/>
        <v>22788.139986367198</v>
      </c>
      <c r="P47" s="100">
        <f t="shared" si="21"/>
        <v>15884.987566630973</v>
      </c>
      <c r="Q47" s="95">
        <f t="shared" si="22"/>
        <v>3924080987416.6289</v>
      </c>
      <c r="R47" s="95">
        <f t="shared" si="23"/>
        <v>13547704309293.861</v>
      </c>
      <c r="S47" s="95">
        <f t="shared" si="24"/>
        <v>6613474269860.8838</v>
      </c>
      <c r="T47">
        <f t="shared" si="0"/>
        <v>0.5</v>
      </c>
      <c r="V47" s="101"/>
      <c r="W47" s="101"/>
      <c r="X47" s="101">
        <v>4</v>
      </c>
      <c r="Y47" s="101">
        <f t="shared" si="1"/>
        <v>14987.820251299121</v>
      </c>
      <c r="Z47" s="101">
        <f t="shared" si="2"/>
        <v>7848.7823687206264</v>
      </c>
      <c r="AA47" s="101">
        <f t="shared" si="3"/>
        <v>-16508.525824090615</v>
      </c>
      <c r="AB47" s="101">
        <f t="shared" si="4"/>
        <v>10244.147658104439</v>
      </c>
      <c r="AC47" s="101">
        <f t="shared" si="5"/>
        <v>-12.179748700878918</v>
      </c>
      <c r="AD47" s="101">
        <f t="shared" si="6"/>
        <v>-14651.217631279373</v>
      </c>
    </row>
    <row r="48" spans="1:30" x14ac:dyDescent="0.25">
      <c r="A48">
        <v>2.5</v>
      </c>
      <c r="B48" s="95">
        <f t="shared" si="7"/>
        <v>1402.8157588895531</v>
      </c>
      <c r="C48" s="95">
        <f t="shared" si="8"/>
        <v>-215.47891459434885</v>
      </c>
      <c r="D48" s="95">
        <f t="shared" si="9"/>
        <v>1082.7354094350383</v>
      </c>
      <c r="E48" s="95">
        <f t="shared" si="10"/>
        <v>-145.52063946988119</v>
      </c>
      <c r="F48" s="96">
        <f t="shared" si="11"/>
        <v>425.04746088148141</v>
      </c>
      <c r="G48" s="94">
        <f t="shared" si="12"/>
        <v>45.696217717294076</v>
      </c>
      <c r="H48" s="97">
        <f t="shared" si="13"/>
        <v>1196.2877969933802</v>
      </c>
      <c r="I48" s="94">
        <f t="shared" si="14"/>
        <v>1073.5995663967269</v>
      </c>
      <c r="J48" s="95">
        <f t="shared" si="15"/>
        <v>-270.22376867434758</v>
      </c>
      <c r="K48" s="94">
        <f t="shared" si="16"/>
        <v>128.9767310157998</v>
      </c>
      <c r="L48" s="94">
        <f t="shared" si="17"/>
        <v>-501.01656743755115</v>
      </c>
      <c r="M48" s="94">
        <f t="shared" si="18"/>
        <v>-1156.8800796952326</v>
      </c>
      <c r="N48" s="99">
        <f t="shared" si="19"/>
        <v>11913.197689403374</v>
      </c>
      <c r="O48" s="99">
        <f t="shared" si="20"/>
        <v>23196.438420831437</v>
      </c>
      <c r="P48" s="100">
        <f t="shared" si="21"/>
        <v>15971.705733680841</v>
      </c>
      <c r="Q48" s="95">
        <f t="shared" si="22"/>
        <v>3762869732142.9995</v>
      </c>
      <c r="R48" s="95">
        <f t="shared" si="23"/>
        <v>14224601507023.586</v>
      </c>
      <c r="S48" s="95">
        <f t="shared" si="24"/>
        <v>6691408447593.7686</v>
      </c>
      <c r="T48">
        <f t="shared" si="0"/>
        <v>0.5</v>
      </c>
      <c r="V48" s="101"/>
      <c r="W48" s="101"/>
      <c r="X48" s="101">
        <v>5</v>
      </c>
      <c r="Y48" s="101">
        <f t="shared" si="1"/>
        <v>14980.973490458728</v>
      </c>
      <c r="Z48" s="101">
        <f t="shared" si="2"/>
        <v>7935.7787137382911</v>
      </c>
      <c r="AA48" s="101">
        <f t="shared" si="3"/>
        <v>-16513.318556678889</v>
      </c>
      <c r="AB48" s="101">
        <f t="shared" si="4"/>
        <v>10305.045099616804</v>
      </c>
      <c r="AC48" s="101">
        <f t="shared" si="5"/>
        <v>-19.026509541272389</v>
      </c>
      <c r="AD48" s="101">
        <f t="shared" si="6"/>
        <v>-14564.221286261709</v>
      </c>
    </row>
    <row r="49" spans="1:30" x14ac:dyDescent="0.25">
      <c r="A49">
        <v>3</v>
      </c>
      <c r="B49" s="95">
        <f t="shared" si="7"/>
        <v>2050.4453288274426</v>
      </c>
      <c r="C49" s="95">
        <f t="shared" si="8"/>
        <v>-276.81517989996593</v>
      </c>
      <c r="D49" s="95">
        <f t="shared" si="9"/>
        <v>1295.2591398757791</v>
      </c>
      <c r="E49" s="95">
        <f t="shared" si="10"/>
        <v>-122.67253061123415</v>
      </c>
      <c r="F49" s="96">
        <f t="shared" si="11"/>
        <v>363.68168123235557</v>
      </c>
      <c r="G49" s="94">
        <f t="shared" si="12"/>
        <v>133.1307485551938</v>
      </c>
      <c r="H49" s="97">
        <f t="shared" si="13"/>
        <v>1167.0191318021439</v>
      </c>
      <c r="I49" s="94">
        <f t="shared" si="14"/>
        <v>1141.6604419796925</v>
      </c>
      <c r="J49" s="95">
        <f t="shared" si="15"/>
        <v>-261.92866678707549</v>
      </c>
      <c r="K49" s="94">
        <f t="shared" si="16"/>
        <v>122.07429186789656</v>
      </c>
      <c r="L49" s="94">
        <f t="shared" si="17"/>
        <v>-541.40878378271282</v>
      </c>
      <c r="M49" s="94">
        <f t="shared" si="18"/>
        <v>-1130.6039852923952</v>
      </c>
      <c r="N49" s="99">
        <f t="shared" si="19"/>
        <v>11551.631562560666</v>
      </c>
      <c r="O49" s="99">
        <f t="shared" si="20"/>
        <v>23715.744387716208</v>
      </c>
      <c r="P49" s="100">
        <f t="shared" si="21"/>
        <v>16111.428036244606</v>
      </c>
      <c r="Q49" s="95">
        <f t="shared" si="22"/>
        <v>3566674254902.7695</v>
      </c>
      <c r="R49" s="95">
        <f t="shared" si="23"/>
        <v>15119139522976.244</v>
      </c>
      <c r="S49" s="95">
        <f t="shared" si="24"/>
        <v>6818516160384.96</v>
      </c>
      <c r="T49">
        <f t="shared" si="0"/>
        <v>0.5</v>
      </c>
      <c r="V49" s="101"/>
      <c r="W49" s="101"/>
      <c r="X49" s="101">
        <v>6</v>
      </c>
      <c r="Y49" s="101">
        <f t="shared" si="1"/>
        <v>14972.609476841368</v>
      </c>
      <c r="Z49" s="101">
        <f t="shared" si="2"/>
        <v>8022.6423163382669</v>
      </c>
      <c r="AA49" s="101">
        <f t="shared" si="3"/>
        <v>-16519.173366211042</v>
      </c>
      <c r="AB49" s="101">
        <f t="shared" si="4"/>
        <v>10365.849621436788</v>
      </c>
      <c r="AC49" s="101">
        <f t="shared" si="5"/>
        <v>-27.390523158633187</v>
      </c>
      <c r="AD49" s="101">
        <f t="shared" si="6"/>
        <v>-14477.357683661732</v>
      </c>
    </row>
    <row r="50" spans="1:30" x14ac:dyDescent="0.25">
      <c r="A50">
        <v>3.5</v>
      </c>
      <c r="B50" s="95">
        <f t="shared" si="7"/>
        <v>2788.9953190734213</v>
      </c>
      <c r="C50" s="95">
        <f t="shared" si="8"/>
        <v>-304.86875806678455</v>
      </c>
      <c r="D50" s="95">
        <f t="shared" si="9"/>
        <v>1477.0999804919568</v>
      </c>
      <c r="E50" s="95">
        <f t="shared" si="10"/>
        <v>-56.107156333637249</v>
      </c>
      <c r="F50" s="96">
        <f t="shared" si="11"/>
        <v>295.08610016570833</v>
      </c>
      <c r="G50" s="94">
        <f t="shared" si="12"/>
        <v>238.99498184050185</v>
      </c>
      <c r="H50" s="97">
        <f t="shared" si="13"/>
        <v>1128.6787428092432</v>
      </c>
      <c r="I50" s="94">
        <f t="shared" si="14"/>
        <v>1221.6313603216272</v>
      </c>
      <c r="J50" s="95">
        <f t="shared" si="15"/>
        <v>-252.28911660464956</v>
      </c>
      <c r="K50" s="94">
        <f t="shared" si="16"/>
        <v>114.08165210002012</v>
      </c>
      <c r="L50" s="94">
        <f t="shared" si="17"/>
        <v>-581.30352603888537</v>
      </c>
      <c r="M50" s="94">
        <f t="shared" si="18"/>
        <v>-1096.7180305811455</v>
      </c>
      <c r="N50" s="99">
        <f t="shared" si="19"/>
        <v>11120.893570765074</v>
      </c>
      <c r="O50" s="99">
        <f t="shared" si="20"/>
        <v>24327.660582995446</v>
      </c>
      <c r="P50" s="100">
        <f t="shared" si="21"/>
        <v>16324.244257594553</v>
      </c>
      <c r="Q50" s="95">
        <f t="shared" si="22"/>
        <v>3345215142768.8232</v>
      </c>
      <c r="R50" s="95">
        <f t="shared" si="23"/>
        <v>16222560611895.494</v>
      </c>
      <c r="S50" s="95">
        <f t="shared" si="24"/>
        <v>7015798510630.249</v>
      </c>
      <c r="T50">
        <f t="shared" si="0"/>
        <v>0.5</v>
      </c>
      <c r="V50" s="101"/>
      <c r="W50" s="101"/>
      <c r="X50" s="101">
        <v>7</v>
      </c>
      <c r="Y50" s="101">
        <f t="shared" si="1"/>
        <v>14962.73075820661</v>
      </c>
      <c r="Z50" s="101">
        <f t="shared" si="2"/>
        <v>8109.3467170257372</v>
      </c>
      <c r="AA50" s="101">
        <f t="shared" si="3"/>
        <v>-16526.088469255374</v>
      </c>
      <c r="AB50" s="101">
        <f t="shared" si="4"/>
        <v>10426.542701918017</v>
      </c>
      <c r="AC50" s="101">
        <f t="shared" si="5"/>
        <v>-37.269241793390393</v>
      </c>
      <c r="AD50" s="101">
        <f t="shared" si="6"/>
        <v>-14390.653282974263</v>
      </c>
    </row>
    <row r="51" spans="1:30" x14ac:dyDescent="0.25">
      <c r="A51">
        <v>4</v>
      </c>
      <c r="B51" s="95">
        <f t="shared" si="7"/>
        <v>3601.3168343608268</v>
      </c>
      <c r="C51" s="95">
        <f t="shared" si="8"/>
        <v>-273.17359077347771</v>
      </c>
      <c r="D51" s="95">
        <f t="shared" si="9"/>
        <v>1624.6430305748108</v>
      </c>
      <c r="E51" s="95">
        <f t="shared" si="10"/>
        <v>63.390334586613676</v>
      </c>
      <c r="F51" s="96">
        <f t="shared" si="11"/>
        <v>220.25892675872217</v>
      </c>
      <c r="G51" s="94">
        <f t="shared" si="12"/>
        <v>360.34953156586585</v>
      </c>
      <c r="H51" s="97">
        <f t="shared" si="13"/>
        <v>1078.4032098070543</v>
      </c>
      <c r="I51" s="94">
        <f t="shared" si="14"/>
        <v>1310.0531990225825</v>
      </c>
      <c r="J51" s="95">
        <f t="shared" si="15"/>
        <v>-241.95154401287857</v>
      </c>
      <c r="K51" s="94">
        <f t="shared" si="16"/>
        <v>105.31659015657999</v>
      </c>
      <c r="L51" s="94">
        <f t="shared" si="17"/>
        <v>-616.19273903545354</v>
      </c>
      <c r="M51" s="94">
        <f t="shared" si="18"/>
        <v>-1055.0202576132967</v>
      </c>
      <c r="N51" s="99">
        <f t="shared" si="19"/>
        <v>10626.126520938473</v>
      </c>
      <c r="O51" s="99">
        <f t="shared" si="20"/>
        <v>25010.570320840972</v>
      </c>
      <c r="P51" s="100">
        <f t="shared" si="21"/>
        <v>16631.756681066174</v>
      </c>
      <c r="Q51" s="95">
        <f t="shared" si="22"/>
        <v>3106762517490.6094</v>
      </c>
      <c r="R51" s="95">
        <f t="shared" si="23"/>
        <v>17518647719553.838</v>
      </c>
      <c r="S51" s="95">
        <f t="shared" si="24"/>
        <v>7308815371719.6602</v>
      </c>
      <c r="T51">
        <f t="shared" si="0"/>
        <v>0.5</v>
      </c>
      <c r="V51" s="101"/>
      <c r="W51" s="101"/>
      <c r="X51" s="101">
        <v>8</v>
      </c>
      <c r="Y51" s="101">
        <f t="shared" si="1"/>
        <v>14951.340343707852</v>
      </c>
      <c r="Z51" s="101">
        <f t="shared" si="2"/>
        <v>8195.8655048003275</v>
      </c>
      <c r="AA51" s="101">
        <f t="shared" si="3"/>
        <v>-16534.061759404503</v>
      </c>
      <c r="AB51" s="101">
        <f t="shared" si="4"/>
        <v>10487.10585336023</v>
      </c>
      <c r="AC51" s="101">
        <f t="shared" si="5"/>
        <v>-48.659656292148611</v>
      </c>
      <c r="AD51" s="101">
        <f t="shared" si="6"/>
        <v>-14304.134495199673</v>
      </c>
    </row>
    <row r="52" spans="1:30" x14ac:dyDescent="0.25">
      <c r="A52">
        <v>4.5</v>
      </c>
      <c r="B52" s="95">
        <f t="shared" si="7"/>
        <v>4468.7030813379124</v>
      </c>
      <c r="C52" s="95">
        <f t="shared" si="8"/>
        <v>-151.39104058870441</v>
      </c>
      <c r="D52" s="95">
        <f t="shared" si="9"/>
        <v>1734.772493954172</v>
      </c>
      <c r="E52" s="95">
        <f t="shared" si="10"/>
        <v>243.5651003695466</v>
      </c>
      <c r="F52" s="96">
        <f t="shared" si="11"/>
        <v>140.45432304411804</v>
      </c>
      <c r="G52" s="94">
        <f t="shared" si="12"/>
        <v>491.97692863028124</v>
      </c>
      <c r="H52" s="97">
        <f t="shared" si="13"/>
        <v>1013.5575308982671</v>
      </c>
      <c r="I52" s="94">
        <f t="shared" si="14"/>
        <v>1402.0446063691015</v>
      </c>
      <c r="J52" s="95">
        <f t="shared" si="15"/>
        <v>-231.51875215495957</v>
      </c>
      <c r="K52" s="94">
        <f t="shared" si="16"/>
        <v>96.050754244782212</v>
      </c>
      <c r="L52" s="94">
        <f t="shared" si="17"/>
        <v>-641.58445569918956</v>
      </c>
      <c r="M52" s="94">
        <f t="shared" si="18"/>
        <v>-1006.1184319836025</v>
      </c>
      <c r="N52" s="99">
        <f t="shared" si="19"/>
        <v>10068.037243004834</v>
      </c>
      <c r="O52" s="99">
        <f t="shared" si="20"/>
        <v>25740.245763046812</v>
      </c>
      <c r="P52" s="100">
        <f t="shared" si="21"/>
        <v>17054.678753132546</v>
      </c>
      <c r="Q52" s="95">
        <f t="shared" si="22"/>
        <v>2857440456799.0996</v>
      </c>
      <c r="R52" s="95">
        <f t="shared" si="23"/>
        <v>18980931432694.723</v>
      </c>
      <c r="S52" s="95">
        <f t="shared" si="24"/>
        <v>7727433693027.1006</v>
      </c>
      <c r="T52">
        <f t="shared" si="0"/>
        <v>0.5</v>
      </c>
      <c r="V52" s="101"/>
      <c r="W52" s="101"/>
      <c r="X52" s="101">
        <v>9</v>
      </c>
      <c r="Y52" s="101">
        <f t="shared" si="1"/>
        <v>14938.441702975688</v>
      </c>
      <c r="Z52" s="101">
        <f t="shared" si="2"/>
        <v>8282.1723252011543</v>
      </c>
      <c r="AA52" s="101">
        <f t="shared" si="3"/>
        <v>-16543.090807917019</v>
      </c>
      <c r="AB52" s="101">
        <f t="shared" si="4"/>
        <v>10547.520627640808</v>
      </c>
      <c r="AC52" s="101">
        <f t="shared" si="5"/>
        <v>-61.558297024311287</v>
      </c>
      <c r="AD52" s="101">
        <f t="shared" si="6"/>
        <v>-14217.827674798846</v>
      </c>
    </row>
    <row r="53" spans="1:30" x14ac:dyDescent="0.25">
      <c r="A53">
        <v>5</v>
      </c>
      <c r="B53" s="95">
        <f t="shared" si="7"/>
        <v>5371.2029090760279</v>
      </c>
      <c r="C53" s="95">
        <f t="shared" si="8"/>
        <v>93.385741753639195</v>
      </c>
      <c r="D53" s="95">
        <f t="shared" si="9"/>
        <v>1804.9996554762311</v>
      </c>
      <c r="E53" s="95">
        <f t="shared" si="10"/>
        <v>489.55356468468722</v>
      </c>
      <c r="F53" s="96">
        <f t="shared" si="11"/>
        <v>56.457155638032305</v>
      </c>
      <c r="G53" s="94">
        <f t="shared" si="12"/>
        <v>625.9210457305951</v>
      </c>
      <c r="H53" s="97">
        <f t="shared" si="13"/>
        <v>931.74061705488748</v>
      </c>
      <c r="I53" s="94">
        <f t="shared" si="14"/>
        <v>1490.8934662090464</v>
      </c>
      <c r="J53" s="95">
        <f t="shared" si="15"/>
        <v>-221.50065913263319</v>
      </c>
      <c r="K53" s="94">
        <f t="shared" si="16"/>
        <v>86.48866968736975</v>
      </c>
      <c r="L53" s="94">
        <f t="shared" si="17"/>
        <v>-653.78280228422193</v>
      </c>
      <c r="M53" s="94">
        <f t="shared" si="18"/>
        <v>-951.46109016582113</v>
      </c>
      <c r="N53" s="99">
        <f t="shared" si="19"/>
        <v>9441.3468561642094</v>
      </c>
      <c r="O53" s="99">
        <f t="shared" si="20"/>
        <v>26490.907318202979</v>
      </c>
      <c r="P53" s="100">
        <f t="shared" si="21"/>
        <v>17610.721906612675</v>
      </c>
      <c r="Q53" s="95">
        <f t="shared" si="22"/>
        <v>2601187975427.7007</v>
      </c>
      <c r="R53" s="95">
        <f t="shared" si="23"/>
        <v>20571159810174.273</v>
      </c>
      <c r="S53" s="95">
        <f t="shared" si="24"/>
        <v>8306044646174.3467</v>
      </c>
      <c r="T53">
        <f t="shared" si="0"/>
        <v>0.5</v>
      </c>
      <c r="V53" s="101"/>
      <c r="W53" s="101"/>
      <c r="X53" s="101">
        <v>10</v>
      </c>
      <c r="Y53" s="101">
        <f t="shared" si="1"/>
        <v>14924.038765061039</v>
      </c>
      <c r="Z53" s="101">
        <f t="shared" si="2"/>
        <v>8368.2408883346525</v>
      </c>
      <c r="AA53" s="101">
        <f t="shared" si="3"/>
        <v>-16553.172864457272</v>
      </c>
      <c r="AB53" s="101">
        <f t="shared" si="4"/>
        <v>10607.768621834257</v>
      </c>
      <c r="AC53" s="101">
        <f t="shared" si="5"/>
        <v>-75.961234938959933</v>
      </c>
      <c r="AD53" s="101">
        <f t="shared" si="6"/>
        <v>-14131.759111665348</v>
      </c>
    </row>
    <row r="54" spans="1:30" x14ac:dyDescent="0.25">
      <c r="A54">
        <v>5.5</v>
      </c>
      <c r="B54" s="95">
        <f t="shared" si="7"/>
        <v>6287.8170257236516</v>
      </c>
      <c r="C54" s="95">
        <f t="shared" si="8"/>
        <v>494.64278552863158</v>
      </c>
      <c r="D54" s="95">
        <f t="shared" si="9"/>
        <v>1833.2282332952473</v>
      </c>
      <c r="E54" s="95">
        <f t="shared" si="10"/>
        <v>802.51408754998477</v>
      </c>
      <c r="F54" s="96">
        <f t="shared" si="11"/>
        <v>-32.445445104112764</v>
      </c>
      <c r="G54" s="94">
        <f t="shared" si="12"/>
        <v>750.83170259153701</v>
      </c>
      <c r="H54" s="97">
        <f t="shared" si="13"/>
        <v>830.44288963898964</v>
      </c>
      <c r="I54" s="94">
        <f t="shared" si="14"/>
        <v>1567.1504148507165</v>
      </c>
      <c r="J54" s="95">
        <f t="shared" si="15"/>
        <v>-212.28298950953248</v>
      </c>
      <c r="K54" s="94">
        <f t="shared" si="16"/>
        <v>76.758965716684031</v>
      </c>
      <c r="L54" s="94">
        <f t="shared" si="17"/>
        <v>-650.60534523356989</v>
      </c>
      <c r="M54" s="94">
        <f t="shared" si="18"/>
        <v>-893.07767797586359</v>
      </c>
      <c r="N54" s="99">
        <f t="shared" si="19"/>
        <v>8734.0538857625852</v>
      </c>
      <c r="O54" s="99">
        <f t="shared" si="20"/>
        <v>27236.720491189793</v>
      </c>
      <c r="P54" s="100">
        <f t="shared" si="21"/>
        <v>18313.168566105622</v>
      </c>
      <c r="Q54" s="95">
        <f t="shared" si="22"/>
        <v>2340551631398.6514</v>
      </c>
      <c r="R54" s="95">
        <f t="shared" si="23"/>
        <v>22239861102345.219</v>
      </c>
      <c r="S54" s="95">
        <f t="shared" si="24"/>
        <v>9084289296339.4258</v>
      </c>
      <c r="T54">
        <f t="shared" si="0"/>
        <v>0.5</v>
      </c>
      <c r="V54" s="101"/>
      <c r="W54" s="101"/>
      <c r="X54" s="101">
        <v>11</v>
      </c>
      <c r="Y54" s="101">
        <f t="shared" si="1"/>
        <v>14908.13591723832</v>
      </c>
      <c r="Z54" s="101">
        <f t="shared" si="2"/>
        <v>8454.0449768827239</v>
      </c>
      <c r="AA54" s="101">
        <f t="shared" si="3"/>
        <v>-16564.304857933177</v>
      </c>
      <c r="AB54" s="101">
        <f t="shared" si="4"/>
        <v>10667.831483817907</v>
      </c>
      <c r="AC54" s="101">
        <f t="shared" si="5"/>
        <v>-91.864082761680038</v>
      </c>
      <c r="AD54" s="101">
        <f t="shared" si="6"/>
        <v>-14045.955023117276</v>
      </c>
    </row>
    <row r="55" spans="1:30" x14ac:dyDescent="0.25">
      <c r="A55">
        <v>6</v>
      </c>
      <c r="B55" s="95">
        <f t="shared" si="7"/>
        <v>7196.319781095247</v>
      </c>
      <c r="C55" s="95">
        <f t="shared" si="8"/>
        <v>1083.6077549515082</v>
      </c>
      <c r="D55" s="95">
        <f t="shared" si="9"/>
        <v>1817.0055107431908</v>
      </c>
      <c r="E55" s="95">
        <f t="shared" si="10"/>
        <v>1177.9299388457532</v>
      </c>
      <c r="F55" s="96">
        <f t="shared" si="11"/>
        <v>-129.52303569900641</v>
      </c>
      <c r="G55" s="94">
        <f t="shared" si="12"/>
        <v>850.33210770525693</v>
      </c>
      <c r="H55" s="97">
        <f t="shared" si="13"/>
        <v>706.35679269216132</v>
      </c>
      <c r="I55" s="94">
        <f t="shared" si="14"/>
        <v>1616.5403658758985</v>
      </c>
      <c r="J55" s="95">
        <f t="shared" si="15"/>
        <v>-204.1131459977818</v>
      </c>
      <c r="K55" s="94">
        <f t="shared" si="16"/>
        <v>66.919086359330166</v>
      </c>
      <c r="L55" s="94">
        <f t="shared" si="17"/>
        <v>-631.76668239338596</v>
      </c>
      <c r="M55" s="94">
        <f t="shared" si="18"/>
        <v>-833.12734452997165</v>
      </c>
      <c r="N55" s="99">
        <f t="shared" si="19"/>
        <v>7928.1354766964751</v>
      </c>
      <c r="O55" s="99">
        <f t="shared" si="20"/>
        <v>27953.553258085623</v>
      </c>
      <c r="P55" s="100">
        <f t="shared" si="21"/>
        <v>19170.257386309429</v>
      </c>
      <c r="Q55" s="95">
        <f t="shared" si="22"/>
        <v>2078274810938.8855</v>
      </c>
      <c r="R55" s="95">
        <f t="shared" si="23"/>
        <v>23929405263502.211</v>
      </c>
      <c r="S55" s="95">
        <f t="shared" si="24"/>
        <v>10108127386512.586</v>
      </c>
      <c r="T55">
        <f t="shared" si="0"/>
        <v>0.5</v>
      </c>
      <c r="V55" s="101"/>
      <c r="W55" s="101"/>
      <c r="X55" s="101">
        <v>12</v>
      </c>
      <c r="Y55" s="101">
        <f t="shared" si="1"/>
        <v>14890.738003669028</v>
      </c>
      <c r="Z55" s="101">
        <f t="shared" si="2"/>
        <v>8539.5584540887976</v>
      </c>
      <c r="AA55" s="101">
        <f t="shared" si="3"/>
        <v>-16576.483397431679</v>
      </c>
      <c r="AB55" s="101">
        <f t="shared" si="4"/>
        <v>10727.690917862157</v>
      </c>
      <c r="AC55" s="101">
        <f t="shared" si="5"/>
        <v>-109.26199633097167</v>
      </c>
      <c r="AD55" s="101">
        <f t="shared" si="6"/>
        <v>-13960.441545911202</v>
      </c>
    </row>
    <row r="56" spans="1:30" x14ac:dyDescent="0.25">
      <c r="A56">
        <v>6.5</v>
      </c>
      <c r="B56" s="95">
        <f t="shared" si="7"/>
        <v>8072.4417775420907</v>
      </c>
      <c r="C56" s="95">
        <f t="shared" si="8"/>
        <v>1885.1557513006992</v>
      </c>
      <c r="D56" s="95">
        <f t="shared" si="9"/>
        <v>1752.2439928936876</v>
      </c>
      <c r="E56" s="95">
        <f t="shared" si="10"/>
        <v>1603.0959926983817</v>
      </c>
      <c r="F56" s="96">
        <f t="shared" si="11"/>
        <v>-241.16448779030827</v>
      </c>
      <c r="G56" s="94">
        <f t="shared" si="12"/>
        <v>899.44898256608758</v>
      </c>
      <c r="H56" s="97">
        <f t="shared" si="13"/>
        <v>554.74380601442954</v>
      </c>
      <c r="I56" s="94">
        <f t="shared" si="14"/>
        <v>1615.9304722478732</v>
      </c>
      <c r="J56" s="95">
        <f t="shared" si="15"/>
        <v>-197.10011861807882</v>
      </c>
      <c r="K56" s="94">
        <f t="shared" si="16"/>
        <v>56.975334623916247</v>
      </c>
      <c r="L56" s="94">
        <f t="shared" si="17"/>
        <v>-598.80817518665901</v>
      </c>
      <c r="M56" s="94">
        <f t="shared" si="18"/>
        <v>-773.45682430570196</v>
      </c>
      <c r="N56" s="99">
        <f t="shared" si="19"/>
        <v>7002.1933858039247</v>
      </c>
      <c r="O56" s="99">
        <f t="shared" si="20"/>
        <v>28620.654435270229</v>
      </c>
      <c r="P56" s="100">
        <f t="shared" si="21"/>
        <v>20184.961100231812</v>
      </c>
      <c r="Q56" s="95">
        <f t="shared" si="22"/>
        <v>1819339151210.1755</v>
      </c>
      <c r="R56" s="95">
        <f t="shared" si="23"/>
        <v>25579146335985.922</v>
      </c>
      <c r="S56" s="95">
        <f t="shared" si="24"/>
        <v>11430562895483.969</v>
      </c>
      <c r="T56">
        <f t="shared" si="0"/>
        <v>0.5</v>
      </c>
      <c r="X56" s="101">
        <v>13</v>
      </c>
      <c r="Y56" s="101">
        <f t="shared" si="1"/>
        <v>14871.850323926177</v>
      </c>
      <c r="Z56" s="101">
        <f t="shared" si="2"/>
        <v>8624.7552717193248</v>
      </c>
      <c r="AA56" s="101">
        <f t="shared" si="3"/>
        <v>-16589.704773251677</v>
      </c>
      <c r="AB56" s="101">
        <f t="shared" si="4"/>
        <v>10787.328690203527</v>
      </c>
      <c r="AC56" s="101">
        <f t="shared" si="5"/>
        <v>-128.14967607382368</v>
      </c>
      <c r="AD56" s="101">
        <f t="shared" si="6"/>
        <v>-13875.244728280675</v>
      </c>
    </row>
    <row r="57" spans="1:30" x14ac:dyDescent="0.25">
      <c r="A57">
        <v>7</v>
      </c>
      <c r="B57" s="95">
        <f t="shared" si="7"/>
        <v>8888.272652041358</v>
      </c>
      <c r="C57" s="95">
        <f t="shared" si="8"/>
        <v>2911.5659932914118</v>
      </c>
      <c r="D57" s="95">
        <f t="shared" si="9"/>
        <v>1631.6617489985335</v>
      </c>
      <c r="E57" s="95">
        <f t="shared" si="10"/>
        <v>2052.8204839814252</v>
      </c>
      <c r="F57" s="96">
        <f t="shared" si="11"/>
        <v>-375.79051547296194</v>
      </c>
      <c r="G57" s="94">
        <f t="shared" si="12"/>
        <v>859.11587329804547</v>
      </c>
      <c r="H57" s="97">
        <f t="shared" si="13"/>
        <v>370.10908304202565</v>
      </c>
      <c r="I57" s="94">
        <f t="shared" si="14"/>
        <v>1527.5517922088031</v>
      </c>
      <c r="J57" s="95">
        <f t="shared" si="15"/>
        <v>-191.22544726189369</v>
      </c>
      <c r="K57" s="94">
        <f t="shared" si="16"/>
        <v>46.921772708465589</v>
      </c>
      <c r="L57" s="94">
        <f t="shared" si="17"/>
        <v>-554.6741512530939</v>
      </c>
      <c r="M57" s="94">
        <f t="shared" si="18"/>
        <v>-715.35769161922326</v>
      </c>
      <c r="N57" s="99">
        <f t="shared" si="19"/>
        <v>5936.4936316075255</v>
      </c>
      <c r="O57" s="99">
        <f t="shared" si="20"/>
        <v>29221.784417351017</v>
      </c>
      <c r="P57" s="100">
        <f t="shared" si="21"/>
        <v>21354.091382517567</v>
      </c>
      <c r="Q57" s="95">
        <f t="shared" si="22"/>
        <v>1572777067252.3374</v>
      </c>
      <c r="R57" s="95">
        <f t="shared" si="23"/>
        <v>27131176793545.379</v>
      </c>
      <c r="S57" s="95">
        <f t="shared" si="24"/>
        <v>13110188277849.07</v>
      </c>
      <c r="T57">
        <f t="shared" si="0"/>
        <v>0.5</v>
      </c>
      <c r="X57" s="101">
        <v>14</v>
      </c>
      <c r="Y57" s="101">
        <f t="shared" si="1"/>
        <v>14851.478631379981</v>
      </c>
      <c r="Z57" s="101">
        <f t="shared" si="2"/>
        <v>8709.6094779983396</v>
      </c>
      <c r="AA57" s="101">
        <f t="shared" si="3"/>
        <v>-16603.964958034012</v>
      </c>
      <c r="AB57" s="101">
        <f t="shared" si="4"/>
        <v>10846.726634598837</v>
      </c>
      <c r="AC57" s="101">
        <f t="shared" si="5"/>
        <v>-148.52136862001771</v>
      </c>
      <c r="AD57" s="101">
        <f t="shared" si="6"/>
        <v>-13790.39052200166</v>
      </c>
    </row>
    <row r="58" spans="1:30" x14ac:dyDescent="0.25">
      <c r="A58">
        <v>7.5</v>
      </c>
      <c r="B58" s="95">
        <f t="shared" si="7"/>
        <v>9610.1558976723845</v>
      </c>
      <c r="C58" s="95">
        <f t="shared" si="8"/>
        <v>4152.7552036066354</v>
      </c>
      <c r="D58" s="95">
        <f t="shared" si="9"/>
        <v>1443.7664912620526</v>
      </c>
      <c r="E58" s="95">
        <f t="shared" si="10"/>
        <v>2482.3784206304481</v>
      </c>
      <c r="F58" s="96">
        <f t="shared" si="11"/>
        <v>-538.5913288446468</v>
      </c>
      <c r="G58" s="94">
        <f t="shared" si="12"/>
        <v>673.182597000942</v>
      </c>
      <c r="H58" s="97">
        <f t="shared" si="13"/>
        <v>150.94021400861595</v>
      </c>
      <c r="I58" s="94">
        <f t="shared" si="14"/>
        <v>1295.9894555035601</v>
      </c>
      <c r="J58" s="95">
        <f t="shared" si="15"/>
        <v>-186.36649815614692</v>
      </c>
      <c r="K58" s="94">
        <f t="shared" si="16"/>
        <v>36.802593688851395</v>
      </c>
      <c r="L58" s="94">
        <f t="shared" si="17"/>
        <v>-503.16504469711577</v>
      </c>
      <c r="M58" s="94">
        <f t="shared" si="18"/>
        <v>-659.60945219146947</v>
      </c>
      <c r="N58" s="99">
        <f t="shared" si="19"/>
        <v>4721.1931045148949</v>
      </c>
      <c r="O58" s="99">
        <f t="shared" si="20"/>
        <v>29745.221355473946</v>
      </c>
      <c r="P58" s="100">
        <f t="shared" si="21"/>
        <v>22665.134316598993</v>
      </c>
      <c r="Q58" s="95">
        <f t="shared" si="22"/>
        <v>1352336062285.5996</v>
      </c>
      <c r="R58" s="95">
        <f t="shared" si="23"/>
        <v>28534192806397.023</v>
      </c>
      <c r="S58" s="95">
        <f t="shared" si="24"/>
        <v>15203480090566.346</v>
      </c>
      <c r="T58">
        <f t="shared" si="0"/>
        <v>0.5</v>
      </c>
      <c r="X58" s="101">
        <v>15</v>
      </c>
      <c r="Y58" s="101">
        <f t="shared" si="1"/>
        <v>14829.629131445341</v>
      </c>
      <c r="Z58" s="101">
        <f t="shared" si="2"/>
        <v>8794.0952255126031</v>
      </c>
      <c r="AA58" s="101">
        <f t="shared" si="3"/>
        <v>-16619.259607988261</v>
      </c>
      <c r="AB58" s="101">
        <f t="shared" si="4"/>
        <v>10905.866657858822</v>
      </c>
      <c r="AC58" s="101">
        <f t="shared" si="5"/>
        <v>-170.37086855465805</v>
      </c>
      <c r="AD58" s="101">
        <f t="shared" si="6"/>
        <v>-13705.904774487397</v>
      </c>
    </row>
    <row r="59" spans="1:30" x14ac:dyDescent="0.25">
      <c r="A59">
        <v>8</v>
      </c>
      <c r="B59" s="95">
        <f t="shared" si="7"/>
        <v>10197.391311092249</v>
      </c>
      <c r="C59" s="95">
        <f t="shared" si="8"/>
        <v>5562.2400631720948</v>
      </c>
      <c r="D59" s="95">
        <f t="shared" si="9"/>
        <v>1174.4708268397292</v>
      </c>
      <c r="E59" s="95">
        <f t="shared" si="10"/>
        <v>2818.9697191309192</v>
      </c>
      <c r="F59" s="96">
        <f t="shared" si="11"/>
        <v>-718.76487415279644</v>
      </c>
      <c r="G59" s="94">
        <f t="shared" si="12"/>
        <v>283.44607314604264</v>
      </c>
      <c r="H59" s="97">
        <f t="shared" si="13"/>
        <v>-87.954095648001982</v>
      </c>
      <c r="I59" s="94">
        <f t="shared" si="14"/>
        <v>863.43173812233681</v>
      </c>
      <c r="J59" s="95">
        <f t="shared" si="15"/>
        <v>-182.34260762809905</v>
      </c>
      <c r="K59" s="94">
        <f t="shared" si="16"/>
        <v>26.796775607947026</v>
      </c>
      <c r="L59" s="94">
        <f t="shared" si="17"/>
        <v>-448.46817087669541</v>
      </c>
      <c r="M59" s="94">
        <f t="shared" si="18"/>
        <v>-606.78244058424116</v>
      </c>
      <c r="N59" s="99">
        <f t="shared" si="19"/>
        <v>3369.8703463341262</v>
      </c>
      <c r="O59" s="99">
        <f t="shared" si="20"/>
        <v>30181.974819309155</v>
      </c>
      <c r="P59" s="100">
        <f t="shared" si="21"/>
        <v>24089.098929672986</v>
      </c>
      <c r="Q59" s="95">
        <f t="shared" si="22"/>
        <v>1175088528171.2583</v>
      </c>
      <c r="R59" s="95">
        <f t="shared" si="23"/>
        <v>29742262884090.352</v>
      </c>
      <c r="S59" s="95">
        <f t="shared" si="24"/>
        <v>17743367310149.566</v>
      </c>
      <c r="T59">
        <f t="shared" si="0"/>
        <v>0.5</v>
      </c>
      <c r="X59" s="101">
        <v>16</v>
      </c>
      <c r="Y59" s="101">
        <f t="shared" si="1"/>
        <v>14806.308479691594</v>
      </c>
      <c r="Z59" s="101">
        <f t="shared" si="2"/>
        <v>8878.1867790849956</v>
      </c>
      <c r="AA59" s="101">
        <f t="shared" si="3"/>
        <v>-16635.584064215884</v>
      </c>
      <c r="AB59" s="101">
        <f t="shared" si="4"/>
        <v>10964.730745359497</v>
      </c>
      <c r="AC59" s="101">
        <f t="shared" si="5"/>
        <v>-193.69152030840542</v>
      </c>
      <c r="AD59" s="101">
        <f t="shared" si="6"/>
        <v>-13621.813220915004</v>
      </c>
    </row>
    <row r="60" spans="1:30" x14ac:dyDescent="0.25">
      <c r="A60">
        <v>8.5</v>
      </c>
      <c r="B60" s="95">
        <f t="shared" si="7"/>
        <v>10604.935505973915</v>
      </c>
      <c r="C60" s="95">
        <f t="shared" si="8"/>
        <v>7042.5864410240647</v>
      </c>
      <c r="D60" s="95">
        <f t="shared" si="9"/>
        <v>815.08838976333095</v>
      </c>
      <c r="E60" s="95">
        <f t="shared" si="10"/>
        <v>2960.6927557039407</v>
      </c>
      <c r="F60" s="96">
        <f t="shared" si="11"/>
        <v>-873.36623312744496</v>
      </c>
      <c r="G60" s="94">
        <f t="shared" si="12"/>
        <v>-313.91886050771564</v>
      </c>
      <c r="H60" s="97">
        <f t="shared" si="13"/>
        <v>-299.53673870779312</v>
      </c>
      <c r="I60" s="94">
        <f t="shared" si="14"/>
        <v>226.49053385582619</v>
      </c>
      <c r="J60" s="95">
        <f t="shared" si="15"/>
        <v>-179.00378683432527</v>
      </c>
      <c r="K60" s="94">
        <f t="shared" si="16"/>
        <v>17.297478904621048</v>
      </c>
      <c r="L60" s="94">
        <f t="shared" si="17"/>
        <v>-394.82570758532654</v>
      </c>
      <c r="M60" s="94">
        <f t="shared" si="18"/>
        <v>-557.70687326816289</v>
      </c>
      <c r="N60" s="99">
        <f t="shared" si="19"/>
        <v>1947.7876944035775</v>
      </c>
      <c r="O60" s="99">
        <f t="shared" si="20"/>
        <v>30521.732507381435</v>
      </c>
      <c r="P60" s="100">
        <f t="shared" si="21"/>
        <v>25568.856428827276</v>
      </c>
      <c r="Q60" s="95">
        <f t="shared" si="22"/>
        <v>1057444544566.7755</v>
      </c>
      <c r="R60" s="95">
        <f t="shared" si="23"/>
        <v>30705911395870.859</v>
      </c>
      <c r="S60" s="95">
        <f t="shared" si="24"/>
        <v>20694511444527.891</v>
      </c>
      <c r="T60">
        <f t="shared" si="0"/>
        <v>0.5</v>
      </c>
      <c r="X60" s="101">
        <v>17</v>
      </c>
      <c r="Y60" s="101">
        <f t="shared" si="1"/>
        <v>14781.523779815177</v>
      </c>
      <c r="Z60" s="101">
        <f t="shared" si="2"/>
        <v>8961.8585236136842</v>
      </c>
      <c r="AA60" s="101">
        <f t="shared" si="3"/>
        <v>-16652.933354129374</v>
      </c>
      <c r="AB60" s="101">
        <f t="shared" si="4"/>
        <v>11023.300966529579</v>
      </c>
      <c r="AC60" s="101">
        <f t="shared" si="5"/>
        <v>-218.47622018482252</v>
      </c>
      <c r="AD60" s="101">
        <f t="shared" si="6"/>
        <v>-13538.141476386316</v>
      </c>
    </row>
    <row r="61" spans="1:30" x14ac:dyDescent="0.25">
      <c r="A61">
        <v>9</v>
      </c>
      <c r="B61" s="95">
        <f t="shared" si="7"/>
        <v>10794.13814257372</v>
      </c>
      <c r="C61" s="95">
        <f t="shared" si="8"/>
        <v>8444.453103749107</v>
      </c>
      <c r="D61" s="95">
        <f t="shared" si="9"/>
        <v>378.40527319960847</v>
      </c>
      <c r="E61" s="95">
        <f t="shared" si="10"/>
        <v>2803.7333254500827</v>
      </c>
      <c r="F61" s="96">
        <f t="shared" si="11"/>
        <v>-934.83702479279646</v>
      </c>
      <c r="G61" s="94">
        <f t="shared" si="12"/>
        <v>-995.29576695822698</v>
      </c>
      <c r="H61" s="97">
        <f t="shared" si="13"/>
        <v>-412.24793446548068</v>
      </c>
      <c r="I61" s="94">
        <f t="shared" si="14"/>
        <v>-490.27847970913746</v>
      </c>
      <c r="J61" s="95">
        <f t="shared" si="15"/>
        <v>-176.36550158477277</v>
      </c>
      <c r="K61" s="94">
        <f t="shared" si="16"/>
        <v>8.9089945406407143</v>
      </c>
      <c r="L61" s="94">
        <f t="shared" si="17"/>
        <v>-346.22358874254309</v>
      </c>
      <c r="M61" s="94">
        <f t="shared" si="18"/>
        <v>-513.9262817897303</v>
      </c>
      <c r="N61" s="99">
        <f t="shared" si="19"/>
        <v>758.40235384850212</v>
      </c>
      <c r="O61" s="99">
        <f t="shared" si="20"/>
        <v>30747.493756136249</v>
      </c>
      <c r="P61" s="100">
        <f t="shared" si="21"/>
        <v>27007.214390892357</v>
      </c>
      <c r="Q61" s="95">
        <f t="shared" si="22"/>
        <v>1008640006035.7964</v>
      </c>
      <c r="R61" s="95">
        <f t="shared" si="23"/>
        <v>31357913529489.629</v>
      </c>
      <c r="S61" s="95">
        <f t="shared" si="24"/>
        <v>23885696012560.043</v>
      </c>
      <c r="T61">
        <f t="shared" si="0"/>
        <v>0.5</v>
      </c>
      <c r="X61" s="101">
        <v>18</v>
      </c>
      <c r="Y61" s="101">
        <f t="shared" si="1"/>
        <v>14755.282581475767</v>
      </c>
      <c r="Z61" s="101">
        <f t="shared" si="2"/>
        <v>9045.0849718747377</v>
      </c>
      <c r="AA61" s="101">
        <f t="shared" si="3"/>
        <v>-16671.302192966963</v>
      </c>
      <c r="AB61" s="101">
        <f t="shared" si="4"/>
        <v>11081.559480312317</v>
      </c>
      <c r="AC61" s="101">
        <f t="shared" si="5"/>
        <v>-244.71741852423202</v>
      </c>
      <c r="AD61" s="101">
        <f t="shared" si="6"/>
        <v>-13454.915028125262</v>
      </c>
    </row>
    <row r="62" spans="1:30" x14ac:dyDescent="0.25">
      <c r="A62">
        <v>9.5</v>
      </c>
      <c r="B62" s="95">
        <f t="shared" si="7"/>
        <v>10749.631522975325</v>
      </c>
      <c r="C62" s="95">
        <f t="shared" si="8"/>
        <v>9597.495824734593</v>
      </c>
      <c r="D62" s="95">
        <f t="shared" si="9"/>
        <v>-89.013239196789755</v>
      </c>
      <c r="E62" s="95">
        <f t="shared" si="10"/>
        <v>2306.0854419709694</v>
      </c>
      <c r="F62" s="96">
        <f t="shared" si="11"/>
        <v>-864.30920750062853</v>
      </c>
      <c r="G62" s="94">
        <f t="shared" si="12"/>
        <v>-1549.0714946984347</v>
      </c>
      <c r="H62" s="97">
        <f t="shared" si="13"/>
        <v>-383.70906905828934</v>
      </c>
      <c r="I62" s="94">
        <f t="shared" si="14"/>
        <v>-1073.6317051718368</v>
      </c>
      <c r="J62" s="95">
        <f t="shared" si="15"/>
        <v>-174.71451490994011</v>
      </c>
      <c r="K62" s="94">
        <f t="shared" si="16"/>
        <v>2.2869646967371735</v>
      </c>
      <c r="L62" s="94">
        <f t="shared" si="17"/>
        <v>-305.88562353239911</v>
      </c>
      <c r="M62" s="94">
        <f t="shared" si="18"/>
        <v>-477.72675422333515</v>
      </c>
      <c r="N62" s="99">
        <f t="shared" si="19"/>
        <v>1233.9558560466251</v>
      </c>
      <c r="O62" s="99">
        <f t="shared" si="20"/>
        <v>30833.401857244837</v>
      </c>
      <c r="P62" s="100">
        <f t="shared" si="21"/>
        <v>28268.307006267518</v>
      </c>
      <c r="Q62" s="95">
        <f t="shared" si="22"/>
        <v>1022926428460.6802</v>
      </c>
      <c r="R62" s="95">
        <f t="shared" si="23"/>
        <v>31608484345865.668</v>
      </c>
      <c r="S62" s="95">
        <f t="shared" si="24"/>
        <v>26959383335257.633</v>
      </c>
      <c r="T62">
        <f t="shared" si="0"/>
        <v>0.5</v>
      </c>
      <c r="X62" s="101">
        <v>19</v>
      </c>
      <c r="Y62" s="101">
        <f t="shared" si="1"/>
        <v>14727.592877996583</v>
      </c>
      <c r="Z62" s="101">
        <f t="shared" si="2"/>
        <v>9127.8407722857828</v>
      </c>
      <c r="AA62" s="101">
        <f t="shared" si="3"/>
        <v>-16690.684985402389</v>
      </c>
      <c r="AB62" s="101">
        <f t="shared" si="4"/>
        <v>11139.488540600049</v>
      </c>
      <c r="AC62" s="101">
        <f t="shared" si="5"/>
        <v>-272.40712200341568</v>
      </c>
      <c r="AD62" s="101">
        <f t="shared" si="6"/>
        <v>-13372.159227714217</v>
      </c>
    </row>
    <row r="63" spans="1:30" x14ac:dyDescent="0.25">
      <c r="A63">
        <v>10</v>
      </c>
      <c r="B63" s="95">
        <f t="shared" si="7"/>
        <v>10489.047601501774</v>
      </c>
      <c r="C63" s="95">
        <f t="shared" si="8"/>
        <v>10363.270672045468</v>
      </c>
      <c r="D63" s="95">
        <f t="shared" si="9"/>
        <v>-521.16784294710396</v>
      </c>
      <c r="E63" s="95">
        <f t="shared" si="10"/>
        <v>1531.5496946217522</v>
      </c>
      <c r="F63" s="96">
        <f t="shared" si="11"/>
        <v>-688.29441500197424</v>
      </c>
      <c r="G63" s="94">
        <f t="shared" si="12"/>
        <v>-1847.5924876311706</v>
      </c>
      <c r="H63" s="97">
        <f t="shared" si="13"/>
        <v>-238.12506359648719</v>
      </c>
      <c r="I63" s="94">
        <f t="shared" si="14"/>
        <v>-1394.1720780984358</v>
      </c>
      <c r="J63" s="95">
        <f t="shared" si="15"/>
        <v>-174.54090089086955</v>
      </c>
      <c r="K63" s="94">
        <f t="shared" si="16"/>
        <v>-2.0796185959880393</v>
      </c>
      <c r="L63" s="94">
        <f t="shared" si="17"/>
        <v>-275.6284505146175</v>
      </c>
      <c r="M63" s="94">
        <f t="shared" si="18"/>
        <v>-451.34079093674688</v>
      </c>
      <c r="N63" s="99">
        <f t="shared" si="19"/>
        <v>2227.4281481155249</v>
      </c>
      <c r="O63" s="99">
        <f t="shared" si="20"/>
        <v>30752.265744329536</v>
      </c>
      <c r="P63" s="100">
        <f t="shared" si="21"/>
        <v>29207.664986392421</v>
      </c>
      <c r="Q63" s="95">
        <f t="shared" si="22"/>
        <v>1075337142122.6195</v>
      </c>
      <c r="R63" s="95">
        <f t="shared" si="23"/>
        <v>31371796374118</v>
      </c>
      <c r="S63" s="95">
        <f t="shared" si="24"/>
        <v>29423836125001.16</v>
      </c>
      <c r="T63">
        <f t="shared" si="0"/>
        <v>0.5</v>
      </c>
      <c r="X63" s="101">
        <v>20</v>
      </c>
      <c r="Y63" s="101">
        <f t="shared" si="1"/>
        <v>14698.463103929542</v>
      </c>
      <c r="Z63" s="101">
        <f t="shared" si="2"/>
        <v>9210.1007166283434</v>
      </c>
      <c r="AA63" s="101">
        <f t="shared" si="3"/>
        <v>-16711.075827249319</v>
      </c>
      <c r="AB63" s="101">
        <f t="shared" si="4"/>
        <v>11197.070501639841</v>
      </c>
      <c r="AC63" s="101">
        <f t="shared" si="5"/>
        <v>-301.53689607045817</v>
      </c>
      <c r="AD63" s="101">
        <f t="shared" si="6"/>
        <v>-13289.899283371657</v>
      </c>
    </row>
    <row r="64" spans="1:30" x14ac:dyDescent="0.25">
      <c r="A64">
        <v>10.5</v>
      </c>
      <c r="B64" s="95">
        <f t="shared" si="7"/>
        <v>10056.390076277728</v>
      </c>
      <c r="C64" s="95">
        <f t="shared" si="8"/>
        <v>10667.147397448553</v>
      </c>
      <c r="D64" s="95">
        <f t="shared" si="9"/>
        <v>-865.31505044809114</v>
      </c>
      <c r="E64" s="95">
        <f t="shared" si="10"/>
        <v>607.75345080616694</v>
      </c>
      <c r="F64" s="96">
        <f t="shared" si="11"/>
        <v>-458.15790180811496</v>
      </c>
      <c r="G64" s="94">
        <f t="shared" si="12"/>
        <v>-1908.4162104795944</v>
      </c>
      <c r="H64" s="97">
        <f t="shared" si="13"/>
        <v>-26.147618553493793</v>
      </c>
      <c r="I64" s="94">
        <f t="shared" si="14"/>
        <v>-1468.58042261388</v>
      </c>
      <c r="J64" s="95">
        <f t="shared" si="15"/>
        <v>-176.29738352469215</v>
      </c>
      <c r="K64" s="94">
        <f t="shared" si="16"/>
        <v>-3.9131891852946583</v>
      </c>
      <c r="L64" s="94">
        <f t="shared" si="17"/>
        <v>-255.71289972992898</v>
      </c>
      <c r="M64" s="94">
        <f t="shared" si="18"/>
        <v>-435.92259868041964</v>
      </c>
      <c r="N64" s="99">
        <f t="shared" si="19"/>
        <v>2904.7351855083698</v>
      </c>
      <c r="O64" s="99">
        <f t="shared" si="20"/>
        <v>30491.211672018046</v>
      </c>
      <c r="P64" s="100">
        <f t="shared" si="21"/>
        <v>29718.783534744984</v>
      </c>
      <c r="Q64" s="95">
        <f t="shared" si="22"/>
        <v>1129195564579.1731</v>
      </c>
      <c r="R64" s="95">
        <f t="shared" si="23"/>
        <v>30618484709045.125</v>
      </c>
      <c r="S64" s="95">
        <f t="shared" si="24"/>
        <v>30829525679758.656</v>
      </c>
      <c r="T64">
        <f t="shared" si="0"/>
        <v>0.5</v>
      </c>
      <c r="X64" s="101">
        <v>21</v>
      </c>
      <c r="Y64" s="101">
        <f t="shared" si="1"/>
        <v>14667.902132486008</v>
      </c>
      <c r="Z64" s="101">
        <f t="shared" si="2"/>
        <v>9291.8397477265007</v>
      </c>
      <c r="AA64" s="101">
        <f t="shared" si="3"/>
        <v>-16732.468507259793</v>
      </c>
      <c r="AB64" s="101">
        <f t="shared" si="4"/>
        <v>11254.287823408551</v>
      </c>
      <c r="AC64" s="101">
        <f t="shared" si="5"/>
        <v>-332.09786751399133</v>
      </c>
      <c r="AD64" s="101">
        <f t="shared" si="6"/>
        <v>-13208.160252273499</v>
      </c>
    </row>
    <row r="65" spans="1:30" x14ac:dyDescent="0.25">
      <c r="A65">
        <v>11</v>
      </c>
      <c r="B65" s="95">
        <f t="shared" si="7"/>
        <v>9509.1930756016536</v>
      </c>
      <c r="C65" s="95">
        <f t="shared" si="8"/>
        <v>10493.920070231736</v>
      </c>
      <c r="D65" s="95">
        <f t="shared" si="9"/>
        <v>-1094.3940013521487</v>
      </c>
      <c r="E65" s="95">
        <f t="shared" si="10"/>
        <v>-346.45465443363025</v>
      </c>
      <c r="F65" s="96">
        <f t="shared" si="11"/>
        <v>-203.10050958349615</v>
      </c>
      <c r="G65" s="94">
        <f t="shared" si="12"/>
        <v>-1792.6396534823309</v>
      </c>
      <c r="H65" s="97">
        <f t="shared" si="13"/>
        <v>222.64807136313274</v>
      </c>
      <c r="I65" s="94">
        <f t="shared" si="14"/>
        <v>-1358.1522515592217</v>
      </c>
      <c r="J65" s="95">
        <f t="shared" si="15"/>
        <v>-180.18797338926382</v>
      </c>
      <c r="K65" s="94">
        <f t="shared" si="16"/>
        <v>-3.0159569678278899</v>
      </c>
      <c r="L65" s="94">
        <f t="shared" si="17"/>
        <v>-245.56060755736507</v>
      </c>
      <c r="M65" s="94">
        <f t="shared" si="18"/>
        <v>-431.47144495528136</v>
      </c>
      <c r="N65" s="99">
        <f t="shared" si="19"/>
        <v>3167.6493615720392</v>
      </c>
      <c r="O65" s="99">
        <f t="shared" si="20"/>
        <v>30063.793341281609</v>
      </c>
      <c r="P65" s="100">
        <f t="shared" si="21"/>
        <v>29757.30729839957</v>
      </c>
      <c r="Q65" s="95">
        <f t="shared" si="22"/>
        <v>1154224705818.3774</v>
      </c>
      <c r="R65" s="95">
        <f t="shared" si="23"/>
        <v>29411980921477.02</v>
      </c>
      <c r="S65" s="95">
        <f t="shared" si="24"/>
        <v>30937355159986.797</v>
      </c>
      <c r="T65">
        <f t="shared" si="0"/>
        <v>0.5</v>
      </c>
      <c r="X65" s="101">
        <v>22</v>
      </c>
      <c r="Y65" s="101">
        <f t="shared" si="1"/>
        <v>14635.919272833937</v>
      </c>
      <c r="Z65" s="101">
        <f t="shared" si="2"/>
        <v>9373.03296707956</v>
      </c>
      <c r="AA65" s="101">
        <f t="shared" si="3"/>
        <v>-16754.856509016245</v>
      </c>
      <c r="AB65" s="101">
        <f t="shared" si="4"/>
        <v>11311.123076955691</v>
      </c>
      <c r="AC65" s="101">
        <f t="shared" si="5"/>
        <v>-364.0807271660633</v>
      </c>
      <c r="AD65" s="101">
        <f t="shared" si="6"/>
        <v>-13126.96703292044</v>
      </c>
    </row>
    <row r="66" spans="1:30" x14ac:dyDescent="0.25">
      <c r="A66">
        <v>11.5</v>
      </c>
      <c r="B66" s="95">
        <f t="shared" si="7"/>
        <v>8911.2209475297041</v>
      </c>
      <c r="C66" s="95">
        <f t="shared" si="8"/>
        <v>9872.5328296443386</v>
      </c>
      <c r="D66" s="95">
        <f t="shared" si="9"/>
        <v>-1195.9442561438968</v>
      </c>
      <c r="E66" s="95">
        <f t="shared" si="10"/>
        <v>-1242.7744811747957</v>
      </c>
      <c r="F66" s="96">
        <f t="shared" si="11"/>
        <v>68.78187984638484</v>
      </c>
      <c r="G66" s="94">
        <f t="shared" si="12"/>
        <v>-1525.258734383498</v>
      </c>
      <c r="H66" s="97">
        <f t="shared" si="13"/>
        <v>499.54875639079478</v>
      </c>
      <c r="I66" s="94">
        <f t="shared" si="14"/>
        <v>-1088.554947724343</v>
      </c>
      <c r="J66" s="95">
        <f t="shared" si="15"/>
        <v>-186.05940883957487</v>
      </c>
      <c r="K66" s="94">
        <f t="shared" si="16"/>
        <v>0.82032047023784316</v>
      </c>
      <c r="L66" s="94">
        <f t="shared" si="17"/>
        <v>-244.70746770483507</v>
      </c>
      <c r="M66" s="94">
        <f t="shared" si="18"/>
        <v>-437.52410712939297</v>
      </c>
      <c r="N66" s="99">
        <f t="shared" si="19"/>
        <v>3033.8834558983581</v>
      </c>
      <c r="O66" s="99">
        <f t="shared" si="20"/>
        <v>29513.326362999378</v>
      </c>
      <c r="P66" s="100">
        <f t="shared" si="21"/>
        <v>29333.541283869075</v>
      </c>
      <c r="Q66" s="95">
        <f t="shared" si="22"/>
        <v>1141196672952.0776</v>
      </c>
      <c r="R66" s="95">
        <f t="shared" si="23"/>
        <v>27906639252332.211</v>
      </c>
      <c r="S66" s="95">
        <f t="shared" si="24"/>
        <v>29765737529472.383</v>
      </c>
      <c r="T66">
        <f t="shared" si="0"/>
        <v>0.5</v>
      </c>
      <c r="X66" s="101">
        <v>23</v>
      </c>
      <c r="Y66" s="101">
        <f t="shared" si="1"/>
        <v>14602.524267262201</v>
      </c>
      <c r="Z66" s="101">
        <f t="shared" si="2"/>
        <v>9453.6556424463688</v>
      </c>
      <c r="AA66" s="101">
        <f t="shared" si="3"/>
        <v>-16778.233012916458</v>
      </c>
      <c r="AB66" s="101">
        <f t="shared" si="4"/>
        <v>11367.558949712458</v>
      </c>
      <c r="AC66" s="101">
        <f t="shared" si="5"/>
        <v>-397.47573273779835</v>
      </c>
      <c r="AD66" s="101">
        <f t="shared" si="6"/>
        <v>-13046.344357553631</v>
      </c>
    </row>
    <row r="67" spans="1:30" x14ac:dyDescent="0.25">
      <c r="A67">
        <v>12</v>
      </c>
      <c r="B67" s="95">
        <f t="shared" si="7"/>
        <v>8330.4442894193526</v>
      </c>
      <c r="C67" s="95">
        <f t="shared" si="8"/>
        <v>8869.8309054610672</v>
      </c>
      <c r="D67" s="95">
        <f t="shared" si="9"/>
        <v>-1161.5533162207043</v>
      </c>
      <c r="E67" s="95">
        <f t="shared" si="10"/>
        <v>-2005.4038483665447</v>
      </c>
      <c r="F67" s="96">
        <f t="shared" si="11"/>
        <v>345.2189116261178</v>
      </c>
      <c r="G67" s="94">
        <f t="shared" si="12"/>
        <v>-1095.6691029510446</v>
      </c>
      <c r="H67" s="97">
        <f t="shared" si="13"/>
        <v>791.87224884216812</v>
      </c>
      <c r="I67" s="94">
        <f t="shared" si="14"/>
        <v>-649.71241915833104</v>
      </c>
      <c r="J67" s="95">
        <f t="shared" si="15"/>
        <v>-193.29618405724827</v>
      </c>
      <c r="K67" s="94">
        <f t="shared" si="16"/>
        <v>7.7110465011450255</v>
      </c>
      <c r="L67" s="94">
        <f t="shared" si="17"/>
        <v>-253.35715315880199</v>
      </c>
      <c r="M67" s="94">
        <f t="shared" si="18"/>
        <v>-453.66773029385848</v>
      </c>
      <c r="N67" s="99">
        <f t="shared" si="19"/>
        <v>2610.431353787777</v>
      </c>
      <c r="O67" s="99">
        <f t="shared" si="20"/>
        <v>28911.501942244351</v>
      </c>
      <c r="P67" s="100">
        <f t="shared" si="21"/>
        <v>28498.507989239097</v>
      </c>
      <c r="Q67" s="95">
        <f t="shared" si="22"/>
        <v>1103937317075.2588</v>
      </c>
      <c r="R67" s="95">
        <f t="shared" si="23"/>
        <v>26322240156753.191</v>
      </c>
      <c r="S67" s="95">
        <f t="shared" si="24"/>
        <v>27549268773739.449</v>
      </c>
      <c r="T67">
        <f t="shared" si="0"/>
        <v>0.5</v>
      </c>
      <c r="X67" s="101">
        <v>24</v>
      </c>
      <c r="Y67" s="101">
        <f t="shared" si="1"/>
        <v>14567.727288213006</v>
      </c>
      <c r="Z67" s="101">
        <f t="shared" si="2"/>
        <v>9533.6832153790001</v>
      </c>
      <c r="AA67" s="101">
        <f t="shared" si="3"/>
        <v>-16802.590898250895</v>
      </c>
      <c r="AB67" s="101">
        <f t="shared" si="4"/>
        <v>11423.5782507653</v>
      </c>
      <c r="AC67" s="101">
        <f t="shared" si="5"/>
        <v>-432.27271178699539</v>
      </c>
      <c r="AD67" s="101">
        <f t="shared" si="6"/>
        <v>-12966.316784621</v>
      </c>
    </row>
    <row r="68" spans="1:30" x14ac:dyDescent="0.25">
      <c r="A68">
        <v>12.5</v>
      </c>
      <c r="B68" s="95">
        <f t="shared" si="7"/>
        <v>7835.9723592155297</v>
      </c>
      <c r="C68" s="95">
        <f t="shared" si="8"/>
        <v>7593.211705540034</v>
      </c>
      <c r="D68" s="95">
        <f t="shared" si="9"/>
        <v>-988.94386040764539</v>
      </c>
      <c r="E68" s="95">
        <f t="shared" si="10"/>
        <v>-2553.2383998420669</v>
      </c>
      <c r="F68" s="96">
        <f t="shared" si="11"/>
        <v>585.06999048680314</v>
      </c>
      <c r="G68" s="94">
        <f t="shared" si="12"/>
        <v>-507.72834686305475</v>
      </c>
      <c r="H68" s="97">
        <f t="shared" si="13"/>
        <v>1058.1965674552337</v>
      </c>
      <c r="I68" s="94">
        <f t="shared" si="14"/>
        <v>-45.579966258358816</v>
      </c>
      <c r="J68" s="95">
        <f t="shared" si="15"/>
        <v>-200.70517463908695</v>
      </c>
      <c r="K68" s="94">
        <f t="shared" si="16"/>
        <v>17.353619220669145</v>
      </c>
      <c r="L68" s="94">
        <f t="shared" si="17"/>
        <v>-272.42140232934355</v>
      </c>
      <c r="M68" s="94">
        <f t="shared" si="18"/>
        <v>-479.50199982536509</v>
      </c>
      <c r="N68" s="99">
        <f t="shared" si="19"/>
        <v>2159.5955594251295</v>
      </c>
      <c r="O68" s="99">
        <f t="shared" si="20"/>
        <v>28352.977900357215</v>
      </c>
      <c r="P68" s="100">
        <f t="shared" si="21"/>
        <v>27339.889765846117</v>
      </c>
      <c r="Q68" s="95">
        <f t="shared" si="22"/>
        <v>1070767244880.1041</v>
      </c>
      <c r="R68" s="95">
        <f t="shared" si="23"/>
        <v>24908098196178.621</v>
      </c>
      <c r="S68" s="95">
        <f t="shared" si="24"/>
        <v>24670966941039.508</v>
      </c>
      <c r="T68">
        <f t="shared" si="0"/>
        <v>0.5</v>
      </c>
      <c r="X68" s="101">
        <v>25</v>
      </c>
      <c r="Y68" s="101">
        <f t="shared" si="1"/>
        <v>14531.538935183249</v>
      </c>
      <c r="Z68" s="101">
        <f t="shared" si="2"/>
        <v>9613.0913087034969</v>
      </c>
      <c r="AA68" s="101">
        <f t="shared" si="3"/>
        <v>-16827.922745371725</v>
      </c>
      <c r="AB68" s="101">
        <f t="shared" si="4"/>
        <v>11479.163916092448</v>
      </c>
      <c r="AC68" s="101">
        <f t="shared" si="5"/>
        <v>-468.46106481674997</v>
      </c>
      <c r="AD68" s="101">
        <f t="shared" si="6"/>
        <v>-12886.908691296503</v>
      </c>
    </row>
    <row r="69" spans="1:30" x14ac:dyDescent="0.25">
      <c r="A69">
        <v>13</v>
      </c>
      <c r="B69" s="95">
        <f t="shared" si="7"/>
        <v>7487.7679266334071</v>
      </c>
      <c r="C69" s="95">
        <f t="shared" si="8"/>
        <v>6189.6604189032369</v>
      </c>
      <c r="D69" s="95">
        <f t="shared" si="9"/>
        <v>-696.40886516424382</v>
      </c>
      <c r="E69" s="95">
        <f t="shared" si="10"/>
        <v>-2807.1025732735943</v>
      </c>
      <c r="F69" s="96">
        <f t="shared" si="11"/>
        <v>718.45426590177567</v>
      </c>
      <c r="G69" s="94">
        <f t="shared" si="12"/>
        <v>155.09881759961695</v>
      </c>
      <c r="H69" s="97">
        <f t="shared" si="13"/>
        <v>1227.9762717412991</v>
      </c>
      <c r="I69" s="94">
        <f t="shared" si="14"/>
        <v>640.49254468516563</v>
      </c>
      <c r="J69" s="95">
        <f t="shared" si="15"/>
        <v>-206.58672699119001</v>
      </c>
      <c r="K69" s="94">
        <f t="shared" si="16"/>
        <v>28.636940797985378</v>
      </c>
      <c r="L69" s="94">
        <f t="shared" si="17"/>
        <v>-302.93527884833344</v>
      </c>
      <c r="M69" s="94">
        <f t="shared" si="18"/>
        <v>-514.03066788353408</v>
      </c>
      <c r="N69" s="99">
        <f t="shared" si="19"/>
        <v>2166.0341761220857</v>
      </c>
      <c r="O69" s="99">
        <f t="shared" si="20"/>
        <v>27939.827971506202</v>
      </c>
      <c r="P69" s="100">
        <f t="shared" si="21"/>
        <v>25984.907188171681</v>
      </c>
      <c r="Q69" s="95">
        <f t="shared" si="22"/>
        <v>1071194670372.786</v>
      </c>
      <c r="R69" s="95">
        <f t="shared" si="23"/>
        <v>23896252731709.734</v>
      </c>
      <c r="S69" s="95">
        <f t="shared" si="24"/>
        <v>21584082320153.086</v>
      </c>
      <c r="T69">
        <f t="shared" si="0"/>
        <v>0.5</v>
      </c>
      <c r="X69" s="101">
        <v>26</v>
      </c>
      <c r="Y69" s="101">
        <f t="shared" si="1"/>
        <v>14493.970231495834</v>
      </c>
      <c r="Z69" s="101">
        <f t="shared" si="2"/>
        <v>9691.8557339453873</v>
      </c>
      <c r="AA69" s="101">
        <f t="shared" si="3"/>
        <v>-16854.220837952915</v>
      </c>
      <c r="AB69" s="101">
        <f t="shared" si="4"/>
        <v>11534.299013761771</v>
      </c>
      <c r="AC69" s="101">
        <f t="shared" si="5"/>
        <v>-506.02976850416508</v>
      </c>
      <c r="AD69" s="101">
        <f t="shared" si="6"/>
        <v>-12808.144266054613</v>
      </c>
    </row>
    <row r="70" spans="1:30" x14ac:dyDescent="0.25">
      <c r="A70">
        <v>13.5</v>
      </c>
      <c r="B70" s="95">
        <f t="shared" si="7"/>
        <v>7319.1770605267293</v>
      </c>
      <c r="C70" s="95">
        <f t="shared" si="8"/>
        <v>4824.883836666344</v>
      </c>
      <c r="D70" s="95">
        <f t="shared" si="9"/>
        <v>-337.18173221335599</v>
      </c>
      <c r="E70" s="95">
        <f t="shared" si="10"/>
        <v>-2729.5531644737857</v>
      </c>
      <c r="F70" s="96">
        <f t="shared" si="11"/>
        <v>696.2257505258799</v>
      </c>
      <c r="G70" s="94">
        <f t="shared" si="12"/>
        <v>732.53658632537463</v>
      </c>
      <c r="H70" s="97">
        <f t="shared" si="13"/>
        <v>1250.1451541191896</v>
      </c>
      <c r="I70" s="94">
        <f t="shared" si="14"/>
        <v>1247.4839196036478</v>
      </c>
      <c r="J70" s="95">
        <f t="shared" si="15"/>
        <v>-209.29463182200192</v>
      </c>
      <c r="K70" s="94">
        <f t="shared" si="16"/>
        <v>39.647022662553276</v>
      </c>
      <c r="L70" s="94">
        <f t="shared" si="17"/>
        <v>-344.62477177130768</v>
      </c>
      <c r="M70" s="94">
        <f t="shared" si="18"/>
        <v>-554.59435594082652</v>
      </c>
      <c r="N70" s="99">
        <f t="shared" si="19"/>
        <v>2833.4254548585977</v>
      </c>
      <c r="O70" s="99">
        <f t="shared" si="20"/>
        <v>27750.604917942404</v>
      </c>
      <c r="P70" s="100">
        <f t="shared" si="21"/>
        <v>24595.65116962526</v>
      </c>
      <c r="Q70" s="95">
        <f t="shared" si="22"/>
        <v>1122810102554.0669</v>
      </c>
      <c r="R70" s="95">
        <f t="shared" si="23"/>
        <v>23442410464181.016</v>
      </c>
      <c r="S70" s="95">
        <f t="shared" si="24"/>
        <v>18716896037731.309</v>
      </c>
      <c r="T70">
        <f t="shared" si="0"/>
        <v>0.5</v>
      </c>
      <c r="X70" s="101">
        <v>27</v>
      </c>
      <c r="Y70" s="101">
        <f t="shared" si="1"/>
        <v>14455.03262094184</v>
      </c>
      <c r="Z70" s="101">
        <f t="shared" si="2"/>
        <v>9769.952498697734</v>
      </c>
      <c r="AA70" s="101">
        <f t="shared" si="3"/>
        <v>-16881.477165340712</v>
      </c>
      <c r="AB70" s="101">
        <f t="shared" si="4"/>
        <v>11588.966749088413</v>
      </c>
      <c r="AC70" s="101">
        <f t="shared" si="5"/>
        <v>-544.96737905816008</v>
      </c>
      <c r="AD70" s="101">
        <f t="shared" si="6"/>
        <v>-12730.047501302266</v>
      </c>
    </row>
    <row r="71" spans="1:30" x14ac:dyDescent="0.25">
      <c r="A71">
        <v>14</v>
      </c>
      <c r="B71" s="95">
        <f t="shared" si="7"/>
        <v>7324.6426320515211</v>
      </c>
      <c r="C71" s="95">
        <f t="shared" si="8"/>
        <v>3643.241401010795</v>
      </c>
      <c r="D71" s="95">
        <f t="shared" si="9"/>
        <v>10.931143049583966</v>
      </c>
      <c r="E71" s="95">
        <f t="shared" si="10"/>
        <v>-2363.2848713110984</v>
      </c>
      <c r="F71" s="96">
        <f t="shared" si="11"/>
        <v>543.36625658435105</v>
      </c>
      <c r="G71" s="94">
        <f t="shared" si="12"/>
        <v>1103.8335682458885</v>
      </c>
      <c r="H71" s="97">
        <f t="shared" si="13"/>
        <v>1145.6862993637581</v>
      </c>
      <c r="I71" s="94">
        <f t="shared" si="14"/>
        <v>1651.6057031302694</v>
      </c>
      <c r="J71" s="95">
        <f t="shared" si="15"/>
        <v>-208.18287269830051</v>
      </c>
      <c r="K71" s="94">
        <f t="shared" si="16"/>
        <v>48.431311033319787</v>
      </c>
      <c r="L71" s="94">
        <f t="shared" si="17"/>
        <v>-394.13717008110649</v>
      </c>
      <c r="M71" s="94">
        <f t="shared" si="18"/>
        <v>-596.20344591770072</v>
      </c>
      <c r="N71" s="99">
        <f t="shared" si="19"/>
        <v>3787.2230090311673</v>
      </c>
      <c r="O71" s="99">
        <f t="shared" si="20"/>
        <v>27805.022254413088</v>
      </c>
      <c r="P71" s="100">
        <f t="shared" si="21"/>
        <v>23340.69713153235</v>
      </c>
      <c r="Q71" s="95">
        <f t="shared" si="22"/>
        <v>1222685339716.1462</v>
      </c>
      <c r="R71" s="95">
        <f t="shared" si="23"/>
        <v>23572315000966.824</v>
      </c>
      <c r="S71" s="95">
        <f t="shared" si="24"/>
        <v>16372898274224.74</v>
      </c>
      <c r="T71">
        <f t="shared" si="0"/>
        <v>0.5</v>
      </c>
      <c r="X71" s="101">
        <v>28</v>
      </c>
      <c r="Y71" s="101">
        <f t="shared" si="1"/>
        <v>14414.737964294636</v>
      </c>
      <c r="Z71" s="101">
        <f t="shared" si="2"/>
        <v>9847.357813929455</v>
      </c>
      <c r="AA71" s="101">
        <f t="shared" si="3"/>
        <v>-16909.683424993756</v>
      </c>
      <c r="AB71" s="101">
        <f t="shared" si="4"/>
        <v>11643.150469750617</v>
      </c>
      <c r="AC71" s="101">
        <f t="shared" si="5"/>
        <v>-585.26203570536472</v>
      </c>
      <c r="AD71" s="101">
        <f t="shared" si="6"/>
        <v>-12652.642186070545</v>
      </c>
    </row>
    <row r="72" spans="1:30" x14ac:dyDescent="0.25">
      <c r="A72">
        <v>14.5</v>
      </c>
      <c r="B72" s="95">
        <f t="shared" si="7"/>
        <v>7465.9497677224008</v>
      </c>
      <c r="C72" s="95">
        <f t="shared" si="8"/>
        <v>2737.5573574167183</v>
      </c>
      <c r="D72" s="95">
        <f t="shared" si="9"/>
        <v>282.61427134175949</v>
      </c>
      <c r="E72" s="95">
        <f t="shared" si="10"/>
        <v>-1811.3680871881543</v>
      </c>
      <c r="F72" s="96">
        <f t="shared" si="11"/>
        <v>335.48156355091476</v>
      </c>
      <c r="G72" s="94">
        <f t="shared" si="12"/>
        <v>1270.9547911413492</v>
      </c>
      <c r="H72" s="97">
        <f t="shared" si="13"/>
        <v>984.24357112516816</v>
      </c>
      <c r="I72" s="94">
        <f t="shared" si="14"/>
        <v>1849.7674174366791</v>
      </c>
      <c r="J72" s="95">
        <f t="shared" si="15"/>
        <v>-204.05314468955882</v>
      </c>
      <c r="K72" s="94">
        <f t="shared" si="16"/>
        <v>53.954961393259566</v>
      </c>
      <c r="L72" s="94">
        <f t="shared" si="17"/>
        <v>-444.70886288469455</v>
      </c>
      <c r="M72" s="94">
        <f t="shared" si="18"/>
        <v>-632.76758768858951</v>
      </c>
      <c r="N72" s="99">
        <f t="shared" si="19"/>
        <v>4693.8389338699499</v>
      </c>
      <c r="O72" s="99">
        <f t="shared" si="20"/>
        <v>28054.312945697864</v>
      </c>
      <c r="P72" s="100">
        <f t="shared" si="21"/>
        <v>22348.764304635388</v>
      </c>
      <c r="Q72" s="95">
        <f t="shared" si="22"/>
        <v>1348066309854.9219</v>
      </c>
      <c r="R72" s="95">
        <f t="shared" si="23"/>
        <v>24173752519127.805</v>
      </c>
      <c r="S72" s="95">
        <f t="shared" si="24"/>
        <v>14677368903128.264</v>
      </c>
      <c r="T72">
        <f t="shared" si="0"/>
        <v>0.5</v>
      </c>
      <c r="X72" s="101">
        <v>29</v>
      </c>
      <c r="Y72" s="101">
        <f t="shared" si="1"/>
        <v>14373.09853569698</v>
      </c>
      <c r="Z72" s="101">
        <f t="shared" si="2"/>
        <v>9924.048101231685</v>
      </c>
      <c r="AA72" s="101">
        <f t="shared" si="3"/>
        <v>-16938.831025012114</v>
      </c>
      <c r="AB72" s="101">
        <f t="shared" si="4"/>
        <v>11696.833670862179</v>
      </c>
      <c r="AC72" s="101">
        <f t="shared" si="5"/>
        <v>-626.90146430302138</v>
      </c>
      <c r="AD72" s="101">
        <f t="shared" si="6"/>
        <v>-12575.951898768315</v>
      </c>
    </row>
    <row r="73" spans="1:30" x14ac:dyDescent="0.25">
      <c r="A73">
        <v>15</v>
      </c>
      <c r="B73" s="95">
        <f t="shared" si="7"/>
        <v>7691.1272942810092</v>
      </c>
      <c r="C73" s="95">
        <f t="shared" si="8"/>
        <v>2149.6120116079783</v>
      </c>
      <c r="D73" s="95">
        <f t="shared" si="9"/>
        <v>450.35505311721687</v>
      </c>
      <c r="E73" s="95">
        <f t="shared" si="10"/>
        <v>-1175.8906916174797</v>
      </c>
      <c r="F73" s="96">
        <f t="shared" si="11"/>
        <v>137.32901843641417</v>
      </c>
      <c r="G73" s="94">
        <f t="shared" si="12"/>
        <v>1306.2554617772862</v>
      </c>
      <c r="H73" s="97">
        <f t="shared" si="13"/>
        <v>824.13392457083489</v>
      </c>
      <c r="I73" s="94">
        <f t="shared" si="14"/>
        <v>1909.7788457233539</v>
      </c>
      <c r="J73" s="95">
        <f t="shared" si="15"/>
        <v>-198.53189857571184</v>
      </c>
      <c r="K73" s="94">
        <f t="shared" si="16"/>
        <v>56.28345915022809</v>
      </c>
      <c r="L73" s="94">
        <f t="shared" si="17"/>
        <v>-488.27300755870891</v>
      </c>
      <c r="M73" s="94">
        <f t="shared" si="18"/>
        <v>-659.80684309629567</v>
      </c>
      <c r="N73" s="99">
        <f t="shared" si="19"/>
        <v>5394.6520280368213</v>
      </c>
      <c r="O73" s="99">
        <f t="shared" si="20"/>
        <v>28409.883311619957</v>
      </c>
      <c r="P73" s="100">
        <f t="shared" si="21"/>
        <v>21679.964128637901</v>
      </c>
      <c r="Q73" s="95">
        <f t="shared" si="22"/>
        <v>1466901052952.4526</v>
      </c>
      <c r="R73" s="95">
        <f t="shared" si="23"/>
        <v>25049731929388.887</v>
      </c>
      <c r="S73" s="95">
        <f t="shared" si="24"/>
        <v>13609309974909.273</v>
      </c>
      <c r="T73">
        <f t="shared" si="0"/>
        <v>0.5</v>
      </c>
      <c r="X73" s="101">
        <v>30</v>
      </c>
      <c r="Y73" s="101">
        <f t="shared" si="1"/>
        <v>14330.127018922194</v>
      </c>
      <c r="Z73" s="101">
        <f t="shared" si="2"/>
        <v>10000</v>
      </c>
      <c r="AA73" s="101">
        <f t="shared" si="3"/>
        <v>-16968.911086754466</v>
      </c>
      <c r="AB73" s="101">
        <f t="shared" si="4"/>
        <v>11750</v>
      </c>
      <c r="AC73" s="101">
        <f t="shared" si="5"/>
        <v>-669.8729810778068</v>
      </c>
      <c r="AD73" s="101">
        <f t="shared" si="6"/>
        <v>-12500</v>
      </c>
    </row>
    <row r="74" spans="1:30" x14ac:dyDescent="0.25">
      <c r="A74">
        <v>15.5</v>
      </c>
      <c r="B74" s="95">
        <f t="shared" si="7"/>
        <v>7950.6370754487216</v>
      </c>
      <c r="C74" s="95">
        <f t="shared" si="8"/>
        <v>1888.2305312435601</v>
      </c>
      <c r="D74" s="95">
        <f t="shared" si="9"/>
        <v>519.01956233542398</v>
      </c>
      <c r="E74" s="95">
        <f t="shared" si="10"/>
        <v>-522.76296072883656</v>
      </c>
      <c r="F74" s="96">
        <f t="shared" si="11"/>
        <v>-19.418997669279975</v>
      </c>
      <c r="G74" s="94">
        <f t="shared" si="12"/>
        <v>1275.2315727506293</v>
      </c>
      <c r="H74" s="97">
        <f t="shared" si="13"/>
        <v>692.09662066184171</v>
      </c>
      <c r="I74" s="94">
        <f t="shared" si="14"/>
        <v>1895.1678293438601</v>
      </c>
      <c r="J74" s="95">
        <f t="shared" si="15"/>
        <v>-193.1380628604629</v>
      </c>
      <c r="K74" s="94">
        <f t="shared" si="16"/>
        <v>56.052083440431318</v>
      </c>
      <c r="L74" s="94">
        <f t="shared" si="17"/>
        <v>-518.37755547065876</v>
      </c>
      <c r="M74" s="94">
        <f t="shared" si="18"/>
        <v>-675.98834003366198</v>
      </c>
      <c r="N74" s="99">
        <f t="shared" si="19"/>
        <v>5827.3102541004073</v>
      </c>
      <c r="O74" s="99">
        <f t="shared" si="20"/>
        <v>28782.409947680972</v>
      </c>
      <c r="P74" s="100">
        <f t="shared" si="21"/>
        <v>21334.804994382608</v>
      </c>
      <c r="Q74" s="95">
        <f t="shared" si="22"/>
        <v>1550425021618.3142</v>
      </c>
      <c r="R74" s="95">
        <f t="shared" si="23"/>
        <v>25990616570703.895</v>
      </c>
      <c r="S74" s="95">
        <f t="shared" si="24"/>
        <v>13081078924735.004</v>
      </c>
      <c r="T74">
        <f t="shared" si="0"/>
        <v>0.5</v>
      </c>
      <c r="X74" s="101">
        <v>31</v>
      </c>
      <c r="Y74" s="101">
        <f t="shared" si="1"/>
        <v>14285.836503510562</v>
      </c>
      <c r="Z74" s="101">
        <f t="shared" si="2"/>
        <v>10075.190374550271</v>
      </c>
      <c r="AA74" s="101">
        <f t="shared" si="3"/>
        <v>-16999.914447542607</v>
      </c>
      <c r="AB74" s="101">
        <f t="shared" si="4"/>
        <v>11802.633262185189</v>
      </c>
      <c r="AC74" s="101">
        <f t="shared" si="5"/>
        <v>-714.16349648943833</v>
      </c>
      <c r="AD74" s="101">
        <f t="shared" si="6"/>
        <v>-12424.809625449729</v>
      </c>
    </row>
    <row r="75" spans="1:30" x14ac:dyDescent="0.25">
      <c r="A75">
        <v>16</v>
      </c>
      <c r="B75" s="95">
        <f t="shared" si="7"/>
        <v>8205.2921071991132</v>
      </c>
      <c r="C75" s="95">
        <f t="shared" si="8"/>
        <v>1945.6569440667993</v>
      </c>
      <c r="D75" s="95">
        <f t="shared" si="9"/>
        <v>509.310063500784</v>
      </c>
      <c r="E75" s="95">
        <f t="shared" si="10"/>
        <v>114.8528256464781</v>
      </c>
      <c r="F75" s="96">
        <f t="shared" si="11"/>
        <v>-126.13300035940711</v>
      </c>
      <c r="G75" s="94">
        <f t="shared" si="12"/>
        <v>1211.4401020020071</v>
      </c>
      <c r="H75" s="97">
        <f t="shared" si="13"/>
        <v>594.51357249986165</v>
      </c>
      <c r="I75" s="94">
        <f t="shared" si="14"/>
        <v>1839.92745912496</v>
      </c>
      <c r="J75" s="95">
        <f t="shared" si="15"/>
        <v>-188.8569778192896</v>
      </c>
      <c r="K75" s="94">
        <f t="shared" si="16"/>
        <v>53.93026535878618</v>
      </c>
      <c r="L75" s="94">
        <f t="shared" si="17"/>
        <v>-531.78959503997919</v>
      </c>
      <c r="M75" s="94">
        <f t="shared" si="18"/>
        <v>-682.41762248173904</v>
      </c>
      <c r="N75" s="99">
        <f t="shared" si="19"/>
        <v>5974.2652240248171</v>
      </c>
      <c r="O75" s="99">
        <f t="shared" si="20"/>
        <v>29103.933013214861</v>
      </c>
      <c r="P75" s="100">
        <f t="shared" si="21"/>
        <v>21282.183420326361</v>
      </c>
      <c r="Q75" s="95">
        <f t="shared" si="22"/>
        <v>1580631458548.1829</v>
      </c>
      <c r="R75" s="95">
        <f t="shared" si="23"/>
        <v>26821947529048.09</v>
      </c>
      <c r="S75" s="95">
        <f t="shared" si="24"/>
        <v>13001899328676.279</v>
      </c>
      <c r="T75">
        <f t="shared" si="0"/>
        <v>0.5</v>
      </c>
      <c r="X75" s="101">
        <v>32</v>
      </c>
      <c r="Y75" s="101">
        <f t="shared" si="1"/>
        <v>14240.240480782129</v>
      </c>
      <c r="Z75" s="101">
        <f t="shared" si="2"/>
        <v>10149.596321166024</v>
      </c>
      <c r="AA75" s="101">
        <f t="shared" si="3"/>
        <v>-17031.831663452511</v>
      </c>
      <c r="AB75" s="101">
        <f t="shared" si="4"/>
        <v>11854.717424816217</v>
      </c>
      <c r="AC75" s="101">
        <f t="shared" si="5"/>
        <v>-759.75951921787055</v>
      </c>
      <c r="AD75" s="101">
        <f t="shared" si="6"/>
        <v>-12350.403678833976</v>
      </c>
    </row>
    <row r="76" spans="1:30" x14ac:dyDescent="0.25">
      <c r="A76">
        <v>16.5</v>
      </c>
      <c r="B76" s="95">
        <f t="shared" si="7"/>
        <v>8428.4138888596535</v>
      </c>
      <c r="C76" s="95">
        <f t="shared" si="8"/>
        <v>2305.9433823905401</v>
      </c>
      <c r="D76" s="95">
        <f t="shared" si="9"/>
        <v>446.24356332108044</v>
      </c>
      <c r="E76" s="95">
        <f t="shared" si="10"/>
        <v>720.57287664748162</v>
      </c>
      <c r="F76" s="96">
        <f t="shared" si="11"/>
        <v>-184.49483176853244</v>
      </c>
      <c r="G76" s="94">
        <f t="shared" si="12"/>
        <v>1121.2756268143075</v>
      </c>
      <c r="H76" s="97">
        <f t="shared" si="13"/>
        <v>530.06742359875193</v>
      </c>
      <c r="I76" s="94">
        <f t="shared" si="14"/>
        <v>1751.8608683329264</v>
      </c>
      <c r="J76" s="95">
        <f t="shared" si="15"/>
        <v>-186.16803165210851</v>
      </c>
      <c r="K76" s="94">
        <f t="shared" si="16"/>
        <v>50.385764802782312</v>
      </c>
      <c r="L76" s="94">
        <f t="shared" si="17"/>
        <v>-528.39422371517583</v>
      </c>
      <c r="M76" s="94">
        <f t="shared" si="18"/>
        <v>-680.97100632140098</v>
      </c>
      <c r="N76" s="99">
        <f t="shared" si="19"/>
        <v>5837.0971555624437</v>
      </c>
      <c r="O76" s="99">
        <f t="shared" si="20"/>
        <v>29332.762313070485</v>
      </c>
      <c r="P76" s="100">
        <f t="shared" si="21"/>
        <v>21483.366330779132</v>
      </c>
      <c r="Q76" s="95">
        <f t="shared" si="22"/>
        <v>1552407348396.6406</v>
      </c>
      <c r="R76" s="95">
        <f t="shared" si="23"/>
        <v>27424597672885.809</v>
      </c>
      <c r="S76" s="95">
        <f t="shared" si="24"/>
        <v>13306544157500.348</v>
      </c>
      <c r="T76">
        <f t="shared" si="0"/>
        <v>0.5</v>
      </c>
      <c r="X76" s="101">
        <v>33</v>
      </c>
      <c r="Y76" s="101">
        <f t="shared" si="1"/>
        <v>14193.35283972712</v>
      </c>
      <c r="Z76" s="101">
        <f t="shared" si="2"/>
        <v>10223.195175075136</v>
      </c>
      <c r="AA76" s="101">
        <f t="shared" si="3"/>
        <v>-17064.653012191015</v>
      </c>
      <c r="AB76" s="101">
        <f t="shared" si="4"/>
        <v>11906.236622552595</v>
      </c>
      <c r="AC76" s="101">
        <f t="shared" si="5"/>
        <v>-806.64716027287977</v>
      </c>
      <c r="AD76" s="101">
        <f t="shared" si="6"/>
        <v>-12276.804824924864</v>
      </c>
    </row>
    <row r="77" spans="1:30" x14ac:dyDescent="0.25">
      <c r="A77">
        <v>17</v>
      </c>
      <c r="B77" s="95">
        <f t="shared" si="7"/>
        <v>8605.4119625780604</v>
      </c>
      <c r="C77" s="95">
        <f t="shared" si="8"/>
        <v>2946.5487274178577</v>
      </c>
      <c r="D77" s="95">
        <f t="shared" si="9"/>
        <v>353.99614743681423</v>
      </c>
      <c r="E77" s="95">
        <f t="shared" si="10"/>
        <v>1281.2106900546355</v>
      </c>
      <c r="F77" s="96">
        <f t="shared" si="11"/>
        <v>-199.64063380042069</v>
      </c>
      <c r="G77" s="94">
        <f t="shared" si="12"/>
        <v>991.43298402318646</v>
      </c>
      <c r="H77" s="97">
        <f t="shared" si="13"/>
        <v>495.79369760084501</v>
      </c>
      <c r="I77" s="94">
        <f t="shared" si="14"/>
        <v>1618.8095571593763</v>
      </c>
      <c r="J77" s="95">
        <f t="shared" si="15"/>
        <v>-185.19632448351226</v>
      </c>
      <c r="K77" s="94">
        <f t="shared" si="16"/>
        <v>45.66524867093846</v>
      </c>
      <c r="L77" s="94">
        <f t="shared" si="17"/>
        <v>-510.23800691775341</v>
      </c>
      <c r="M77" s="94">
        <f t="shared" si="18"/>
        <v>-673.04182180712814</v>
      </c>
      <c r="N77" s="99">
        <f t="shared" si="19"/>
        <v>5426.6110097980909</v>
      </c>
      <c r="O77" s="99">
        <f t="shared" si="20"/>
        <v>29451.20071357513</v>
      </c>
      <c r="P77" s="100">
        <f t="shared" si="21"/>
        <v>21904.747794143303</v>
      </c>
      <c r="Q77" s="95">
        <f t="shared" si="22"/>
        <v>1472799255802.637</v>
      </c>
      <c r="R77" s="95">
        <f t="shared" si="23"/>
        <v>27740135994899.391</v>
      </c>
      <c r="S77" s="95">
        <f t="shared" si="24"/>
        <v>13961674646993.947</v>
      </c>
      <c r="T77">
        <f t="shared" si="0"/>
        <v>0.5</v>
      </c>
      <c r="X77" s="101">
        <v>34</v>
      </c>
      <c r="Y77" s="101">
        <f t="shared" si="1"/>
        <v>14145.187862775208</v>
      </c>
      <c r="Z77" s="101">
        <f t="shared" si="2"/>
        <v>10295.964517353736</v>
      </c>
      <c r="AA77" s="101">
        <f t="shared" si="3"/>
        <v>-17098.368496057356</v>
      </c>
      <c r="AB77" s="101">
        <f t="shared" si="4"/>
        <v>11957.175162147614</v>
      </c>
      <c r="AC77" s="101">
        <f t="shared" si="5"/>
        <v>-854.81213722479151</v>
      </c>
      <c r="AD77" s="101">
        <f t="shared" si="6"/>
        <v>-12204.035482646264</v>
      </c>
    </row>
    <row r="78" spans="1:30" x14ac:dyDescent="0.25">
      <c r="A78">
        <v>17.5</v>
      </c>
      <c r="B78" s="95">
        <f t="shared" si="7"/>
        <v>8732.4998778463614</v>
      </c>
      <c r="C78" s="95">
        <f t="shared" si="8"/>
        <v>3835.0123184509716</v>
      </c>
      <c r="D78" s="95">
        <f t="shared" si="9"/>
        <v>254.17583053660388</v>
      </c>
      <c r="E78" s="95">
        <f t="shared" si="10"/>
        <v>1776.9271820662289</v>
      </c>
      <c r="F78" s="96">
        <f t="shared" si="11"/>
        <v>-177.9833842574667</v>
      </c>
      <c r="G78" s="94">
        <f t="shared" si="12"/>
        <v>792.99149606519359</v>
      </c>
      <c r="H78" s="97">
        <f t="shared" si="13"/>
        <v>488.41881284335744</v>
      </c>
      <c r="I78" s="94">
        <f t="shared" si="14"/>
        <v>1412.2672662675507</v>
      </c>
      <c r="J78" s="95">
        <f t="shared" si="15"/>
        <v>-185.82211487756848</v>
      </c>
      <c r="K78" s="94">
        <f t="shared" si="16"/>
        <v>39.870914610631694</v>
      </c>
      <c r="L78" s="94">
        <f t="shared" si="17"/>
        <v>-480.58008222325566</v>
      </c>
      <c r="M78" s="94">
        <f t="shared" si="18"/>
        <v>-659.14668481298872</v>
      </c>
      <c r="N78" s="99">
        <f t="shared" si="19"/>
        <v>4762.2257701520521</v>
      </c>
      <c r="O78" s="99">
        <f t="shared" si="20"/>
        <v>29462.192185977856</v>
      </c>
      <c r="P78" s="100">
        <f t="shared" si="21"/>
        <v>22520.786973306367</v>
      </c>
      <c r="Q78" s="95">
        <f t="shared" si="22"/>
        <v>1358795964813.0601</v>
      </c>
      <c r="R78" s="95">
        <f t="shared" si="23"/>
        <v>27769544575896.992</v>
      </c>
      <c r="S78" s="95">
        <f t="shared" si="24"/>
        <v>14961752240501.4</v>
      </c>
      <c r="T78">
        <f t="shared" si="0"/>
        <v>0.5</v>
      </c>
      <c r="X78" s="101">
        <v>35</v>
      </c>
      <c r="Y78" s="101">
        <f t="shared" si="1"/>
        <v>14095.760221444958</v>
      </c>
      <c r="Z78" s="101">
        <f t="shared" si="2"/>
        <v>10367.882181755231</v>
      </c>
      <c r="AA78" s="101">
        <f t="shared" si="3"/>
        <v>-17132.967844988529</v>
      </c>
      <c r="AB78" s="101">
        <f t="shared" si="4"/>
        <v>12007.517527228661</v>
      </c>
      <c r="AC78" s="101">
        <f t="shared" si="5"/>
        <v>-904.23977855504108</v>
      </c>
      <c r="AD78" s="101">
        <f t="shared" si="6"/>
        <v>-12132.117818244769</v>
      </c>
    </row>
    <row r="79" spans="1:30" x14ac:dyDescent="0.25">
      <c r="A79">
        <v>18</v>
      </c>
      <c r="B79" s="95">
        <f t="shared" si="7"/>
        <v>8815.0919470502977</v>
      </c>
      <c r="C79" s="95">
        <f t="shared" si="8"/>
        <v>4921.7237835003853</v>
      </c>
      <c r="D79" s="95">
        <f t="shared" si="9"/>
        <v>165.18413840787053</v>
      </c>
      <c r="E79" s="95">
        <f t="shared" si="10"/>
        <v>2173.4229300988254</v>
      </c>
      <c r="F79" s="96">
        <f t="shared" si="11"/>
        <v>-128.19213323760374</v>
      </c>
      <c r="G79" s="94">
        <f t="shared" si="12"/>
        <v>487.95443857807447</v>
      </c>
      <c r="H79" s="97">
        <f t="shared" si="13"/>
        <v>502.82559349832178</v>
      </c>
      <c r="I79" s="94">
        <f t="shared" si="14"/>
        <v>1094.1129698095297</v>
      </c>
      <c r="J79" s="95">
        <f t="shared" si="15"/>
        <v>-187.72323227644941</v>
      </c>
      <c r="K79" s="94">
        <f t="shared" si="16"/>
        <v>33.08371972248775</v>
      </c>
      <c r="L79" s="94">
        <f t="shared" si="17"/>
        <v>-443.29449445947608</v>
      </c>
      <c r="M79" s="94">
        <f t="shared" si="18"/>
        <v>-639.24225095394297</v>
      </c>
      <c r="N79" s="99">
        <f t="shared" si="19"/>
        <v>3877.9751501996002</v>
      </c>
      <c r="O79" s="99">
        <f t="shared" si="20"/>
        <v>29386.4530412245</v>
      </c>
      <c r="P79" s="100">
        <f t="shared" si="21"/>
        <v>23309.638391258886</v>
      </c>
      <c r="Q79" s="95">
        <f t="shared" si="22"/>
        <v>1233860037641.6582</v>
      </c>
      <c r="R79" s="95">
        <f t="shared" si="23"/>
        <v>27567331496419.211</v>
      </c>
      <c r="S79" s="95">
        <f t="shared" si="24"/>
        <v>16317742084917.125</v>
      </c>
      <c r="T79">
        <f t="shared" si="0"/>
        <v>0.5</v>
      </c>
      <c r="X79" s="101">
        <v>36</v>
      </c>
      <c r="Y79" s="101">
        <f t="shared" si="1"/>
        <v>14045.084971874738</v>
      </c>
      <c r="Z79" s="101">
        <f t="shared" si="2"/>
        <v>10438.926261462366</v>
      </c>
      <c r="AA79" s="101">
        <f t="shared" si="3"/>
        <v>-17168.440519687683</v>
      </c>
      <c r="AB79" s="101">
        <f t="shared" si="4"/>
        <v>12057.248383023656</v>
      </c>
      <c r="AC79" s="101">
        <f t="shared" si="5"/>
        <v>-954.91502812526278</v>
      </c>
      <c r="AD79" s="101">
        <f t="shared" si="6"/>
        <v>-12061.073738537634</v>
      </c>
    </row>
    <row r="80" spans="1:30" x14ac:dyDescent="0.25">
      <c r="A80">
        <v>18.5</v>
      </c>
      <c r="B80" s="95">
        <f t="shared" si="7"/>
        <v>8865.635982944832</v>
      </c>
      <c r="C80" s="95">
        <f t="shared" si="8"/>
        <v>6130.4238581943173</v>
      </c>
      <c r="D80" s="95">
        <f t="shared" si="9"/>
        <v>101.08807178906866</v>
      </c>
      <c r="E80" s="95">
        <f t="shared" si="10"/>
        <v>2417.4001493878627</v>
      </c>
      <c r="F80" s="96">
        <f t="shared" si="11"/>
        <v>-64.108277101240276</v>
      </c>
      <c r="G80" s="94">
        <f t="shared" si="12"/>
        <v>50.540419222189712</v>
      </c>
      <c r="H80" s="97">
        <f t="shared" si="13"/>
        <v>528.81622466369686</v>
      </c>
      <c r="I80" s="94">
        <f t="shared" si="14"/>
        <v>638.46708270889201</v>
      </c>
      <c r="J80" s="95">
        <f t="shared" si="15"/>
        <v>-190.38387744573458</v>
      </c>
      <c r="K80" s="94">
        <f t="shared" si="16"/>
        <v>25.5218665676984</v>
      </c>
      <c r="L80" s="94">
        <f t="shared" si="17"/>
        <v>-402.54062431920255</v>
      </c>
      <c r="M80" s="94">
        <f t="shared" si="18"/>
        <v>-613.44853005440075</v>
      </c>
      <c r="N80" s="99">
        <f t="shared" si="19"/>
        <v>2837.5192232851255</v>
      </c>
      <c r="O80" s="99">
        <f t="shared" si="20"/>
        <v>29259.15947610301</v>
      </c>
      <c r="P80" s="100">
        <f t="shared" si="21"/>
        <v>24243.181392126298</v>
      </c>
      <c r="Q80" s="95">
        <f t="shared" si="22"/>
        <v>1123172063774.2915</v>
      </c>
      <c r="R80" s="95">
        <f t="shared" si="23"/>
        <v>27229753212755.742</v>
      </c>
      <c r="S80" s="95">
        <f t="shared" si="24"/>
        <v>18035521348535.109</v>
      </c>
      <c r="T80">
        <f t="shared" si="0"/>
        <v>0.5</v>
      </c>
      <c r="X80" s="101">
        <v>37</v>
      </c>
      <c r="Y80" s="101">
        <f t="shared" si="1"/>
        <v>13993.177550236464</v>
      </c>
      <c r="Z80" s="101">
        <f t="shared" si="2"/>
        <v>10509.075115760241</v>
      </c>
      <c r="AA80" s="101">
        <f t="shared" si="3"/>
        <v>-17204.775714834475</v>
      </c>
      <c r="AB80" s="101">
        <f t="shared" si="4"/>
        <v>12106.35258103217</v>
      </c>
      <c r="AC80" s="101">
        <f t="shared" si="5"/>
        <v>-1006.822449763536</v>
      </c>
      <c r="AD80" s="101">
        <f t="shared" si="6"/>
        <v>-11990.924884239759</v>
      </c>
    </row>
    <row r="81" spans="1:30" x14ac:dyDescent="0.25">
      <c r="A81">
        <v>19</v>
      </c>
      <c r="B81" s="95">
        <f t="shared" si="7"/>
        <v>8900.1529495640571</v>
      </c>
      <c r="C81" s="95">
        <f t="shared" si="8"/>
        <v>7351.759037693796</v>
      </c>
      <c r="D81" s="95">
        <f t="shared" si="9"/>
        <v>69.033933238448526</v>
      </c>
      <c r="E81" s="95">
        <f t="shared" si="10"/>
        <v>2442.6703589989575</v>
      </c>
      <c r="F81" s="96">
        <f t="shared" si="11"/>
        <v>-6.0023764919079099</v>
      </c>
      <c r="G81" s="94">
        <f t="shared" si="12"/>
        <v>-491.08416738876105</v>
      </c>
      <c r="H81" s="97">
        <f t="shared" si="13"/>
        <v>549.60161464355031</v>
      </c>
      <c r="I81" s="94">
        <f t="shared" si="14"/>
        <v>74.077092998985634</v>
      </c>
      <c r="J81" s="95">
        <f t="shared" si="15"/>
        <v>-193.13457648618575</v>
      </c>
      <c r="K81" s="94">
        <f t="shared" si="16"/>
        <v>17.697722831466638</v>
      </c>
      <c r="L81" s="94">
        <f t="shared" si="17"/>
        <v>-362.46941464927244</v>
      </c>
      <c r="M81" s="94">
        <f t="shared" si="18"/>
        <v>-582.85898321921331</v>
      </c>
      <c r="N81" s="99">
        <f t="shared" si="19"/>
        <v>1778.3476969909109</v>
      </c>
      <c r="O81" s="99">
        <f t="shared" si="20"/>
        <v>29123.848650497948</v>
      </c>
      <c r="P81" s="100">
        <f t="shared" si="21"/>
        <v>25273.517239167209</v>
      </c>
      <c r="Q81" s="95">
        <f t="shared" si="22"/>
        <v>1047810911776.8005</v>
      </c>
      <c r="R81" s="95">
        <f t="shared" si="23"/>
        <v>26874033361533.453</v>
      </c>
      <c r="S81" s="95">
        <f t="shared" si="24"/>
        <v>20079219848281.98</v>
      </c>
      <c r="T81">
        <f t="shared" si="0"/>
        <v>0.5</v>
      </c>
      <c r="X81" s="101">
        <v>38</v>
      </c>
      <c r="Y81" s="101">
        <f t="shared" si="1"/>
        <v>13940.053768033609</v>
      </c>
      <c r="Z81" s="101">
        <f t="shared" si="2"/>
        <v>10578.307376628291</v>
      </c>
      <c r="AA81" s="101">
        <f t="shared" si="3"/>
        <v>-17241.962362376471</v>
      </c>
      <c r="AB81" s="101">
        <f t="shared" si="4"/>
        <v>12154.815163639803</v>
      </c>
      <c r="AC81" s="101">
        <f t="shared" si="5"/>
        <v>-1059.9462319663899</v>
      </c>
      <c r="AD81" s="101">
        <f t="shared" si="6"/>
        <v>-11921.692623371709</v>
      </c>
    </row>
    <row r="82" spans="1:30" x14ac:dyDescent="0.25">
      <c r="A82">
        <v>19.5</v>
      </c>
      <c r="B82" s="95">
        <f t="shared" si="7"/>
        <v>8933.1693220603047</v>
      </c>
      <c r="C82" s="95">
        <f t="shared" si="8"/>
        <v>8450.3231753460841</v>
      </c>
      <c r="D82" s="95">
        <f t="shared" si="9"/>
        <v>66.032744992494571</v>
      </c>
      <c r="E82" s="95">
        <f t="shared" si="10"/>
        <v>2197.1282753045771</v>
      </c>
      <c r="F82" s="96">
        <f t="shared" si="11"/>
        <v>26.321660626689777</v>
      </c>
      <c r="G82" s="94">
        <f t="shared" si="12"/>
        <v>-1028.1082199563828</v>
      </c>
      <c r="H82" s="97">
        <f t="shared" si="13"/>
        <v>548.42812185668083</v>
      </c>
      <c r="I82" s="94">
        <f t="shared" si="14"/>
        <v>-488.53483967902065</v>
      </c>
      <c r="J82" s="95">
        <f t="shared" si="15"/>
        <v>-195.30015070838169</v>
      </c>
      <c r="K82" s="94">
        <f t="shared" si="16"/>
        <v>10.460385934057935</v>
      </c>
      <c r="L82" s="94">
        <f t="shared" si="17"/>
        <v>-326.80631052160936</v>
      </c>
      <c r="M82" s="94">
        <f t="shared" si="18"/>
        <v>-550.03376621142002</v>
      </c>
      <c r="N82" s="99">
        <f t="shared" si="19"/>
        <v>1109.7922856364216</v>
      </c>
      <c r="O82" s="99">
        <f t="shared" si="20"/>
        <v>29021.233962439168</v>
      </c>
      <c r="P82" s="100">
        <f t="shared" si="21"/>
        <v>26321.386439555205</v>
      </c>
      <c r="Q82" s="95">
        <f t="shared" si="22"/>
        <v>1018531352566.0208</v>
      </c>
      <c r="R82" s="95">
        <f t="shared" si="23"/>
        <v>26606403465932.879</v>
      </c>
      <c r="S82" s="95">
        <f t="shared" si="24"/>
        <v>22323284962247.27</v>
      </c>
      <c r="T82">
        <f t="shared" si="0"/>
        <v>0.5</v>
      </c>
      <c r="X82" s="101">
        <v>39</v>
      </c>
      <c r="Y82" s="101">
        <f t="shared" si="1"/>
        <v>13885.729807284853</v>
      </c>
      <c r="Z82" s="101">
        <f t="shared" si="2"/>
        <v>10646.601955249187</v>
      </c>
      <c r="AA82" s="101">
        <f t="shared" si="3"/>
        <v>-17279.989134900603</v>
      </c>
      <c r="AB82" s="101">
        <f t="shared" si="4"/>
        <v>12202.62136867443</v>
      </c>
      <c r="AC82" s="101">
        <f t="shared" si="5"/>
        <v>-1114.2701927151456</v>
      </c>
      <c r="AD82" s="101">
        <f t="shared" si="6"/>
        <v>-11853.398044750813</v>
      </c>
    </row>
    <row r="83" spans="1:30" x14ac:dyDescent="0.25">
      <c r="A83">
        <v>20</v>
      </c>
      <c r="B83" s="95">
        <f t="shared" si="7"/>
        <v>8972.7661097132241</v>
      </c>
      <c r="C83" s="95">
        <f t="shared" si="8"/>
        <v>9291.8602580092775</v>
      </c>
      <c r="D83" s="95">
        <f t="shared" si="9"/>
        <v>79.19357530583946</v>
      </c>
      <c r="E83" s="95">
        <f t="shared" si="10"/>
        <v>1683.0741653263858</v>
      </c>
      <c r="F83" s="96">
        <f t="shared" si="11"/>
        <v>26.988677690018392</v>
      </c>
      <c r="G83" s="94">
        <f t="shared" si="12"/>
        <v>-1424.0913969299622</v>
      </c>
      <c r="H83" s="97">
        <f t="shared" si="13"/>
        <v>521.80034088284242</v>
      </c>
      <c r="I83" s="94">
        <f t="shared" si="14"/>
        <v>-910.20487377284064</v>
      </c>
      <c r="J83" s="95">
        <f t="shared" si="15"/>
        <v>-196.46026097865789</v>
      </c>
      <c r="K83" s="94">
        <f t="shared" si="16"/>
        <v>4.8017962107600036</v>
      </c>
      <c r="L83" s="94">
        <f t="shared" si="17"/>
        <v>-298.35140221416617</v>
      </c>
      <c r="M83" s="94">
        <f t="shared" si="18"/>
        <v>-518.6883193678816</v>
      </c>
      <c r="N83" s="99">
        <f t="shared" si="19"/>
        <v>1428.7203480713551</v>
      </c>
      <c r="O83" s="99">
        <f t="shared" si="20"/>
        <v>28974.640382235651</v>
      </c>
      <c r="P83" s="100">
        <f t="shared" si="21"/>
        <v>27277.29576745789</v>
      </c>
      <c r="Q83" s="95">
        <f t="shared" si="22"/>
        <v>1030774350007.5562</v>
      </c>
      <c r="R83" s="95">
        <f t="shared" si="23"/>
        <v>26485488420478.434</v>
      </c>
      <c r="S83" s="95">
        <f t="shared" si="24"/>
        <v>24521832887232.426</v>
      </c>
      <c r="T83">
        <f t="shared" si="0"/>
        <v>0.5</v>
      </c>
      <c r="X83" s="101">
        <v>40</v>
      </c>
      <c r="Y83" s="101">
        <f t="shared" si="1"/>
        <v>13830.222215594891</v>
      </c>
      <c r="Z83" s="101">
        <f t="shared" si="2"/>
        <v>10713.938048432696</v>
      </c>
      <c r="AA83" s="101">
        <f t="shared" si="3"/>
        <v>-17318.844449083575</v>
      </c>
      <c r="AB83" s="101">
        <f t="shared" si="4"/>
        <v>12249.756633902887</v>
      </c>
      <c r="AC83" s="101">
        <f t="shared" si="5"/>
        <v>-1169.7777844051097</v>
      </c>
      <c r="AD83" s="101">
        <f t="shared" si="6"/>
        <v>-11786.061951567304</v>
      </c>
    </row>
    <row r="84" spans="1:30" x14ac:dyDescent="0.25">
      <c r="A84">
        <v>20.5</v>
      </c>
      <c r="B84" s="95">
        <f t="shared" si="7"/>
        <v>9019.1100667886476</v>
      </c>
      <c r="C84" s="95">
        <f t="shared" si="8"/>
        <v>9777.3744914399795</v>
      </c>
      <c r="D84" s="95">
        <f t="shared" si="9"/>
        <v>92.687914150848655</v>
      </c>
      <c r="E84" s="95">
        <f t="shared" si="10"/>
        <v>971.0284668614047</v>
      </c>
      <c r="F84" s="96">
        <f t="shared" si="11"/>
        <v>7.1031812617857781</v>
      </c>
      <c r="G84" s="94">
        <f t="shared" si="12"/>
        <v>-1610.9807040627534</v>
      </c>
      <c r="H84" s="97">
        <f t="shared" si="13"/>
        <v>482.39744771978962</v>
      </c>
      <c r="I84" s="94">
        <f t="shared" si="14"/>
        <v>-1120.0029738057112</v>
      </c>
      <c r="J84" s="95">
        <f t="shared" si="15"/>
        <v>-196.64408274092267</v>
      </c>
      <c r="K84" s="94">
        <f t="shared" si="16"/>
        <v>1.508591711625886</v>
      </c>
      <c r="L84" s="94">
        <f t="shared" si="17"/>
        <v>-278.65018371708118</v>
      </c>
      <c r="M84" s="94">
        <f t="shared" si="18"/>
        <v>-492.48632196866816</v>
      </c>
      <c r="N84" s="99">
        <f t="shared" si="19"/>
        <v>2065.4231163581903</v>
      </c>
      <c r="O84" s="99">
        <f t="shared" si="20"/>
        <v>28981.418839358674</v>
      </c>
      <c r="P84" s="100">
        <f t="shared" si="21"/>
        <v>28023.787530442794</v>
      </c>
      <c r="Q84" s="95">
        <f t="shared" si="22"/>
        <v>1064667258199.2847</v>
      </c>
      <c r="R84" s="95">
        <f t="shared" si="23"/>
        <v>26503055717877.172</v>
      </c>
      <c r="S84" s="95">
        <f t="shared" si="24"/>
        <v>26342666521982.84</v>
      </c>
      <c r="T84">
        <f t="shared" si="0"/>
        <v>0.5</v>
      </c>
      <c r="X84" s="101">
        <v>41</v>
      </c>
      <c r="Y84" s="101">
        <f t="shared" si="1"/>
        <v>13773.54790111386</v>
      </c>
      <c r="Z84" s="101">
        <f t="shared" si="2"/>
        <v>10780.295144952535</v>
      </c>
      <c r="AA84" s="101">
        <f t="shared" si="3"/>
        <v>-17358.516469220296</v>
      </c>
      <c r="AB84" s="101">
        <f t="shared" si="4"/>
        <v>12296.206601466776</v>
      </c>
      <c r="AC84" s="101">
        <f t="shared" si="5"/>
        <v>-1226.4520988861395</v>
      </c>
      <c r="AD84" s="101">
        <f t="shared" si="6"/>
        <v>-11719.704855047465</v>
      </c>
    </row>
    <row r="85" spans="1:30" x14ac:dyDescent="0.25">
      <c r="A85">
        <v>21</v>
      </c>
      <c r="B85" s="95">
        <f t="shared" si="7"/>
        <v>9067.229819179518</v>
      </c>
      <c r="C85" s="95">
        <f t="shared" si="8"/>
        <v>9860.1435488549923</v>
      </c>
      <c r="D85" s="95">
        <f t="shared" si="9"/>
        <v>96.239504781741545</v>
      </c>
      <c r="E85" s="95">
        <f t="shared" si="10"/>
        <v>165.53811483002801</v>
      </c>
      <c r="F85" s="96">
        <f t="shared" si="11"/>
        <v>-17.761155243165348</v>
      </c>
      <c r="G85" s="94">
        <f t="shared" si="12"/>
        <v>-1602.8450744863303</v>
      </c>
      <c r="H85" s="97">
        <f t="shared" si="13"/>
        <v>446.58280306137573</v>
      </c>
      <c r="I85" s="94">
        <f t="shared" si="14"/>
        <v>-1129.9669986746017</v>
      </c>
      <c r="J85" s="95">
        <f t="shared" si="15"/>
        <v>-196.22940817538543</v>
      </c>
      <c r="K85" s="94">
        <f t="shared" si="16"/>
        <v>0.9441542523459231</v>
      </c>
      <c r="L85" s="94">
        <f t="shared" si="17"/>
        <v>-268.11455012915565</v>
      </c>
      <c r="M85" s="94">
        <f t="shared" si="18"/>
        <v>-473.82223006407446</v>
      </c>
      <c r="N85" s="99">
        <f t="shared" si="19"/>
        <v>2479.6329638349457</v>
      </c>
      <c r="O85" s="99">
        <f t="shared" si="20"/>
        <v>29019.964010753974</v>
      </c>
      <c r="P85" s="100">
        <f t="shared" si="21"/>
        <v>28468.469115036645</v>
      </c>
      <c r="Q85" s="95">
        <f t="shared" si="22"/>
        <v>1093632180290.3944</v>
      </c>
      <c r="R85" s="95">
        <f t="shared" si="23"/>
        <v>26603102802540.035</v>
      </c>
      <c r="S85" s="95">
        <f t="shared" si="24"/>
        <v>27471781392819.371</v>
      </c>
      <c r="T85">
        <f t="shared" si="0"/>
        <v>0.5</v>
      </c>
      <c r="X85" s="101">
        <v>42</v>
      </c>
      <c r="Y85" s="101">
        <f t="shared" si="1"/>
        <v>13715.724127386971</v>
      </c>
      <c r="Z85" s="101">
        <f t="shared" si="2"/>
        <v>10845.653031794291</v>
      </c>
      <c r="AA85" s="101">
        <f t="shared" si="3"/>
        <v>-17398.99311082912</v>
      </c>
      <c r="AB85" s="101">
        <f t="shared" si="4"/>
        <v>12341.957122256004</v>
      </c>
      <c r="AC85" s="101">
        <f t="shared" si="5"/>
        <v>-1284.2758726130287</v>
      </c>
      <c r="AD85" s="101">
        <f t="shared" si="6"/>
        <v>-11654.346968205709</v>
      </c>
    </row>
    <row r="86" spans="1:30" x14ac:dyDescent="0.25">
      <c r="A86">
        <v>21.5</v>
      </c>
      <c r="B86" s="95">
        <f t="shared" si="7"/>
        <v>9110.9092827595978</v>
      </c>
      <c r="C86" s="95">
        <f t="shared" si="8"/>
        <v>9542.2013376484247</v>
      </c>
      <c r="D86" s="95">
        <f t="shared" si="9"/>
        <v>87.358927160158871</v>
      </c>
      <c r="E86" s="95">
        <f t="shared" si="10"/>
        <v>-635.88442241313714</v>
      </c>
      <c r="F86" s="96">
        <f t="shared" si="11"/>
        <v>-38.237529159420092</v>
      </c>
      <c r="G86" s="94">
        <f t="shared" si="12"/>
        <v>-1434.2381271083809</v>
      </c>
      <c r="H86" s="97">
        <f t="shared" si="13"/>
        <v>423.92139153803043</v>
      </c>
      <c r="I86" s="94">
        <f t="shared" si="14"/>
        <v>-973.72834522875894</v>
      </c>
      <c r="J86" s="95">
        <f t="shared" si="15"/>
        <v>-195.6131505035587</v>
      </c>
      <c r="K86" s="94">
        <f t="shared" si="16"/>
        <v>3.0762157845733027</v>
      </c>
      <c r="L86" s="94">
        <f t="shared" si="17"/>
        <v>-266.54577019389183</v>
      </c>
      <c r="M86" s="94">
        <f t="shared" si="18"/>
        <v>-463.58599766419513</v>
      </c>
      <c r="N86" s="99">
        <f t="shared" si="19"/>
        <v>2537.7820594821992</v>
      </c>
      <c r="O86" s="99">
        <f t="shared" si="20"/>
        <v>29067.566275626275</v>
      </c>
      <c r="P86" s="100">
        <f t="shared" si="21"/>
        <v>28564.202983022122</v>
      </c>
      <c r="Q86" s="95">
        <f t="shared" si="22"/>
        <v>1098144184830.8451</v>
      </c>
      <c r="R86" s="95">
        <f t="shared" si="23"/>
        <v>26727015496118.047</v>
      </c>
      <c r="S86" s="95">
        <f t="shared" si="24"/>
        <v>27719272444867.742</v>
      </c>
      <c r="T86">
        <f t="shared" si="0"/>
        <v>0.5</v>
      </c>
      <c r="X86" s="101">
        <v>43</v>
      </c>
      <c r="Y86" s="101">
        <f t="shared" si="1"/>
        <v>13656.768508095853</v>
      </c>
      <c r="Z86" s="101">
        <f t="shared" si="2"/>
        <v>10909.991800312491</v>
      </c>
      <c r="AA86" s="101">
        <f t="shared" si="3"/>
        <v>-17440.262044332903</v>
      </c>
      <c r="AB86" s="101">
        <f t="shared" si="4"/>
        <v>12386.994260218744</v>
      </c>
      <c r="AC86" s="101">
        <f t="shared" si="5"/>
        <v>-1343.2314919041473</v>
      </c>
      <c r="AD86" s="101">
        <f t="shared" si="6"/>
        <v>-11590.008199687509</v>
      </c>
    </row>
    <row r="87" spans="1:30" x14ac:dyDescent="0.25">
      <c r="A87">
        <v>22</v>
      </c>
      <c r="B87" s="95">
        <f t="shared" si="7"/>
        <v>9145.0293640498221</v>
      </c>
      <c r="C87" s="95">
        <f t="shared" si="8"/>
        <v>8865.6995946647603</v>
      </c>
      <c r="D87" s="95">
        <f t="shared" si="9"/>
        <v>68.240162580448825</v>
      </c>
      <c r="E87" s="95">
        <f t="shared" si="10"/>
        <v>-1353.0034859673276</v>
      </c>
      <c r="F87" s="96">
        <f t="shared" si="11"/>
        <v>-52.299604669732332</v>
      </c>
      <c r="G87" s="94">
        <f t="shared" si="12"/>
        <v>-1119.1072994060739</v>
      </c>
      <c r="H87" s="97">
        <f t="shared" si="13"/>
        <v>416.30100182049023</v>
      </c>
      <c r="I87" s="94">
        <f t="shared" si="14"/>
        <v>-664.98436968297005</v>
      </c>
      <c r="J87" s="95">
        <f t="shared" si="15"/>
        <v>-194.94830099479401</v>
      </c>
      <c r="K87" s="94">
        <f t="shared" si="16"/>
        <v>7.5872264212083209</v>
      </c>
      <c r="L87" s="94">
        <f t="shared" si="17"/>
        <v>-273.65230549542855</v>
      </c>
      <c r="M87" s="94">
        <f t="shared" si="18"/>
        <v>-461.71015614431224</v>
      </c>
      <c r="N87" s="99">
        <f t="shared" si="19"/>
        <v>2227.3456415599417</v>
      </c>
      <c r="O87" s="99">
        <f t="shared" si="20"/>
        <v>29114.508735067295</v>
      </c>
      <c r="P87" s="100">
        <f t="shared" si="21"/>
        <v>28309.669854732376</v>
      </c>
      <c r="Q87" s="95">
        <f t="shared" si="22"/>
        <v>1075331493795.0703</v>
      </c>
      <c r="R87" s="95">
        <f t="shared" si="23"/>
        <v>26849597831266.875</v>
      </c>
      <c r="S87" s="95">
        <f t="shared" si="24"/>
        <v>27064709147653.047</v>
      </c>
      <c r="T87">
        <f t="shared" si="0"/>
        <v>0.5</v>
      </c>
      <c r="X87" s="101">
        <v>44</v>
      </c>
      <c r="Y87" s="101">
        <f t="shared" si="1"/>
        <v>13596.699001693256</v>
      </c>
      <c r="Z87" s="101">
        <f t="shared" si="2"/>
        <v>10973.291852294986</v>
      </c>
      <c r="AA87" s="101">
        <f t="shared" si="3"/>
        <v>-17482.310698814719</v>
      </c>
      <c r="AB87" s="101">
        <f t="shared" si="4"/>
        <v>12431.30429660649</v>
      </c>
      <c r="AC87" s="101">
        <f t="shared" si="5"/>
        <v>-1403.3009983067441</v>
      </c>
      <c r="AD87" s="101">
        <f t="shared" si="6"/>
        <v>-11526.708147705014</v>
      </c>
    </row>
    <row r="88" spans="1:30" x14ac:dyDescent="0.25">
      <c r="A88">
        <v>22.5</v>
      </c>
      <c r="B88" s="95">
        <f t="shared" si="7"/>
        <v>9166.074544172614</v>
      </c>
      <c r="C88" s="95">
        <f t="shared" si="8"/>
        <v>7909.4210268295783</v>
      </c>
      <c r="D88" s="95">
        <f t="shared" si="9"/>
        <v>42.090360245582659</v>
      </c>
      <c r="E88" s="95">
        <f t="shared" si="10"/>
        <v>-1912.5571356703645</v>
      </c>
      <c r="F88" s="96">
        <f t="shared" si="11"/>
        <v>-63.139096875744656</v>
      </c>
      <c r="G88" s="94">
        <f t="shared" si="12"/>
        <v>-660.10298877810067</v>
      </c>
      <c r="H88" s="97">
        <f t="shared" si="13"/>
        <v>420.17432440871733</v>
      </c>
      <c r="I88" s="94">
        <f t="shared" si="14"/>
        <v>-206.28726721882134</v>
      </c>
      <c r="J88" s="95">
        <f t="shared" si="15"/>
        <v>-194.09310833385427</v>
      </c>
      <c r="K88" s="94">
        <f t="shared" si="16"/>
        <v>13.912292876626305</v>
      </c>
      <c r="L88" s="94">
        <f t="shared" si="17"/>
        <v>-289.22031295060771</v>
      </c>
      <c r="M88" s="94">
        <f t="shared" si="18"/>
        <v>-467.72801443590561</v>
      </c>
      <c r="N88" s="99">
        <f t="shared" si="19"/>
        <v>1611.2449134767012</v>
      </c>
      <c r="O88" s="99">
        <f t="shared" si="20"/>
        <v>29167.094028045885</v>
      </c>
      <c r="P88" s="100">
        <f t="shared" si="21"/>
        <v>27742.629162583227</v>
      </c>
      <c r="Q88" s="95">
        <f t="shared" si="22"/>
        <v>1039193311552.1268</v>
      </c>
      <c r="R88" s="95">
        <f t="shared" si="23"/>
        <v>26987372816276.977</v>
      </c>
      <c r="S88" s="95">
        <f t="shared" si="24"/>
        <v>25645983197693.738</v>
      </c>
      <c r="T88">
        <f t="shared" si="0"/>
        <v>0.5</v>
      </c>
      <c r="X88" s="101">
        <v>45</v>
      </c>
      <c r="Y88" s="101">
        <f t="shared" si="1"/>
        <v>13535.533905932738</v>
      </c>
      <c r="Z88" s="101">
        <f t="shared" si="2"/>
        <v>11035.533905932738</v>
      </c>
      <c r="AA88" s="101">
        <f t="shared" si="3"/>
        <v>-17525.126265847084</v>
      </c>
      <c r="AB88" s="101">
        <f t="shared" si="4"/>
        <v>12474.873734152916</v>
      </c>
      <c r="AC88" s="101">
        <f t="shared" si="5"/>
        <v>-1464.466094067262</v>
      </c>
      <c r="AD88" s="101">
        <f t="shared" si="6"/>
        <v>-11464.466094067262</v>
      </c>
    </row>
    <row r="89" spans="1:30" x14ac:dyDescent="0.25">
      <c r="A89">
        <v>23</v>
      </c>
      <c r="B89" s="95">
        <f t="shared" si="7"/>
        <v>9171.3349500764689</v>
      </c>
      <c r="C89" s="95">
        <f t="shared" si="8"/>
        <v>6788.1167117998712</v>
      </c>
      <c r="D89" s="95">
        <f t="shared" si="9"/>
        <v>10.520811807710331</v>
      </c>
      <c r="E89" s="95">
        <f t="shared" si="10"/>
        <v>-2242.6086300594147</v>
      </c>
      <c r="F89" s="96">
        <f t="shared" si="11"/>
        <v>-77.247558177813801</v>
      </c>
      <c r="G89" s="94">
        <f t="shared" si="12"/>
        <v>-91.79165928644295</v>
      </c>
      <c r="H89" s="97">
        <f t="shared" si="13"/>
        <v>428.33094641690741</v>
      </c>
      <c r="I89" s="94">
        <f t="shared" si="14"/>
        <v>367.96730186856473</v>
      </c>
      <c r="J89" s="95">
        <f t="shared" si="15"/>
        <v>-192.74116345267487</v>
      </c>
      <c r="K89" s="94">
        <f t="shared" si="16"/>
        <v>21.221590403776602</v>
      </c>
      <c r="L89" s="94">
        <f t="shared" si="17"/>
        <v>-312.83734114204634</v>
      </c>
      <c r="M89" s="94">
        <f t="shared" si="18"/>
        <v>-480.98055155878427</v>
      </c>
      <c r="N89" s="99">
        <f t="shared" si="19"/>
        <v>929.0087422016544</v>
      </c>
      <c r="O89" s="99">
        <f t="shared" si="20"/>
        <v>29240.903282205494</v>
      </c>
      <c r="P89" s="100">
        <f t="shared" si="21"/>
        <v>26935.464350472903</v>
      </c>
      <c r="Q89" s="95">
        <f t="shared" si="22"/>
        <v>1012973751139.4935</v>
      </c>
      <c r="R89" s="95">
        <f t="shared" si="23"/>
        <v>27181572016914.5</v>
      </c>
      <c r="S89" s="95">
        <f t="shared" si="24"/>
        <v>23718695477226.5</v>
      </c>
      <c r="T89">
        <f t="shared" si="0"/>
        <v>0.5</v>
      </c>
      <c r="X89" s="101">
        <v>46</v>
      </c>
      <c r="Y89" s="101">
        <f t="shared" si="1"/>
        <v>13473.291852294988</v>
      </c>
      <c r="Z89" s="101">
        <f t="shared" si="2"/>
        <v>11096.699001693256</v>
      </c>
      <c r="AA89" s="101">
        <f t="shared" si="3"/>
        <v>-17568.69570339351</v>
      </c>
      <c r="AB89" s="101">
        <f t="shared" si="4"/>
        <v>12517.689301185279</v>
      </c>
      <c r="AC89" s="101">
        <f t="shared" si="5"/>
        <v>-1526.7081477050133</v>
      </c>
      <c r="AD89" s="101">
        <f t="shared" si="6"/>
        <v>-11403.300998306744</v>
      </c>
    </row>
    <row r="90" spans="1:30" x14ac:dyDescent="0.25">
      <c r="A90">
        <v>23.5</v>
      </c>
      <c r="B90" s="95">
        <f t="shared" si="7"/>
        <v>9157.2834664358707</v>
      </c>
      <c r="C90" s="95">
        <f t="shared" si="8"/>
        <v>5643.8644819485535</v>
      </c>
      <c r="D90" s="95">
        <f t="shared" si="9"/>
        <v>-28.10296728119657</v>
      </c>
      <c r="E90" s="95">
        <f t="shared" si="10"/>
        <v>-2288.5044597026363</v>
      </c>
      <c r="F90" s="96">
        <f t="shared" si="11"/>
        <v>-100.4183393445856</v>
      </c>
      <c r="G90" s="94">
        <f t="shared" si="12"/>
        <v>482.74617777227593</v>
      </c>
      <c r="H90" s="97">
        <f t="shared" si="13"/>
        <v>433.46241425322091</v>
      </c>
      <c r="I90" s="94">
        <f t="shared" si="14"/>
        <v>954.7278957883492</v>
      </c>
      <c r="J90" s="95">
        <f t="shared" si="15"/>
        <v>-190.66684033845291</v>
      </c>
      <c r="K90" s="94">
        <f t="shared" si="16"/>
        <v>28.485870306439299</v>
      </c>
      <c r="L90" s="94">
        <f t="shared" si="17"/>
        <v>-343.2139132593536</v>
      </c>
      <c r="M90" s="94">
        <f t="shared" si="18"/>
        <v>-500.4675883225126</v>
      </c>
      <c r="N90" s="99">
        <f t="shared" si="19"/>
        <v>1092.4575877275036</v>
      </c>
      <c r="O90" s="99">
        <f t="shared" si="20"/>
        <v>29347.62302174696</v>
      </c>
      <c r="P90" s="100">
        <f t="shared" si="21"/>
        <v>25991.320938233817</v>
      </c>
      <c r="Q90" s="95">
        <f t="shared" si="22"/>
        <v>1017955261267.1355</v>
      </c>
      <c r="R90" s="95">
        <f t="shared" si="23"/>
        <v>27464053205185.254</v>
      </c>
      <c r="S90" s="95">
        <f t="shared" si="24"/>
        <v>21598006381583.781</v>
      </c>
      <c r="T90">
        <f t="shared" si="0"/>
        <v>0.5</v>
      </c>
      <c r="X90" s="101">
        <v>47</v>
      </c>
      <c r="Y90" s="101">
        <f t="shared" si="1"/>
        <v>13409.991800312491</v>
      </c>
      <c r="Z90" s="101">
        <f t="shared" si="2"/>
        <v>11156.768508095853</v>
      </c>
      <c r="AA90" s="101">
        <f t="shared" si="3"/>
        <v>-17613.005739781256</v>
      </c>
      <c r="AB90" s="101">
        <f t="shared" si="4"/>
        <v>12559.737955667097</v>
      </c>
      <c r="AC90" s="101">
        <f t="shared" si="5"/>
        <v>-1590.0081996875078</v>
      </c>
      <c r="AD90" s="101">
        <f t="shared" si="6"/>
        <v>-11343.231491904147</v>
      </c>
    </row>
    <row r="91" spans="1:30" x14ac:dyDescent="0.25">
      <c r="A91">
        <v>24</v>
      </c>
      <c r="B91" s="95">
        <f t="shared" si="7"/>
        <v>9118.127397959126</v>
      </c>
      <c r="C91" s="95">
        <f t="shared" si="8"/>
        <v>4620.2987965403036</v>
      </c>
      <c r="D91" s="95">
        <f t="shared" si="9"/>
        <v>-78.312136953489372</v>
      </c>
      <c r="E91" s="95">
        <f t="shared" si="10"/>
        <v>-2047.1313708164982</v>
      </c>
      <c r="F91" s="96">
        <f t="shared" si="11"/>
        <v>-131.01354976517985</v>
      </c>
      <c r="G91" s="94">
        <f t="shared" si="12"/>
        <v>928.68857655251452</v>
      </c>
      <c r="H91" s="97">
        <f t="shared" si="13"/>
        <v>434.39190342159628</v>
      </c>
      <c r="I91" s="94">
        <f t="shared" si="14"/>
        <v>1418.4802704623996</v>
      </c>
      <c r="J91" s="95">
        <f t="shared" si="15"/>
        <v>-187.97704386570575</v>
      </c>
      <c r="K91" s="94">
        <f t="shared" si="16"/>
        <v>34.729579800451454</v>
      </c>
      <c r="L91" s="94">
        <f t="shared" si="17"/>
        <v>-377.42840932107038</v>
      </c>
      <c r="M91" s="94">
        <f t="shared" si="18"/>
        <v>-524.52127371033646</v>
      </c>
      <c r="N91" s="99">
        <f t="shared" si="19"/>
        <v>2038.4823318622248</v>
      </c>
      <c r="O91" s="99">
        <f t="shared" si="20"/>
        <v>29480.893741434025</v>
      </c>
      <c r="P91" s="100">
        <f t="shared" si="21"/>
        <v>25031.935919901909</v>
      </c>
      <c r="Q91" s="95">
        <f t="shared" si="22"/>
        <v>1062974265922.5889</v>
      </c>
      <c r="R91" s="95">
        <f t="shared" si="23"/>
        <v>27819631217380.715</v>
      </c>
      <c r="S91" s="95">
        <f t="shared" si="24"/>
        <v>19585791733615.309</v>
      </c>
      <c r="T91">
        <f t="shared" si="0"/>
        <v>0.5</v>
      </c>
      <c r="X91" s="101">
        <v>48</v>
      </c>
      <c r="Y91" s="101">
        <f t="shared" si="1"/>
        <v>13345.653031794291</v>
      </c>
      <c r="Z91" s="101">
        <f t="shared" si="2"/>
        <v>11215.724127386971</v>
      </c>
      <c r="AA91" s="101">
        <f t="shared" si="3"/>
        <v>-17658.042877743996</v>
      </c>
      <c r="AB91" s="101">
        <f t="shared" si="4"/>
        <v>12601.00688917088</v>
      </c>
      <c r="AC91" s="101">
        <f t="shared" si="5"/>
        <v>-1654.3469682057089</v>
      </c>
      <c r="AD91" s="101">
        <f t="shared" si="6"/>
        <v>-11284.275872613029</v>
      </c>
    </row>
    <row r="92" spans="1:30" x14ac:dyDescent="0.25">
      <c r="A92">
        <v>24.5</v>
      </c>
      <c r="B92" s="95">
        <f t="shared" si="7"/>
        <v>9046.2179420410866</v>
      </c>
      <c r="C92" s="95">
        <f t="shared" si="8"/>
        <v>3828.9052552701833</v>
      </c>
      <c r="D92" s="95">
        <f t="shared" si="9"/>
        <v>-143.81891183607928</v>
      </c>
      <c r="E92" s="95">
        <f t="shared" si="10"/>
        <v>-1582.787082540241</v>
      </c>
      <c r="F92" s="96">
        <f t="shared" si="11"/>
        <v>-157.64100046545812</v>
      </c>
      <c r="G92" s="94">
        <f t="shared" si="12"/>
        <v>1176.0293875760385</v>
      </c>
      <c r="H92" s="97">
        <f t="shared" si="13"/>
        <v>438.41715708283851</v>
      </c>
      <c r="I92" s="94">
        <f t="shared" si="14"/>
        <v>1687.4619394816998</v>
      </c>
      <c r="J92" s="95">
        <f t="shared" si="15"/>
        <v>-185.18336683694011</v>
      </c>
      <c r="K92" s="94">
        <f t="shared" si="16"/>
        <v>39.343645502458521</v>
      </c>
      <c r="L92" s="94">
        <f t="shared" si="17"/>
        <v>-410.87479071135652</v>
      </c>
      <c r="M92" s="94">
        <f t="shared" si="18"/>
        <v>-550.77619740811986</v>
      </c>
      <c r="N92" s="99">
        <f t="shared" si="19"/>
        <v>3011.7068760816624</v>
      </c>
      <c r="O92" s="99">
        <f t="shared" si="20"/>
        <v>29610.919070543619</v>
      </c>
      <c r="P92" s="100">
        <f t="shared" si="21"/>
        <v>24171.835803068931</v>
      </c>
      <c r="Q92" s="95">
        <f t="shared" si="22"/>
        <v>1139095744012.0249</v>
      </c>
      <c r="R92" s="95">
        <f t="shared" si="23"/>
        <v>28169579118392.148</v>
      </c>
      <c r="S92" s="95">
        <f t="shared" si="24"/>
        <v>17899814450787.844</v>
      </c>
      <c r="T92">
        <f t="shared" si="0"/>
        <v>0.5</v>
      </c>
      <c r="X92" s="101">
        <v>49</v>
      </c>
      <c r="Y92" s="101">
        <f t="shared" si="1"/>
        <v>13280.295144952535</v>
      </c>
      <c r="Z92" s="101">
        <f t="shared" si="2"/>
        <v>11273.54790111386</v>
      </c>
      <c r="AA92" s="101">
        <f t="shared" si="3"/>
        <v>-17703.793398533224</v>
      </c>
      <c r="AB92" s="101">
        <f t="shared" si="4"/>
        <v>12641.483530779702</v>
      </c>
      <c r="AC92" s="101">
        <f t="shared" si="5"/>
        <v>-1719.7048550474638</v>
      </c>
      <c r="AD92" s="101">
        <f t="shared" si="6"/>
        <v>-11226.45209888614</v>
      </c>
    </row>
    <row r="93" spans="1:30" x14ac:dyDescent="0.25">
      <c r="A93">
        <v>25</v>
      </c>
      <c r="B93" s="95">
        <f t="shared" si="7"/>
        <v>8934.8982360066821</v>
      </c>
      <c r="C93" s="95">
        <f t="shared" si="8"/>
        <v>3331.5190608940725</v>
      </c>
      <c r="D93" s="95">
        <f t="shared" si="9"/>
        <v>-222.63941206880833</v>
      </c>
      <c r="E93" s="95">
        <f t="shared" si="10"/>
        <v>-994.77238875222179</v>
      </c>
      <c r="F93" s="96">
        <f t="shared" si="11"/>
        <v>-165.58316110235478</v>
      </c>
      <c r="G93" s="94">
        <f t="shared" si="12"/>
        <v>1249.4834111654452</v>
      </c>
      <c r="H93" s="97">
        <f t="shared" si="13"/>
        <v>455.85507012226486</v>
      </c>
      <c r="I93" s="94">
        <f t="shared" si="14"/>
        <v>1784.0766347762603</v>
      </c>
      <c r="J93" s="95">
        <f t="shared" si="15"/>
        <v>-183.00143902102312</v>
      </c>
      <c r="K93" s="94">
        <f t="shared" si="16"/>
        <v>42.175424222576027</v>
      </c>
      <c r="L93" s="94">
        <f t="shared" si="17"/>
        <v>-438.4367922035965</v>
      </c>
      <c r="M93" s="94">
        <f t="shared" si="18"/>
        <v>-576.76864783339124</v>
      </c>
      <c r="N93" s="99">
        <f t="shared" si="19"/>
        <v>3792.9720324393666</v>
      </c>
      <c r="O93" s="99">
        <f t="shared" si="20"/>
        <v>29694.531265621645</v>
      </c>
      <c r="P93" s="100">
        <f t="shared" si="21"/>
        <v>23490.932539753678</v>
      </c>
      <c r="Q93" s="95">
        <f t="shared" si="22"/>
        <v>1223384395757.4336</v>
      </c>
      <c r="R93" s="95">
        <f t="shared" si="23"/>
        <v>28396198072169.523</v>
      </c>
      <c r="S93" s="95">
        <f t="shared" si="24"/>
        <v>16641613532907.654</v>
      </c>
      <c r="T93">
        <f t="shared" si="0"/>
        <v>0.5</v>
      </c>
      <c r="X93" s="101">
        <v>50</v>
      </c>
      <c r="Y93" s="101">
        <f t="shared" si="1"/>
        <v>13213.938048432698</v>
      </c>
      <c r="Z93" s="101">
        <f t="shared" si="2"/>
        <v>11330.222215594891</v>
      </c>
      <c r="AA93" s="101">
        <f t="shared" si="3"/>
        <v>-17750.243366097111</v>
      </c>
      <c r="AB93" s="101">
        <f t="shared" si="4"/>
        <v>12681.155550916423</v>
      </c>
      <c r="AC93" s="101">
        <f t="shared" si="5"/>
        <v>-1786.0619515673034</v>
      </c>
      <c r="AD93" s="101">
        <f t="shared" si="6"/>
        <v>-11169.777784405109</v>
      </c>
    </row>
    <row r="94" spans="1:30" x14ac:dyDescent="0.25">
      <c r="A94">
        <v>25.5</v>
      </c>
      <c r="B94" s="95">
        <f t="shared" si="7"/>
        <v>8782.1827396966892</v>
      </c>
      <c r="C94" s="95">
        <f t="shared" si="8"/>
        <v>3146.5037193093231</v>
      </c>
      <c r="D94" s="95">
        <f t="shared" si="9"/>
        <v>-305.43099261998572</v>
      </c>
      <c r="E94" s="95">
        <f t="shared" si="10"/>
        <v>-370.03068316949918</v>
      </c>
      <c r="F94" s="96">
        <f t="shared" si="11"/>
        <v>-143.92073140424054</v>
      </c>
      <c r="G94" s="94">
        <f t="shared" si="12"/>
        <v>1209.6568640142266</v>
      </c>
      <c r="H94" s="97">
        <f t="shared" si="13"/>
        <v>494.2475659518185</v>
      </c>
      <c r="I94" s="94">
        <f t="shared" si="14"/>
        <v>1766.8537064220586</v>
      </c>
      <c r="J94" s="95">
        <f t="shared" si="15"/>
        <v>-182.0555888799305</v>
      </c>
      <c r="K94" s="94">
        <f t="shared" si="16"/>
        <v>43.350336301863926</v>
      </c>
      <c r="L94" s="94">
        <f t="shared" si="17"/>
        <v>-456.11270847612855</v>
      </c>
      <c r="M94" s="94">
        <f t="shared" si="18"/>
        <v>-600.54717870969603</v>
      </c>
      <c r="N94" s="99">
        <f t="shared" si="19"/>
        <v>4302.4034105777573</v>
      </c>
      <c r="O94" s="99">
        <f t="shared" si="20"/>
        <v>29693.382662864155</v>
      </c>
      <c r="P94" s="100">
        <f t="shared" si="21"/>
        <v>23026.636313795047</v>
      </c>
      <c r="Q94" s="95">
        <f t="shared" si="22"/>
        <v>1290138121710.9507</v>
      </c>
      <c r="R94" s="95">
        <f t="shared" si="23"/>
        <v>28393076515005.359</v>
      </c>
      <c r="S94" s="95">
        <f t="shared" si="24"/>
        <v>15821383341163.521</v>
      </c>
      <c r="T94">
        <f t="shared" si="0"/>
        <v>0.5</v>
      </c>
      <c r="X94" s="101">
        <v>51</v>
      </c>
      <c r="Y94" s="101">
        <f t="shared" si="1"/>
        <v>13146.601955249187</v>
      </c>
      <c r="Z94" s="101">
        <f t="shared" si="2"/>
        <v>11385.729807284853</v>
      </c>
      <c r="AA94" s="101">
        <f t="shared" si="3"/>
        <v>-17797.37863132557</v>
      </c>
      <c r="AB94" s="101">
        <f t="shared" si="4"/>
        <v>12720.010865099397</v>
      </c>
      <c r="AC94" s="101">
        <f t="shared" si="5"/>
        <v>-1853.3980447508125</v>
      </c>
      <c r="AD94" s="101">
        <f t="shared" si="6"/>
        <v>-11114.270192715147</v>
      </c>
    </row>
    <row r="95" spans="1:30" x14ac:dyDescent="0.25">
      <c r="A95">
        <v>26</v>
      </c>
      <c r="B95" s="95">
        <f t="shared" si="7"/>
        <v>8593.4870605356355</v>
      </c>
      <c r="C95" s="95">
        <f t="shared" si="8"/>
        <v>3263.9025937281303</v>
      </c>
      <c r="D95" s="95">
        <f t="shared" si="9"/>
        <v>-377.39135832210599</v>
      </c>
      <c r="E95" s="95">
        <f t="shared" si="10"/>
        <v>234.79774883761411</v>
      </c>
      <c r="F95" s="96">
        <f t="shared" si="11"/>
        <v>-87.409979192950516</v>
      </c>
      <c r="G95" s="94">
        <f t="shared" si="12"/>
        <v>1100.6098327851796</v>
      </c>
      <c r="H95" s="97">
        <f t="shared" si="13"/>
        <v>557.19578489124729</v>
      </c>
      <c r="I95" s="94">
        <f t="shared" si="14"/>
        <v>1678.1471061775703</v>
      </c>
      <c r="J95" s="95">
        <f t="shared" si="15"/>
        <v>-182.71782397879491</v>
      </c>
      <c r="K95" s="94">
        <f t="shared" si="16"/>
        <v>43.04494438112593</v>
      </c>
      <c r="L95" s="94">
        <f t="shared" si="17"/>
        <v>-461.88794010540289</v>
      </c>
      <c r="M95" s="94">
        <f t="shared" si="18"/>
        <v>-620.58221777351685</v>
      </c>
      <c r="N95" s="99">
        <f t="shared" si="19"/>
        <v>4520.6203938707595</v>
      </c>
      <c r="O95" s="99">
        <f t="shared" si="20"/>
        <v>29586.896669484195</v>
      </c>
      <c r="P95" s="100">
        <f t="shared" si="21"/>
        <v>22786.929549750672</v>
      </c>
      <c r="Q95" s="95">
        <f t="shared" si="22"/>
        <v>1321704996584.7183</v>
      </c>
      <c r="R95" s="95">
        <f t="shared" si="23"/>
        <v>28104699748038.145</v>
      </c>
      <c r="S95" s="95">
        <f t="shared" si="24"/>
        <v>15409653647556.928</v>
      </c>
      <c r="T95">
        <f t="shared" si="0"/>
        <v>0.5</v>
      </c>
      <c r="X95" s="101">
        <v>52</v>
      </c>
      <c r="Y95" s="101">
        <f t="shared" si="1"/>
        <v>13078.307376628291</v>
      </c>
      <c r="Z95" s="101">
        <f t="shared" si="2"/>
        <v>11440.053768033609</v>
      </c>
      <c r="AA95" s="101">
        <f t="shared" si="3"/>
        <v>-17845.184836360197</v>
      </c>
      <c r="AB95" s="101">
        <f t="shared" si="4"/>
        <v>12758.037637623527</v>
      </c>
      <c r="AC95" s="101">
        <f t="shared" si="5"/>
        <v>-1921.6926233717086</v>
      </c>
      <c r="AD95" s="101">
        <f t="shared" si="6"/>
        <v>-11059.946231966391</v>
      </c>
    </row>
    <row r="96" spans="1:30" x14ac:dyDescent="0.25">
      <c r="A96">
        <v>26.5</v>
      </c>
      <c r="B96" s="95">
        <f t="shared" si="7"/>
        <v>8382.9388865763449</v>
      </c>
      <c r="C96" s="95">
        <f t="shared" si="8"/>
        <v>3656.4539263432325</v>
      </c>
      <c r="D96" s="95">
        <f t="shared" si="9"/>
        <v>-421.09634791858127</v>
      </c>
      <c r="E96" s="95">
        <f t="shared" si="10"/>
        <v>785.10266523020391</v>
      </c>
      <c r="F96" s="96">
        <f t="shared" si="11"/>
        <v>3.9140221188807232</v>
      </c>
      <c r="G96" s="94">
        <f t="shared" si="12"/>
        <v>938.49702461595575</v>
      </c>
      <c r="H96" s="97">
        <f t="shared" si="13"/>
        <v>644.72189070272395</v>
      </c>
      <c r="I96" s="94">
        <f t="shared" si="14"/>
        <v>1532.4209277190159</v>
      </c>
      <c r="J96" s="95">
        <f t="shared" si="15"/>
        <v>-185.09071207184422</v>
      </c>
      <c r="K96" s="94">
        <f t="shared" si="16"/>
        <v>41.367508295238089</v>
      </c>
      <c r="L96" s="94">
        <f t="shared" si="17"/>
        <v>-455.71715651199901</v>
      </c>
      <c r="M96" s="94">
        <f t="shared" si="18"/>
        <v>-635.29141139829835</v>
      </c>
      <c r="N96" s="99">
        <f t="shared" si="19"/>
        <v>4463.4963744024653</v>
      </c>
      <c r="O96" s="99">
        <f t="shared" si="20"/>
        <v>29376.223558309895</v>
      </c>
      <c r="P96" s="100">
        <f t="shared" si="21"/>
        <v>22767.367621623252</v>
      </c>
      <c r="Q96" s="95">
        <f t="shared" si="22"/>
        <v>1313265814711.8042</v>
      </c>
      <c r="R96" s="95">
        <f t="shared" si="23"/>
        <v>27540097802377.063</v>
      </c>
      <c r="S96" s="95">
        <f t="shared" si="24"/>
        <v>15376402478570.57</v>
      </c>
      <c r="T96">
        <f t="shared" si="0"/>
        <v>0.5</v>
      </c>
      <c r="X96" s="101">
        <v>53</v>
      </c>
      <c r="Y96" s="101">
        <f t="shared" si="1"/>
        <v>13009.075115760243</v>
      </c>
      <c r="Z96" s="101">
        <f t="shared" si="2"/>
        <v>11493.177550236464</v>
      </c>
      <c r="AA96" s="101">
        <f t="shared" si="3"/>
        <v>-17893.64741896783</v>
      </c>
      <c r="AB96" s="101">
        <f t="shared" si="4"/>
        <v>12795.224285165525</v>
      </c>
      <c r="AC96" s="101">
        <f t="shared" si="5"/>
        <v>-1990.9248842397583</v>
      </c>
      <c r="AD96" s="101">
        <f t="shared" si="6"/>
        <v>-11006.822449763536</v>
      </c>
    </row>
    <row r="97" spans="1:30" x14ac:dyDescent="0.25">
      <c r="A97">
        <v>27</v>
      </c>
      <c r="B97" s="95">
        <f t="shared" si="7"/>
        <v>8173.3692181467741</v>
      </c>
      <c r="C97" s="95">
        <f t="shared" si="8"/>
        <v>4283.629515112324</v>
      </c>
      <c r="D97" s="95">
        <f t="shared" si="9"/>
        <v>-419.13933685914094</v>
      </c>
      <c r="E97" s="95">
        <f t="shared" si="10"/>
        <v>1254.3511775381817</v>
      </c>
      <c r="F97" s="96">
        <f t="shared" si="11"/>
        <v>123.81196596092451</v>
      </c>
      <c r="G97" s="94">
        <f t="shared" si="12"/>
        <v>719.62771080761502</v>
      </c>
      <c r="H97" s="97">
        <f t="shared" si="13"/>
        <v>751.99563647475793</v>
      </c>
      <c r="I97" s="94">
        <f t="shared" si="14"/>
        <v>1324.1299741307444</v>
      </c>
      <c r="J97" s="95">
        <f t="shared" si="15"/>
        <v>-189.0250743424088</v>
      </c>
      <c r="K97" s="94">
        <f t="shared" si="16"/>
        <v>38.353146459269013</v>
      </c>
      <c r="L97" s="94">
        <f t="shared" si="17"/>
        <v>-439.15859617142468</v>
      </c>
      <c r="M97" s="94">
        <f t="shared" si="18"/>
        <v>-642.8554097823984</v>
      </c>
      <c r="N97" s="99">
        <f t="shared" si="19"/>
        <v>4169.8600773730168</v>
      </c>
      <c r="O97" s="99">
        <f t="shared" si="20"/>
        <v>29083.187525230689</v>
      </c>
      <c r="P97" s="100">
        <f t="shared" si="21"/>
        <v>22960.102925457562</v>
      </c>
      <c r="Q97" s="95">
        <f t="shared" si="22"/>
        <v>1271844668317.5886</v>
      </c>
      <c r="R97" s="95">
        <f t="shared" si="23"/>
        <v>26767765047561.559</v>
      </c>
      <c r="S97" s="95">
        <f t="shared" si="24"/>
        <v>15706307591969.625</v>
      </c>
      <c r="T97">
        <f t="shared" si="0"/>
        <v>0.5</v>
      </c>
      <c r="X97" s="101">
        <v>54</v>
      </c>
      <c r="Y97" s="101">
        <f t="shared" si="1"/>
        <v>12938.926261462366</v>
      </c>
      <c r="Z97" s="101">
        <f t="shared" si="2"/>
        <v>11545.084971874738</v>
      </c>
      <c r="AA97" s="101">
        <f t="shared" si="3"/>
        <v>-17942.751616976344</v>
      </c>
      <c r="AB97" s="101">
        <f t="shared" si="4"/>
        <v>12831.559480312317</v>
      </c>
      <c r="AC97" s="101">
        <f t="shared" si="5"/>
        <v>-2061.0737385376342</v>
      </c>
      <c r="AD97" s="101">
        <f t="shared" si="6"/>
        <v>-10954.915028125262</v>
      </c>
    </row>
    <row r="98" spans="1:30" x14ac:dyDescent="0.25">
      <c r="A98">
        <v>27.5</v>
      </c>
      <c r="B98" s="95">
        <f t="shared" si="7"/>
        <v>7994.7525412074347</v>
      </c>
      <c r="C98" s="95">
        <f t="shared" si="8"/>
        <v>5090.7120315833181</v>
      </c>
      <c r="D98" s="95">
        <f t="shared" si="9"/>
        <v>-357.23335387867871</v>
      </c>
      <c r="E98" s="95">
        <f t="shared" si="10"/>
        <v>1614.1650329419892</v>
      </c>
      <c r="F98" s="96">
        <f t="shared" si="11"/>
        <v>257.13596179352356</v>
      </c>
      <c r="G98" s="94">
        <f t="shared" si="12"/>
        <v>433.21781963171225</v>
      </c>
      <c r="H98" s="97">
        <f t="shared" si="13"/>
        <v>866.22601256919472</v>
      </c>
      <c r="I98" s="94">
        <f t="shared" si="14"/>
        <v>1040.763273810192</v>
      </c>
      <c r="J98" s="95">
        <f t="shared" si="15"/>
        <v>-194.11001120622313</v>
      </c>
      <c r="K98" s="94">
        <f t="shared" si="16"/>
        <v>34.040020220262228</v>
      </c>
      <c r="L98" s="94">
        <f t="shared" si="17"/>
        <v>-414.98003956944802</v>
      </c>
      <c r="M98" s="94">
        <f t="shared" si="18"/>
        <v>-641.58547439874201</v>
      </c>
      <c r="N98" s="99">
        <f t="shared" si="19"/>
        <v>3698.8672738110395</v>
      </c>
      <c r="O98" s="99">
        <f t="shared" si="20"/>
        <v>28747.445532125374</v>
      </c>
      <c r="P98" s="100">
        <f t="shared" si="21"/>
        <v>23353.715418188345</v>
      </c>
      <c r="Q98" s="95">
        <f t="shared" si="22"/>
        <v>1212091416051.2087</v>
      </c>
      <c r="R98" s="95">
        <f t="shared" si="23"/>
        <v>25901292754014.793</v>
      </c>
      <c r="S98" s="95">
        <f t="shared" si="24"/>
        <v>16396057330464.496</v>
      </c>
      <c r="T98">
        <f t="shared" si="0"/>
        <v>0.5</v>
      </c>
      <c r="X98" s="101">
        <v>55</v>
      </c>
      <c r="Y98" s="101">
        <f t="shared" si="1"/>
        <v>12867.882181755231</v>
      </c>
      <c r="Z98" s="101">
        <f t="shared" si="2"/>
        <v>11595.760221444958</v>
      </c>
      <c r="AA98" s="101">
        <f t="shared" si="3"/>
        <v>-17992.482472771339</v>
      </c>
      <c r="AB98" s="101">
        <f t="shared" si="4"/>
        <v>12867.032155011471</v>
      </c>
      <c r="AC98" s="101">
        <f t="shared" si="5"/>
        <v>-2132.1178182447693</v>
      </c>
      <c r="AD98" s="101">
        <f t="shared" si="6"/>
        <v>-10904.239778555042</v>
      </c>
    </row>
    <row r="99" spans="1:30" x14ac:dyDescent="0.25">
      <c r="A99">
        <v>28</v>
      </c>
      <c r="B99" s="95">
        <f t="shared" si="7"/>
        <v>7880.419854716476</v>
      </c>
      <c r="C99" s="95">
        <f t="shared" si="8"/>
        <v>6006.0990029622408</v>
      </c>
      <c r="D99" s="95">
        <f t="shared" si="9"/>
        <v>-228.66537298191693</v>
      </c>
      <c r="E99" s="95">
        <f t="shared" si="10"/>
        <v>1830.7739427578454</v>
      </c>
      <c r="F99" s="96">
        <f t="shared" si="11"/>
        <v>377.89340176555737</v>
      </c>
      <c r="G99" s="94">
        <f t="shared" si="12"/>
        <v>77.542906454650392</v>
      </c>
      <c r="H99" s="97">
        <f t="shared" si="13"/>
        <v>964.25650797247704</v>
      </c>
      <c r="I99" s="94">
        <f t="shared" si="14"/>
        <v>679.61749965701051</v>
      </c>
      <c r="J99" s="95">
        <f t="shared" si="15"/>
        <v>-199.64908835966116</v>
      </c>
      <c r="K99" s="94">
        <f t="shared" si="16"/>
        <v>28.59995284190239</v>
      </c>
      <c r="L99" s="94">
        <f t="shared" si="17"/>
        <v>-386.7140178472585</v>
      </c>
      <c r="M99" s="94">
        <f t="shared" si="18"/>
        <v>-630.67454604426246</v>
      </c>
      <c r="N99" s="99">
        <f t="shared" si="19"/>
        <v>3134.5950114410989</v>
      </c>
      <c r="O99" s="99">
        <f t="shared" si="20"/>
        <v>28421.950640311108</v>
      </c>
      <c r="P99" s="100">
        <f t="shared" si="21"/>
        <v>23926.978571128111</v>
      </c>
      <c r="Q99" s="95">
        <f t="shared" si="22"/>
        <v>1150948486919.2036</v>
      </c>
      <c r="R99" s="95">
        <f t="shared" si="23"/>
        <v>25079837628758.422</v>
      </c>
      <c r="S99" s="95">
        <f t="shared" si="24"/>
        <v>17439688642953.02</v>
      </c>
      <c r="T99">
        <f t="shared" si="0"/>
        <v>0.5</v>
      </c>
      <c r="X99" s="101">
        <v>56</v>
      </c>
      <c r="Y99" s="101">
        <f t="shared" si="1"/>
        <v>12795.964517353734</v>
      </c>
      <c r="Z99" s="101">
        <f t="shared" si="2"/>
        <v>11645.187862775208</v>
      </c>
      <c r="AA99" s="101">
        <f t="shared" si="3"/>
        <v>-18042.824837852386</v>
      </c>
      <c r="AB99" s="101">
        <f t="shared" si="4"/>
        <v>12901.631503942646</v>
      </c>
      <c r="AC99" s="101">
        <f t="shared" si="5"/>
        <v>-2204.0354826462662</v>
      </c>
      <c r="AD99" s="101">
        <f t="shared" si="6"/>
        <v>-10854.812137224792</v>
      </c>
    </row>
    <row r="100" spans="1:30" x14ac:dyDescent="0.25">
      <c r="A100">
        <v>28.5</v>
      </c>
      <c r="B100" s="95">
        <f t="shared" si="7"/>
        <v>7860.5605186669063</v>
      </c>
      <c r="C100" s="95">
        <f t="shared" si="8"/>
        <v>6940.8717009548263</v>
      </c>
      <c r="D100" s="95">
        <f t="shared" si="9"/>
        <v>-39.718672099138246</v>
      </c>
      <c r="E100" s="95">
        <f t="shared" si="10"/>
        <v>1869.5453959851707</v>
      </c>
      <c r="F100" s="96">
        <f t="shared" si="11"/>
        <v>453.2473279692893</v>
      </c>
      <c r="G100" s="94">
        <f t="shared" si="12"/>
        <v>-322.89993442138262</v>
      </c>
      <c r="H100" s="97">
        <f t="shared" si="13"/>
        <v>1016.0224133663021</v>
      </c>
      <c r="I100" s="94">
        <f t="shared" si="14"/>
        <v>265.53070967134602</v>
      </c>
      <c r="J100" s="95">
        <f t="shared" si="15"/>
        <v>-204.6945705800301</v>
      </c>
      <c r="K100" s="94">
        <f t="shared" si="16"/>
        <v>22.47574858024544</v>
      </c>
      <c r="L100" s="94">
        <f t="shared" si="17"/>
        <v>-358.08051481698266</v>
      </c>
      <c r="M100" s="94">
        <f t="shared" si="18"/>
        <v>-610.90639267297411</v>
      </c>
      <c r="N100" s="99">
        <f t="shared" si="19"/>
        <v>2593.1371312043134</v>
      </c>
      <c r="O100" s="99">
        <f t="shared" si="20"/>
        <v>28165.03251284131</v>
      </c>
      <c r="P100" s="100">
        <f t="shared" si="21"/>
        <v>24640.645506074423</v>
      </c>
      <c r="Q100" s="95">
        <f t="shared" si="22"/>
        <v>1102542501184.7683</v>
      </c>
      <c r="R100" s="95">
        <f t="shared" si="23"/>
        <v>24444224775800.961</v>
      </c>
      <c r="S100" s="95">
        <f t="shared" si="24"/>
        <v>18805194537109.875</v>
      </c>
      <c r="T100">
        <f t="shared" si="0"/>
        <v>0.5</v>
      </c>
      <c r="X100" s="101">
        <v>57</v>
      </c>
      <c r="Y100" s="101">
        <f t="shared" si="1"/>
        <v>12723.195175075136</v>
      </c>
      <c r="Z100" s="101">
        <f t="shared" si="2"/>
        <v>11693.352839727118</v>
      </c>
      <c r="AA100" s="101">
        <f t="shared" si="3"/>
        <v>-18093.763377447405</v>
      </c>
      <c r="AB100" s="101">
        <f t="shared" si="4"/>
        <v>12935.346987808984</v>
      </c>
      <c r="AC100" s="101">
        <f t="shared" si="5"/>
        <v>-2276.8048249248641</v>
      </c>
      <c r="AD100" s="101">
        <f t="shared" si="6"/>
        <v>-10806.647160272882</v>
      </c>
    </row>
    <row r="101" spans="1:30" x14ac:dyDescent="0.25">
      <c r="A101">
        <v>29</v>
      </c>
      <c r="B101" s="95">
        <f t="shared" si="7"/>
        <v>7954.0130146096599</v>
      </c>
      <c r="C101" s="95">
        <f t="shared" si="8"/>
        <v>7794.9194153420658</v>
      </c>
      <c r="D101" s="95">
        <f t="shared" si="9"/>
        <v>186.9049918855064</v>
      </c>
      <c r="E101" s="95">
        <f t="shared" si="10"/>
        <v>1708.0954287744794</v>
      </c>
      <c r="F101" s="96">
        <f t="shared" si="11"/>
        <v>456.66057689354346</v>
      </c>
      <c r="G101" s="94">
        <f t="shared" si="12"/>
        <v>-712.15797891998955</v>
      </c>
      <c r="H101" s="97">
        <f t="shared" si="13"/>
        <v>997.24402575118188</v>
      </c>
      <c r="I101" s="94">
        <f t="shared" si="14"/>
        <v>-143.74804293869738</v>
      </c>
      <c r="J101" s="95">
        <f t="shared" si="15"/>
        <v>-208.23007490085891</v>
      </c>
      <c r="K101" s="94">
        <f t="shared" si="16"/>
        <v>16.425695125267971</v>
      </c>
      <c r="L101" s="94">
        <f t="shared" si="17"/>
        <v>-332.35337395677954</v>
      </c>
      <c r="M101" s="94">
        <f t="shared" si="18"/>
        <v>-584.83563110656019</v>
      </c>
      <c r="N101" s="99">
        <f t="shared" si="19"/>
        <v>2211.2950389036664</v>
      </c>
      <c r="O101" s="99">
        <f t="shared" si="20"/>
        <v>28028.005608039974</v>
      </c>
      <c r="P101" s="100">
        <f t="shared" si="21"/>
        <v>25432.181735982747</v>
      </c>
      <c r="Q101" s="95">
        <f t="shared" si="22"/>
        <v>1074236849534.8861</v>
      </c>
      <c r="R101" s="95">
        <f t="shared" si="23"/>
        <v>24109791244639.84</v>
      </c>
      <c r="S101" s="95">
        <f t="shared" si="24"/>
        <v>20408113426933.629</v>
      </c>
      <c r="T101">
        <f t="shared" si="0"/>
        <v>0.5</v>
      </c>
      <c r="X101" s="101">
        <v>58</v>
      </c>
      <c r="Y101" s="101">
        <f t="shared" si="1"/>
        <v>12649.596321166024</v>
      </c>
      <c r="Z101" s="101">
        <f t="shared" si="2"/>
        <v>11740.240480782129</v>
      </c>
      <c r="AA101" s="101">
        <f t="shared" si="3"/>
        <v>-18145.282575183785</v>
      </c>
      <c r="AB101" s="101">
        <f t="shared" si="4"/>
        <v>12968.168336547491</v>
      </c>
      <c r="AC101" s="101">
        <f t="shared" si="5"/>
        <v>-2350.4036788339754</v>
      </c>
      <c r="AD101" s="101">
        <f t="shared" si="6"/>
        <v>-10759.759519217871</v>
      </c>
    </row>
    <row r="102" spans="1:30" x14ac:dyDescent="0.25">
      <c r="A102">
        <v>29.5</v>
      </c>
      <c r="B102" s="95">
        <f t="shared" si="7"/>
        <v>8161.6306547757995</v>
      </c>
      <c r="C102" s="95">
        <f t="shared" si="8"/>
        <v>8470.9276349993088</v>
      </c>
      <c r="D102" s="95">
        <f t="shared" si="9"/>
        <v>415.23528033227814</v>
      </c>
      <c r="E102" s="95">
        <f t="shared" si="10"/>
        <v>1352.0164393144846</v>
      </c>
      <c r="F102" s="96">
        <f t="shared" si="11"/>
        <v>382.61373130405605</v>
      </c>
      <c r="G102" s="94">
        <f t="shared" si="12"/>
        <v>-1022.2645495988809</v>
      </c>
      <c r="H102" s="97">
        <f t="shared" si="13"/>
        <v>904.01021464154132</v>
      </c>
      <c r="I102" s="94">
        <f t="shared" si="14"/>
        <v>-477.44948641432273</v>
      </c>
      <c r="J102" s="95">
        <f t="shared" si="15"/>
        <v>-209.50540064402995</v>
      </c>
      <c r="K102" s="94">
        <f t="shared" si="16"/>
        <v>11.375368222466824</v>
      </c>
      <c r="L102" s="94">
        <f t="shared" si="17"/>
        <v>-311.89108269345536</v>
      </c>
      <c r="M102" s="94">
        <f t="shared" si="18"/>
        <v>-556.19043140702502</v>
      </c>
      <c r="N102" s="99">
        <f t="shared" si="19"/>
        <v>2067.133330468153</v>
      </c>
      <c r="O102" s="99">
        <f t="shared" si="20"/>
        <v>28040.849202650792</v>
      </c>
      <c r="P102" s="100">
        <f t="shared" si="21"/>
        <v>26218.596536325414</v>
      </c>
      <c r="Q102" s="95">
        <f t="shared" si="22"/>
        <v>1064775511014.0162</v>
      </c>
      <c r="R102" s="95">
        <f t="shared" si="23"/>
        <v>24141003442092.047</v>
      </c>
      <c r="S102" s="95">
        <f t="shared" si="24"/>
        <v>22095577841482.969</v>
      </c>
      <c r="T102">
        <f t="shared" si="0"/>
        <v>0.5</v>
      </c>
      <c r="X102" s="101">
        <v>59</v>
      </c>
      <c r="Y102" s="101">
        <f t="shared" si="1"/>
        <v>12575.190374550271</v>
      </c>
      <c r="Z102" s="101">
        <f t="shared" si="2"/>
        <v>11785.83650351056</v>
      </c>
      <c r="AA102" s="101">
        <f t="shared" si="3"/>
        <v>-18197.366737814809</v>
      </c>
      <c r="AB102" s="101">
        <f t="shared" si="4"/>
        <v>13000.085552457393</v>
      </c>
      <c r="AC102" s="101">
        <f t="shared" si="5"/>
        <v>-2424.8096254497282</v>
      </c>
      <c r="AD102" s="101">
        <f t="shared" si="6"/>
        <v>-10714.16349648944</v>
      </c>
    </row>
    <row r="103" spans="1:30" x14ac:dyDescent="0.25">
      <c r="A103">
        <v>30</v>
      </c>
      <c r="B103" s="95">
        <f t="shared" si="7"/>
        <v>8464.9017277679523</v>
      </c>
      <c r="C103" s="95">
        <f t="shared" si="8"/>
        <v>8891.36971725683</v>
      </c>
      <c r="D103" s="95">
        <f t="shared" si="9"/>
        <v>606.54214598430622</v>
      </c>
      <c r="E103" s="95">
        <f t="shared" si="10"/>
        <v>840.88416451504418</v>
      </c>
      <c r="F103" s="96">
        <f t="shared" si="11"/>
        <v>248.0017884304433</v>
      </c>
      <c r="G103" s="94">
        <f t="shared" si="12"/>
        <v>-1204.3624735611604</v>
      </c>
      <c r="H103" s="97">
        <f t="shared" si="13"/>
        <v>754.34334038663519</v>
      </c>
      <c r="I103" s="94">
        <f t="shared" si="14"/>
        <v>-683.71549835844678</v>
      </c>
      <c r="J103" s="95">
        <f t="shared" si="15"/>
        <v>-208.33782870651072</v>
      </c>
      <c r="K103" s="94">
        <f t="shared" si="16"/>
        <v>8.1141901754637935</v>
      </c>
      <c r="L103" s="94">
        <f t="shared" si="17"/>
        <v>-298.00372324968123</v>
      </c>
      <c r="M103" s="94">
        <f t="shared" si="18"/>
        <v>-528.76116537817745</v>
      </c>
      <c r="N103" s="99">
        <f t="shared" si="19"/>
        <v>2079.0147478710696</v>
      </c>
      <c r="O103" s="99">
        <f t="shared" si="20"/>
        <v>28203.111591337165</v>
      </c>
      <c r="P103" s="100">
        <f t="shared" si="21"/>
        <v>26909.34717788799</v>
      </c>
      <c r="Q103" s="95">
        <f t="shared" si="22"/>
        <v>1065530154149.4259</v>
      </c>
      <c r="R103" s="95">
        <f t="shared" si="23"/>
        <v>24537725146502.723</v>
      </c>
      <c r="S103" s="95">
        <f t="shared" si="24"/>
        <v>23658114003843.273</v>
      </c>
      <c r="T103">
        <f t="shared" si="0"/>
        <v>0.5</v>
      </c>
      <c r="X103" s="101">
        <v>60</v>
      </c>
      <c r="Y103" s="101">
        <f t="shared" si="1"/>
        <v>12500</v>
      </c>
      <c r="Z103" s="101">
        <f t="shared" si="2"/>
        <v>11830.127018922194</v>
      </c>
      <c r="AA103" s="101">
        <f t="shared" si="3"/>
        <v>-18250</v>
      </c>
      <c r="AB103" s="101">
        <f t="shared" si="4"/>
        <v>13031.088913245534</v>
      </c>
      <c r="AC103" s="101">
        <f t="shared" si="5"/>
        <v>-2499.9999999999995</v>
      </c>
      <c r="AD103" s="101">
        <f t="shared" si="6"/>
        <v>-10669.872981077806</v>
      </c>
    </row>
    <row r="104" spans="1:30" x14ac:dyDescent="0.25">
      <c r="A104">
        <v>30.5</v>
      </c>
      <c r="B104" s="95">
        <f t="shared" si="7"/>
        <v>8830.173247867715</v>
      </c>
      <c r="C104" s="95">
        <f t="shared" si="8"/>
        <v>9010.7211811240613</v>
      </c>
      <c r="D104" s="95">
        <f t="shared" si="9"/>
        <v>730.54304019952792</v>
      </c>
      <c r="E104" s="95">
        <f t="shared" si="10"/>
        <v>238.70292773446397</v>
      </c>
      <c r="F104" s="96">
        <f t="shared" si="11"/>
        <v>78.835132772885402</v>
      </c>
      <c r="G104" s="94">
        <f t="shared" si="12"/>
        <v>-1241.0816779889033</v>
      </c>
      <c r="H104" s="97">
        <f t="shared" si="13"/>
        <v>575.09680027644458</v>
      </c>
      <c r="I104" s="94">
        <f t="shared" si="14"/>
        <v>-742.68340657339729</v>
      </c>
      <c r="J104" s="95">
        <f t="shared" si="15"/>
        <v>-205.12994203079396</v>
      </c>
      <c r="K104" s="94">
        <f t="shared" si="16"/>
        <v>7.0388306384292161</v>
      </c>
      <c r="L104" s="94">
        <f t="shared" si="17"/>
        <v>-291.13172547276525</v>
      </c>
      <c r="M104" s="94">
        <f t="shared" si="18"/>
        <v>-505.43710205393529</v>
      </c>
      <c r="N104" s="99">
        <f t="shared" si="19"/>
        <v>2071.8195856563307</v>
      </c>
      <c r="O104" s="99">
        <f t="shared" si="20"/>
        <v>28486.482609744962</v>
      </c>
      <c r="P104" s="100">
        <f t="shared" si="21"/>
        <v>27424.462173488562</v>
      </c>
      <c r="Q104" s="95">
        <f t="shared" si="22"/>
        <v>1065072618703.7826</v>
      </c>
      <c r="R104" s="95">
        <f t="shared" si="23"/>
        <v>25241254588943.715</v>
      </c>
      <c r="S104" s="95">
        <f t="shared" si="24"/>
        <v>24873489026785.254</v>
      </c>
      <c r="T104">
        <f t="shared" si="0"/>
        <v>0.5</v>
      </c>
      <c r="X104" s="101">
        <v>61</v>
      </c>
      <c r="Y104" s="101">
        <f t="shared" si="1"/>
        <v>12424.048101231685</v>
      </c>
      <c r="Z104" s="101">
        <f t="shared" si="2"/>
        <v>11873.09853569698</v>
      </c>
      <c r="AA104" s="101">
        <f t="shared" si="3"/>
        <v>-18303.166329137821</v>
      </c>
      <c r="AB104" s="101">
        <f t="shared" si="4"/>
        <v>13061.168974987886</v>
      </c>
      <c r="AC104" s="101">
        <f t="shared" si="5"/>
        <v>-2575.9518987683145</v>
      </c>
      <c r="AD104" s="101">
        <f t="shared" si="6"/>
        <v>-10626.90146430302</v>
      </c>
    </row>
    <row r="105" spans="1:30" x14ac:dyDescent="0.25">
      <c r="A105">
        <v>31</v>
      </c>
      <c r="B105" s="95">
        <f t="shared" si="7"/>
        <v>9215.1535511607017</v>
      </c>
      <c r="C105" s="95">
        <f t="shared" si="8"/>
        <v>8819.8022254940661</v>
      </c>
      <c r="D105" s="95">
        <f t="shared" si="9"/>
        <v>769.9606065859706</v>
      </c>
      <c r="E105" s="95">
        <f t="shared" si="10"/>
        <v>-381.83791125998766</v>
      </c>
      <c r="F105" s="96">
        <f t="shared" si="11"/>
        <v>-102.32805628281588</v>
      </c>
      <c r="G105" s="94">
        <f t="shared" si="12"/>
        <v>-1134.6402453459766</v>
      </c>
      <c r="H105" s="97">
        <f t="shared" si="13"/>
        <v>389.42560314347747</v>
      </c>
      <c r="I105" s="94">
        <f t="shared" si="14"/>
        <v>-654.86029586198413</v>
      </c>
      <c r="J105" s="95">
        <f t="shared" si="15"/>
        <v>-200.59520919419847</v>
      </c>
      <c r="K105" s="94">
        <f t="shared" si="16"/>
        <v>8.1033980893843243</v>
      </c>
      <c r="L105" s="94">
        <f t="shared" si="17"/>
        <v>-291.15845023209488</v>
      </c>
      <c r="M105" s="94">
        <f t="shared" si="18"/>
        <v>-487.8833475733768</v>
      </c>
      <c r="N105" s="99">
        <f t="shared" si="19"/>
        <v>1910.6996407340557</v>
      </c>
      <c r="O105" s="99">
        <f t="shared" si="20"/>
        <v>28847.141315623354</v>
      </c>
      <c r="P105" s="100">
        <f t="shared" si="21"/>
        <v>27708.995357170847</v>
      </c>
      <c r="Q105" s="95">
        <f t="shared" si="22"/>
        <v>1055258401932.8685</v>
      </c>
      <c r="R105" s="95">
        <f t="shared" si="23"/>
        <v>26156543870540.414</v>
      </c>
      <c r="S105" s="95">
        <f t="shared" si="24"/>
        <v>25563527310975.824</v>
      </c>
      <c r="T105">
        <f t="shared" si="0"/>
        <v>0.5</v>
      </c>
      <c r="X105" s="101">
        <v>62</v>
      </c>
      <c r="Y105" s="101">
        <f t="shared" si="1"/>
        <v>12347.357813929455</v>
      </c>
      <c r="Z105" s="101">
        <f t="shared" si="2"/>
        <v>11914.737964294634</v>
      </c>
      <c r="AA105" s="101">
        <f t="shared" si="3"/>
        <v>-18356.849530249383</v>
      </c>
      <c r="AB105" s="101">
        <f t="shared" si="4"/>
        <v>13090.316575006244</v>
      </c>
      <c r="AC105" s="101">
        <f t="shared" si="5"/>
        <v>-2652.6421860705459</v>
      </c>
      <c r="AD105" s="101">
        <f t="shared" si="6"/>
        <v>-10585.262035705366</v>
      </c>
    </row>
    <row r="106" spans="1:30" x14ac:dyDescent="0.25">
      <c r="A106">
        <v>31.5</v>
      </c>
      <c r="B106" s="95">
        <f t="shared" si="7"/>
        <v>9574.5518403829828</v>
      </c>
      <c r="C106" s="95">
        <f t="shared" si="8"/>
        <v>8345.2232085275791</v>
      </c>
      <c r="D106" s="95">
        <f t="shared" si="9"/>
        <v>718.79657844456267</v>
      </c>
      <c r="E106" s="95">
        <f t="shared" si="10"/>
        <v>-949.15803393297597</v>
      </c>
      <c r="F106" s="96">
        <f t="shared" si="11"/>
        <v>-277.99289895374113</v>
      </c>
      <c r="G106" s="94">
        <f t="shared" si="12"/>
        <v>-893.20886516510609</v>
      </c>
      <c r="H106" s="97">
        <f t="shared" si="13"/>
        <v>215.111418216175</v>
      </c>
      <c r="I106" s="94">
        <f t="shared" si="14"/>
        <v>-427.35444727099724</v>
      </c>
      <c r="J106" s="95">
        <f t="shared" si="15"/>
        <v>-195.44173823018647</v>
      </c>
      <c r="K106" s="94">
        <f t="shared" si="16"/>
        <v>10.935498000234535</v>
      </c>
      <c r="L106" s="94">
        <f t="shared" si="17"/>
        <v>-297.66257893972966</v>
      </c>
      <c r="M106" s="94">
        <f t="shared" si="18"/>
        <v>-476.78991589434338</v>
      </c>
      <c r="N106" s="99">
        <f t="shared" si="19"/>
        <v>1535.5330874568438</v>
      </c>
      <c r="O106" s="99">
        <f t="shared" si="20"/>
        <v>29238.981921483628</v>
      </c>
      <c r="P106" s="100">
        <f t="shared" si="21"/>
        <v>27739.026092217598</v>
      </c>
      <c r="Q106" s="95">
        <f t="shared" si="22"/>
        <v>1035575597535.9441</v>
      </c>
      <c r="R106" s="95">
        <f t="shared" si="23"/>
        <v>27176504622515.27</v>
      </c>
      <c r="S106" s="95">
        <f t="shared" si="24"/>
        <v>25637140972509.082</v>
      </c>
      <c r="T106">
        <f t="shared" si="0"/>
        <v>0.5</v>
      </c>
      <c r="X106" s="101">
        <v>63</v>
      </c>
      <c r="Y106" s="101">
        <f t="shared" si="1"/>
        <v>12269.952498697734</v>
      </c>
      <c r="Z106" s="101">
        <f t="shared" si="2"/>
        <v>11955.032620941838</v>
      </c>
      <c r="AA106" s="101">
        <f t="shared" si="3"/>
        <v>-18411.033250911587</v>
      </c>
      <c r="AB106" s="101">
        <f t="shared" si="4"/>
        <v>13118.522834659287</v>
      </c>
      <c r="AC106" s="101">
        <f t="shared" si="5"/>
        <v>-2730.047501302266</v>
      </c>
      <c r="AD106" s="101">
        <f t="shared" si="6"/>
        <v>-10544.967379058162</v>
      </c>
    </row>
    <row r="107" spans="1:30" x14ac:dyDescent="0.25">
      <c r="A107">
        <v>32</v>
      </c>
      <c r="B107" s="95">
        <f t="shared" si="7"/>
        <v>9864.451904866828</v>
      </c>
      <c r="C107" s="95">
        <f t="shared" si="8"/>
        <v>7647.3419752698146</v>
      </c>
      <c r="D107" s="95">
        <f t="shared" si="9"/>
        <v>579.8001289676921</v>
      </c>
      <c r="E107" s="95">
        <f t="shared" si="10"/>
        <v>-1395.762466515529</v>
      </c>
      <c r="F107" s="96">
        <f t="shared" si="11"/>
        <v>-430.18762138218688</v>
      </c>
      <c r="G107" s="94">
        <f t="shared" si="12"/>
        <v>-533.44891888368852</v>
      </c>
      <c r="H107" s="97">
        <f t="shared" si="13"/>
        <v>70.030130743084044</v>
      </c>
      <c r="I107" s="94">
        <f t="shared" si="14"/>
        <v>-76.12336995183793</v>
      </c>
      <c r="J107" s="95">
        <f t="shared" si="15"/>
        <v>-190.21940276970875</v>
      </c>
      <c r="K107" s="94">
        <f t="shared" si="16"/>
        <v>14.98508011501824</v>
      </c>
      <c r="L107" s="94">
        <f t="shared" si="17"/>
        <v>-309.9983493555622</v>
      </c>
      <c r="M107" s="94">
        <f t="shared" si="18"/>
        <v>-472.31062904686888</v>
      </c>
      <c r="N107" s="99">
        <f t="shared" si="19"/>
        <v>946.26022253667747</v>
      </c>
      <c r="O107" s="99">
        <f t="shared" si="20"/>
        <v>29620.810299333411</v>
      </c>
      <c r="P107" s="100">
        <f t="shared" si="21"/>
        <v>27521.210147883863</v>
      </c>
      <c r="Q107" s="95">
        <f t="shared" si="22"/>
        <v>1013461147270.807</v>
      </c>
      <c r="R107" s="95">
        <f t="shared" si="23"/>
        <v>28196323018057.961</v>
      </c>
      <c r="S107" s="95">
        <f t="shared" si="24"/>
        <v>25106613740065.785</v>
      </c>
      <c r="T107">
        <f t="shared" si="0"/>
        <v>0.5</v>
      </c>
      <c r="X107" s="101">
        <v>64</v>
      </c>
      <c r="Y107" s="101">
        <f t="shared" si="1"/>
        <v>12191.855733945387</v>
      </c>
      <c r="Z107" s="101">
        <f t="shared" si="2"/>
        <v>11993.970231495834</v>
      </c>
      <c r="AA107" s="101">
        <f t="shared" si="3"/>
        <v>-18465.700986238229</v>
      </c>
      <c r="AB107" s="101">
        <f t="shared" si="4"/>
        <v>13145.779162047085</v>
      </c>
      <c r="AC107" s="101">
        <f t="shared" si="5"/>
        <v>-2808.1442660546127</v>
      </c>
      <c r="AD107" s="101">
        <f t="shared" si="6"/>
        <v>-10506.029768504166</v>
      </c>
    </row>
    <row r="108" spans="1:30" x14ac:dyDescent="0.25">
      <c r="A108">
        <v>32.5</v>
      </c>
      <c r="B108" s="95">
        <f t="shared" si="7"/>
        <v>10046.805064005126</v>
      </c>
      <c r="C108" s="95">
        <f t="shared" si="8"/>
        <v>6816.0985122911279</v>
      </c>
      <c r="D108" s="95">
        <f t="shared" si="9"/>
        <v>364.70631827659867</v>
      </c>
      <c r="E108" s="95">
        <f t="shared" si="10"/>
        <v>-1662.4869259573734</v>
      </c>
      <c r="F108" s="96">
        <f t="shared" si="11"/>
        <v>-537.02641731770905</v>
      </c>
      <c r="G108" s="94">
        <f t="shared" si="12"/>
        <v>-96.881512417194358</v>
      </c>
      <c r="H108" s="97">
        <f t="shared" si="13"/>
        <v>-24.492346848917627</v>
      </c>
      <c r="I108" s="94">
        <f t="shared" si="14"/>
        <v>357.8747899078183</v>
      </c>
      <c r="J108" s="95">
        <f t="shared" si="15"/>
        <v>-185.338157936627</v>
      </c>
      <c r="K108" s="94">
        <f t="shared" si="16"/>
        <v>19.639307258346847</v>
      </c>
      <c r="L108" s="94">
        <f t="shared" si="17"/>
        <v>-327.19591253216447</v>
      </c>
      <c r="M108" s="94">
        <f t="shared" si="18"/>
        <v>-474.39560958335949</v>
      </c>
      <c r="N108" s="99">
        <f t="shared" si="19"/>
        <v>200.20725204308184</v>
      </c>
      <c r="O108" s="99">
        <f t="shared" si="20"/>
        <v>29956.97727340713</v>
      </c>
      <c r="P108" s="100">
        <f t="shared" si="21"/>
        <v>27089.740289949572</v>
      </c>
      <c r="Q108" s="95">
        <f t="shared" si="22"/>
        <v>1000601304401.6249</v>
      </c>
      <c r="R108" s="95">
        <f t="shared" si="23"/>
        <v>29115630517941.781</v>
      </c>
      <c r="S108" s="95">
        <f t="shared" si="24"/>
        <v>24078811520620.336</v>
      </c>
      <c r="T108">
        <f t="shared" ref="T108:T171" si="25">A109-A108</f>
        <v>0.5</v>
      </c>
      <c r="X108" s="101">
        <v>65</v>
      </c>
      <c r="Y108" s="101">
        <f t="shared" ref="Y108:Y171" si="26">$D$19*COS(X108*PI()/180)+$D$18</f>
        <v>12113.091308703497</v>
      </c>
      <c r="Z108" s="101">
        <f t="shared" ref="Z108:Z171" si="27">$D$19*SIN(X108*PI()/180)+$E$18</f>
        <v>12031.538935183249</v>
      </c>
      <c r="AA108" s="101">
        <f t="shared" ref="AA108:AA171" si="28">$D$27*COS(X108*PI()/180)+$D$26</f>
        <v>-18520.83608390755</v>
      </c>
      <c r="AB108" s="101">
        <f t="shared" ref="AB108:AB171" si="29">$D$27*SIN($X108*PI()/180)+$E$26</f>
        <v>13172.077254628275</v>
      </c>
      <c r="AC108" s="101">
        <f t="shared" ref="AC108:AC171" si="30">$D$35*COS(X108*PI()/180)+$D$34</f>
        <v>-2886.9086912965026</v>
      </c>
      <c r="AD108" s="101">
        <f t="shared" ref="AD108:AD171" si="31">$D$35*SIN(X108*PI()/180)+$E$34</f>
        <v>-10468.461064816751</v>
      </c>
    </row>
    <row r="109" spans="1:30" x14ac:dyDescent="0.25">
      <c r="A109">
        <v>33</v>
      </c>
      <c r="B109" s="95">
        <f t="shared" ref="B109:B172" si="32">B108+(D108*$T108)+(F108*($T108)^2)</f>
        <v>10094.901618813999</v>
      </c>
      <c r="C109" s="95">
        <f t="shared" ref="C109:C172" si="33">C108+(E108*$T108)+(G108*($T108)^2)</f>
        <v>5960.6346712081422</v>
      </c>
      <c r="D109" s="95">
        <f t="shared" ref="D109:D172" si="34">D108+(F108*$T108)</f>
        <v>96.193109617744142</v>
      </c>
      <c r="E109" s="95">
        <f t="shared" ref="E109:E172" si="35">E108+(G108*$T108)</f>
        <v>-1710.9276821659705</v>
      </c>
      <c r="F109" s="96">
        <f t="shared" ref="F109:F172" si="36">SUM(H109,J109,L109)</f>
        <v>-578.2643378473158</v>
      </c>
      <c r="G109" s="94">
        <f t="shared" ref="G109:G172" si="37">SUM(I109,K109,M109)</f>
        <v>341.77550842977439</v>
      </c>
      <c r="H109" s="97">
        <f t="shared" ref="H109:H172" si="38">$D$22*(($D$18-$B109)/$Q109)</f>
        <v>-49.342166039188214</v>
      </c>
      <c r="I109" s="94">
        <f t="shared" ref="I109:I172" si="39">$D$22*(($E$18-$C109)/$Q109)</f>
        <v>800.3616861065891</v>
      </c>
      <c r="J109" s="95">
        <f t="shared" ref="J109:J172" si="40">$D$30*(($D$26-$B109)/$R109)</f>
        <v>-181.15839472917787</v>
      </c>
      <c r="K109" s="94">
        <f t="shared" ref="K109:K172" si="41">$D$30*(($E$26-$C109)/$R109)</f>
        <v>24.315246082451509</v>
      </c>
      <c r="L109" s="94">
        <f t="shared" ref="L109:L172" si="42">$D$38*(($D$34-$B109)/$S109)</f>
        <v>-347.76377707894972</v>
      </c>
      <c r="M109" s="94">
        <f t="shared" ref="M109:M172" si="43">$D$38*(($E$34-$C109)/$S109)</f>
        <v>-482.90142375926621</v>
      </c>
      <c r="N109" s="99">
        <f t="shared" ref="N109:N172" si="44">SQRT(($D$18-$B108)^2+($E$18-$C108)^2)</f>
        <v>685.50124646635948</v>
      </c>
      <c r="O109" s="99">
        <f t="shared" ref="O109:O172" si="45">SQRT(($D$26-$B108)^2+($E$26-$C108)^2)</f>
        <v>30215.024792936358</v>
      </c>
      <c r="P109" s="100">
        <f t="shared" ref="P109:P172" si="46">SQRT(($D$34-$B108)^2+($E$34-$C108)^2)</f>
        <v>26501.858367521352</v>
      </c>
      <c r="Q109" s="95">
        <f t="shared" ref="Q109:Q172" si="47">(N109^2+$D$39^2)^(3/2)</f>
        <v>1007056953556.5551</v>
      </c>
      <c r="R109" s="95">
        <f t="shared" ref="R109:R172" si="48">(O109^2+$D$31^2)^(3/2)</f>
        <v>29835079993843.293</v>
      </c>
      <c r="S109" s="95">
        <f t="shared" ref="S109:S172" si="49">(P109^2+$D$23^2)^(3/2)</f>
        <v>22727128373676.16</v>
      </c>
      <c r="T109">
        <f t="shared" si="25"/>
        <v>0.5</v>
      </c>
      <c r="X109" s="101">
        <v>66</v>
      </c>
      <c r="Y109" s="101">
        <f t="shared" si="26"/>
        <v>12033.683215379002</v>
      </c>
      <c r="Z109" s="101">
        <f t="shared" si="27"/>
        <v>12067.727288213006</v>
      </c>
      <c r="AA109" s="101">
        <f t="shared" si="28"/>
        <v>-18576.421749234698</v>
      </c>
      <c r="AB109" s="101">
        <f t="shared" si="29"/>
        <v>13197.409101749103</v>
      </c>
      <c r="AC109" s="101">
        <f t="shared" si="30"/>
        <v>-2966.316784620999</v>
      </c>
      <c r="AD109" s="101">
        <f t="shared" si="31"/>
        <v>-10432.272711786994</v>
      </c>
    </row>
    <row r="110" spans="1:30" x14ac:dyDescent="0.25">
      <c r="A110">
        <v>33.5</v>
      </c>
      <c r="B110" s="95">
        <f t="shared" si="32"/>
        <v>9998.4320891610423</v>
      </c>
      <c r="C110" s="95">
        <f t="shared" si="33"/>
        <v>5190.6147072326003</v>
      </c>
      <c r="D110" s="95">
        <f t="shared" si="34"/>
        <v>-192.93905930591376</v>
      </c>
      <c r="E110" s="95">
        <f t="shared" si="35"/>
        <v>-1540.0399279510834</v>
      </c>
      <c r="F110" s="96">
        <f t="shared" si="36"/>
        <v>-546.81455517302197</v>
      </c>
      <c r="G110" s="94">
        <f t="shared" si="37"/>
        <v>698.35452993598415</v>
      </c>
      <c r="H110" s="97">
        <f t="shared" si="38"/>
        <v>0.79251205065522501</v>
      </c>
      <c r="I110" s="94">
        <f t="shared" si="39"/>
        <v>1167.2957598410362</v>
      </c>
      <c r="J110" s="95">
        <f t="shared" si="40"/>
        <v>-178.05301031348796</v>
      </c>
      <c r="K110" s="94">
        <f t="shared" si="41"/>
        <v>28.54567620699272</v>
      </c>
      <c r="L110" s="94">
        <f t="shared" si="42"/>
        <v>-369.55405691018922</v>
      </c>
      <c r="M110" s="94">
        <f t="shared" si="43"/>
        <v>-497.48690611204484</v>
      </c>
      <c r="N110" s="99">
        <f t="shared" si="44"/>
        <v>1542.287889059621</v>
      </c>
      <c r="O110" s="99">
        <f t="shared" si="45"/>
        <v>30364.775245431003</v>
      </c>
      <c r="P110" s="100">
        <f t="shared" si="46"/>
        <v>25830.297340555844</v>
      </c>
      <c r="Q110" s="95">
        <f t="shared" si="47"/>
        <v>1035891119695.662</v>
      </c>
      <c r="R110" s="95">
        <f t="shared" si="48"/>
        <v>30258122586334.668</v>
      </c>
      <c r="S110" s="95">
        <f t="shared" si="49"/>
        <v>21250370631670.453</v>
      </c>
      <c r="T110">
        <f t="shared" si="25"/>
        <v>0.5</v>
      </c>
      <c r="X110" s="101">
        <v>67</v>
      </c>
      <c r="Y110" s="101">
        <f t="shared" si="26"/>
        <v>11953.655642446371</v>
      </c>
      <c r="Z110" s="101">
        <f t="shared" si="27"/>
        <v>12102.524267262201</v>
      </c>
      <c r="AA110" s="101">
        <f t="shared" si="28"/>
        <v>-18632.44105028754</v>
      </c>
      <c r="AB110" s="101">
        <f t="shared" si="29"/>
        <v>13221.766987083542</v>
      </c>
      <c r="AC110" s="101">
        <f t="shared" si="30"/>
        <v>-3046.3443575536303</v>
      </c>
      <c r="AD110" s="101">
        <f t="shared" si="31"/>
        <v>-10397.475732737799</v>
      </c>
    </row>
    <row r="111" spans="1:30" x14ac:dyDescent="0.25">
      <c r="A111">
        <v>34</v>
      </c>
      <c r="B111" s="95">
        <f t="shared" si="32"/>
        <v>9765.2589207148303</v>
      </c>
      <c r="C111" s="95">
        <f t="shared" si="33"/>
        <v>4595.1833757410541</v>
      </c>
      <c r="D111" s="95">
        <f t="shared" si="34"/>
        <v>-466.34633689242474</v>
      </c>
      <c r="E111" s="95">
        <f t="shared" si="35"/>
        <v>-1190.8626629830915</v>
      </c>
      <c r="F111" s="96">
        <f t="shared" si="36"/>
        <v>-452.57389886772387</v>
      </c>
      <c r="G111" s="94">
        <f t="shared" si="37"/>
        <v>921.53781518388234</v>
      </c>
      <c r="H111" s="97">
        <f t="shared" si="38"/>
        <v>113.69448876327461</v>
      </c>
      <c r="I111" s="94">
        <f t="shared" si="39"/>
        <v>1406.9188147719615</v>
      </c>
      <c r="J111" s="95">
        <f t="shared" si="40"/>
        <v>-176.39196805141518</v>
      </c>
      <c r="K111" s="94">
        <f t="shared" si="41"/>
        <v>32.029495992274271</v>
      </c>
      <c r="L111" s="94">
        <f t="shared" si="42"/>
        <v>-389.87641957958328</v>
      </c>
      <c r="M111" s="94">
        <f t="shared" si="43"/>
        <v>-517.41049558035331</v>
      </c>
      <c r="N111" s="99">
        <f t="shared" si="44"/>
        <v>2309.3858250181515</v>
      </c>
      <c r="O111" s="99">
        <f t="shared" si="45"/>
        <v>30381.509421065541</v>
      </c>
      <c r="P111" s="100">
        <f t="shared" si="46"/>
        <v>25151.816781081499</v>
      </c>
      <c r="Q111" s="95">
        <f t="shared" si="47"/>
        <v>1081056285430.4355</v>
      </c>
      <c r="R111" s="95">
        <f t="shared" si="48"/>
        <v>30305649862393.289</v>
      </c>
      <c r="S111" s="95">
        <f t="shared" si="49"/>
        <v>19829543681084.422</v>
      </c>
      <c r="T111">
        <f t="shared" si="25"/>
        <v>0.5</v>
      </c>
      <c r="X111" s="101">
        <v>68</v>
      </c>
      <c r="Y111" s="101">
        <f t="shared" si="26"/>
        <v>11873.03296707956</v>
      </c>
      <c r="Z111" s="101">
        <f t="shared" si="27"/>
        <v>12135.919272833937</v>
      </c>
      <c r="AA111" s="101">
        <f t="shared" si="28"/>
        <v>-18688.876923044307</v>
      </c>
      <c r="AB111" s="101">
        <f t="shared" si="29"/>
        <v>13245.143490983755</v>
      </c>
      <c r="AC111" s="101">
        <f t="shared" si="30"/>
        <v>-3126.96703292044</v>
      </c>
      <c r="AD111" s="101">
        <f t="shared" si="31"/>
        <v>-10364.080727166063</v>
      </c>
    </row>
    <row r="112" spans="1:30" x14ac:dyDescent="0.25">
      <c r="A112">
        <v>34.5</v>
      </c>
      <c r="B112" s="95">
        <f t="shared" si="32"/>
        <v>9418.9422775516869</v>
      </c>
      <c r="C112" s="95">
        <f t="shared" si="33"/>
        <v>4230.1364980454791</v>
      </c>
      <c r="D112" s="95">
        <f t="shared" si="34"/>
        <v>-692.63328632628668</v>
      </c>
      <c r="E112" s="95">
        <f t="shared" si="35"/>
        <v>-730.09375539115035</v>
      </c>
      <c r="F112" s="96">
        <f t="shared" si="36"/>
        <v>-313.16993949155733</v>
      </c>
      <c r="G112" s="94">
        <f t="shared" si="37"/>
        <v>1008.2906679710289</v>
      </c>
      <c r="H112" s="97">
        <f t="shared" si="38"/>
        <v>269.22472629701002</v>
      </c>
      <c r="I112" s="94">
        <f t="shared" si="39"/>
        <v>1515.0441553947273</v>
      </c>
      <c r="J112" s="95">
        <f t="shared" si="40"/>
        <v>-176.47403138538985</v>
      </c>
      <c r="K112" s="94">
        <f t="shared" si="41"/>
        <v>34.611409993156187</v>
      </c>
      <c r="L112" s="94">
        <f t="shared" si="42"/>
        <v>-405.92063440317747</v>
      </c>
      <c r="M112" s="94">
        <f t="shared" si="43"/>
        <v>-541.36489741685466</v>
      </c>
      <c r="N112" s="99">
        <f t="shared" si="44"/>
        <v>2914.286018028276</v>
      </c>
      <c r="O112" s="99">
        <f t="shared" si="45"/>
        <v>30251.98640352497</v>
      </c>
      <c r="P112" s="100">
        <f t="shared" si="46"/>
        <v>24535.363916695173</v>
      </c>
      <c r="Q112" s="95">
        <f t="shared" si="47"/>
        <v>1130063780583.9299</v>
      </c>
      <c r="R112" s="95">
        <f t="shared" si="48"/>
        <v>29939117149442.738</v>
      </c>
      <c r="S112" s="95">
        <f t="shared" si="49"/>
        <v>18599055781061.598</v>
      </c>
      <c r="T112">
        <f t="shared" si="25"/>
        <v>0.5</v>
      </c>
      <c r="X112" s="101">
        <v>69</v>
      </c>
      <c r="Y112" s="101">
        <f t="shared" si="26"/>
        <v>11791.839747726503</v>
      </c>
      <c r="Z112" s="101">
        <f t="shared" si="27"/>
        <v>12167.902132486008</v>
      </c>
      <c r="AA112" s="101">
        <f t="shared" si="28"/>
        <v>-18745.712176591449</v>
      </c>
      <c r="AB112" s="101">
        <f t="shared" si="29"/>
        <v>13267.531492740207</v>
      </c>
      <c r="AC112" s="101">
        <f t="shared" si="30"/>
        <v>-3208.1602522734984</v>
      </c>
      <c r="AD112" s="101">
        <f t="shared" si="31"/>
        <v>-10332.097867513992</v>
      </c>
    </row>
    <row r="113" spans="1:30" x14ac:dyDescent="0.25">
      <c r="A113">
        <v>35</v>
      </c>
      <c r="B113" s="95">
        <f t="shared" si="32"/>
        <v>8994.3331495156544</v>
      </c>
      <c r="C113" s="95">
        <f t="shared" si="33"/>
        <v>4117.1622873426613</v>
      </c>
      <c r="D113" s="95">
        <f t="shared" si="34"/>
        <v>-849.21825607206529</v>
      </c>
      <c r="E113" s="95">
        <f t="shared" si="35"/>
        <v>-225.94842140563588</v>
      </c>
      <c r="F113" s="96">
        <f t="shared" si="36"/>
        <v>-143.70828820814455</v>
      </c>
      <c r="G113" s="94">
        <f t="shared" si="37"/>
        <v>982.83022843235585</v>
      </c>
      <c r="H113" s="97">
        <f t="shared" si="38"/>
        <v>450.08484165509208</v>
      </c>
      <c r="I113" s="94">
        <f t="shared" si="39"/>
        <v>1513.9844527170806</v>
      </c>
      <c r="J113" s="95">
        <f t="shared" si="40"/>
        <v>-178.46560585450456</v>
      </c>
      <c r="K113" s="94">
        <f t="shared" si="41"/>
        <v>36.209979071398578</v>
      </c>
      <c r="L113" s="94">
        <f t="shared" si="42"/>
        <v>-415.32752400873204</v>
      </c>
      <c r="M113" s="94">
        <f t="shared" si="43"/>
        <v>-567.3642033561232</v>
      </c>
      <c r="N113" s="99">
        <f t="shared" si="44"/>
        <v>3321.0894896450932</v>
      </c>
      <c r="O113" s="99">
        <f t="shared" si="45"/>
        <v>29979.417765545495</v>
      </c>
      <c r="P113" s="100">
        <f t="shared" si="46"/>
        <v>24035.474743321134</v>
      </c>
      <c r="Q113" s="95">
        <f t="shared" si="47"/>
        <v>1169925940267.3186</v>
      </c>
      <c r="R113" s="95">
        <f t="shared" si="48"/>
        <v>29177718930459.035</v>
      </c>
      <c r="S113" s="95">
        <f t="shared" si="49"/>
        <v>17642499663102.094</v>
      </c>
      <c r="T113">
        <f t="shared" si="25"/>
        <v>0.5</v>
      </c>
      <c r="X113" s="101">
        <v>70</v>
      </c>
      <c r="Y113" s="101">
        <f t="shared" si="26"/>
        <v>11710.100716628343</v>
      </c>
      <c r="Z113" s="101">
        <f t="shared" si="27"/>
        <v>12198.463103929542</v>
      </c>
      <c r="AA113" s="101">
        <f t="shared" si="28"/>
        <v>-18802.929498360158</v>
      </c>
      <c r="AB113" s="101">
        <f t="shared" si="29"/>
        <v>13288.92417275068</v>
      </c>
      <c r="AC113" s="101">
        <f t="shared" si="30"/>
        <v>-3289.8992833716557</v>
      </c>
      <c r="AD113" s="101">
        <f t="shared" si="31"/>
        <v>-10301.536896070458</v>
      </c>
    </row>
    <row r="114" spans="1:30" x14ac:dyDescent="0.25">
      <c r="A114">
        <v>35.5</v>
      </c>
      <c r="B114" s="95">
        <f t="shared" si="32"/>
        <v>8533.7969494275858</v>
      </c>
      <c r="C114" s="95">
        <f t="shared" si="33"/>
        <v>4249.8956337479322</v>
      </c>
      <c r="D114" s="95">
        <f t="shared" si="34"/>
        <v>-921.07240017613753</v>
      </c>
      <c r="E114" s="95">
        <f t="shared" si="35"/>
        <v>265.46669281054204</v>
      </c>
      <c r="F114" s="96">
        <f t="shared" si="36"/>
        <v>44.703438535297778</v>
      </c>
      <c r="G114" s="94">
        <f t="shared" si="37"/>
        <v>871.08139943194556</v>
      </c>
      <c r="H114" s="97">
        <f t="shared" si="38"/>
        <v>643.76125719284835</v>
      </c>
      <c r="I114" s="94">
        <f t="shared" si="39"/>
        <v>1427.0133130670777</v>
      </c>
      <c r="J114" s="95">
        <f t="shared" si="40"/>
        <v>-182.367559126082</v>
      </c>
      <c r="K114" s="94">
        <f t="shared" si="41"/>
        <v>36.750541817206447</v>
      </c>
      <c r="L114" s="94">
        <f t="shared" si="42"/>
        <v>-416.69025953146854</v>
      </c>
      <c r="M114" s="94">
        <f t="shared" si="43"/>
        <v>-592.68245545233844</v>
      </c>
      <c r="N114" s="99">
        <f t="shared" si="44"/>
        <v>3529.1580871845113</v>
      </c>
      <c r="O114" s="99">
        <f t="shared" si="45"/>
        <v>29585.116770744131</v>
      </c>
      <c r="P114" s="100">
        <f t="shared" si="46"/>
        <v>23691.92381847091</v>
      </c>
      <c r="Q114" s="95">
        <f t="shared" si="47"/>
        <v>1192526132134.4631</v>
      </c>
      <c r="R114" s="95">
        <f t="shared" si="48"/>
        <v>28099896700912.906</v>
      </c>
      <c r="S114" s="95">
        <f t="shared" si="49"/>
        <v>17006107893868.631</v>
      </c>
      <c r="T114">
        <f t="shared" si="25"/>
        <v>0.5</v>
      </c>
      <c r="X114" s="101">
        <v>71</v>
      </c>
      <c r="Y114" s="101">
        <f t="shared" si="26"/>
        <v>11627.840772285785</v>
      </c>
      <c r="Z114" s="101">
        <f t="shared" si="27"/>
        <v>12227.592877996583</v>
      </c>
      <c r="AA114" s="101">
        <f t="shared" si="28"/>
        <v>-18860.51145939995</v>
      </c>
      <c r="AB114" s="101">
        <f t="shared" si="29"/>
        <v>13309.315014597609</v>
      </c>
      <c r="AC114" s="101">
        <f t="shared" si="30"/>
        <v>-3372.1592277142163</v>
      </c>
      <c r="AD114" s="101">
        <f t="shared" si="31"/>
        <v>-10272.407122003417</v>
      </c>
    </row>
    <row r="115" spans="1:30" x14ac:dyDescent="0.25">
      <c r="A115">
        <v>36</v>
      </c>
      <c r="B115" s="95">
        <f t="shared" si="32"/>
        <v>8084.4366089733412</v>
      </c>
      <c r="C115" s="95">
        <f t="shared" si="33"/>
        <v>4600.3993300111897</v>
      </c>
      <c r="D115" s="95">
        <f t="shared" si="34"/>
        <v>-898.7206809084887</v>
      </c>
      <c r="E115" s="95">
        <f t="shared" si="35"/>
        <v>701.00739252651488</v>
      </c>
      <c r="F115" s="96">
        <f t="shared" si="36"/>
        <v>240.3038898827337</v>
      </c>
      <c r="G115" s="94">
        <f t="shared" si="37"/>
        <v>690.88523490564194</v>
      </c>
      <c r="H115" s="97">
        <f t="shared" si="38"/>
        <v>838.17469063448311</v>
      </c>
      <c r="I115" s="94">
        <f t="shared" si="39"/>
        <v>1268.7504396442016</v>
      </c>
      <c r="J115" s="95">
        <f t="shared" si="40"/>
        <v>-187.98407161856295</v>
      </c>
      <c r="K115" s="94">
        <f t="shared" si="41"/>
        <v>36.14239919395424</v>
      </c>
      <c r="L115" s="94">
        <f t="shared" si="42"/>
        <v>-409.88672913318652</v>
      </c>
      <c r="M115" s="94">
        <f t="shared" si="43"/>
        <v>-614.0076039325138</v>
      </c>
      <c r="N115" s="99">
        <f t="shared" si="44"/>
        <v>3565.5195662117198</v>
      </c>
      <c r="O115" s="99">
        <f t="shared" si="45"/>
        <v>29107.409169727802</v>
      </c>
      <c r="P115" s="100">
        <f t="shared" si="46"/>
        <v>23531.301319275208</v>
      </c>
      <c r="Q115" s="95">
        <f t="shared" si="47"/>
        <v>1196631987734.2527</v>
      </c>
      <c r="R115" s="95">
        <f t="shared" si="48"/>
        <v>26831033809719.973</v>
      </c>
      <c r="S115" s="95">
        <f t="shared" si="49"/>
        <v>16714361556277.348</v>
      </c>
      <c r="T115">
        <f t="shared" si="25"/>
        <v>0.5</v>
      </c>
      <c r="X115" s="101">
        <v>72</v>
      </c>
      <c r="Y115" s="101">
        <f t="shared" si="26"/>
        <v>11545.084971874738</v>
      </c>
      <c r="Z115" s="101">
        <f t="shared" si="27"/>
        <v>12255.282581475767</v>
      </c>
      <c r="AA115" s="101">
        <f t="shared" si="28"/>
        <v>-18918.440519687683</v>
      </c>
      <c r="AB115" s="101">
        <f t="shared" si="29"/>
        <v>13328.697807033037</v>
      </c>
      <c r="AC115" s="101">
        <f t="shared" si="30"/>
        <v>-3454.9150281252628</v>
      </c>
      <c r="AD115" s="101">
        <f t="shared" si="31"/>
        <v>-10244.717418524233</v>
      </c>
    </row>
    <row r="116" spans="1:30" x14ac:dyDescent="0.25">
      <c r="A116">
        <v>36.5</v>
      </c>
      <c r="B116" s="95">
        <f t="shared" si="32"/>
        <v>7695.1522409897798</v>
      </c>
      <c r="C116" s="95">
        <f t="shared" si="33"/>
        <v>5123.6243350008581</v>
      </c>
      <c r="D116" s="95">
        <f t="shared" si="34"/>
        <v>-778.56873596712182</v>
      </c>
      <c r="E116" s="95">
        <f t="shared" si="35"/>
        <v>1046.4500099793358</v>
      </c>
      <c r="F116" s="96">
        <f t="shared" si="36"/>
        <v>426.04727677480707</v>
      </c>
      <c r="G116" s="94">
        <f t="shared" si="37"/>
        <v>454.97062984679667</v>
      </c>
      <c r="H116" s="97">
        <f t="shared" si="38"/>
        <v>1017.1048614838337</v>
      </c>
      <c r="I116" s="94">
        <f t="shared" si="39"/>
        <v>1048.6693674815456</v>
      </c>
      <c r="J116" s="95">
        <f t="shared" si="40"/>
        <v>-194.87205153526503</v>
      </c>
      <c r="K116" s="94">
        <f t="shared" si="41"/>
        <v>34.311756860054146</v>
      </c>
      <c r="L116" s="94">
        <f t="shared" si="42"/>
        <v>-396.18553317376166</v>
      </c>
      <c r="M116" s="94">
        <f t="shared" si="43"/>
        <v>-628.01049449480308</v>
      </c>
      <c r="N116" s="99">
        <f t="shared" si="44"/>
        <v>3475.2074974655989</v>
      </c>
      <c r="O116" s="99">
        <f t="shared" si="45"/>
        <v>28598.798349559824</v>
      </c>
      <c r="P116" s="100">
        <f t="shared" si="46"/>
        <v>23566.462086408832</v>
      </c>
      <c r="Q116" s="95">
        <f t="shared" si="47"/>
        <v>1186520200874.5054</v>
      </c>
      <c r="R116" s="95">
        <f t="shared" si="48"/>
        <v>25523894562494.102</v>
      </c>
      <c r="S116" s="95">
        <f t="shared" si="49"/>
        <v>16777912399191.24</v>
      </c>
      <c r="T116">
        <f t="shared" si="25"/>
        <v>0.5</v>
      </c>
      <c r="X116" s="101">
        <v>73</v>
      </c>
      <c r="Y116" s="101">
        <f t="shared" si="26"/>
        <v>11461.858523613684</v>
      </c>
      <c r="Z116" s="101">
        <f t="shared" si="27"/>
        <v>12281.523779815177</v>
      </c>
      <c r="AA116" s="101">
        <f t="shared" si="28"/>
        <v>-18976.699033470421</v>
      </c>
      <c r="AB116" s="101">
        <f t="shared" si="29"/>
        <v>13347.066645870624</v>
      </c>
      <c r="AC116" s="101">
        <f t="shared" si="30"/>
        <v>-3538.1414763863158</v>
      </c>
      <c r="AD116" s="101">
        <f t="shared" si="31"/>
        <v>-10218.476220184823</v>
      </c>
    </row>
    <row r="117" spans="1:30" x14ac:dyDescent="0.25">
      <c r="A117">
        <v>37</v>
      </c>
      <c r="B117" s="95">
        <f t="shared" si="32"/>
        <v>7412.379692199921</v>
      </c>
      <c r="C117" s="95">
        <f t="shared" si="33"/>
        <v>5760.5919974522249</v>
      </c>
      <c r="D117" s="95">
        <f t="shared" si="34"/>
        <v>-565.54509757971823</v>
      </c>
      <c r="E117" s="95">
        <f t="shared" si="35"/>
        <v>1273.9353249027342</v>
      </c>
      <c r="F117" s="96">
        <f t="shared" si="36"/>
        <v>578.87120845942002</v>
      </c>
      <c r="G117" s="94">
        <f t="shared" si="37"/>
        <v>178.22277822469675</v>
      </c>
      <c r="H117" s="97">
        <f t="shared" si="38"/>
        <v>1159.18439922125</v>
      </c>
      <c r="I117" s="94">
        <f t="shared" si="39"/>
        <v>779.20806787460003</v>
      </c>
      <c r="J117" s="95">
        <f t="shared" si="40"/>
        <v>-202.29040775906302</v>
      </c>
      <c r="K117" s="94">
        <f t="shared" si="41"/>
        <v>31.2848276261272</v>
      </c>
      <c r="L117" s="94">
        <f t="shared" si="42"/>
        <v>-378.02278300276703</v>
      </c>
      <c r="M117" s="94">
        <f t="shared" si="43"/>
        <v>-632.27011727603053</v>
      </c>
      <c r="N117" s="99">
        <f t="shared" si="44"/>
        <v>3310.5112133044568</v>
      </c>
      <c r="O117" s="99">
        <f t="shared" si="45"/>
        <v>28121.175247094441</v>
      </c>
      <c r="P117" s="100">
        <f t="shared" si="46"/>
        <v>23793.426545963208</v>
      </c>
      <c r="Q117" s="95">
        <f t="shared" si="47"/>
        <v>1168817338973.5325</v>
      </c>
      <c r="R117" s="95">
        <f t="shared" si="48"/>
        <v>24336840241269.309</v>
      </c>
      <c r="S117" s="95">
        <f t="shared" si="49"/>
        <v>17192368029970.025</v>
      </c>
      <c r="T117">
        <f t="shared" si="25"/>
        <v>0.5</v>
      </c>
      <c r="X117" s="101">
        <v>74</v>
      </c>
      <c r="Y117" s="101">
        <f t="shared" si="26"/>
        <v>11378.186779084996</v>
      </c>
      <c r="Z117" s="101">
        <f t="shared" si="27"/>
        <v>12306.308479691594</v>
      </c>
      <c r="AA117" s="101">
        <f t="shared" si="28"/>
        <v>-19035.269254640501</v>
      </c>
      <c r="AB117" s="101">
        <f t="shared" si="29"/>
        <v>13364.415935784116</v>
      </c>
      <c r="AC117" s="101">
        <f t="shared" si="30"/>
        <v>-3621.8132209150044</v>
      </c>
      <c r="AD117" s="101">
        <f t="shared" si="31"/>
        <v>-10193.691520308406</v>
      </c>
    </row>
    <row r="118" spans="1:30" x14ac:dyDescent="0.25">
      <c r="A118">
        <v>37.5</v>
      </c>
      <c r="B118" s="95">
        <f t="shared" si="32"/>
        <v>7274.324945524917</v>
      </c>
      <c r="C118" s="95">
        <f t="shared" si="33"/>
        <v>6442.1153544597655</v>
      </c>
      <c r="D118" s="95">
        <f t="shared" si="34"/>
        <v>-276.10949335000822</v>
      </c>
      <c r="E118" s="95">
        <f t="shared" si="35"/>
        <v>1363.0467140150827</v>
      </c>
      <c r="F118" s="96">
        <f t="shared" si="36"/>
        <v>674.12053519531923</v>
      </c>
      <c r="G118" s="94">
        <f t="shared" si="37"/>
        <v>-116.89015925713909</v>
      </c>
      <c r="H118" s="97">
        <f t="shared" si="38"/>
        <v>1241.7557274767696</v>
      </c>
      <c r="I118" s="94">
        <f t="shared" si="39"/>
        <v>481.94824817894568</v>
      </c>
      <c r="J118" s="95">
        <f t="shared" si="40"/>
        <v>-209.21337902900382</v>
      </c>
      <c r="K118" s="94">
        <f t="shared" si="41"/>
        <v>27.291493753762495</v>
      </c>
      <c r="L118" s="94">
        <f t="shared" si="42"/>
        <v>-358.4218132524465</v>
      </c>
      <c r="M118" s="94">
        <f t="shared" si="43"/>
        <v>-626.12990118984726</v>
      </c>
      <c r="N118" s="99">
        <f t="shared" si="44"/>
        <v>3117.9029902590964</v>
      </c>
      <c r="O118" s="99">
        <f t="shared" si="45"/>
        <v>27738.261311794595</v>
      </c>
      <c r="P118" s="100">
        <f t="shared" si="46"/>
        <v>24188.20683118148</v>
      </c>
      <c r="Q118" s="95">
        <f t="shared" si="47"/>
        <v>1149308265404.1382</v>
      </c>
      <c r="R118" s="95">
        <f t="shared" si="48"/>
        <v>23413012600189.16</v>
      </c>
      <c r="S118" s="95">
        <f t="shared" si="49"/>
        <v>17930888342015.926</v>
      </c>
      <c r="T118">
        <f t="shared" si="25"/>
        <v>0.5</v>
      </c>
      <c r="X118" s="101">
        <v>75</v>
      </c>
      <c r="Y118" s="101">
        <f t="shared" si="26"/>
        <v>11294.095225512603</v>
      </c>
      <c r="Z118" s="101">
        <f t="shared" si="27"/>
        <v>12329.629131445341</v>
      </c>
      <c r="AA118" s="101">
        <f t="shared" si="28"/>
        <v>-19094.133342141176</v>
      </c>
      <c r="AB118" s="101">
        <f t="shared" si="29"/>
        <v>13380.740392011739</v>
      </c>
      <c r="AC118" s="101">
        <f t="shared" si="30"/>
        <v>-3705.904774487396</v>
      </c>
      <c r="AD118" s="101">
        <f t="shared" si="31"/>
        <v>-10170.370868554659</v>
      </c>
    </row>
    <row r="119" spans="1:30" x14ac:dyDescent="0.25">
      <c r="A119">
        <v>38</v>
      </c>
      <c r="B119" s="95">
        <f t="shared" si="32"/>
        <v>7304.8003326487424</v>
      </c>
      <c r="C119" s="95">
        <f t="shared" si="33"/>
        <v>7094.4161716530225</v>
      </c>
      <c r="D119" s="95">
        <f t="shared" si="34"/>
        <v>60.950774247651395</v>
      </c>
      <c r="E119" s="95">
        <f t="shared" si="35"/>
        <v>1304.6016343865131</v>
      </c>
      <c r="F119" s="96">
        <f t="shared" si="36"/>
        <v>693.09322150195862</v>
      </c>
      <c r="G119" s="94">
        <f t="shared" si="37"/>
        <v>-400.34791657918288</v>
      </c>
      <c r="H119" s="97">
        <f t="shared" si="38"/>
        <v>1247.8267186361177</v>
      </c>
      <c r="I119" s="94">
        <f t="shared" si="39"/>
        <v>187.77767888174978</v>
      </c>
      <c r="J119" s="95">
        <f t="shared" si="40"/>
        <v>-214.48411934478145</v>
      </c>
      <c r="K119" s="94">
        <f t="shared" si="41"/>
        <v>22.823883749857313</v>
      </c>
      <c r="L119" s="94">
        <f t="shared" si="42"/>
        <v>-340.24937778937766</v>
      </c>
      <c r="M119" s="94">
        <f t="shared" si="43"/>
        <v>-610.94947921078995</v>
      </c>
      <c r="N119" s="99">
        <f t="shared" si="44"/>
        <v>2923.7688735359256</v>
      </c>
      <c r="O119" s="99">
        <f t="shared" si="45"/>
        <v>27505.405730238806</v>
      </c>
      <c r="P119" s="100">
        <f t="shared" si="46"/>
        <v>24706.747332303672</v>
      </c>
      <c r="Q119" s="95">
        <f t="shared" si="47"/>
        <v>1130928857943.1243</v>
      </c>
      <c r="R119" s="95">
        <f t="shared" si="48"/>
        <v>22863178414193.457</v>
      </c>
      <c r="S119" s="95">
        <f t="shared" si="49"/>
        <v>18935459720795.293</v>
      </c>
      <c r="T119">
        <f t="shared" si="25"/>
        <v>0.5</v>
      </c>
      <c r="X119" s="101">
        <v>76</v>
      </c>
      <c r="Y119" s="101">
        <f t="shared" si="26"/>
        <v>11209.60947799834</v>
      </c>
      <c r="Z119" s="101">
        <f t="shared" si="27"/>
        <v>12351.478631379981</v>
      </c>
      <c r="AA119" s="101">
        <f t="shared" si="28"/>
        <v>-19153.273365401161</v>
      </c>
      <c r="AB119" s="101">
        <f t="shared" si="29"/>
        <v>13396.035041965988</v>
      </c>
      <c r="AC119" s="101">
        <f t="shared" si="30"/>
        <v>-3790.3905220016604</v>
      </c>
      <c r="AD119" s="101">
        <f t="shared" si="31"/>
        <v>-10148.521368620019</v>
      </c>
    </row>
    <row r="120" spans="1:30" x14ac:dyDescent="0.25">
      <c r="A120">
        <v>38.5</v>
      </c>
      <c r="B120" s="95">
        <f t="shared" si="32"/>
        <v>7508.5490251480578</v>
      </c>
      <c r="C120" s="95">
        <f t="shared" si="33"/>
        <v>7646.6300097014837</v>
      </c>
      <c r="D120" s="95">
        <f t="shared" si="34"/>
        <v>407.49738499863071</v>
      </c>
      <c r="E120" s="95">
        <f t="shared" si="35"/>
        <v>1104.4276760969217</v>
      </c>
      <c r="F120" s="96">
        <f t="shared" si="36"/>
        <v>628.8235678535093</v>
      </c>
      <c r="G120" s="94">
        <f t="shared" si="37"/>
        <v>-639.94234936681494</v>
      </c>
      <c r="H120" s="97">
        <f t="shared" si="38"/>
        <v>1171.577701240835</v>
      </c>
      <c r="I120" s="94">
        <f t="shared" si="39"/>
        <v>-68.95116598037589</v>
      </c>
      <c r="J120" s="95">
        <f t="shared" si="40"/>
        <v>-217.11585471686567</v>
      </c>
      <c r="K120" s="94">
        <f t="shared" si="41"/>
        <v>18.574368878619332</v>
      </c>
      <c r="L120" s="94">
        <f t="shared" si="42"/>
        <v>-325.63827867046001</v>
      </c>
      <c r="M120" s="94">
        <f t="shared" si="43"/>
        <v>-589.56555226505839</v>
      </c>
      <c r="N120" s="99">
        <f t="shared" si="44"/>
        <v>2725.5457230996731</v>
      </c>
      <c r="O120" s="99">
        <f t="shared" si="45"/>
        <v>27458.960988889699</v>
      </c>
      <c r="P120" s="100">
        <f t="shared" si="46"/>
        <v>25289.747669610213</v>
      </c>
      <c r="Q120" s="95">
        <f t="shared" si="47"/>
        <v>1113473462762.2463</v>
      </c>
      <c r="R120" s="95">
        <f t="shared" si="48"/>
        <v>22754583326698.488</v>
      </c>
      <c r="S120" s="95">
        <f t="shared" si="49"/>
        <v>20112687552641.051</v>
      </c>
      <c r="T120">
        <f t="shared" si="25"/>
        <v>0.5</v>
      </c>
      <c r="X120" s="101">
        <v>77</v>
      </c>
      <c r="Y120" s="101">
        <f t="shared" si="26"/>
        <v>11124.755271719325</v>
      </c>
      <c r="Z120" s="101">
        <f t="shared" si="27"/>
        <v>12371.850323926177</v>
      </c>
      <c r="AA120" s="101">
        <f t="shared" si="28"/>
        <v>-19212.671309796471</v>
      </c>
      <c r="AB120" s="101">
        <f t="shared" si="29"/>
        <v>13410.295226748323</v>
      </c>
      <c r="AC120" s="101">
        <f t="shared" si="30"/>
        <v>-3875.2447282806752</v>
      </c>
      <c r="AD120" s="101">
        <f t="shared" si="31"/>
        <v>-10128.149676073823</v>
      </c>
    </row>
    <row r="121" spans="1:30" x14ac:dyDescent="0.25">
      <c r="A121">
        <v>39</v>
      </c>
      <c r="B121" s="95">
        <f t="shared" si="32"/>
        <v>7869.5036096107506</v>
      </c>
      <c r="C121" s="95">
        <f t="shared" si="33"/>
        <v>8038.8582604082403</v>
      </c>
      <c r="D121" s="95">
        <f t="shared" si="34"/>
        <v>721.9091689253853</v>
      </c>
      <c r="E121" s="95">
        <f t="shared" si="35"/>
        <v>784.45650141351416</v>
      </c>
      <c r="F121" s="96">
        <f t="shared" si="36"/>
        <v>486.46817772620284</v>
      </c>
      <c r="G121" s="94">
        <f t="shared" si="37"/>
        <v>-807.76546032782096</v>
      </c>
      <c r="H121" s="97">
        <f t="shared" si="38"/>
        <v>1018.8631100597797</v>
      </c>
      <c r="I121" s="94">
        <f t="shared" si="39"/>
        <v>-257.69712896844385</v>
      </c>
      <c r="J121" s="95">
        <f t="shared" si="40"/>
        <v>-216.61223796692801</v>
      </c>
      <c r="K121" s="94">
        <f t="shared" si="41"/>
        <v>15.242729369490142</v>
      </c>
      <c r="L121" s="94">
        <f t="shared" si="42"/>
        <v>-315.78269436664891</v>
      </c>
      <c r="M121" s="94">
        <f t="shared" si="43"/>
        <v>-565.31106072886723</v>
      </c>
      <c r="N121" s="99">
        <f t="shared" si="44"/>
        <v>2495.762071960336</v>
      </c>
      <c r="O121" s="99">
        <f t="shared" si="45"/>
        <v>27609.03148935529</v>
      </c>
      <c r="P121" s="100">
        <f t="shared" si="46"/>
        <v>25871.483326451234</v>
      </c>
      <c r="Q121" s="95">
        <f t="shared" si="47"/>
        <v>1094872599086.4022</v>
      </c>
      <c r="R121" s="95">
        <f t="shared" si="48"/>
        <v>23106756430272.012</v>
      </c>
      <c r="S121" s="95">
        <f t="shared" si="49"/>
        <v>21338903153211.398</v>
      </c>
      <c r="T121">
        <f t="shared" si="25"/>
        <v>0.5</v>
      </c>
      <c r="X121" s="101">
        <v>78</v>
      </c>
      <c r="Y121" s="101">
        <f t="shared" si="26"/>
        <v>11039.558454088798</v>
      </c>
      <c r="Z121" s="101">
        <f t="shared" si="27"/>
        <v>12390.738003669028</v>
      </c>
      <c r="AA121" s="101">
        <f t="shared" si="28"/>
        <v>-19272.309082137843</v>
      </c>
      <c r="AB121" s="101">
        <f t="shared" si="29"/>
        <v>13423.516602568319</v>
      </c>
      <c r="AC121" s="101">
        <f t="shared" si="30"/>
        <v>-3960.4415459112024</v>
      </c>
      <c r="AD121" s="101">
        <f t="shared" si="31"/>
        <v>-10109.261996330972</v>
      </c>
    </row>
    <row r="122" spans="1:30" x14ac:dyDescent="0.25">
      <c r="A122">
        <v>39.5</v>
      </c>
      <c r="B122" s="95">
        <f t="shared" si="32"/>
        <v>8352.0752385049927</v>
      </c>
      <c r="C122" s="95">
        <f t="shared" si="33"/>
        <v>8229.1451460330427</v>
      </c>
      <c r="D122" s="95">
        <f t="shared" si="34"/>
        <v>965.14325778848672</v>
      </c>
      <c r="E122" s="95">
        <f t="shared" si="35"/>
        <v>380.57377124960368</v>
      </c>
      <c r="F122" s="96">
        <f t="shared" si="36"/>
        <v>279.74776783776758</v>
      </c>
      <c r="G122" s="94">
        <f t="shared" si="37"/>
        <v>-883.55073656033312</v>
      </c>
      <c r="H122" s="97">
        <f t="shared" si="38"/>
        <v>803.91745191310781</v>
      </c>
      <c r="I122" s="94">
        <f t="shared" si="39"/>
        <v>-355.70344081844814</v>
      </c>
      <c r="J122" s="95">
        <f t="shared" si="40"/>
        <v>-213.11281953694274</v>
      </c>
      <c r="K122" s="94">
        <f t="shared" si="41"/>
        <v>13.31090820495012</v>
      </c>
      <c r="L122" s="94">
        <f t="shared" si="42"/>
        <v>-311.05686453839746</v>
      </c>
      <c r="M122" s="94">
        <f t="shared" si="43"/>
        <v>-541.1582039468351</v>
      </c>
      <c r="N122" s="99">
        <f t="shared" si="44"/>
        <v>2197.5857421888722</v>
      </c>
      <c r="O122" s="99">
        <f t="shared" si="45"/>
        <v>27938.419933290352</v>
      </c>
      <c r="P122" s="100">
        <f t="shared" si="46"/>
        <v>26389.640260923701</v>
      </c>
      <c r="Q122" s="95">
        <f t="shared" si="47"/>
        <v>1073308441486.809</v>
      </c>
      <c r="R122" s="95">
        <f t="shared" si="48"/>
        <v>23892853494656.57</v>
      </c>
      <c r="S122" s="95">
        <f t="shared" si="49"/>
        <v>22475408980130.641</v>
      </c>
      <c r="T122">
        <f t="shared" si="25"/>
        <v>0.5</v>
      </c>
      <c r="X122" s="101">
        <v>79</v>
      </c>
      <c r="Y122" s="101">
        <f t="shared" si="26"/>
        <v>10954.044976882724</v>
      </c>
      <c r="Z122" s="101">
        <f t="shared" si="27"/>
        <v>12408.13591723832</v>
      </c>
      <c r="AA122" s="101">
        <f t="shared" si="28"/>
        <v>-19332.168516182093</v>
      </c>
      <c r="AB122" s="101">
        <f t="shared" si="29"/>
        <v>13435.695142066823</v>
      </c>
      <c r="AC122" s="101">
        <f t="shared" si="30"/>
        <v>-4045.9550231172752</v>
      </c>
      <c r="AD122" s="101">
        <f t="shared" si="31"/>
        <v>-10091.86408276168</v>
      </c>
    </row>
    <row r="123" spans="1:30" x14ac:dyDescent="0.25">
      <c r="A123">
        <v>40</v>
      </c>
      <c r="B123" s="95">
        <f t="shared" si="32"/>
        <v>8904.583809358679</v>
      </c>
      <c r="C123" s="95">
        <f t="shared" si="33"/>
        <v>8198.5443475177617</v>
      </c>
      <c r="D123" s="95">
        <f t="shared" si="34"/>
        <v>1105.0171417073705</v>
      </c>
      <c r="E123" s="95">
        <f t="shared" si="35"/>
        <v>-61.20159703056288</v>
      </c>
      <c r="F123" s="96">
        <f t="shared" si="36"/>
        <v>28.16444278897211</v>
      </c>
      <c r="G123" s="94">
        <f t="shared" si="37"/>
        <v>-855.03540156953284</v>
      </c>
      <c r="H123" s="97">
        <f t="shared" si="38"/>
        <v>546.71333668199588</v>
      </c>
      <c r="I123" s="94">
        <f t="shared" si="39"/>
        <v>-348.63781849727314</v>
      </c>
      <c r="J123" s="95">
        <f t="shared" si="40"/>
        <v>-207.28458517148223</v>
      </c>
      <c r="K123" s="94">
        <f t="shared" si="41"/>
        <v>12.918850175891452</v>
      </c>
      <c r="L123" s="94">
        <f t="shared" si="42"/>
        <v>-311.26430872154151</v>
      </c>
      <c r="M123" s="94">
        <f t="shared" si="43"/>
        <v>-519.31643324815116</v>
      </c>
      <c r="N123" s="99">
        <f t="shared" si="44"/>
        <v>1802.0290407015987</v>
      </c>
      <c r="O123" s="99">
        <f t="shared" si="45"/>
        <v>28407.324711131569</v>
      </c>
      <c r="P123" s="100">
        <f t="shared" si="46"/>
        <v>26793.116604646213</v>
      </c>
      <c r="Q123" s="95">
        <f t="shared" si="47"/>
        <v>1049102953425.7866</v>
      </c>
      <c r="R123" s="95">
        <f t="shared" si="48"/>
        <v>25043351897000.523</v>
      </c>
      <c r="S123" s="95">
        <f t="shared" si="49"/>
        <v>23389842181672.148</v>
      </c>
      <c r="T123">
        <f t="shared" si="25"/>
        <v>0.5</v>
      </c>
      <c r="X123" s="101">
        <v>80</v>
      </c>
      <c r="Y123" s="101">
        <f t="shared" si="26"/>
        <v>10868.240888334652</v>
      </c>
      <c r="Z123" s="101">
        <f t="shared" si="27"/>
        <v>12424.038765061039</v>
      </c>
      <c r="AA123" s="101">
        <f t="shared" si="28"/>
        <v>-19392.231378165743</v>
      </c>
      <c r="AB123" s="101">
        <f t="shared" si="29"/>
        <v>13446.827135542728</v>
      </c>
      <c r="AC123" s="101">
        <f t="shared" si="30"/>
        <v>-4131.7591116653475</v>
      </c>
      <c r="AD123" s="101">
        <f t="shared" si="31"/>
        <v>-10075.961234938961</v>
      </c>
    </row>
    <row r="124" spans="1:30" x14ac:dyDescent="0.25">
      <c r="A124">
        <v>40.5</v>
      </c>
      <c r="B124" s="95">
        <f t="shared" si="32"/>
        <v>9464.1334909096058</v>
      </c>
      <c r="C124" s="95">
        <f t="shared" si="33"/>
        <v>7954.1846986100973</v>
      </c>
      <c r="D124" s="95">
        <f t="shared" si="34"/>
        <v>1119.0993631018564</v>
      </c>
      <c r="E124" s="95">
        <f t="shared" si="35"/>
        <v>-488.7192978153293</v>
      </c>
      <c r="F124" s="96">
        <f t="shared" si="36"/>
        <v>-242.29989286748091</v>
      </c>
      <c r="G124" s="94">
        <f t="shared" si="37"/>
        <v>-719.27848472558776</v>
      </c>
      <c r="H124" s="97">
        <f t="shared" si="38"/>
        <v>273.62218971788565</v>
      </c>
      <c r="I124" s="94">
        <f t="shared" si="39"/>
        <v>-231.91412350251775</v>
      </c>
      <c r="J124" s="95">
        <f t="shared" si="40"/>
        <v>-200.06552436702296</v>
      </c>
      <c r="K124" s="94">
        <f t="shared" si="41"/>
        <v>13.89136765745811</v>
      </c>
      <c r="L124" s="94">
        <f t="shared" si="42"/>
        <v>-315.85655821834359</v>
      </c>
      <c r="M124" s="94">
        <f t="shared" si="43"/>
        <v>-501.25572888052807</v>
      </c>
      <c r="N124" s="99">
        <f t="shared" si="44"/>
        <v>1299.1923784290602</v>
      </c>
      <c r="O124" s="99">
        <f t="shared" si="45"/>
        <v>28960.666561046211</v>
      </c>
      <c r="P124" s="100">
        <f t="shared" si="46"/>
        <v>27046.439890588699</v>
      </c>
      <c r="Q124" s="95">
        <f t="shared" si="47"/>
        <v>1025425051722.4214</v>
      </c>
      <c r="R124" s="95">
        <f t="shared" si="48"/>
        <v>26449298569402.441</v>
      </c>
      <c r="S124" s="95">
        <f t="shared" si="49"/>
        <v>23977347909601.793</v>
      </c>
      <c r="T124">
        <f t="shared" si="25"/>
        <v>0.5</v>
      </c>
      <c r="X124" s="101">
        <v>81</v>
      </c>
      <c r="Y124" s="101">
        <f t="shared" si="26"/>
        <v>10782.172325201154</v>
      </c>
      <c r="Z124" s="101">
        <f t="shared" si="27"/>
        <v>12438.441702975688</v>
      </c>
      <c r="AA124" s="101">
        <f t="shared" si="28"/>
        <v>-19452.47937235919</v>
      </c>
      <c r="AB124" s="101">
        <f t="shared" si="29"/>
        <v>13456.909192082981</v>
      </c>
      <c r="AC124" s="101">
        <f t="shared" si="30"/>
        <v>-4217.8276747988457</v>
      </c>
      <c r="AD124" s="101">
        <f t="shared" si="31"/>
        <v>-10061.558297024312</v>
      </c>
    </row>
    <row r="125" spans="1:30" x14ac:dyDescent="0.25">
      <c r="A125">
        <v>41</v>
      </c>
      <c r="B125" s="95">
        <f t="shared" si="32"/>
        <v>9963.1081992436648</v>
      </c>
      <c r="C125" s="95">
        <f t="shared" si="33"/>
        <v>7530.0054285210363</v>
      </c>
      <c r="D125" s="95">
        <f t="shared" si="34"/>
        <v>997.94941666811599</v>
      </c>
      <c r="E125" s="95">
        <f t="shared" si="35"/>
        <v>-848.35854017812312</v>
      </c>
      <c r="F125" s="96">
        <f t="shared" si="36"/>
        <v>-497.31385904681059</v>
      </c>
      <c r="G125" s="94">
        <f t="shared" si="37"/>
        <v>-487.6745852272158</v>
      </c>
      <c r="H125" s="97">
        <f t="shared" si="38"/>
        <v>19.174406452603257</v>
      </c>
      <c r="I125" s="94">
        <f t="shared" si="39"/>
        <v>-15.59523445458499</v>
      </c>
      <c r="J125" s="95">
        <f t="shared" si="40"/>
        <v>-192.42588250351878</v>
      </c>
      <c r="K125" s="94">
        <f t="shared" si="41"/>
        <v>15.862536090556107</v>
      </c>
      <c r="L125" s="94">
        <f t="shared" si="42"/>
        <v>-324.06238299589506</v>
      </c>
      <c r="M125" s="94">
        <f t="shared" si="43"/>
        <v>-487.94188686318694</v>
      </c>
      <c r="N125" s="99">
        <f t="shared" si="44"/>
        <v>702.45046516908963</v>
      </c>
      <c r="O125" s="99">
        <f t="shared" si="45"/>
        <v>29535.072754566594</v>
      </c>
      <c r="P125" s="100">
        <f t="shared" si="46"/>
        <v>27131.268912838535</v>
      </c>
      <c r="Q125" s="95">
        <f t="shared" si="47"/>
        <v>1007410672835.2451</v>
      </c>
      <c r="R125" s="95">
        <f t="shared" si="48"/>
        <v>27965083339155.59</v>
      </c>
      <c r="S125" s="95">
        <f t="shared" si="49"/>
        <v>24176410294335.496</v>
      </c>
      <c r="T125">
        <f t="shared" si="25"/>
        <v>0.5</v>
      </c>
      <c r="X125" s="101">
        <v>82</v>
      </c>
      <c r="Y125" s="101">
        <f t="shared" si="26"/>
        <v>10695.865504800329</v>
      </c>
      <c r="Z125" s="101">
        <f t="shared" si="27"/>
        <v>12451.340343707852</v>
      </c>
      <c r="AA125" s="101">
        <f t="shared" si="28"/>
        <v>-19512.89414663977</v>
      </c>
      <c r="AB125" s="101">
        <f t="shared" si="29"/>
        <v>13465.938240595497</v>
      </c>
      <c r="AC125" s="101">
        <f t="shared" si="30"/>
        <v>-4304.1344951996716</v>
      </c>
      <c r="AD125" s="101">
        <f t="shared" si="31"/>
        <v>-10048.659656292148</v>
      </c>
    </row>
    <row r="126" spans="1:30" x14ac:dyDescent="0.25">
      <c r="A126">
        <v>41.5</v>
      </c>
      <c r="B126" s="95">
        <f t="shared" si="32"/>
        <v>10337.75444281602</v>
      </c>
      <c r="C126" s="95">
        <f t="shared" si="33"/>
        <v>6983.9075121251708</v>
      </c>
      <c r="D126" s="95">
        <f t="shared" si="34"/>
        <v>749.29248714471066</v>
      </c>
      <c r="E126" s="95">
        <f t="shared" si="35"/>
        <v>-1092.1958327917309</v>
      </c>
      <c r="F126" s="96">
        <f t="shared" si="36"/>
        <v>-697.01505335926981</v>
      </c>
      <c r="G126" s="94">
        <f t="shared" si="37"/>
        <v>-191.44849823092744</v>
      </c>
      <c r="H126" s="97">
        <f t="shared" si="38"/>
        <v>-176.84181421007975</v>
      </c>
      <c r="I126" s="94">
        <f t="shared" si="39"/>
        <v>270.21622897109529</v>
      </c>
      <c r="J126" s="95">
        <f t="shared" si="40"/>
        <v>-185.23066719077715</v>
      </c>
      <c r="K126" s="94">
        <f t="shared" si="41"/>
        <v>18.415101384355733</v>
      </c>
      <c r="L126" s="94">
        <f t="shared" si="42"/>
        <v>-334.94257195841288</v>
      </c>
      <c r="M126" s="94">
        <f t="shared" si="43"/>
        <v>-480.07982858637848</v>
      </c>
      <c r="N126" s="99">
        <f t="shared" si="44"/>
        <v>47.553451018576482</v>
      </c>
      <c r="O126" s="99">
        <f t="shared" si="45"/>
        <v>30064.742243077995</v>
      </c>
      <c r="P126" s="100">
        <f t="shared" si="46"/>
        <v>27046.178132805755</v>
      </c>
      <c r="Q126" s="95">
        <f t="shared" si="47"/>
        <v>1000033920152.3167</v>
      </c>
      <c r="R126" s="95">
        <f t="shared" si="48"/>
        <v>29414622768997.813</v>
      </c>
      <c r="S126" s="95">
        <f t="shared" si="49"/>
        <v>23976735473575.328</v>
      </c>
      <c r="T126">
        <f t="shared" si="25"/>
        <v>0.5</v>
      </c>
      <c r="X126" s="101">
        <v>83</v>
      </c>
      <c r="Y126" s="101">
        <f t="shared" si="26"/>
        <v>10609.346717025737</v>
      </c>
      <c r="Z126" s="101">
        <f t="shared" si="27"/>
        <v>12462.73075820661</v>
      </c>
      <c r="AA126" s="101">
        <f t="shared" si="28"/>
        <v>-19573.457298081983</v>
      </c>
      <c r="AB126" s="101">
        <f t="shared" si="29"/>
        <v>13473.911530744626</v>
      </c>
      <c r="AC126" s="101">
        <f t="shared" si="30"/>
        <v>-4390.6532829742628</v>
      </c>
      <c r="AD126" s="101">
        <f t="shared" si="31"/>
        <v>-10037.26924179339</v>
      </c>
    </row>
    <row r="127" spans="1:30" x14ac:dyDescent="0.25">
      <c r="A127">
        <v>42</v>
      </c>
      <c r="B127" s="95">
        <f t="shared" si="32"/>
        <v>10538.146923048558</v>
      </c>
      <c r="C127" s="95">
        <f t="shared" si="33"/>
        <v>6389.9474711715739</v>
      </c>
      <c r="D127" s="95">
        <f t="shared" si="34"/>
        <v>400.78496046507576</v>
      </c>
      <c r="E127" s="95">
        <f t="shared" si="35"/>
        <v>-1187.9200819071946</v>
      </c>
      <c r="F127" s="96">
        <f t="shared" si="36"/>
        <v>-806.76846212486851</v>
      </c>
      <c r="G127" s="94">
        <f t="shared" si="37"/>
        <v>120.86000931841289</v>
      </c>
      <c r="H127" s="97">
        <f t="shared" si="38"/>
        <v>-280.17276056489106</v>
      </c>
      <c r="I127" s="94">
        <f t="shared" si="39"/>
        <v>577.9211365031548</v>
      </c>
      <c r="J127" s="95">
        <f t="shared" si="40"/>
        <v>-179.188465502714</v>
      </c>
      <c r="K127" s="94">
        <f t="shared" si="41"/>
        <v>21.182679311059559</v>
      </c>
      <c r="L127" s="94">
        <f t="shared" si="42"/>
        <v>-347.40723605726345</v>
      </c>
      <c r="M127" s="94">
        <f t="shared" si="43"/>
        <v>-478.24380649580149</v>
      </c>
      <c r="N127" s="99">
        <f t="shared" si="44"/>
        <v>616.78968837261766</v>
      </c>
      <c r="O127" s="99">
        <f t="shared" si="45"/>
        <v>30487.311434890711</v>
      </c>
      <c r="P127" s="100">
        <f t="shared" si="46"/>
        <v>26805.57592833618</v>
      </c>
      <c r="Q127" s="95">
        <f t="shared" si="47"/>
        <v>1005711866607.2295</v>
      </c>
      <c r="R127" s="95">
        <f t="shared" si="48"/>
        <v>30607324799226.559</v>
      </c>
      <c r="S127" s="95">
        <f t="shared" si="49"/>
        <v>23418495240075.184</v>
      </c>
      <c r="T127">
        <f t="shared" si="25"/>
        <v>0.5</v>
      </c>
      <c r="X127" s="101">
        <v>84</v>
      </c>
      <c r="Y127" s="101">
        <f t="shared" si="26"/>
        <v>10522.642316338268</v>
      </c>
      <c r="Z127" s="101">
        <f t="shared" si="27"/>
        <v>12472.609476841368</v>
      </c>
      <c r="AA127" s="101">
        <f t="shared" si="28"/>
        <v>-19634.150378563212</v>
      </c>
      <c r="AB127" s="101">
        <f t="shared" si="29"/>
        <v>13480.826633788956</v>
      </c>
      <c r="AC127" s="101">
        <f t="shared" si="30"/>
        <v>-4477.3576836617331</v>
      </c>
      <c r="AD127" s="101">
        <f t="shared" si="31"/>
        <v>-10027.390523158632</v>
      </c>
    </row>
    <row r="128" spans="1:30" x14ac:dyDescent="0.25">
      <c r="A128">
        <v>42.5</v>
      </c>
      <c r="B128" s="95">
        <f t="shared" si="32"/>
        <v>10536.847287749879</v>
      </c>
      <c r="C128" s="95">
        <f t="shared" si="33"/>
        <v>5826.2024325475804</v>
      </c>
      <c r="D128" s="95">
        <f t="shared" si="34"/>
        <v>-2.5992705973584975</v>
      </c>
      <c r="E128" s="95">
        <f t="shared" si="35"/>
        <v>-1127.4900772479882</v>
      </c>
      <c r="F128" s="96">
        <f t="shared" si="36"/>
        <v>-809.85693517862501</v>
      </c>
      <c r="G128" s="94">
        <f t="shared" si="37"/>
        <v>397.8071258336783</v>
      </c>
      <c r="H128" s="97">
        <f t="shared" si="38"/>
        <v>-274.79593344239709</v>
      </c>
      <c r="I128" s="94">
        <f t="shared" si="39"/>
        <v>856.76648729945066</v>
      </c>
      <c r="J128" s="95">
        <f t="shared" si="40"/>
        <v>-174.83851942652939</v>
      </c>
      <c r="K128" s="94">
        <f t="shared" si="41"/>
        <v>23.897050674650771</v>
      </c>
      <c r="L128" s="94">
        <f t="shared" si="42"/>
        <v>-360.22248230969853</v>
      </c>
      <c r="M128" s="94">
        <f t="shared" si="43"/>
        <v>-482.85641214042317</v>
      </c>
      <c r="N128" s="99">
        <f t="shared" si="44"/>
        <v>1233.6201715054008</v>
      </c>
      <c r="O128" s="99">
        <f t="shared" si="45"/>
        <v>30750.786929029975</v>
      </c>
      <c r="P128" s="100">
        <f t="shared" si="46"/>
        <v>26437.924703382498</v>
      </c>
      <c r="Q128" s="95">
        <f t="shared" si="47"/>
        <v>1022913909342.9381</v>
      </c>
      <c r="R128" s="95">
        <f t="shared" si="48"/>
        <v>31367493700525.348</v>
      </c>
      <c r="S128" s="95">
        <f t="shared" si="49"/>
        <v>22583471648861.488</v>
      </c>
      <c r="T128">
        <f t="shared" si="25"/>
        <v>0.5</v>
      </c>
      <c r="X128" s="101">
        <v>85</v>
      </c>
      <c r="Y128" s="101">
        <f t="shared" si="26"/>
        <v>10435.778713738291</v>
      </c>
      <c r="Z128" s="101">
        <f t="shared" si="27"/>
        <v>12480.973490458728</v>
      </c>
      <c r="AA128" s="101">
        <f t="shared" si="28"/>
        <v>-19694.954900383196</v>
      </c>
      <c r="AB128" s="101">
        <f t="shared" si="29"/>
        <v>13486.681443321109</v>
      </c>
      <c r="AC128" s="101">
        <f t="shared" si="30"/>
        <v>-4564.2212862617089</v>
      </c>
      <c r="AD128" s="101">
        <f t="shared" si="31"/>
        <v>-10019.026509541272</v>
      </c>
    </row>
    <row r="129" spans="1:30" x14ac:dyDescent="0.25">
      <c r="A129">
        <v>43</v>
      </c>
      <c r="B129" s="95">
        <f t="shared" si="32"/>
        <v>10333.083418656543</v>
      </c>
      <c r="C129" s="95">
        <f t="shared" si="33"/>
        <v>5361.9091753820057</v>
      </c>
      <c r="D129" s="95">
        <f t="shared" si="34"/>
        <v>-407.527738186671</v>
      </c>
      <c r="E129" s="95">
        <f t="shared" si="35"/>
        <v>-928.58651433114903</v>
      </c>
      <c r="F129" s="96">
        <f t="shared" si="36"/>
        <v>-711.19386403958322</v>
      </c>
      <c r="G129" s="94">
        <f t="shared" si="37"/>
        <v>601.89633957894443</v>
      </c>
      <c r="H129" s="97">
        <f t="shared" si="38"/>
        <v>-166.6203603061324</v>
      </c>
      <c r="I129" s="94">
        <f t="shared" si="39"/>
        <v>1069.5502796325954</v>
      </c>
      <c r="J129" s="95">
        <f t="shared" si="40"/>
        <v>-172.54941109485543</v>
      </c>
      <c r="K129" s="94">
        <f t="shared" si="41"/>
        <v>26.383728595822809</v>
      </c>
      <c r="L129" s="94">
        <f t="shared" si="42"/>
        <v>-372.02409263859539</v>
      </c>
      <c r="M129" s="94">
        <f t="shared" si="43"/>
        <v>-494.03766864947369</v>
      </c>
      <c r="N129" s="99">
        <f t="shared" si="44"/>
        <v>1757.7836349147292</v>
      </c>
      <c r="O129" s="99">
        <f t="shared" si="45"/>
        <v>30820.766187903715</v>
      </c>
      <c r="P129" s="100">
        <f t="shared" si="46"/>
        <v>25983.15476235154</v>
      </c>
      <c r="Q129" s="95">
        <f t="shared" si="47"/>
        <v>1046703235188.2537</v>
      </c>
      <c r="R129" s="95">
        <f t="shared" si="48"/>
        <v>31571543921316.137</v>
      </c>
      <c r="S129" s="95">
        <f t="shared" si="49"/>
        <v>21580278973906.016</v>
      </c>
      <c r="T129">
        <f t="shared" si="25"/>
        <v>0.5</v>
      </c>
      <c r="X129" s="101">
        <v>86</v>
      </c>
      <c r="Y129" s="101">
        <f t="shared" si="26"/>
        <v>10348.782368720627</v>
      </c>
      <c r="Z129" s="101">
        <f t="shared" si="27"/>
        <v>12487.820251299121</v>
      </c>
      <c r="AA129" s="101">
        <f t="shared" si="28"/>
        <v>-19755.852341895559</v>
      </c>
      <c r="AB129" s="101">
        <f t="shared" si="29"/>
        <v>13491.474175909385</v>
      </c>
      <c r="AC129" s="101">
        <f t="shared" si="30"/>
        <v>-4651.2176312793727</v>
      </c>
      <c r="AD129" s="101">
        <f t="shared" si="31"/>
        <v>-10012.179748700879</v>
      </c>
    </row>
    <row r="130" spans="1:30" x14ac:dyDescent="0.25">
      <c r="A130">
        <v>43.5</v>
      </c>
      <c r="B130" s="95">
        <f t="shared" si="32"/>
        <v>9951.5210835533107</v>
      </c>
      <c r="C130" s="95">
        <f t="shared" si="33"/>
        <v>5048.0900031111669</v>
      </c>
      <c r="D130" s="95">
        <f t="shared" si="34"/>
        <v>-763.12467020646261</v>
      </c>
      <c r="E130" s="95">
        <f t="shared" si="35"/>
        <v>-627.63834454167682</v>
      </c>
      <c r="F130" s="96">
        <f t="shared" si="36"/>
        <v>-530.19536846413189</v>
      </c>
      <c r="G130" s="94">
        <f t="shared" si="37"/>
        <v>715.81026781714286</v>
      </c>
      <c r="H130" s="97">
        <f t="shared" si="38"/>
        <v>23.69960805938846</v>
      </c>
      <c r="I130" s="94">
        <f t="shared" si="39"/>
        <v>1198.6510875725266</v>
      </c>
      <c r="J130" s="95">
        <f t="shared" si="40"/>
        <v>-172.52776110730295</v>
      </c>
      <c r="K130" s="94">
        <f t="shared" si="41"/>
        <v>28.524158842711664</v>
      </c>
      <c r="L130" s="94">
        <f t="shared" si="42"/>
        <v>-381.36721541621745</v>
      </c>
      <c r="M130" s="94">
        <f t="shared" si="43"/>
        <v>-511.36497859809538</v>
      </c>
      <c r="N130" s="99">
        <f t="shared" si="44"/>
        <v>2163.8800655534455</v>
      </c>
      <c r="O130" s="99">
        <f t="shared" si="45"/>
        <v>30685.629147543677</v>
      </c>
      <c r="P130" s="100">
        <f t="shared" si="46"/>
        <v>25489.425109052307</v>
      </c>
      <c r="Q130" s="95">
        <f t="shared" si="47"/>
        <v>1071051522464.4486</v>
      </c>
      <c r="R130" s="95">
        <f t="shared" si="48"/>
        <v>31178314871988.574</v>
      </c>
      <c r="S130" s="95">
        <f t="shared" si="49"/>
        <v>20527716636933.961</v>
      </c>
      <c r="T130">
        <f t="shared" si="25"/>
        <v>0.5</v>
      </c>
      <c r="X130" s="101">
        <v>87</v>
      </c>
      <c r="Y130" s="101">
        <f t="shared" si="26"/>
        <v>10261.67978121472</v>
      </c>
      <c r="Z130" s="101">
        <f t="shared" si="27"/>
        <v>12493.14767377287</v>
      </c>
      <c r="AA130" s="101">
        <f t="shared" si="28"/>
        <v>-19816.824153149697</v>
      </c>
      <c r="AB130" s="101">
        <f t="shared" si="29"/>
        <v>13495.203371641008</v>
      </c>
      <c r="AC130" s="101">
        <f t="shared" si="30"/>
        <v>-4738.3202187852803</v>
      </c>
      <c r="AD130" s="101">
        <f t="shared" si="31"/>
        <v>-10006.85232622713</v>
      </c>
    </row>
    <row r="131" spans="1:30" x14ac:dyDescent="0.25">
      <c r="A131">
        <v>44</v>
      </c>
      <c r="B131" s="95">
        <f t="shared" si="32"/>
        <v>9437.4099063340454</v>
      </c>
      <c r="C131" s="95">
        <f t="shared" si="33"/>
        <v>4913.2233977946144</v>
      </c>
      <c r="D131" s="95">
        <f t="shared" si="34"/>
        <v>-1028.2223544385286</v>
      </c>
      <c r="E131" s="95">
        <f t="shared" si="35"/>
        <v>-269.73321063310539</v>
      </c>
      <c r="F131" s="96">
        <f t="shared" si="36"/>
        <v>-291.82984709518985</v>
      </c>
      <c r="G131" s="94">
        <f t="shared" si="37"/>
        <v>737.44869556956553</v>
      </c>
      <c r="H131" s="97">
        <f t="shared" si="38"/>
        <v>269.86375772336163</v>
      </c>
      <c r="I131" s="94">
        <f t="shared" si="39"/>
        <v>1240.8274907814275</v>
      </c>
      <c r="J131" s="95">
        <f t="shared" si="40"/>
        <v>-174.83236039446291</v>
      </c>
      <c r="K131" s="94">
        <f t="shared" si="41"/>
        <v>30.210985375161552</v>
      </c>
      <c r="L131" s="94">
        <f t="shared" si="42"/>
        <v>-386.86124442408857</v>
      </c>
      <c r="M131" s="94">
        <f t="shared" si="43"/>
        <v>-533.58978058702348</v>
      </c>
      <c r="N131" s="99">
        <f t="shared" si="44"/>
        <v>2452.3892101750985</v>
      </c>
      <c r="O131" s="99">
        <f t="shared" si="45"/>
        <v>30358.113048011171</v>
      </c>
      <c r="P131" s="100">
        <f t="shared" si="46"/>
        <v>25009.476113761062</v>
      </c>
      <c r="Q131" s="95">
        <f t="shared" si="47"/>
        <v>1091556297489.9076</v>
      </c>
      <c r="R131" s="95">
        <f t="shared" si="48"/>
        <v>30239215268244.207</v>
      </c>
      <c r="S131" s="95">
        <f t="shared" si="49"/>
        <v>19540365592890.484</v>
      </c>
      <c r="T131">
        <f t="shared" si="25"/>
        <v>0.5</v>
      </c>
      <c r="X131" s="101">
        <v>88</v>
      </c>
      <c r="Y131" s="101">
        <f t="shared" si="26"/>
        <v>10174.497483512505</v>
      </c>
      <c r="Z131" s="101">
        <f t="shared" si="27"/>
        <v>12496.954135095479</v>
      </c>
      <c r="AA131" s="101">
        <f t="shared" si="28"/>
        <v>-19877.851761541246</v>
      </c>
      <c r="AB131" s="101">
        <f t="shared" si="29"/>
        <v>13497.867894566836</v>
      </c>
      <c r="AC131" s="101">
        <f t="shared" si="30"/>
        <v>-4825.5025164874942</v>
      </c>
      <c r="AD131" s="101">
        <f t="shared" si="31"/>
        <v>-10003.045864904521</v>
      </c>
    </row>
    <row r="132" spans="1:30" x14ac:dyDescent="0.25">
      <c r="A132">
        <v>44.5</v>
      </c>
      <c r="B132" s="95">
        <f t="shared" si="32"/>
        <v>8850.3412673409839</v>
      </c>
      <c r="C132" s="95">
        <f t="shared" si="33"/>
        <v>4962.718966370453</v>
      </c>
      <c r="D132" s="95">
        <f t="shared" si="34"/>
        <v>-1174.1372779861235</v>
      </c>
      <c r="E132" s="95">
        <f t="shared" si="35"/>
        <v>98.991137151677378</v>
      </c>
      <c r="F132" s="96">
        <f t="shared" si="36"/>
        <v>-23.001943232082681</v>
      </c>
      <c r="G132" s="94">
        <f t="shared" si="37"/>
        <v>673.07456695373685</v>
      </c>
      <c r="H132" s="97">
        <f t="shared" si="38"/>
        <v>543.80560096880561</v>
      </c>
      <c r="I132" s="94">
        <f t="shared" si="39"/>
        <v>1200.1714927423661</v>
      </c>
      <c r="J132" s="95">
        <f t="shared" si="40"/>
        <v>-179.37306096423725</v>
      </c>
      <c r="K132" s="94">
        <f t="shared" si="41"/>
        <v>31.318607622921384</v>
      </c>
      <c r="L132" s="94">
        <f t="shared" si="42"/>
        <v>-387.43448323665103</v>
      </c>
      <c r="M132" s="94">
        <f t="shared" si="43"/>
        <v>-558.41553341155077</v>
      </c>
      <c r="N132" s="99">
        <f t="shared" si="44"/>
        <v>2647.2477789599347</v>
      </c>
      <c r="O132" s="99">
        <f t="shared" si="45"/>
        <v>29873.673998928858</v>
      </c>
      <c r="P132" s="100">
        <f t="shared" si="46"/>
        <v>24596.245056796524</v>
      </c>
      <c r="Q132" s="95">
        <f t="shared" si="47"/>
        <v>1106939508721.0273</v>
      </c>
      <c r="R132" s="95">
        <f t="shared" si="48"/>
        <v>28885938198943.461</v>
      </c>
      <c r="S132" s="95">
        <f t="shared" si="49"/>
        <v>18718059550648.414</v>
      </c>
      <c r="T132">
        <f t="shared" si="25"/>
        <v>0.5</v>
      </c>
      <c r="X132" s="101">
        <v>89</v>
      </c>
      <c r="Y132" s="101">
        <f t="shared" si="26"/>
        <v>10087.262032186416</v>
      </c>
      <c r="Z132" s="101">
        <f t="shared" si="27"/>
        <v>12499.238475781956</v>
      </c>
      <c r="AA132" s="101">
        <f t="shared" si="28"/>
        <v>-19938.916577469507</v>
      </c>
      <c r="AB132" s="101">
        <f t="shared" si="29"/>
        <v>13499.46693304737</v>
      </c>
      <c r="AC132" s="101">
        <f t="shared" si="30"/>
        <v>-4912.7379678135831</v>
      </c>
      <c r="AD132" s="101">
        <f t="shared" si="31"/>
        <v>-10000.761524218044</v>
      </c>
    </row>
    <row r="133" spans="1:30" x14ac:dyDescent="0.25">
      <c r="A133">
        <v>45</v>
      </c>
      <c r="B133" s="95">
        <f t="shared" si="32"/>
        <v>8257.5221425399013</v>
      </c>
      <c r="C133" s="95">
        <f t="shared" si="33"/>
        <v>5180.4831766847255</v>
      </c>
      <c r="D133" s="95">
        <f t="shared" si="34"/>
        <v>-1185.6382496021649</v>
      </c>
      <c r="E133" s="95">
        <f t="shared" si="35"/>
        <v>435.5284206285458</v>
      </c>
      <c r="F133" s="96">
        <f t="shared" si="36"/>
        <v>247.03019121470169</v>
      </c>
      <c r="G133" s="94">
        <f t="shared" si="37"/>
        <v>534.85883443752914</v>
      </c>
      <c r="H133" s="97">
        <f t="shared" si="38"/>
        <v>815.60987801904992</v>
      </c>
      <c r="I133" s="94">
        <f t="shared" si="39"/>
        <v>1085.7072445585591</v>
      </c>
      <c r="J133" s="95">
        <f t="shared" si="40"/>
        <v>-185.87441667317097</v>
      </c>
      <c r="K133" s="94">
        <f t="shared" si="41"/>
        <v>31.702173802127302</v>
      </c>
      <c r="L133" s="94">
        <f t="shared" si="42"/>
        <v>-382.70527013117731</v>
      </c>
      <c r="M133" s="94">
        <f t="shared" si="43"/>
        <v>-582.55058392315732</v>
      </c>
      <c r="N133" s="99">
        <f t="shared" si="44"/>
        <v>2785.5897481853563</v>
      </c>
      <c r="O133" s="99">
        <f t="shared" si="45"/>
        <v>29286.795513572361</v>
      </c>
      <c r="P133" s="100">
        <f t="shared" si="46"/>
        <v>24296.956635597289</v>
      </c>
      <c r="Q133" s="95">
        <f t="shared" si="47"/>
        <v>1118622146766.0364</v>
      </c>
      <c r="R133" s="95">
        <f t="shared" si="48"/>
        <v>27302800789970.559</v>
      </c>
      <c r="S133" s="95">
        <f t="shared" si="49"/>
        <v>18138298327906.211</v>
      </c>
      <c r="T133">
        <f t="shared" si="25"/>
        <v>0.5</v>
      </c>
      <c r="X133" s="101">
        <v>90</v>
      </c>
      <c r="Y133" s="101">
        <f t="shared" si="26"/>
        <v>10000</v>
      </c>
      <c r="Z133" s="101">
        <f t="shared" si="27"/>
        <v>12500</v>
      </c>
      <c r="AA133" s="101">
        <f t="shared" si="28"/>
        <v>-20000</v>
      </c>
      <c r="AB133" s="101">
        <f t="shared" si="29"/>
        <v>13500</v>
      </c>
      <c r="AC133" s="101">
        <f t="shared" si="30"/>
        <v>-5000</v>
      </c>
      <c r="AD133" s="101">
        <f t="shared" si="31"/>
        <v>-10000</v>
      </c>
    </row>
    <row r="134" spans="1:30" x14ac:dyDescent="0.25">
      <c r="A134">
        <v>45.5</v>
      </c>
      <c r="B134" s="95">
        <f t="shared" si="32"/>
        <v>7726.4605655424939</v>
      </c>
      <c r="C134" s="95">
        <f t="shared" si="33"/>
        <v>5531.96209560838</v>
      </c>
      <c r="D134" s="95">
        <f t="shared" si="34"/>
        <v>-1062.1231539948142</v>
      </c>
      <c r="E134" s="95">
        <f t="shared" si="35"/>
        <v>702.95783784731043</v>
      </c>
      <c r="F134" s="96">
        <f t="shared" si="36"/>
        <v>487.417430932949</v>
      </c>
      <c r="G134" s="94">
        <f t="shared" si="37"/>
        <v>341.80004352067238</v>
      </c>
      <c r="H134" s="97">
        <f t="shared" si="38"/>
        <v>1054.5294579653814</v>
      </c>
      <c r="I134" s="94">
        <f t="shared" si="39"/>
        <v>912.82953491793057</v>
      </c>
      <c r="J134" s="95">
        <f t="shared" si="40"/>
        <v>-193.80854074318128</v>
      </c>
      <c r="K134" s="94">
        <f t="shared" si="41"/>
        <v>31.231678640999252</v>
      </c>
      <c r="L134" s="94">
        <f t="shared" si="42"/>
        <v>-373.30348628925111</v>
      </c>
      <c r="M134" s="94">
        <f t="shared" si="43"/>
        <v>-602.26117003825743</v>
      </c>
      <c r="N134" s="99">
        <f t="shared" si="44"/>
        <v>2901.1010629382281</v>
      </c>
      <c r="O134" s="99">
        <f t="shared" si="45"/>
        <v>28665.576918079838</v>
      </c>
      <c r="P134" s="100">
        <f t="shared" si="46"/>
        <v>24145.678590679348</v>
      </c>
      <c r="Q134" s="95">
        <f t="shared" si="47"/>
        <v>1128866012385.4773</v>
      </c>
      <c r="R134" s="95">
        <f t="shared" si="48"/>
        <v>25692967278977.07</v>
      </c>
      <c r="S134" s="95">
        <f t="shared" si="49"/>
        <v>17850246286355.012</v>
      </c>
      <c r="T134">
        <f t="shared" si="25"/>
        <v>0.5</v>
      </c>
      <c r="X134" s="101">
        <v>91</v>
      </c>
      <c r="Y134" s="101">
        <f t="shared" si="26"/>
        <v>9912.7379678135821</v>
      </c>
      <c r="Z134" s="101">
        <f t="shared" si="27"/>
        <v>12499.238475781956</v>
      </c>
      <c r="AA134" s="101">
        <f t="shared" si="28"/>
        <v>-20061.083422530493</v>
      </c>
      <c r="AB134" s="101">
        <f t="shared" si="29"/>
        <v>13499.46693304737</v>
      </c>
      <c r="AC134" s="101">
        <f t="shared" si="30"/>
        <v>-5087.2620321864169</v>
      </c>
      <c r="AD134" s="101">
        <f t="shared" si="31"/>
        <v>-10000.761524218044</v>
      </c>
    </row>
    <row r="135" spans="1:30" x14ac:dyDescent="0.25">
      <c r="A135">
        <v>46</v>
      </c>
      <c r="B135" s="95">
        <f t="shared" si="32"/>
        <v>7317.253346278324</v>
      </c>
      <c r="C135" s="95">
        <f t="shared" si="33"/>
        <v>5968.8910254122038</v>
      </c>
      <c r="D135" s="95">
        <f t="shared" si="34"/>
        <v>-818.4144385283397</v>
      </c>
      <c r="E135" s="95">
        <f t="shared" si="35"/>
        <v>873.85785960764656</v>
      </c>
      <c r="F135" s="96">
        <f t="shared" si="36"/>
        <v>670.39942723451918</v>
      </c>
      <c r="G135" s="94">
        <f t="shared" si="37"/>
        <v>119.53546227236529</v>
      </c>
      <c r="H135" s="97">
        <f t="shared" si="38"/>
        <v>1233.6348987801275</v>
      </c>
      <c r="I135" s="94">
        <f t="shared" si="39"/>
        <v>704.0655375589256</v>
      </c>
      <c r="J135" s="95">
        <f t="shared" si="40"/>
        <v>-202.33986860693594</v>
      </c>
      <c r="K135" s="94">
        <f t="shared" si="41"/>
        <v>29.858567767372509</v>
      </c>
      <c r="L135" s="94">
        <f t="shared" si="42"/>
        <v>-360.89560293867243</v>
      </c>
      <c r="M135" s="94">
        <f t="shared" si="43"/>
        <v>-614.38864305393281</v>
      </c>
      <c r="N135" s="99">
        <f t="shared" si="44"/>
        <v>3007.0175844440146</v>
      </c>
      <c r="O135" s="99">
        <f t="shared" si="45"/>
        <v>28084.158848141833</v>
      </c>
      <c r="P135" s="100">
        <f t="shared" si="46"/>
        <v>24156.246935768137</v>
      </c>
      <c r="Q135" s="95">
        <f t="shared" si="47"/>
        <v>1138653636110.7449</v>
      </c>
      <c r="R135" s="95">
        <f t="shared" si="48"/>
        <v>24246458261686.555</v>
      </c>
      <c r="S135" s="95">
        <f t="shared" si="49"/>
        <v>17870261422778.598</v>
      </c>
      <c r="T135">
        <f t="shared" si="25"/>
        <v>0.5</v>
      </c>
      <c r="X135" s="101">
        <v>92</v>
      </c>
      <c r="Y135" s="101">
        <f t="shared" si="26"/>
        <v>9825.5025164874969</v>
      </c>
      <c r="Z135" s="101">
        <f t="shared" si="27"/>
        <v>12496.954135095479</v>
      </c>
      <c r="AA135" s="101">
        <f t="shared" si="28"/>
        <v>-20122.148238458754</v>
      </c>
      <c r="AB135" s="101">
        <f t="shared" si="29"/>
        <v>13497.867894566836</v>
      </c>
      <c r="AC135" s="101">
        <f t="shared" si="30"/>
        <v>-5174.497483512504</v>
      </c>
      <c r="AD135" s="101">
        <f t="shared" si="31"/>
        <v>-10003.045864904521</v>
      </c>
    </row>
    <row r="136" spans="1:30" x14ac:dyDescent="0.25">
      <c r="A136">
        <v>46.5</v>
      </c>
      <c r="B136" s="95">
        <f t="shared" si="32"/>
        <v>7075.6459838227838</v>
      </c>
      <c r="C136" s="95">
        <f t="shared" si="33"/>
        <v>6435.7038207841179</v>
      </c>
      <c r="D136" s="95">
        <f t="shared" si="34"/>
        <v>-483.21472491108011</v>
      </c>
      <c r="E136" s="95">
        <f t="shared" si="35"/>
        <v>933.62559074382921</v>
      </c>
      <c r="F136" s="96">
        <f t="shared" si="36"/>
        <v>777.41607408807317</v>
      </c>
      <c r="G136" s="94">
        <f t="shared" si="37"/>
        <v>-103.59750910068419</v>
      </c>
      <c r="H136" s="97">
        <f t="shared" si="38"/>
        <v>1335.5525882390286</v>
      </c>
      <c r="I136" s="94">
        <f t="shared" si="39"/>
        <v>486.06410473612851</v>
      </c>
      <c r="J136" s="95">
        <f t="shared" si="40"/>
        <v>-210.35512458725887</v>
      </c>
      <c r="K136" s="94">
        <f t="shared" si="41"/>
        <v>27.691600314645147</v>
      </c>
      <c r="L136" s="94">
        <f t="shared" si="42"/>
        <v>-347.78138956369656</v>
      </c>
      <c r="M136" s="94">
        <f t="shared" si="43"/>
        <v>-617.35321415145791</v>
      </c>
      <c r="N136" s="99">
        <f t="shared" si="44"/>
        <v>3088.919600785709</v>
      </c>
      <c r="O136" s="99">
        <f t="shared" si="45"/>
        <v>27613.079689700615</v>
      </c>
      <c r="P136" s="100">
        <f t="shared" si="46"/>
        <v>24318.904597699646</v>
      </c>
      <c r="Q136" s="95">
        <f t="shared" si="47"/>
        <v>1146482883392.3206</v>
      </c>
      <c r="R136" s="95">
        <f t="shared" si="48"/>
        <v>23116308023982.426</v>
      </c>
      <c r="S136" s="95">
        <f t="shared" si="49"/>
        <v>18180367441800.957</v>
      </c>
      <c r="T136">
        <f t="shared" si="25"/>
        <v>0.5</v>
      </c>
      <c r="X136" s="101">
        <v>93</v>
      </c>
      <c r="Y136" s="101">
        <f t="shared" si="26"/>
        <v>9738.3202187852821</v>
      </c>
      <c r="Z136" s="101">
        <f t="shared" si="27"/>
        <v>12493.14767377287</v>
      </c>
      <c r="AA136" s="101">
        <f t="shared" si="28"/>
        <v>-20183.175846850303</v>
      </c>
      <c r="AB136" s="101">
        <f t="shared" si="29"/>
        <v>13495.203371641008</v>
      </c>
      <c r="AC136" s="101">
        <f t="shared" si="30"/>
        <v>-5261.6797812147179</v>
      </c>
      <c r="AD136" s="101">
        <f t="shared" si="31"/>
        <v>-10006.85232622713</v>
      </c>
    </row>
    <row r="137" spans="1:30" x14ac:dyDescent="0.25">
      <c r="A137">
        <v>47</v>
      </c>
      <c r="B137" s="95">
        <f t="shared" si="32"/>
        <v>7028.3926398892618</v>
      </c>
      <c r="C137" s="95">
        <f t="shared" si="33"/>
        <v>6876.6172388808618</v>
      </c>
      <c r="D137" s="95">
        <f t="shared" si="34"/>
        <v>-94.506687867043524</v>
      </c>
      <c r="E137" s="95">
        <f t="shared" si="35"/>
        <v>881.82683619348711</v>
      </c>
      <c r="F137" s="96">
        <f t="shared" si="36"/>
        <v>801.6120663558977</v>
      </c>
      <c r="G137" s="94">
        <f t="shared" si="37"/>
        <v>-302.34038844832452</v>
      </c>
      <c r="H137" s="97">
        <f t="shared" si="38"/>
        <v>1354.4772834962082</v>
      </c>
      <c r="I137" s="94">
        <f t="shared" si="39"/>
        <v>284.14177464803112</v>
      </c>
      <c r="J137" s="95">
        <f t="shared" si="40"/>
        <v>-216.63589896347588</v>
      </c>
      <c r="K137" s="94">
        <f t="shared" si="41"/>
        <v>25.03429786880735</v>
      </c>
      <c r="L137" s="94">
        <f t="shared" si="42"/>
        <v>-336.22931817683451</v>
      </c>
      <c r="M137" s="94">
        <f t="shared" si="43"/>
        <v>-611.51646096516299</v>
      </c>
      <c r="N137" s="99">
        <f t="shared" si="44"/>
        <v>3112.0046222692763</v>
      </c>
      <c r="O137" s="99">
        <f t="shared" si="45"/>
        <v>27309.244088668431</v>
      </c>
      <c r="P137" s="100">
        <f t="shared" si="46"/>
        <v>24603.061277389734</v>
      </c>
      <c r="Q137" s="95">
        <f t="shared" si="47"/>
        <v>1148730949031.9934</v>
      </c>
      <c r="R137" s="95">
        <f t="shared" si="48"/>
        <v>22406939212750.574</v>
      </c>
      <c r="S137" s="95">
        <f t="shared" si="49"/>
        <v>18731417274412.836</v>
      </c>
      <c r="T137">
        <f t="shared" si="25"/>
        <v>0.5</v>
      </c>
      <c r="X137" s="101">
        <v>94</v>
      </c>
      <c r="Y137" s="101">
        <f t="shared" si="26"/>
        <v>9651.2176312793727</v>
      </c>
      <c r="Z137" s="101">
        <f t="shared" si="27"/>
        <v>12487.820251299121</v>
      </c>
      <c r="AA137" s="101">
        <f t="shared" si="28"/>
        <v>-20244.147658104437</v>
      </c>
      <c r="AB137" s="101">
        <f t="shared" si="29"/>
        <v>13491.474175909385</v>
      </c>
      <c r="AC137" s="101">
        <f t="shared" si="30"/>
        <v>-5348.7823687206264</v>
      </c>
      <c r="AD137" s="101">
        <f t="shared" si="31"/>
        <v>-10012.179748700879</v>
      </c>
    </row>
    <row r="138" spans="1:30" x14ac:dyDescent="0.25">
      <c r="A138">
        <v>47.5</v>
      </c>
      <c r="B138" s="95">
        <f t="shared" si="32"/>
        <v>7181.5423125447142</v>
      </c>
      <c r="C138" s="95">
        <f t="shared" si="33"/>
        <v>7241.945559865525</v>
      </c>
      <c r="D138" s="95">
        <f t="shared" si="34"/>
        <v>306.29934531090532</v>
      </c>
      <c r="E138" s="95">
        <f t="shared" si="35"/>
        <v>730.65664196932482</v>
      </c>
      <c r="F138" s="96">
        <f t="shared" si="36"/>
        <v>744.83841668919536</v>
      </c>
      <c r="G138" s="94">
        <f t="shared" si="37"/>
        <v>-458.0040517758822</v>
      </c>
      <c r="H138" s="97">
        <f t="shared" si="38"/>
        <v>1292.8927841792251</v>
      </c>
      <c r="I138" s="94">
        <f t="shared" si="39"/>
        <v>118.37563681025307</v>
      </c>
      <c r="J138" s="95">
        <f t="shared" si="40"/>
        <v>-220.14677421632669</v>
      </c>
      <c r="K138" s="94">
        <f t="shared" si="41"/>
        <v>22.337834296783075</v>
      </c>
      <c r="L138" s="94">
        <f t="shared" si="42"/>
        <v>-327.90759327370296</v>
      </c>
      <c r="M138" s="94">
        <f t="shared" si="43"/>
        <v>-598.71752288291839</v>
      </c>
      <c r="N138" s="99">
        <f t="shared" si="44"/>
        <v>3036.2899020885393</v>
      </c>
      <c r="O138" s="99">
        <f t="shared" si="45"/>
        <v>27208.262137969712</v>
      </c>
      <c r="P138" s="100">
        <f t="shared" si="46"/>
        <v>24965.348211387751</v>
      </c>
      <c r="Q138" s="95">
        <f t="shared" si="47"/>
        <v>1141425655928.6575</v>
      </c>
      <c r="R138" s="95">
        <f t="shared" si="48"/>
        <v>22174534499831.563</v>
      </c>
      <c r="S138" s="95">
        <f t="shared" si="49"/>
        <v>19451335591437.172</v>
      </c>
      <c r="T138">
        <f t="shared" si="25"/>
        <v>0.5</v>
      </c>
      <c r="X138" s="101">
        <v>95</v>
      </c>
      <c r="Y138" s="101">
        <f t="shared" si="26"/>
        <v>9564.2212862617089</v>
      </c>
      <c r="Z138" s="101">
        <f t="shared" si="27"/>
        <v>12480.973490458728</v>
      </c>
      <c r="AA138" s="101">
        <f t="shared" si="28"/>
        <v>-20305.045099616804</v>
      </c>
      <c r="AB138" s="101">
        <f t="shared" si="29"/>
        <v>13486.681443321109</v>
      </c>
      <c r="AC138" s="101">
        <f t="shared" si="30"/>
        <v>-5435.7787137382911</v>
      </c>
      <c r="AD138" s="101">
        <f t="shared" si="31"/>
        <v>-10019.026509541272</v>
      </c>
    </row>
    <row r="139" spans="1:30" x14ac:dyDescent="0.25">
      <c r="A139">
        <v>48</v>
      </c>
      <c r="B139" s="95">
        <f t="shared" si="32"/>
        <v>7520.9015893724654</v>
      </c>
      <c r="C139" s="95">
        <f t="shared" si="33"/>
        <v>7492.7728679062166</v>
      </c>
      <c r="D139" s="95">
        <f t="shared" si="34"/>
        <v>678.718553655503</v>
      </c>
      <c r="E139" s="95">
        <f t="shared" si="35"/>
        <v>501.65461608138372</v>
      </c>
      <c r="F139" s="96">
        <f t="shared" si="36"/>
        <v>612.40574678137818</v>
      </c>
      <c r="G139" s="94">
        <f t="shared" si="37"/>
        <v>-557.95891527108233</v>
      </c>
      <c r="H139" s="97">
        <f t="shared" si="38"/>
        <v>1156.3642480299325</v>
      </c>
      <c r="I139" s="94">
        <f t="shared" si="39"/>
        <v>3.3710630982678165</v>
      </c>
      <c r="J139" s="95">
        <f t="shared" si="40"/>
        <v>-220.31380732146832</v>
      </c>
      <c r="K139" s="94">
        <f t="shared" si="41"/>
        <v>20.071172214233506</v>
      </c>
      <c r="L139" s="94">
        <f t="shared" si="42"/>
        <v>-323.64469392708605</v>
      </c>
      <c r="M139" s="94">
        <f t="shared" si="43"/>
        <v>-581.40115058358367</v>
      </c>
      <c r="N139" s="99">
        <f t="shared" si="44"/>
        <v>2830.2466023385518</v>
      </c>
      <c r="O139" s="99">
        <f t="shared" si="45"/>
        <v>27321.111009316661</v>
      </c>
      <c r="P139" s="100">
        <f t="shared" si="46"/>
        <v>25359.300372848204</v>
      </c>
      <c r="Q139" s="95">
        <f t="shared" si="47"/>
        <v>1122529423236.428</v>
      </c>
      <c r="R139" s="95">
        <f t="shared" si="48"/>
        <v>22434359965483.293</v>
      </c>
      <c r="S139" s="95">
        <f t="shared" si="49"/>
        <v>20256561793221.313</v>
      </c>
      <c r="T139">
        <f t="shared" si="25"/>
        <v>0.5</v>
      </c>
      <c r="X139" s="101">
        <v>96</v>
      </c>
      <c r="Y139" s="101">
        <f t="shared" si="26"/>
        <v>9477.357683661734</v>
      </c>
      <c r="Z139" s="101">
        <f t="shared" si="27"/>
        <v>12472.609476841368</v>
      </c>
      <c r="AA139" s="101">
        <f t="shared" si="28"/>
        <v>-20365.849621436788</v>
      </c>
      <c r="AB139" s="101">
        <f t="shared" si="29"/>
        <v>13480.826633788956</v>
      </c>
      <c r="AC139" s="101">
        <f t="shared" si="30"/>
        <v>-5522.6423163382669</v>
      </c>
      <c r="AD139" s="101">
        <f t="shared" si="31"/>
        <v>-10027.390523158632</v>
      </c>
    </row>
    <row r="140" spans="1:30" x14ac:dyDescent="0.25">
      <c r="A140">
        <v>48.5</v>
      </c>
      <c r="B140" s="95">
        <f t="shared" si="32"/>
        <v>8013.3623028955608</v>
      </c>
      <c r="C140" s="95">
        <f t="shared" si="33"/>
        <v>7604.1104471291374</v>
      </c>
      <c r="D140" s="95">
        <f t="shared" si="34"/>
        <v>984.92142704619209</v>
      </c>
      <c r="E140" s="95">
        <f t="shared" si="35"/>
        <v>222.67515844584256</v>
      </c>
      <c r="F140" s="96">
        <f t="shared" si="36"/>
        <v>410.53254439449</v>
      </c>
      <c r="G140" s="94">
        <f t="shared" si="37"/>
        <v>-593.17188320606567</v>
      </c>
      <c r="H140" s="97">
        <f t="shared" si="38"/>
        <v>951.17835889423782</v>
      </c>
      <c r="I140" s="94">
        <f t="shared" si="39"/>
        <v>-49.84683638510068</v>
      </c>
      <c r="J140" s="95">
        <f t="shared" si="40"/>
        <v>-217.15690482275446</v>
      </c>
      <c r="K140" s="94">
        <f t="shared" si="41"/>
        <v>18.572706623825415</v>
      </c>
      <c r="L140" s="94">
        <f t="shared" si="42"/>
        <v>-323.48890967699339</v>
      </c>
      <c r="M140" s="94">
        <f t="shared" si="43"/>
        <v>-561.8977534447904</v>
      </c>
      <c r="N140" s="99">
        <f t="shared" si="44"/>
        <v>2479.1089449667734</v>
      </c>
      <c r="O140" s="99">
        <f t="shared" si="45"/>
        <v>27634.873116839728</v>
      </c>
      <c r="P140" s="100">
        <f t="shared" si="46"/>
        <v>25742.917625979539</v>
      </c>
      <c r="Q140" s="95">
        <f t="shared" si="47"/>
        <v>1093592023025.5881</v>
      </c>
      <c r="R140" s="95">
        <f t="shared" si="48"/>
        <v>23167775574333.004</v>
      </c>
      <c r="S140" s="95">
        <f t="shared" si="49"/>
        <v>21063413194031.273</v>
      </c>
      <c r="T140">
        <f t="shared" si="25"/>
        <v>0.5</v>
      </c>
      <c r="X140" s="101">
        <v>97</v>
      </c>
      <c r="Y140" s="101">
        <f t="shared" si="26"/>
        <v>9390.6532829742628</v>
      </c>
      <c r="Z140" s="101">
        <f t="shared" si="27"/>
        <v>12462.73075820661</v>
      </c>
      <c r="AA140" s="101">
        <f t="shared" si="28"/>
        <v>-20426.542701918017</v>
      </c>
      <c r="AB140" s="101">
        <f t="shared" si="29"/>
        <v>13473.911530744626</v>
      </c>
      <c r="AC140" s="101">
        <f t="shared" si="30"/>
        <v>-5609.3467170257372</v>
      </c>
      <c r="AD140" s="101">
        <f t="shared" si="31"/>
        <v>-10037.26924179339</v>
      </c>
    </row>
    <row r="141" spans="1:30" x14ac:dyDescent="0.25">
      <c r="A141">
        <v>49</v>
      </c>
      <c r="B141" s="95">
        <f t="shared" si="32"/>
        <v>8608.4561525172794</v>
      </c>
      <c r="C141" s="95">
        <f t="shared" si="33"/>
        <v>7567.1550555505428</v>
      </c>
      <c r="D141" s="95">
        <f t="shared" si="34"/>
        <v>1190.187699243437</v>
      </c>
      <c r="E141" s="95">
        <f t="shared" si="35"/>
        <v>-73.910783157190281</v>
      </c>
      <c r="F141" s="96">
        <f t="shared" si="36"/>
        <v>149.2641328622073</v>
      </c>
      <c r="G141" s="94">
        <f t="shared" si="37"/>
        <v>-557.32178137873996</v>
      </c>
      <c r="H141" s="97">
        <f t="shared" si="38"/>
        <v>687.40288302227668</v>
      </c>
      <c r="I141" s="94">
        <f t="shared" si="39"/>
        <v>-33.17364298543059</v>
      </c>
      <c r="J141" s="95">
        <f t="shared" si="40"/>
        <v>-211.23449467475209</v>
      </c>
      <c r="K141" s="94">
        <f t="shared" si="41"/>
        <v>17.963247290350125</v>
      </c>
      <c r="L141" s="94">
        <f t="shared" si="42"/>
        <v>-326.90425548531726</v>
      </c>
      <c r="M141" s="94">
        <f t="shared" si="43"/>
        <v>-542.11138568365948</v>
      </c>
      <c r="N141" s="99">
        <f t="shared" si="44"/>
        <v>1989.363798996518</v>
      </c>
      <c r="O141" s="99">
        <f t="shared" si="45"/>
        <v>28115.631848899393</v>
      </c>
      <c r="P141" s="100">
        <f t="shared" si="46"/>
        <v>26082.434846701639</v>
      </c>
      <c r="Q141" s="95">
        <f t="shared" si="47"/>
        <v>1059947045217.2751</v>
      </c>
      <c r="R141" s="95">
        <f t="shared" si="48"/>
        <v>24323290352004.645</v>
      </c>
      <c r="S141" s="95">
        <f t="shared" si="49"/>
        <v>21796507263764.316</v>
      </c>
      <c r="T141">
        <f t="shared" si="25"/>
        <v>0.5</v>
      </c>
      <c r="X141" s="101">
        <v>98</v>
      </c>
      <c r="Y141" s="101">
        <f t="shared" si="26"/>
        <v>9304.1344951996725</v>
      </c>
      <c r="Z141" s="101">
        <f t="shared" si="27"/>
        <v>12451.340343707852</v>
      </c>
      <c r="AA141" s="101">
        <f t="shared" si="28"/>
        <v>-20487.10585336023</v>
      </c>
      <c r="AB141" s="101">
        <f t="shared" si="29"/>
        <v>13465.938240595497</v>
      </c>
      <c r="AC141" s="101">
        <f t="shared" si="30"/>
        <v>-5695.8655048003266</v>
      </c>
      <c r="AD141" s="101">
        <f t="shared" si="31"/>
        <v>-10048.659656292148</v>
      </c>
    </row>
    <row r="142" spans="1:30" x14ac:dyDescent="0.25">
      <c r="A142">
        <v>49.5</v>
      </c>
      <c r="B142" s="95">
        <f t="shared" si="32"/>
        <v>9240.8660353545492</v>
      </c>
      <c r="C142" s="95">
        <f t="shared" si="33"/>
        <v>7390.8692186272619</v>
      </c>
      <c r="D142" s="95">
        <f t="shared" si="34"/>
        <v>1264.8197656745406</v>
      </c>
      <c r="E142" s="95">
        <f t="shared" si="35"/>
        <v>-352.57167384656026</v>
      </c>
      <c r="F142" s="96">
        <f t="shared" si="36"/>
        <v>-150.26427277789844</v>
      </c>
      <c r="G142" s="94">
        <f t="shared" si="37"/>
        <v>-449.87589617339063</v>
      </c>
      <c r="H142" s="97">
        <f t="shared" si="38"/>
        <v>386.18404196522556</v>
      </c>
      <c r="I142" s="94">
        <f t="shared" si="39"/>
        <v>55.516638980882263</v>
      </c>
      <c r="J142" s="95">
        <f t="shared" si="40"/>
        <v>-203.46568003521082</v>
      </c>
      <c r="K142" s="94">
        <f t="shared" si="41"/>
        <v>18.155022087613357</v>
      </c>
      <c r="L142" s="94">
        <f t="shared" si="42"/>
        <v>-332.98263470791318</v>
      </c>
      <c r="M142" s="94">
        <f t="shared" si="43"/>
        <v>-523.54755724188624</v>
      </c>
      <c r="N142" s="99">
        <f t="shared" si="44"/>
        <v>1393.1633360640128</v>
      </c>
      <c r="O142" s="99">
        <f t="shared" si="45"/>
        <v>28711.713601842665</v>
      </c>
      <c r="P142" s="100">
        <f t="shared" si="46"/>
        <v>26352.733561364097</v>
      </c>
      <c r="Q142" s="95">
        <f t="shared" si="47"/>
        <v>1029254374108.0634</v>
      </c>
      <c r="R142" s="95">
        <f t="shared" si="48"/>
        <v>25810226109176.332</v>
      </c>
      <c r="S142" s="95">
        <f t="shared" si="49"/>
        <v>22393059704485.066</v>
      </c>
      <c r="T142">
        <f t="shared" si="25"/>
        <v>0.5</v>
      </c>
      <c r="X142" s="101">
        <v>99</v>
      </c>
      <c r="Y142" s="101">
        <f t="shared" si="26"/>
        <v>9217.8276747988457</v>
      </c>
      <c r="Z142" s="101">
        <f t="shared" si="27"/>
        <v>12438.441702975688</v>
      </c>
      <c r="AA142" s="101">
        <f t="shared" si="28"/>
        <v>-20547.52062764081</v>
      </c>
      <c r="AB142" s="101">
        <f t="shared" si="29"/>
        <v>13456.909192082981</v>
      </c>
      <c r="AC142" s="101">
        <f t="shared" si="30"/>
        <v>-5782.1723252011552</v>
      </c>
      <c r="AD142" s="101">
        <f t="shared" si="31"/>
        <v>-10061.558297024312</v>
      </c>
    </row>
    <row r="143" spans="1:30" x14ac:dyDescent="0.25">
      <c r="A143">
        <v>50</v>
      </c>
      <c r="B143" s="95">
        <f t="shared" si="32"/>
        <v>9835.7098499973436</v>
      </c>
      <c r="C143" s="95">
        <f t="shared" si="33"/>
        <v>7102.1144076606342</v>
      </c>
      <c r="D143" s="95">
        <f t="shared" si="34"/>
        <v>1189.6876292855914</v>
      </c>
      <c r="E143" s="95">
        <f t="shared" si="35"/>
        <v>-577.50962193325563</v>
      </c>
      <c r="F143" s="96">
        <f t="shared" si="36"/>
        <v>-450.29933141956985</v>
      </c>
      <c r="G143" s="94">
        <f t="shared" si="37"/>
        <v>-282.04564457221477</v>
      </c>
      <c r="H143" s="97">
        <f t="shared" si="38"/>
        <v>85.26869826684208</v>
      </c>
      <c r="I143" s="94">
        <f t="shared" si="39"/>
        <v>206.50773352730238</v>
      </c>
      <c r="J143" s="95">
        <f t="shared" si="40"/>
        <v>-194.92564152878126</v>
      </c>
      <c r="K143" s="94">
        <f t="shared" si="41"/>
        <v>18.932755781703428</v>
      </c>
      <c r="L143" s="94">
        <f t="shared" si="42"/>
        <v>-340.64238815763065</v>
      </c>
      <c r="M143" s="94">
        <f t="shared" si="43"/>
        <v>-507.48613388122061</v>
      </c>
      <c r="N143" s="99">
        <f t="shared" si="44"/>
        <v>766.93800513558119</v>
      </c>
      <c r="O143" s="99">
        <f t="shared" si="45"/>
        <v>29357.040210686398</v>
      </c>
      <c r="P143" s="100">
        <f t="shared" si="46"/>
        <v>26535.886829020517</v>
      </c>
      <c r="Q143" s="95">
        <f t="shared" si="47"/>
        <v>1008835869817.6898</v>
      </c>
      <c r="R143" s="95">
        <f t="shared" si="48"/>
        <v>27489076199759.625</v>
      </c>
      <c r="S143" s="95">
        <f t="shared" si="49"/>
        <v>22803854665895.672</v>
      </c>
      <c r="T143">
        <f t="shared" si="25"/>
        <v>0.5</v>
      </c>
      <c r="X143" s="101">
        <v>100</v>
      </c>
      <c r="Y143" s="101">
        <f t="shared" si="26"/>
        <v>9131.7591116653493</v>
      </c>
      <c r="Z143" s="101">
        <f t="shared" si="27"/>
        <v>12424.038765061039</v>
      </c>
      <c r="AA143" s="101">
        <f t="shared" si="28"/>
        <v>-20607.768621834257</v>
      </c>
      <c r="AB143" s="101">
        <f t="shared" si="29"/>
        <v>13446.827135542728</v>
      </c>
      <c r="AC143" s="101">
        <f t="shared" si="30"/>
        <v>-5868.2408883346516</v>
      </c>
      <c r="AD143" s="101">
        <f t="shared" si="31"/>
        <v>-10075.961234938961</v>
      </c>
    </row>
    <row r="144" spans="1:30" x14ac:dyDescent="0.25">
      <c r="A144">
        <v>50.5</v>
      </c>
      <c r="B144" s="95">
        <f t="shared" si="32"/>
        <v>10317.978831785247</v>
      </c>
      <c r="C144" s="95">
        <f t="shared" si="33"/>
        <v>6742.8481855509526</v>
      </c>
      <c r="D144" s="95">
        <f t="shared" si="34"/>
        <v>964.53796357580643</v>
      </c>
      <c r="E144" s="95">
        <f t="shared" si="35"/>
        <v>-718.53244421936301</v>
      </c>
      <c r="F144" s="96">
        <f t="shared" si="36"/>
        <v>-701.52040256188866</v>
      </c>
      <c r="G144" s="94">
        <f t="shared" si="37"/>
        <v>-79.723888031634999</v>
      </c>
      <c r="H144" s="97">
        <f t="shared" si="38"/>
        <v>-166.03161792537412</v>
      </c>
      <c r="I144" s="94">
        <f t="shared" si="39"/>
        <v>395.34436950510383</v>
      </c>
      <c r="J144" s="95">
        <f t="shared" si="40"/>
        <v>-186.67143852338279</v>
      </c>
      <c r="K144" s="94">
        <f t="shared" si="41"/>
        <v>20.054675084567553</v>
      </c>
      <c r="L144" s="94">
        <f t="shared" si="42"/>
        <v>-348.81734611313175</v>
      </c>
      <c r="M144" s="94">
        <f t="shared" si="43"/>
        <v>-495.1229326213064</v>
      </c>
      <c r="N144" s="99">
        <f t="shared" si="44"/>
        <v>430.46974107263719</v>
      </c>
      <c r="O144" s="99">
        <f t="shared" si="45"/>
        <v>29976.112542481496</v>
      </c>
      <c r="P144" s="100">
        <f t="shared" si="46"/>
        <v>26619.574527828729</v>
      </c>
      <c r="Q144" s="95">
        <f t="shared" si="47"/>
        <v>1002780850233.9972</v>
      </c>
      <c r="R144" s="95">
        <f t="shared" si="48"/>
        <v>29168568341972.984</v>
      </c>
      <c r="S144" s="95">
        <f t="shared" si="49"/>
        <v>22993337488331.613</v>
      </c>
      <c r="T144">
        <f t="shared" si="25"/>
        <v>0.5</v>
      </c>
      <c r="X144" s="101">
        <v>101</v>
      </c>
      <c r="Y144" s="101">
        <f t="shared" si="26"/>
        <v>9045.9550231172761</v>
      </c>
      <c r="Z144" s="101">
        <f t="shared" si="27"/>
        <v>12408.13591723832</v>
      </c>
      <c r="AA144" s="101">
        <f t="shared" si="28"/>
        <v>-20667.831483817907</v>
      </c>
      <c r="AB144" s="101">
        <f t="shared" si="29"/>
        <v>13435.695142066823</v>
      </c>
      <c r="AC144" s="101">
        <f t="shared" si="30"/>
        <v>-5954.0449768827239</v>
      </c>
      <c r="AD144" s="101">
        <f t="shared" si="31"/>
        <v>-10091.86408276168</v>
      </c>
    </row>
    <row r="145" spans="1:30" x14ac:dyDescent="0.25">
      <c r="A145">
        <v>51</v>
      </c>
      <c r="B145" s="95">
        <f t="shared" si="32"/>
        <v>10624.867712932679</v>
      </c>
      <c r="C145" s="95">
        <f t="shared" si="33"/>
        <v>6363.6509914333619</v>
      </c>
      <c r="D145" s="95">
        <f t="shared" si="34"/>
        <v>613.7777622948621</v>
      </c>
      <c r="E145" s="95">
        <f t="shared" si="35"/>
        <v>-758.39438823518049</v>
      </c>
      <c r="F145" s="96">
        <f t="shared" si="36"/>
        <v>-860.11492965623472</v>
      </c>
      <c r="G145" s="94">
        <f t="shared" si="37"/>
        <v>122.767400362768</v>
      </c>
      <c r="H145" s="97">
        <f t="shared" si="38"/>
        <v>-323.89795129085536</v>
      </c>
      <c r="I145" s="94">
        <f t="shared" si="39"/>
        <v>589.02245740736885</v>
      </c>
      <c r="J145" s="95">
        <f t="shared" si="40"/>
        <v>-179.61120427704898</v>
      </c>
      <c r="K145" s="94">
        <f t="shared" si="41"/>
        <v>21.326754150336946</v>
      </c>
      <c r="L145" s="94">
        <f t="shared" si="42"/>
        <v>-356.60577408833035</v>
      </c>
      <c r="M145" s="94">
        <f t="shared" si="43"/>
        <v>-487.58181119493776</v>
      </c>
      <c r="N145" s="99">
        <f t="shared" si="44"/>
        <v>821.21215747637052</v>
      </c>
      <c r="O145" s="99">
        <f t="shared" si="45"/>
        <v>30492.439692273674</v>
      </c>
      <c r="P145" s="100">
        <f t="shared" si="46"/>
        <v>26596.840464817193</v>
      </c>
      <c r="Q145" s="95">
        <f t="shared" si="47"/>
        <v>1010132877032.7952</v>
      </c>
      <c r="R145" s="95">
        <f t="shared" si="48"/>
        <v>30621999070435.195</v>
      </c>
      <c r="S145" s="95">
        <f t="shared" si="49"/>
        <v>22941753044499.188</v>
      </c>
      <c r="T145">
        <f t="shared" si="25"/>
        <v>0.5</v>
      </c>
      <c r="X145" s="101">
        <v>102</v>
      </c>
      <c r="Y145" s="101">
        <f t="shared" si="26"/>
        <v>8960.4415459112042</v>
      </c>
      <c r="Z145" s="101">
        <f t="shared" si="27"/>
        <v>12390.738003669028</v>
      </c>
      <c r="AA145" s="101">
        <f t="shared" si="28"/>
        <v>-20727.690917862157</v>
      </c>
      <c r="AB145" s="101">
        <f t="shared" si="29"/>
        <v>13423.516602568319</v>
      </c>
      <c r="AC145" s="101">
        <f t="shared" si="30"/>
        <v>-6039.5584540887958</v>
      </c>
      <c r="AD145" s="101">
        <f t="shared" si="31"/>
        <v>-10109.261996330972</v>
      </c>
    </row>
    <row r="146" spans="1:30" x14ac:dyDescent="0.25">
      <c r="A146">
        <v>51.5</v>
      </c>
      <c r="B146" s="95">
        <f t="shared" si="32"/>
        <v>10716.727861666051</v>
      </c>
      <c r="C146" s="95">
        <f t="shared" si="33"/>
        <v>6015.1456474064635</v>
      </c>
      <c r="D146" s="95">
        <f t="shared" si="34"/>
        <v>183.72029746674474</v>
      </c>
      <c r="E146" s="95">
        <f t="shared" si="35"/>
        <v>-697.01068805379646</v>
      </c>
      <c r="F146" s="96">
        <f t="shared" si="36"/>
        <v>-903.74321830303461</v>
      </c>
      <c r="G146" s="94">
        <f t="shared" si="37"/>
        <v>295.0902333032642</v>
      </c>
      <c r="H146" s="97">
        <f t="shared" si="38"/>
        <v>-366.00616413639983</v>
      </c>
      <c r="I146" s="94">
        <f t="shared" si="39"/>
        <v>758.25968957129407</v>
      </c>
      <c r="J146" s="95">
        <f t="shared" si="40"/>
        <v>-174.42106426524265</v>
      </c>
      <c r="K146" s="94">
        <f t="shared" si="41"/>
        <v>22.627492754159867</v>
      </c>
      <c r="L146" s="94">
        <f t="shared" si="42"/>
        <v>-363.31598990139224</v>
      </c>
      <c r="M146" s="94">
        <f t="shared" si="43"/>
        <v>-485.79694902218978</v>
      </c>
      <c r="N146" s="99">
        <f t="shared" si="44"/>
        <v>1296.822550673799</v>
      </c>
      <c r="O146" s="99">
        <f t="shared" si="45"/>
        <v>30839.999295504695</v>
      </c>
      <c r="P146" s="100">
        <f t="shared" si="46"/>
        <v>26467.755377636724</v>
      </c>
      <c r="Q146" s="95">
        <f t="shared" si="47"/>
        <v>1025331995954.244</v>
      </c>
      <c r="R146" s="95">
        <f t="shared" si="48"/>
        <v>31627783720455.664</v>
      </c>
      <c r="S146" s="95">
        <f t="shared" si="49"/>
        <v>22650419176468.18</v>
      </c>
      <c r="T146">
        <f t="shared" si="25"/>
        <v>0.5</v>
      </c>
      <c r="X146" s="101">
        <v>103</v>
      </c>
      <c r="Y146" s="101">
        <f t="shared" si="26"/>
        <v>8875.2447282806752</v>
      </c>
      <c r="Z146" s="101">
        <f t="shared" si="27"/>
        <v>12371.850323926177</v>
      </c>
      <c r="AA146" s="101">
        <f t="shared" si="28"/>
        <v>-20787.328690203525</v>
      </c>
      <c r="AB146" s="101">
        <f t="shared" si="29"/>
        <v>13410.295226748323</v>
      </c>
      <c r="AC146" s="101">
        <f t="shared" si="30"/>
        <v>-6124.7552717193239</v>
      </c>
      <c r="AD146" s="101">
        <f t="shared" si="31"/>
        <v>-10128.149676073823</v>
      </c>
    </row>
    <row r="147" spans="1:30" x14ac:dyDescent="0.25">
      <c r="A147">
        <v>52</v>
      </c>
      <c r="B147" s="95">
        <f t="shared" si="32"/>
        <v>10582.652205823666</v>
      </c>
      <c r="C147" s="95">
        <f t="shared" si="33"/>
        <v>5740.4128617053811</v>
      </c>
      <c r="D147" s="95">
        <f t="shared" si="34"/>
        <v>-268.15131168477257</v>
      </c>
      <c r="E147" s="95">
        <f t="shared" si="35"/>
        <v>-549.46557140216441</v>
      </c>
      <c r="F147" s="96">
        <f t="shared" si="36"/>
        <v>-832.96146630155022</v>
      </c>
      <c r="G147" s="94">
        <f t="shared" si="37"/>
        <v>418.54647187666376</v>
      </c>
      <c r="H147" s="97">
        <f t="shared" si="38"/>
        <v>-293.04550857085064</v>
      </c>
      <c r="I147" s="94">
        <f t="shared" si="39"/>
        <v>884.98610777134422</v>
      </c>
      <c r="J147" s="95">
        <f t="shared" si="40"/>
        <v>-171.52243595950185</v>
      </c>
      <c r="K147" s="94">
        <f t="shared" si="41"/>
        <v>23.889843079173168</v>
      </c>
      <c r="L147" s="94">
        <f t="shared" si="42"/>
        <v>-368.3935217711977</v>
      </c>
      <c r="M147" s="94">
        <f t="shared" si="43"/>
        <v>-490.32947897385361</v>
      </c>
      <c r="N147" s="99">
        <f t="shared" si="44"/>
        <v>1648.7847876858764</v>
      </c>
      <c r="O147" s="99">
        <f t="shared" si="45"/>
        <v>30974.125245743988</v>
      </c>
      <c r="P147" s="100">
        <f t="shared" si="46"/>
        <v>26242.177525109779</v>
      </c>
      <c r="Q147" s="95">
        <f t="shared" si="47"/>
        <v>1041053258440.0973</v>
      </c>
      <c r="R147" s="95">
        <f t="shared" si="48"/>
        <v>32021889333949.656</v>
      </c>
      <c r="S147" s="95">
        <f t="shared" si="49"/>
        <v>22147668548337.938</v>
      </c>
      <c r="T147">
        <f t="shared" si="25"/>
        <v>0.5</v>
      </c>
      <c r="X147" s="101">
        <v>104</v>
      </c>
      <c r="Y147" s="101">
        <f t="shared" si="26"/>
        <v>8790.3905220016604</v>
      </c>
      <c r="Z147" s="101">
        <f t="shared" si="27"/>
        <v>12351.478631379981</v>
      </c>
      <c r="AA147" s="101">
        <f t="shared" si="28"/>
        <v>-20846.726634598836</v>
      </c>
      <c r="AB147" s="101">
        <f t="shared" si="29"/>
        <v>13396.035041965988</v>
      </c>
      <c r="AC147" s="101">
        <f t="shared" si="30"/>
        <v>-6209.6094779983387</v>
      </c>
      <c r="AD147" s="101">
        <f t="shared" si="31"/>
        <v>-10148.521368620019</v>
      </c>
    </row>
    <row r="148" spans="1:30" x14ac:dyDescent="0.25">
      <c r="A148">
        <v>52.5</v>
      </c>
      <c r="B148" s="95">
        <f t="shared" si="32"/>
        <v>10240.336183405892</v>
      </c>
      <c r="C148" s="95">
        <f t="shared" si="33"/>
        <v>5570.3166939734647</v>
      </c>
      <c r="D148" s="95">
        <f t="shared" si="34"/>
        <v>-684.63204483554773</v>
      </c>
      <c r="E148" s="95">
        <f t="shared" si="35"/>
        <v>-340.19233546383253</v>
      </c>
      <c r="F148" s="96">
        <f t="shared" si="36"/>
        <v>-662.04898806477934</v>
      </c>
      <c r="G148" s="94">
        <f t="shared" si="37"/>
        <v>484.35696435995141</v>
      </c>
      <c r="H148" s="97">
        <f t="shared" si="38"/>
        <v>-119.62240605721016</v>
      </c>
      <c r="I148" s="94">
        <f t="shared" si="39"/>
        <v>960.46028826829809</v>
      </c>
      <c r="J148" s="95">
        <f t="shared" si="40"/>
        <v>-171.11576448315839</v>
      </c>
      <c r="K148" s="94">
        <f t="shared" si="41"/>
        <v>25.065483423592177</v>
      </c>
      <c r="L148" s="94">
        <f t="shared" si="42"/>
        <v>-371.31081752441082</v>
      </c>
      <c r="M148" s="94">
        <f t="shared" si="43"/>
        <v>-501.16880733193881</v>
      </c>
      <c r="N148" s="99">
        <f t="shared" si="44"/>
        <v>1853.5453839070221</v>
      </c>
      <c r="O148" s="99">
        <f t="shared" si="45"/>
        <v>30877.867454393545</v>
      </c>
      <c r="P148" s="100">
        <f t="shared" si="46"/>
        <v>25941.930834879178</v>
      </c>
      <c r="Q148" s="95">
        <f t="shared" si="47"/>
        <v>1051974588298.3644</v>
      </c>
      <c r="R148" s="95">
        <f t="shared" si="48"/>
        <v>31738714695095.414</v>
      </c>
      <c r="S148" s="95">
        <f t="shared" si="49"/>
        <v>21490947714748.883</v>
      </c>
      <c r="T148">
        <f t="shared" si="25"/>
        <v>0.5</v>
      </c>
      <c r="X148" s="101">
        <v>105</v>
      </c>
      <c r="Y148" s="101">
        <f t="shared" si="26"/>
        <v>8705.9047744873951</v>
      </c>
      <c r="Z148" s="101">
        <f t="shared" si="27"/>
        <v>12329.629131445341</v>
      </c>
      <c r="AA148" s="101">
        <f t="shared" si="28"/>
        <v>-20905.866657858824</v>
      </c>
      <c r="AB148" s="101">
        <f t="shared" si="29"/>
        <v>13380.740392011739</v>
      </c>
      <c r="AC148" s="101">
        <f t="shared" si="30"/>
        <v>-6294.095225512604</v>
      </c>
      <c r="AD148" s="101">
        <f t="shared" si="31"/>
        <v>-10170.370868554659</v>
      </c>
    </row>
    <row r="149" spans="1:30" x14ac:dyDescent="0.25">
      <c r="A149">
        <v>53</v>
      </c>
      <c r="B149" s="95">
        <f t="shared" si="32"/>
        <v>9732.5079139719237</v>
      </c>
      <c r="C149" s="95">
        <f t="shared" si="33"/>
        <v>5521.309767331536</v>
      </c>
      <c r="D149" s="95">
        <f t="shared" si="34"/>
        <v>-1015.6565388679373</v>
      </c>
      <c r="E149" s="95">
        <f t="shared" si="35"/>
        <v>-98.013853283856832</v>
      </c>
      <c r="F149" s="96">
        <f t="shared" si="36"/>
        <v>-412.29741359774152</v>
      </c>
      <c r="G149" s="94">
        <f t="shared" si="37"/>
        <v>488.5012785643147</v>
      </c>
      <c r="H149" s="97">
        <f t="shared" si="38"/>
        <v>132.47380992276871</v>
      </c>
      <c r="I149" s="94">
        <f t="shared" si="39"/>
        <v>979.93416429915669</v>
      </c>
      <c r="J149" s="95">
        <f t="shared" si="40"/>
        <v>-173.23184213889348</v>
      </c>
      <c r="K149" s="94">
        <f t="shared" si="41"/>
        <v>26.094393436957215</v>
      </c>
      <c r="L149" s="94">
        <f t="shared" si="42"/>
        <v>-371.53938138161675</v>
      </c>
      <c r="M149" s="94">
        <f t="shared" si="43"/>
        <v>-517.52727917179925</v>
      </c>
      <c r="N149" s="99">
        <f t="shared" si="44"/>
        <v>1944.5922818451199</v>
      </c>
      <c r="O149" s="99">
        <f t="shared" si="45"/>
        <v>30563.050022487903</v>
      </c>
      <c r="P149" s="100">
        <f t="shared" si="46"/>
        <v>25600.89404441951</v>
      </c>
      <c r="Q149" s="95">
        <f t="shared" si="47"/>
        <v>1057254477758.1976</v>
      </c>
      <c r="R149" s="95">
        <f t="shared" si="48"/>
        <v>30824536988251.656</v>
      </c>
      <c r="S149" s="95">
        <f t="shared" si="49"/>
        <v>20762060475427.223</v>
      </c>
      <c r="T149">
        <f t="shared" si="25"/>
        <v>0.5</v>
      </c>
      <c r="X149" s="101">
        <v>106</v>
      </c>
      <c r="Y149" s="101">
        <f t="shared" si="26"/>
        <v>8621.8132209150044</v>
      </c>
      <c r="Z149" s="101">
        <f t="shared" si="27"/>
        <v>12306.308479691594</v>
      </c>
      <c r="AA149" s="101">
        <f t="shared" si="28"/>
        <v>-20964.730745359499</v>
      </c>
      <c r="AB149" s="101">
        <f t="shared" si="29"/>
        <v>13364.415935784116</v>
      </c>
      <c r="AC149" s="101">
        <f t="shared" si="30"/>
        <v>-6378.1867790849956</v>
      </c>
      <c r="AD149" s="101">
        <f t="shared" si="31"/>
        <v>-10193.691520308406</v>
      </c>
    </row>
    <row r="150" spans="1:30" x14ac:dyDescent="0.25">
      <c r="A150">
        <v>53.5</v>
      </c>
      <c r="B150" s="95">
        <f t="shared" si="32"/>
        <v>9121.6052911385195</v>
      </c>
      <c r="C150" s="95">
        <f t="shared" si="33"/>
        <v>5594.4281603306863</v>
      </c>
      <c r="D150" s="95">
        <f t="shared" si="34"/>
        <v>-1221.8052456668081</v>
      </c>
      <c r="E150" s="95">
        <f t="shared" si="35"/>
        <v>146.23678599830052</v>
      </c>
      <c r="F150" s="96">
        <f t="shared" si="36"/>
        <v>-112.69789747692582</v>
      </c>
      <c r="G150" s="94">
        <f t="shared" si="37"/>
        <v>430.15310593836284</v>
      </c>
      <c r="H150" s="97">
        <f t="shared" si="38"/>
        <v>433.73175456632288</v>
      </c>
      <c r="I150" s="94">
        <f t="shared" si="39"/>
        <v>940.92895726024244</v>
      </c>
      <c r="J150" s="95">
        <f t="shared" si="40"/>
        <v>-177.7516110518217</v>
      </c>
      <c r="K150" s="94">
        <f t="shared" si="41"/>
        <v>26.890601815280046</v>
      </c>
      <c r="L150" s="94">
        <f t="shared" si="42"/>
        <v>-368.678040991427</v>
      </c>
      <c r="M150" s="94">
        <f t="shared" si="43"/>
        <v>-537.66645313715969</v>
      </c>
      <c r="N150" s="99">
        <f t="shared" si="44"/>
        <v>1996.6890225934615</v>
      </c>
      <c r="O150" s="99">
        <f t="shared" si="45"/>
        <v>30067.934632338864</v>
      </c>
      <c r="P150" s="100">
        <f t="shared" si="46"/>
        <v>25262.045522918805</v>
      </c>
      <c r="Q150" s="95">
        <f t="shared" si="47"/>
        <v>1060393640100.8126</v>
      </c>
      <c r="R150" s="95">
        <f t="shared" si="48"/>
        <v>29423511926549.68</v>
      </c>
      <c r="S150" s="95">
        <f t="shared" si="49"/>
        <v>20055588936186.531</v>
      </c>
      <c r="T150">
        <f t="shared" si="25"/>
        <v>0.5</v>
      </c>
      <c r="X150" s="101">
        <v>107</v>
      </c>
      <c r="Y150" s="101">
        <f t="shared" si="26"/>
        <v>8538.1414763863177</v>
      </c>
      <c r="Z150" s="101">
        <f t="shared" si="27"/>
        <v>12281.523779815177</v>
      </c>
      <c r="AA150" s="101">
        <f t="shared" si="28"/>
        <v>-21023.300966529579</v>
      </c>
      <c r="AB150" s="101">
        <f t="shared" si="29"/>
        <v>13347.066645870626</v>
      </c>
      <c r="AC150" s="101">
        <f t="shared" si="30"/>
        <v>-6461.8585236136832</v>
      </c>
      <c r="AD150" s="101">
        <f t="shared" si="31"/>
        <v>-10218.476220184823</v>
      </c>
    </row>
    <row r="151" spans="1:30" x14ac:dyDescent="0.25">
      <c r="A151">
        <v>54</v>
      </c>
      <c r="B151" s="95">
        <f t="shared" si="32"/>
        <v>8482.5281939358847</v>
      </c>
      <c r="C151" s="95">
        <f t="shared" si="33"/>
        <v>5775.0848298144274</v>
      </c>
      <c r="D151" s="95">
        <f t="shared" si="34"/>
        <v>-1278.154194405271</v>
      </c>
      <c r="E151" s="95">
        <f t="shared" si="35"/>
        <v>361.31333896748197</v>
      </c>
      <c r="F151" s="96">
        <f t="shared" si="36"/>
        <v>197.73404699653366</v>
      </c>
      <c r="G151" s="94">
        <f t="shared" si="37"/>
        <v>315.0816147797259</v>
      </c>
      <c r="H151" s="97">
        <f t="shared" si="38"/>
        <v>744.81969228398509</v>
      </c>
      <c r="I151" s="94">
        <f t="shared" si="39"/>
        <v>846.63898277350506</v>
      </c>
      <c r="J151" s="95">
        <f t="shared" si="40"/>
        <v>-184.36944683569902</v>
      </c>
      <c r="K151" s="94">
        <f t="shared" si="41"/>
        <v>27.348178769492442</v>
      </c>
      <c r="L151" s="94">
        <f t="shared" si="42"/>
        <v>-362.7161984517524</v>
      </c>
      <c r="M151" s="94">
        <f t="shared" si="43"/>
        <v>-558.90554676327156</v>
      </c>
      <c r="N151" s="99">
        <f t="shared" si="44"/>
        <v>2098.2805581467264</v>
      </c>
      <c r="O151" s="99">
        <f t="shared" si="45"/>
        <v>29452.961785996231</v>
      </c>
      <c r="P151" s="100">
        <f t="shared" si="46"/>
        <v>24970.987310271357</v>
      </c>
      <c r="Q151" s="95">
        <f t="shared" si="47"/>
        <v>1066763389705.2832</v>
      </c>
      <c r="R151" s="95">
        <f t="shared" si="48"/>
        <v>27744846450841.625</v>
      </c>
      <c r="S151" s="95">
        <f t="shared" si="49"/>
        <v>19462696412367.148</v>
      </c>
      <c r="T151">
        <f t="shared" si="25"/>
        <v>0.5</v>
      </c>
      <c r="X151" s="101">
        <v>108</v>
      </c>
      <c r="Y151" s="101">
        <f t="shared" si="26"/>
        <v>8454.9150281252623</v>
      </c>
      <c r="Z151" s="101">
        <f t="shared" si="27"/>
        <v>12255.282581475767</v>
      </c>
      <c r="AA151" s="101">
        <f t="shared" si="28"/>
        <v>-21081.559480312317</v>
      </c>
      <c r="AB151" s="101">
        <f t="shared" si="29"/>
        <v>13328.697807033037</v>
      </c>
      <c r="AC151" s="101">
        <f t="shared" si="30"/>
        <v>-6545.0849718747368</v>
      </c>
      <c r="AD151" s="101">
        <f t="shared" si="31"/>
        <v>-10244.717418524233</v>
      </c>
    </row>
    <row r="152" spans="1:30" x14ac:dyDescent="0.25">
      <c r="A152">
        <v>54.5</v>
      </c>
      <c r="B152" s="95">
        <f t="shared" si="32"/>
        <v>7892.8846084823826</v>
      </c>
      <c r="C152" s="95">
        <f t="shared" si="33"/>
        <v>6034.5119029931002</v>
      </c>
      <c r="D152" s="95">
        <f t="shared" si="34"/>
        <v>-1179.2871709070041</v>
      </c>
      <c r="E152" s="95">
        <f t="shared" si="35"/>
        <v>518.85414635734492</v>
      </c>
      <c r="F152" s="96">
        <f t="shared" si="36"/>
        <v>474.5521969398053</v>
      </c>
      <c r="G152" s="94">
        <f t="shared" si="37"/>
        <v>159.69684908278487</v>
      </c>
      <c r="H152" s="97">
        <f t="shared" si="38"/>
        <v>1021.3631263974953</v>
      </c>
      <c r="I152" s="94">
        <f t="shared" si="39"/>
        <v>710.35288835284859</v>
      </c>
      <c r="J152" s="95">
        <f t="shared" si="40"/>
        <v>-192.51607623286981</v>
      </c>
      <c r="K152" s="94">
        <f t="shared" si="41"/>
        <v>27.369711648674652</v>
      </c>
      <c r="L152" s="94">
        <f t="shared" si="42"/>
        <v>-354.29485322482014</v>
      </c>
      <c r="M152" s="94">
        <f t="shared" si="43"/>
        <v>-578.02575091873837</v>
      </c>
      <c r="N152" s="99">
        <f t="shared" si="44"/>
        <v>2297.4013638317119</v>
      </c>
      <c r="O152" s="99">
        <f t="shared" si="45"/>
        <v>28794.171641386329</v>
      </c>
      <c r="P152" s="100">
        <f t="shared" si="46"/>
        <v>24766.564480893623</v>
      </c>
      <c r="Q152" s="95">
        <f t="shared" si="47"/>
        <v>1080206452071.9515</v>
      </c>
      <c r="R152" s="95">
        <f t="shared" si="48"/>
        <v>26020711706461.977</v>
      </c>
      <c r="S152" s="95">
        <f t="shared" si="49"/>
        <v>19053899692547.402</v>
      </c>
      <c r="T152">
        <f t="shared" si="25"/>
        <v>0.5</v>
      </c>
      <c r="X152" s="101">
        <v>109</v>
      </c>
      <c r="Y152" s="101">
        <f t="shared" si="26"/>
        <v>8372.1592277142172</v>
      </c>
      <c r="Z152" s="101">
        <f t="shared" si="27"/>
        <v>12227.592877996583</v>
      </c>
      <c r="AA152" s="101">
        <f t="shared" si="28"/>
        <v>-21139.488540600047</v>
      </c>
      <c r="AB152" s="101">
        <f t="shared" si="29"/>
        <v>13309.315014597609</v>
      </c>
      <c r="AC152" s="101">
        <f t="shared" si="30"/>
        <v>-6627.8407722857819</v>
      </c>
      <c r="AD152" s="101">
        <f t="shared" si="31"/>
        <v>-10272.407122003417</v>
      </c>
    </row>
    <row r="153" spans="1:30" x14ac:dyDescent="0.25">
      <c r="A153">
        <v>55</v>
      </c>
      <c r="B153" s="95">
        <f t="shared" si="32"/>
        <v>7421.8790722638323</v>
      </c>
      <c r="C153" s="95">
        <f t="shared" si="33"/>
        <v>6333.8631884424694</v>
      </c>
      <c r="D153" s="95">
        <f t="shared" si="34"/>
        <v>-942.01107243710146</v>
      </c>
      <c r="E153" s="95">
        <f t="shared" si="35"/>
        <v>598.70257089873735</v>
      </c>
      <c r="F153" s="96">
        <f t="shared" si="36"/>
        <v>680.64960864336672</v>
      </c>
      <c r="G153" s="94">
        <f t="shared" si="37"/>
        <v>-10.321477193807141</v>
      </c>
      <c r="H153" s="97">
        <f t="shared" si="38"/>
        <v>1226.7100932429562</v>
      </c>
      <c r="I153" s="94">
        <f t="shared" si="39"/>
        <v>554.86605824029596</v>
      </c>
      <c r="J153" s="95">
        <f t="shared" si="40"/>
        <v>-201.3033511142782</v>
      </c>
      <c r="K153" s="94">
        <f t="shared" si="41"/>
        <v>26.91302167386516</v>
      </c>
      <c r="L153" s="94">
        <f t="shared" si="42"/>
        <v>-344.75713348531121</v>
      </c>
      <c r="M153" s="94">
        <f t="shared" si="43"/>
        <v>-592.10055710796826</v>
      </c>
      <c r="N153" s="99">
        <f t="shared" si="44"/>
        <v>2566.6302101470224</v>
      </c>
      <c r="O153" s="99">
        <f t="shared" si="45"/>
        <v>28173.358117725631</v>
      </c>
      <c r="P153" s="100">
        <f t="shared" si="46"/>
        <v>24671.383514606558</v>
      </c>
      <c r="Q153" s="95">
        <f t="shared" si="47"/>
        <v>1100423782719.8286</v>
      </c>
      <c r="R153" s="95">
        <f t="shared" si="48"/>
        <v>24464646733332.402</v>
      </c>
      <c r="S153" s="95">
        <f t="shared" si="49"/>
        <v>18865688454694.699</v>
      </c>
      <c r="T153">
        <f t="shared" si="25"/>
        <v>0.5</v>
      </c>
      <c r="X153" s="101">
        <v>110</v>
      </c>
      <c r="Y153" s="101">
        <f t="shared" si="26"/>
        <v>8289.8992833716566</v>
      </c>
      <c r="Z153" s="101">
        <f t="shared" si="27"/>
        <v>12198.463103929542</v>
      </c>
      <c r="AA153" s="101">
        <f t="shared" si="28"/>
        <v>-21197.070501639842</v>
      </c>
      <c r="AB153" s="101">
        <f t="shared" si="29"/>
        <v>13288.92417275068</v>
      </c>
      <c r="AC153" s="101">
        <f t="shared" si="30"/>
        <v>-6710.1007166283434</v>
      </c>
      <c r="AD153" s="101">
        <f t="shared" si="31"/>
        <v>-10301.536896070458</v>
      </c>
    </row>
    <row r="154" spans="1:30" x14ac:dyDescent="0.25">
      <c r="A154">
        <v>55.5</v>
      </c>
      <c r="B154" s="95">
        <f t="shared" si="32"/>
        <v>7121.0359382061233</v>
      </c>
      <c r="C154" s="95">
        <f t="shared" si="33"/>
        <v>6630.6341045933859</v>
      </c>
      <c r="D154" s="95">
        <f t="shared" si="34"/>
        <v>-601.6862681154181</v>
      </c>
      <c r="E154" s="95">
        <f t="shared" si="35"/>
        <v>593.54183230183378</v>
      </c>
      <c r="F154" s="96">
        <f t="shared" si="36"/>
        <v>797.50527883338236</v>
      </c>
      <c r="G154" s="94">
        <f t="shared" si="37"/>
        <v>-167.80387647402603</v>
      </c>
      <c r="H154" s="97">
        <f t="shared" si="38"/>
        <v>1342.949026188063</v>
      </c>
      <c r="I154" s="94">
        <f t="shared" si="39"/>
        <v>405.53270467362148</v>
      </c>
      <c r="J154" s="95">
        <f t="shared" si="40"/>
        <v>-209.57639241905821</v>
      </c>
      <c r="K154" s="94">
        <f t="shared" si="41"/>
        <v>26.036599439196586</v>
      </c>
      <c r="L154" s="94">
        <f t="shared" si="42"/>
        <v>-335.86735493562242</v>
      </c>
      <c r="M154" s="94">
        <f t="shared" si="43"/>
        <v>-599.37318058684411</v>
      </c>
      <c r="N154" s="99">
        <f t="shared" si="44"/>
        <v>2829.5905324447144</v>
      </c>
      <c r="O154" s="99">
        <f t="shared" si="45"/>
        <v>27665.863640503227</v>
      </c>
      <c r="P154" s="100">
        <f t="shared" si="46"/>
        <v>24686.773750920285</v>
      </c>
      <c r="Q154" s="95">
        <f t="shared" si="47"/>
        <v>1122471537155.4866</v>
      </c>
      <c r="R154" s="95">
        <f t="shared" si="48"/>
        <v>23241098765360.828</v>
      </c>
      <c r="S154" s="95">
        <f t="shared" si="49"/>
        <v>18896029884905.559</v>
      </c>
      <c r="T154">
        <f t="shared" si="25"/>
        <v>0.5</v>
      </c>
      <c r="X154" s="101">
        <v>111</v>
      </c>
      <c r="Y154" s="101">
        <f t="shared" si="26"/>
        <v>8208.1602522734993</v>
      </c>
      <c r="Z154" s="101">
        <f t="shared" si="27"/>
        <v>12167.902132486008</v>
      </c>
      <c r="AA154" s="101">
        <f t="shared" si="28"/>
        <v>-21254.287823408551</v>
      </c>
      <c r="AB154" s="101">
        <f t="shared" si="29"/>
        <v>13267.531492740207</v>
      </c>
      <c r="AC154" s="101">
        <f t="shared" si="30"/>
        <v>-6791.8397477265016</v>
      </c>
      <c r="AD154" s="101">
        <f t="shared" si="31"/>
        <v>-10332.097867513992</v>
      </c>
    </row>
    <row r="155" spans="1:30" x14ac:dyDescent="0.25">
      <c r="A155">
        <v>56</v>
      </c>
      <c r="B155" s="95">
        <f t="shared" si="32"/>
        <v>7019.5691238567597</v>
      </c>
      <c r="C155" s="95">
        <f t="shared" si="33"/>
        <v>6885.4540516257957</v>
      </c>
      <c r="D155" s="95">
        <f t="shared" si="34"/>
        <v>-202.93362869872692</v>
      </c>
      <c r="E155" s="95">
        <f t="shared" si="35"/>
        <v>509.63989406482074</v>
      </c>
      <c r="F155" s="96">
        <f t="shared" si="36"/>
        <v>825.05826993091182</v>
      </c>
      <c r="G155" s="94">
        <f t="shared" si="37"/>
        <v>-292.12066673226451</v>
      </c>
      <c r="H155" s="97">
        <f t="shared" si="38"/>
        <v>1370.4829415965921</v>
      </c>
      <c r="I155" s="94">
        <f t="shared" si="39"/>
        <v>282.58489261257722</v>
      </c>
      <c r="J155" s="95">
        <f t="shared" si="40"/>
        <v>-216.11293994457023</v>
      </c>
      <c r="K155" s="94">
        <f t="shared" si="41"/>
        <v>24.911340310800703</v>
      </c>
      <c r="L155" s="94">
        <f t="shared" si="42"/>
        <v>-329.31173172111016</v>
      </c>
      <c r="M155" s="94">
        <f t="shared" si="43"/>
        <v>-599.61689965564244</v>
      </c>
      <c r="N155" s="99">
        <f t="shared" si="44"/>
        <v>3007.3628196805321</v>
      </c>
      <c r="O155" s="99">
        <f t="shared" si="45"/>
        <v>27329.530125829042</v>
      </c>
      <c r="P155" s="100">
        <f t="shared" si="46"/>
        <v>24795.238332834855</v>
      </c>
      <c r="Q155" s="95">
        <f t="shared" si="47"/>
        <v>1138686159556.2424</v>
      </c>
      <c r="R155" s="95">
        <f t="shared" si="48"/>
        <v>22453827923155.578</v>
      </c>
      <c r="S155" s="95">
        <f t="shared" si="49"/>
        <v>19110863872290.898</v>
      </c>
      <c r="T155">
        <f t="shared" si="25"/>
        <v>0.5</v>
      </c>
      <c r="X155" s="101">
        <v>112</v>
      </c>
      <c r="Y155" s="101">
        <f t="shared" si="26"/>
        <v>8126.96703292044</v>
      </c>
      <c r="Z155" s="101">
        <f t="shared" si="27"/>
        <v>12135.919272833937</v>
      </c>
      <c r="AA155" s="101">
        <f t="shared" si="28"/>
        <v>-21311.123076955693</v>
      </c>
      <c r="AB155" s="101">
        <f t="shared" si="29"/>
        <v>13245.143490983755</v>
      </c>
      <c r="AC155" s="101">
        <f t="shared" si="30"/>
        <v>-6873.03296707956</v>
      </c>
      <c r="AD155" s="101">
        <f t="shared" si="31"/>
        <v>-10364.080727166063</v>
      </c>
    </row>
    <row r="156" spans="1:30" x14ac:dyDescent="0.25">
      <c r="A156">
        <v>56.5</v>
      </c>
      <c r="B156" s="95">
        <f t="shared" si="32"/>
        <v>7124.3668769901242</v>
      </c>
      <c r="C156" s="95">
        <f t="shared" si="33"/>
        <v>7067.24383197514</v>
      </c>
      <c r="D156" s="95">
        <f t="shared" si="34"/>
        <v>209.59550626672899</v>
      </c>
      <c r="E156" s="95">
        <f t="shared" si="35"/>
        <v>363.57956069868851</v>
      </c>
      <c r="F156" s="96">
        <f t="shared" si="36"/>
        <v>772.21116462161729</v>
      </c>
      <c r="G156" s="94">
        <f t="shared" si="37"/>
        <v>-371.62096551094226</v>
      </c>
      <c r="H156" s="97">
        <f t="shared" si="38"/>
        <v>1318.3675953528079</v>
      </c>
      <c r="I156" s="94">
        <f t="shared" si="39"/>
        <v>198.40212023147959</v>
      </c>
      <c r="J156" s="95">
        <f t="shared" si="40"/>
        <v>-219.90600534194323</v>
      </c>
      <c r="K156" s="94">
        <f t="shared" si="41"/>
        <v>23.776801739818417</v>
      </c>
      <c r="L156" s="94">
        <f t="shared" si="42"/>
        <v>-326.25042538924743</v>
      </c>
      <c r="M156" s="94">
        <f t="shared" si="43"/>
        <v>-593.79988748224025</v>
      </c>
      <c r="N156" s="99">
        <f t="shared" si="44"/>
        <v>3043.1291346459675</v>
      </c>
      <c r="O156" s="99">
        <f t="shared" si="45"/>
        <v>27198.483636103829</v>
      </c>
      <c r="P156" s="100">
        <f t="shared" si="46"/>
        <v>24968.843404711293</v>
      </c>
      <c r="Q156" s="95">
        <f t="shared" si="47"/>
        <v>1142077511299.0767</v>
      </c>
      <c r="R156" s="95">
        <f t="shared" si="48"/>
        <v>22152118335333.383</v>
      </c>
      <c r="S156" s="95">
        <f t="shared" si="49"/>
        <v>19458376626244.934</v>
      </c>
      <c r="T156">
        <f t="shared" si="25"/>
        <v>0.5</v>
      </c>
      <c r="X156" s="101">
        <v>113</v>
      </c>
      <c r="Y156" s="101">
        <f t="shared" si="26"/>
        <v>8046.3443575536321</v>
      </c>
      <c r="Z156" s="101">
        <f t="shared" si="27"/>
        <v>12102.524267262201</v>
      </c>
      <c r="AA156" s="101">
        <f t="shared" si="28"/>
        <v>-21367.558949712457</v>
      </c>
      <c r="AB156" s="101">
        <f t="shared" si="29"/>
        <v>13221.766987083542</v>
      </c>
      <c r="AC156" s="101">
        <f t="shared" si="30"/>
        <v>-6953.6556424463679</v>
      </c>
      <c r="AD156" s="101">
        <f t="shared" si="31"/>
        <v>-10397.475732737799</v>
      </c>
    </row>
    <row r="157" spans="1:30" x14ac:dyDescent="0.25">
      <c r="A157">
        <v>57</v>
      </c>
      <c r="B157" s="95">
        <f t="shared" si="32"/>
        <v>7422.2174212788932</v>
      </c>
      <c r="C157" s="95">
        <f t="shared" si="33"/>
        <v>7156.1283709467489</v>
      </c>
      <c r="D157" s="95">
        <f t="shared" si="34"/>
        <v>595.70108857753758</v>
      </c>
      <c r="E157" s="95">
        <f t="shared" si="35"/>
        <v>177.76907794321738</v>
      </c>
      <c r="F157" s="96">
        <f t="shared" si="36"/>
        <v>647.47709584580821</v>
      </c>
      <c r="G157" s="94">
        <f t="shared" si="37"/>
        <v>-401.15379863312478</v>
      </c>
      <c r="H157" s="97">
        <f t="shared" si="38"/>
        <v>1194.9817314403836</v>
      </c>
      <c r="I157" s="94">
        <f t="shared" si="39"/>
        <v>159.40844587565863</v>
      </c>
      <c r="J157" s="95">
        <f t="shared" si="40"/>
        <v>-220.40050064488398</v>
      </c>
      <c r="K157" s="94">
        <f t="shared" si="41"/>
        <v>22.857040376565092</v>
      </c>
      <c r="L157" s="94">
        <f t="shared" si="42"/>
        <v>-327.10413494969129</v>
      </c>
      <c r="M157" s="94">
        <f t="shared" si="43"/>
        <v>-583.41928488534847</v>
      </c>
      <c r="N157" s="99">
        <f t="shared" si="44"/>
        <v>2908.0137137082233</v>
      </c>
      <c r="O157" s="99">
        <f t="shared" si="45"/>
        <v>27282.454750602024</v>
      </c>
      <c r="P157" s="100">
        <f t="shared" si="46"/>
        <v>25178.632260464427</v>
      </c>
      <c r="Q157" s="95">
        <f t="shared" si="47"/>
        <v>1129493252043.3542</v>
      </c>
      <c r="R157" s="95">
        <f t="shared" si="48"/>
        <v>22345122277029.199</v>
      </c>
      <c r="S157" s="95">
        <f t="shared" si="49"/>
        <v>19884364448642.148</v>
      </c>
      <c r="T157">
        <f t="shared" si="25"/>
        <v>0.5</v>
      </c>
      <c r="X157" s="101">
        <v>114</v>
      </c>
      <c r="Y157" s="101">
        <f t="shared" si="26"/>
        <v>7966.3167846209999</v>
      </c>
      <c r="Z157" s="101">
        <f t="shared" si="27"/>
        <v>12067.727288213006</v>
      </c>
      <c r="AA157" s="101">
        <f t="shared" si="28"/>
        <v>-21423.578250765298</v>
      </c>
      <c r="AB157" s="101">
        <f t="shared" si="29"/>
        <v>13197.409101749103</v>
      </c>
      <c r="AC157" s="101">
        <f t="shared" si="30"/>
        <v>-7033.6832153790001</v>
      </c>
      <c r="AD157" s="101">
        <f t="shared" si="31"/>
        <v>-10432.272711786994</v>
      </c>
    </row>
    <row r="158" spans="1:30" x14ac:dyDescent="0.25">
      <c r="A158">
        <v>57.5</v>
      </c>
      <c r="B158" s="95">
        <f t="shared" si="32"/>
        <v>7881.9372395291139</v>
      </c>
      <c r="C158" s="95">
        <f t="shared" si="33"/>
        <v>7144.7244602600767</v>
      </c>
      <c r="D158" s="95">
        <f t="shared" si="34"/>
        <v>919.43963650044168</v>
      </c>
      <c r="E158" s="95">
        <f t="shared" si="35"/>
        <v>-22.807821373345007</v>
      </c>
      <c r="F158" s="96">
        <f t="shared" si="36"/>
        <v>456.16827906386567</v>
      </c>
      <c r="G158" s="94">
        <f t="shared" si="37"/>
        <v>-379.06243728918713</v>
      </c>
      <c r="H158" s="97">
        <f t="shared" si="38"/>
        <v>1005.3215864908115</v>
      </c>
      <c r="I158" s="94">
        <f t="shared" si="39"/>
        <v>168.62869973376715</v>
      </c>
      <c r="J158" s="95">
        <f t="shared" si="40"/>
        <v>-217.59057108798214</v>
      </c>
      <c r="K158" s="94">
        <f t="shared" si="41"/>
        <v>22.282563437692069</v>
      </c>
      <c r="L158" s="94">
        <f t="shared" si="42"/>
        <v>-331.5627363389637</v>
      </c>
      <c r="M158" s="94">
        <f t="shared" si="43"/>
        <v>-569.97370046064634</v>
      </c>
      <c r="N158" s="99">
        <f t="shared" si="44"/>
        <v>2600.6173729377751</v>
      </c>
      <c r="O158" s="99">
        <f t="shared" si="45"/>
        <v>27569.287516046286</v>
      </c>
      <c r="P158" s="100">
        <f t="shared" si="46"/>
        <v>25400.89585135525</v>
      </c>
      <c r="Q158" s="95">
        <f t="shared" si="47"/>
        <v>1103144588682.365</v>
      </c>
      <c r="R158" s="95">
        <f t="shared" si="48"/>
        <v>23013126017073.109</v>
      </c>
      <c r="S158" s="95">
        <f t="shared" si="49"/>
        <v>20342957234663.574</v>
      </c>
      <c r="T158">
        <f t="shared" si="25"/>
        <v>0.5</v>
      </c>
      <c r="X158" s="101">
        <v>115</v>
      </c>
      <c r="Y158" s="101">
        <f t="shared" si="26"/>
        <v>7886.9086912965031</v>
      </c>
      <c r="Z158" s="101">
        <f t="shared" si="27"/>
        <v>12031.538935183249</v>
      </c>
      <c r="AA158" s="101">
        <f t="shared" si="28"/>
        <v>-21479.163916092446</v>
      </c>
      <c r="AB158" s="101">
        <f t="shared" si="29"/>
        <v>13172.077254628275</v>
      </c>
      <c r="AC158" s="101">
        <f t="shared" si="30"/>
        <v>-7113.0913087034969</v>
      </c>
      <c r="AD158" s="101">
        <f t="shared" si="31"/>
        <v>-10468.461064816751</v>
      </c>
    </row>
    <row r="159" spans="1:30" x14ac:dyDescent="0.25">
      <c r="A159">
        <v>58</v>
      </c>
      <c r="B159" s="95">
        <f t="shared" si="32"/>
        <v>8455.699127545302</v>
      </c>
      <c r="C159" s="95">
        <f t="shared" si="33"/>
        <v>7038.5549402511078</v>
      </c>
      <c r="D159" s="95">
        <f t="shared" si="34"/>
        <v>1147.5237760323746</v>
      </c>
      <c r="E159" s="95">
        <f t="shared" si="35"/>
        <v>-212.33904001793857</v>
      </c>
      <c r="F159" s="96">
        <f t="shared" si="36"/>
        <v>205.0228538082726</v>
      </c>
      <c r="G159" s="94">
        <f t="shared" si="37"/>
        <v>-306.89806849213232</v>
      </c>
      <c r="H159" s="97">
        <f t="shared" si="38"/>
        <v>755.7109668540038</v>
      </c>
      <c r="I159" s="94">
        <f t="shared" si="39"/>
        <v>225.8103316995105</v>
      </c>
      <c r="J159" s="95">
        <f t="shared" si="40"/>
        <v>-211.97250872379573</v>
      </c>
      <c r="K159" s="94">
        <f t="shared" si="41"/>
        <v>22.060429299205044</v>
      </c>
      <c r="L159" s="94">
        <f t="shared" si="42"/>
        <v>-338.71560432193547</v>
      </c>
      <c r="M159" s="94">
        <f t="shared" si="43"/>
        <v>-554.76882949084791</v>
      </c>
      <c r="N159" s="99">
        <f t="shared" si="44"/>
        <v>2147.6523383525191</v>
      </c>
      <c r="O159" s="99">
        <f t="shared" si="45"/>
        <v>28027.754505790817</v>
      </c>
      <c r="P159" s="100">
        <f t="shared" si="46"/>
        <v>25618.999365002681</v>
      </c>
      <c r="Q159" s="95">
        <f t="shared" si="47"/>
        <v>1069977916740.8553</v>
      </c>
      <c r="R159" s="95">
        <f t="shared" si="48"/>
        <v>24109181298584.953</v>
      </c>
      <c r="S159" s="95">
        <f t="shared" si="49"/>
        <v>20800304143370.563</v>
      </c>
      <c r="T159">
        <f t="shared" si="25"/>
        <v>0.5</v>
      </c>
      <c r="X159" s="101">
        <v>116</v>
      </c>
      <c r="Y159" s="101">
        <f t="shared" si="26"/>
        <v>7808.1442660546127</v>
      </c>
      <c r="Z159" s="101">
        <f t="shared" si="27"/>
        <v>11993.970231495834</v>
      </c>
      <c r="AA159" s="101">
        <f t="shared" si="28"/>
        <v>-21534.299013761771</v>
      </c>
      <c r="AB159" s="101">
        <f t="shared" si="29"/>
        <v>13145.779162047085</v>
      </c>
      <c r="AC159" s="101">
        <f t="shared" si="30"/>
        <v>-7191.8557339453873</v>
      </c>
      <c r="AD159" s="101">
        <f t="shared" si="31"/>
        <v>-10506.029768504166</v>
      </c>
    </row>
    <row r="160" spans="1:30" x14ac:dyDescent="0.25">
      <c r="A160">
        <v>58.5</v>
      </c>
      <c r="B160" s="95">
        <f t="shared" si="32"/>
        <v>9080.7167290135585</v>
      </c>
      <c r="C160" s="95">
        <f t="shared" si="33"/>
        <v>6855.6609031191056</v>
      </c>
      <c r="D160" s="95">
        <f t="shared" si="34"/>
        <v>1250.0352029365108</v>
      </c>
      <c r="E160" s="95">
        <f t="shared" si="35"/>
        <v>-365.78807426400476</v>
      </c>
      <c r="F160" s="96">
        <f t="shared" si="36"/>
        <v>-88.484343239160353</v>
      </c>
      <c r="G160" s="94">
        <f t="shared" si="37"/>
        <v>-192.24309146331427</v>
      </c>
      <c r="H160" s="97">
        <f t="shared" si="38"/>
        <v>463.17053924672337</v>
      </c>
      <c r="I160" s="94">
        <f t="shared" si="39"/>
        <v>324.64300872116297</v>
      </c>
      <c r="J160" s="95">
        <f t="shared" si="40"/>
        <v>-204.40706329262713</v>
      </c>
      <c r="K160" s="94">
        <f t="shared" si="41"/>
        <v>22.101419534422071</v>
      </c>
      <c r="L160" s="94">
        <f t="shared" si="42"/>
        <v>-347.24781919325659</v>
      </c>
      <c r="M160" s="94">
        <f t="shared" si="43"/>
        <v>-538.98751971889931</v>
      </c>
      <c r="N160" s="99">
        <f t="shared" si="44"/>
        <v>1611.7681991623363</v>
      </c>
      <c r="O160" s="99">
        <f t="shared" si="45"/>
        <v>28609.386041634894</v>
      </c>
      <c r="P160" s="100">
        <f t="shared" si="46"/>
        <v>25821.575142997957</v>
      </c>
      <c r="Q160" s="95">
        <f t="shared" si="47"/>
        <v>1039218936289.2538</v>
      </c>
      <c r="R160" s="95">
        <f t="shared" si="48"/>
        <v>25550649804624.035</v>
      </c>
      <c r="S160" s="95">
        <f t="shared" si="49"/>
        <v>21231655409633.617</v>
      </c>
      <c r="T160">
        <f t="shared" si="25"/>
        <v>0.5</v>
      </c>
      <c r="X160" s="101">
        <v>117</v>
      </c>
      <c r="Y160" s="101">
        <f t="shared" si="26"/>
        <v>7730.047501302266</v>
      </c>
      <c r="Z160" s="101">
        <f t="shared" si="27"/>
        <v>11955.03262094184</v>
      </c>
      <c r="AA160" s="101">
        <f t="shared" si="28"/>
        <v>-21588.966749088413</v>
      </c>
      <c r="AB160" s="101">
        <f t="shared" si="29"/>
        <v>13118.522834659288</v>
      </c>
      <c r="AC160" s="101">
        <f t="shared" si="30"/>
        <v>-7269.952498697734</v>
      </c>
      <c r="AD160" s="101">
        <f t="shared" si="31"/>
        <v>-10544.96737905816</v>
      </c>
    </row>
    <row r="161" spans="1:30" x14ac:dyDescent="0.25">
      <c r="A161">
        <v>59</v>
      </c>
      <c r="B161" s="95">
        <f t="shared" si="32"/>
        <v>9683.6132446720239</v>
      </c>
      <c r="C161" s="95">
        <f t="shared" si="33"/>
        <v>6624.7060931212745</v>
      </c>
      <c r="D161" s="95">
        <f t="shared" si="34"/>
        <v>1205.7930313169306</v>
      </c>
      <c r="E161" s="95">
        <f t="shared" si="35"/>
        <v>-461.9096199956619</v>
      </c>
      <c r="F161" s="96">
        <f t="shared" si="36"/>
        <v>-389.07899322551543</v>
      </c>
      <c r="G161" s="94">
        <f t="shared" si="37"/>
        <v>-51.798366631409749</v>
      </c>
      <c r="H161" s="97">
        <f t="shared" si="38"/>
        <v>162.57673386946956</v>
      </c>
      <c r="I161" s="94">
        <f t="shared" si="39"/>
        <v>449.7736462092916</v>
      </c>
      <c r="J161" s="95">
        <f t="shared" si="40"/>
        <v>-195.9488273248013</v>
      </c>
      <c r="K161" s="94">
        <f t="shared" si="41"/>
        <v>22.281144733892756</v>
      </c>
      <c r="L161" s="94">
        <f t="shared" si="42"/>
        <v>-355.70689977018372</v>
      </c>
      <c r="M161" s="94">
        <f t="shared" si="43"/>
        <v>-523.85315757459409</v>
      </c>
      <c r="N161" s="99">
        <f t="shared" si="44"/>
        <v>1122.6106199768547</v>
      </c>
      <c r="O161" s="99">
        <f t="shared" si="45"/>
        <v>29250.212885196284</v>
      </c>
      <c r="P161" s="100">
        <f t="shared" si="46"/>
        <v>25998.778761989019</v>
      </c>
      <c r="Q161" s="95">
        <f t="shared" si="47"/>
        <v>1018963253611.9993</v>
      </c>
      <c r="R161" s="95">
        <f t="shared" si="48"/>
        <v>27206134328617.379</v>
      </c>
      <c r="S161" s="95">
        <f t="shared" si="49"/>
        <v>21614205181953.266</v>
      </c>
      <c r="T161">
        <f t="shared" si="25"/>
        <v>0.5</v>
      </c>
      <c r="X161" s="101">
        <v>118</v>
      </c>
      <c r="Y161" s="101">
        <f t="shared" si="26"/>
        <v>7652.6421860705468</v>
      </c>
      <c r="Z161" s="101">
        <f t="shared" si="27"/>
        <v>11914.737964294636</v>
      </c>
      <c r="AA161" s="101">
        <f t="shared" si="28"/>
        <v>-21643.150469750617</v>
      </c>
      <c r="AB161" s="101">
        <f t="shared" si="29"/>
        <v>13090.316575006245</v>
      </c>
      <c r="AC161" s="101">
        <f t="shared" si="30"/>
        <v>-7347.3578139294532</v>
      </c>
      <c r="AD161" s="101">
        <f t="shared" si="31"/>
        <v>-10585.262035705364</v>
      </c>
    </row>
    <row r="162" spans="1:30" x14ac:dyDescent="0.25">
      <c r="A162">
        <v>59.5</v>
      </c>
      <c r="B162" s="95">
        <f t="shared" si="32"/>
        <v>10189.240012024111</v>
      </c>
      <c r="C162" s="95">
        <f t="shared" si="33"/>
        <v>6380.8016914655909</v>
      </c>
      <c r="D162" s="95">
        <f t="shared" si="34"/>
        <v>1011.2535347041729</v>
      </c>
      <c r="E162" s="95">
        <f t="shared" si="35"/>
        <v>-487.80880331136677</v>
      </c>
      <c r="F162" s="96">
        <f t="shared" si="36"/>
        <v>-648.31124084017665</v>
      </c>
      <c r="G162" s="94">
        <f t="shared" si="37"/>
        <v>90.256831459001546</v>
      </c>
      <c r="H162" s="97">
        <f t="shared" si="38"/>
        <v>-97.812158158609407</v>
      </c>
      <c r="I162" s="94">
        <f t="shared" si="39"/>
        <v>578.47809664727833</v>
      </c>
      <c r="J162" s="95">
        <f t="shared" si="40"/>
        <v>-187.67562026720768</v>
      </c>
      <c r="K162" s="94">
        <f t="shared" si="41"/>
        <v>22.499250963379353</v>
      </c>
      <c r="L162" s="94">
        <f t="shared" si="42"/>
        <v>-362.8234624143596</v>
      </c>
      <c r="M162" s="94">
        <f t="shared" si="43"/>
        <v>-510.72051615165617</v>
      </c>
      <c r="N162" s="99">
        <f t="shared" si="44"/>
        <v>930.72015255176871</v>
      </c>
      <c r="O162" s="99">
        <f t="shared" si="45"/>
        <v>29874.897559942878</v>
      </c>
      <c r="P162" s="100">
        <f t="shared" si="46"/>
        <v>26138.791317369367</v>
      </c>
      <c r="Q162" s="95">
        <f t="shared" si="47"/>
        <v>1013021698482.0747</v>
      </c>
      <c r="R162" s="95">
        <f t="shared" si="48"/>
        <v>28889302914376.59</v>
      </c>
      <c r="S162" s="95">
        <f t="shared" si="49"/>
        <v>21919937094591.137</v>
      </c>
      <c r="T162">
        <f t="shared" si="25"/>
        <v>0.5</v>
      </c>
      <c r="X162" s="101">
        <v>119</v>
      </c>
      <c r="Y162" s="101">
        <f t="shared" si="26"/>
        <v>7575.951898768315</v>
      </c>
      <c r="Z162" s="101">
        <f t="shared" si="27"/>
        <v>11873.09853569698</v>
      </c>
      <c r="AA162" s="101">
        <f t="shared" si="28"/>
        <v>-21696.833670862179</v>
      </c>
      <c r="AB162" s="101">
        <f t="shared" si="29"/>
        <v>13061.168974987886</v>
      </c>
      <c r="AC162" s="101">
        <f t="shared" si="30"/>
        <v>-7424.048101231685</v>
      </c>
      <c r="AD162" s="101">
        <f t="shared" si="31"/>
        <v>-10626.90146430302</v>
      </c>
    </row>
    <row r="163" spans="1:30" x14ac:dyDescent="0.25">
      <c r="A163">
        <v>60</v>
      </c>
      <c r="B163" s="95">
        <f t="shared" si="32"/>
        <v>10532.788969166153</v>
      </c>
      <c r="C163" s="95">
        <f t="shared" si="33"/>
        <v>6159.4614976746579</v>
      </c>
      <c r="D163" s="95">
        <f t="shared" si="34"/>
        <v>687.0979142840846</v>
      </c>
      <c r="E163" s="95">
        <f t="shared" si="35"/>
        <v>-442.680387581866</v>
      </c>
      <c r="F163" s="96">
        <f t="shared" si="36"/>
        <v>-821.97164427216671</v>
      </c>
      <c r="G163" s="94">
        <f t="shared" si="37"/>
        <v>210.2642583258372</v>
      </c>
      <c r="H163" s="97">
        <f t="shared" si="38"/>
        <v>-273.66179651901962</v>
      </c>
      <c r="I163" s="94">
        <f t="shared" si="39"/>
        <v>688.55437345750238</v>
      </c>
      <c r="J163" s="95">
        <f t="shared" si="40"/>
        <v>-180.53556666324999</v>
      </c>
      <c r="K163" s="94">
        <f t="shared" si="41"/>
        <v>22.708498575401201</v>
      </c>
      <c r="L163" s="94">
        <f t="shared" si="42"/>
        <v>-367.77428108989716</v>
      </c>
      <c r="M163" s="94">
        <f t="shared" si="43"/>
        <v>-500.9986137070664</v>
      </c>
      <c r="N163" s="99">
        <f t="shared" si="44"/>
        <v>1135.0844179959338</v>
      </c>
      <c r="O163" s="99">
        <f t="shared" si="45"/>
        <v>30405.407560170868</v>
      </c>
      <c r="P163" s="100">
        <f t="shared" si="46"/>
        <v>26226.926871302556</v>
      </c>
      <c r="Q163" s="95">
        <f t="shared" si="47"/>
        <v>1019388367160.2994</v>
      </c>
      <c r="R163" s="95">
        <f t="shared" si="48"/>
        <v>30373612285157.879</v>
      </c>
      <c r="S163" s="95">
        <f t="shared" si="49"/>
        <v>22113969638606.07</v>
      </c>
      <c r="T163">
        <f t="shared" si="25"/>
        <v>0.5</v>
      </c>
      <c r="X163" s="101">
        <v>120</v>
      </c>
      <c r="Y163" s="101">
        <f t="shared" si="26"/>
        <v>7500.0000000000009</v>
      </c>
      <c r="Z163" s="101">
        <f t="shared" si="27"/>
        <v>11830.127018922194</v>
      </c>
      <c r="AA163" s="101">
        <f t="shared" si="28"/>
        <v>-21750</v>
      </c>
      <c r="AB163" s="101">
        <f t="shared" si="29"/>
        <v>13031.088913245536</v>
      </c>
      <c r="AC163" s="101">
        <f t="shared" si="30"/>
        <v>-7499.9999999999991</v>
      </c>
      <c r="AD163" s="101">
        <f t="shared" si="31"/>
        <v>-10669.872981077806</v>
      </c>
    </row>
    <row r="164" spans="1:30" x14ac:dyDescent="0.25">
      <c r="A164">
        <v>60.5</v>
      </c>
      <c r="B164" s="95">
        <f t="shared" si="32"/>
        <v>10670.845015240153</v>
      </c>
      <c r="C164" s="95">
        <f t="shared" si="33"/>
        <v>5990.6873684651846</v>
      </c>
      <c r="D164" s="95">
        <f t="shared" si="34"/>
        <v>276.11209214800124</v>
      </c>
      <c r="E164" s="95">
        <f t="shared" si="35"/>
        <v>-337.5482584189474</v>
      </c>
      <c r="F164" s="96">
        <f t="shared" si="36"/>
        <v>-886.04652945920861</v>
      </c>
      <c r="G164" s="94">
        <f t="shared" si="37"/>
        <v>293.21359864663964</v>
      </c>
      <c r="H164" s="97">
        <f t="shared" si="38"/>
        <v>-340.56815419554647</v>
      </c>
      <c r="I164" s="94">
        <f t="shared" si="39"/>
        <v>766.23334056051965</v>
      </c>
      <c r="J164" s="95">
        <f t="shared" si="40"/>
        <v>-175.23823184730281</v>
      </c>
      <c r="K164" s="94">
        <f t="shared" si="41"/>
        <v>22.907254629734123</v>
      </c>
      <c r="L164" s="94">
        <f t="shared" si="42"/>
        <v>-370.24014341635944</v>
      </c>
      <c r="M164" s="94">
        <f t="shared" si="43"/>
        <v>-495.92699654361411</v>
      </c>
      <c r="N164" s="99">
        <f t="shared" si="44"/>
        <v>1442.5351163426847</v>
      </c>
      <c r="O164" s="99">
        <f t="shared" si="45"/>
        <v>30773.380350937688</v>
      </c>
      <c r="P164" s="100">
        <f t="shared" si="46"/>
        <v>26248.625564631497</v>
      </c>
      <c r="Q164" s="95">
        <f t="shared" si="47"/>
        <v>1031375436219.6893</v>
      </c>
      <c r="R164" s="95">
        <f t="shared" si="48"/>
        <v>31433274220175.223</v>
      </c>
      <c r="S164" s="95">
        <f t="shared" si="49"/>
        <v>22161927625830.461</v>
      </c>
      <c r="T164">
        <f t="shared" si="25"/>
        <v>0.5</v>
      </c>
      <c r="X164" s="101">
        <v>121</v>
      </c>
      <c r="Y164" s="101">
        <f t="shared" si="26"/>
        <v>7424.8096254497286</v>
      </c>
      <c r="Z164" s="101">
        <f t="shared" si="27"/>
        <v>11785.836503510562</v>
      </c>
      <c r="AA164" s="101">
        <f t="shared" si="28"/>
        <v>-21802.633262185191</v>
      </c>
      <c r="AB164" s="101">
        <f t="shared" si="29"/>
        <v>13000.085552457393</v>
      </c>
      <c r="AC164" s="101">
        <f t="shared" si="30"/>
        <v>-7575.1903745502714</v>
      </c>
      <c r="AD164" s="101">
        <f t="shared" si="31"/>
        <v>-10714.163496489438</v>
      </c>
    </row>
    <row r="165" spans="1:30" x14ac:dyDescent="0.25">
      <c r="A165">
        <v>61</v>
      </c>
      <c r="B165" s="95">
        <f t="shared" si="32"/>
        <v>10587.389428949351</v>
      </c>
      <c r="C165" s="95">
        <f t="shared" si="33"/>
        <v>5895.2166389173708</v>
      </c>
      <c r="D165" s="95">
        <f t="shared" si="34"/>
        <v>-166.91117258160307</v>
      </c>
      <c r="E165" s="95">
        <f t="shared" si="35"/>
        <v>-190.94145909562758</v>
      </c>
      <c r="F165" s="96">
        <f t="shared" si="36"/>
        <v>-837.84865600751232</v>
      </c>
      <c r="G165" s="94">
        <f t="shared" si="37"/>
        <v>333.80959969850096</v>
      </c>
      <c r="H165" s="97">
        <f t="shared" si="38"/>
        <v>-295.38683376228715</v>
      </c>
      <c r="I165" s="94">
        <f t="shared" si="39"/>
        <v>807.01465253211688</v>
      </c>
      <c r="J165" s="95">
        <f t="shared" si="40"/>
        <v>-172.22004239133449</v>
      </c>
      <c r="K165" s="94">
        <f t="shared" si="41"/>
        <v>23.111680259441382</v>
      </c>
      <c r="L165" s="94">
        <f t="shared" si="42"/>
        <v>-370.2417798538907</v>
      </c>
      <c r="M165" s="94">
        <f t="shared" si="43"/>
        <v>-496.31673309305734</v>
      </c>
      <c r="N165" s="99">
        <f t="shared" si="44"/>
        <v>1651.683279016625</v>
      </c>
      <c r="O165" s="99">
        <f t="shared" si="45"/>
        <v>30931.784974783888</v>
      </c>
      <c r="P165" s="100">
        <f t="shared" si="46"/>
        <v>26195.120532120498</v>
      </c>
      <c r="Q165" s="95">
        <f t="shared" si="47"/>
        <v>1041198694877.4109</v>
      </c>
      <c r="R165" s="95">
        <f t="shared" si="48"/>
        <v>31897119318740.586</v>
      </c>
      <c r="S165" s="95">
        <f t="shared" si="49"/>
        <v>22043806139308.621</v>
      </c>
      <c r="T165">
        <f t="shared" si="25"/>
        <v>0.5</v>
      </c>
      <c r="X165" s="101">
        <v>122</v>
      </c>
      <c r="Y165" s="101">
        <f t="shared" si="26"/>
        <v>7350.4036788339763</v>
      </c>
      <c r="Z165" s="101">
        <f t="shared" si="27"/>
        <v>11740.240480782129</v>
      </c>
      <c r="AA165" s="101">
        <f t="shared" si="28"/>
        <v>-21854.717424816215</v>
      </c>
      <c r="AB165" s="101">
        <f t="shared" si="29"/>
        <v>12968.168336547491</v>
      </c>
      <c r="AC165" s="101">
        <f t="shared" si="30"/>
        <v>-7649.5963211660237</v>
      </c>
      <c r="AD165" s="101">
        <f t="shared" si="31"/>
        <v>-10759.759519217871</v>
      </c>
    </row>
    <row r="166" spans="1:30" x14ac:dyDescent="0.25">
      <c r="A166">
        <v>61.5</v>
      </c>
      <c r="B166" s="95">
        <f t="shared" si="32"/>
        <v>10294.471678656671</v>
      </c>
      <c r="C166" s="95">
        <f t="shared" si="33"/>
        <v>5883.1983092941819</v>
      </c>
      <c r="D166" s="95">
        <f t="shared" si="34"/>
        <v>-585.83550058535923</v>
      </c>
      <c r="E166" s="95">
        <f t="shared" si="35"/>
        <v>-24.036659246377098</v>
      </c>
      <c r="F166" s="96">
        <f t="shared" si="36"/>
        <v>-687.26220357517457</v>
      </c>
      <c r="G166" s="94">
        <f t="shared" si="37"/>
        <v>331.75989811588283</v>
      </c>
      <c r="H166" s="97">
        <f t="shared" si="38"/>
        <v>-147.66930636017833</v>
      </c>
      <c r="I166" s="94">
        <f t="shared" si="39"/>
        <v>810.78080336158905</v>
      </c>
      <c r="J166" s="95">
        <f t="shared" si="40"/>
        <v>-171.68021962570859</v>
      </c>
      <c r="K166" s="94">
        <f t="shared" si="41"/>
        <v>23.330112038686103</v>
      </c>
      <c r="L166" s="94">
        <f t="shared" si="42"/>
        <v>-367.91267758928768</v>
      </c>
      <c r="M166" s="94">
        <f t="shared" si="43"/>
        <v>-502.35101728439236</v>
      </c>
      <c r="N166" s="99">
        <f t="shared" si="44"/>
        <v>1708.9049058531912</v>
      </c>
      <c r="O166" s="99">
        <f t="shared" si="45"/>
        <v>30861.588399167391</v>
      </c>
      <c r="P166" s="100">
        <f t="shared" si="46"/>
        <v>26068.693630425965</v>
      </c>
      <c r="Q166" s="95">
        <f t="shared" si="47"/>
        <v>1044123617787.8303</v>
      </c>
      <c r="R166" s="95">
        <f t="shared" si="48"/>
        <v>31690994287710.984</v>
      </c>
      <c r="S166" s="95">
        <f t="shared" si="49"/>
        <v>21766487354663.152</v>
      </c>
      <c r="T166">
        <f t="shared" si="25"/>
        <v>0.5</v>
      </c>
      <c r="X166" s="101">
        <v>123</v>
      </c>
      <c r="Y166" s="101">
        <f t="shared" si="26"/>
        <v>7276.8048249248641</v>
      </c>
      <c r="Z166" s="101">
        <f t="shared" si="27"/>
        <v>11693.352839727118</v>
      </c>
      <c r="AA166" s="101">
        <f t="shared" si="28"/>
        <v>-21906.236622552595</v>
      </c>
      <c r="AB166" s="101">
        <f t="shared" si="29"/>
        <v>12935.346987808984</v>
      </c>
      <c r="AC166" s="101">
        <f t="shared" si="30"/>
        <v>-7723.1951750751359</v>
      </c>
      <c r="AD166" s="101">
        <f t="shared" si="31"/>
        <v>-10806.647160272882</v>
      </c>
    </row>
    <row r="167" spans="1:30" x14ac:dyDescent="0.25">
      <c r="A167">
        <v>62</v>
      </c>
      <c r="B167" s="95">
        <f t="shared" si="32"/>
        <v>9829.7383774701975</v>
      </c>
      <c r="C167" s="95">
        <f t="shared" si="33"/>
        <v>5954.119954199964</v>
      </c>
      <c r="D167" s="95">
        <f t="shared" si="34"/>
        <v>-929.46660237294645</v>
      </c>
      <c r="E167" s="95">
        <f t="shared" si="35"/>
        <v>141.84328981156432</v>
      </c>
      <c r="F167" s="96">
        <f t="shared" si="36"/>
        <v>-451.37199512963616</v>
      </c>
      <c r="G167" s="94">
        <f t="shared" si="37"/>
        <v>287.79315746733721</v>
      </c>
      <c r="H167" s="97">
        <f t="shared" si="38"/>
        <v>85.655429239815518</v>
      </c>
      <c r="I167" s="94">
        <f t="shared" si="39"/>
        <v>777.70325989399214</v>
      </c>
      <c r="J167" s="95">
        <f t="shared" si="40"/>
        <v>-173.63854830873223</v>
      </c>
      <c r="K167" s="94">
        <f t="shared" si="41"/>
        <v>23.551019083512482</v>
      </c>
      <c r="L167" s="94">
        <f t="shared" si="42"/>
        <v>-363.38887606071944</v>
      </c>
      <c r="M167" s="94">
        <f t="shared" si="43"/>
        <v>-513.46112151016746</v>
      </c>
      <c r="N167" s="99">
        <f t="shared" si="44"/>
        <v>1643.3993052816074</v>
      </c>
      <c r="O167" s="99">
        <f t="shared" si="45"/>
        <v>30572.913999969474</v>
      </c>
      <c r="P167" s="100">
        <f t="shared" si="46"/>
        <v>25884.915212427069</v>
      </c>
      <c r="Q167" s="95">
        <f t="shared" si="47"/>
        <v>1040783729404.8018</v>
      </c>
      <c r="R167" s="95">
        <f t="shared" si="48"/>
        <v>30852903474175.742</v>
      </c>
      <c r="S167" s="95">
        <f t="shared" si="49"/>
        <v>21367833107772.555</v>
      </c>
      <c r="T167">
        <f t="shared" si="25"/>
        <v>0.5</v>
      </c>
      <c r="X167" s="101">
        <v>124</v>
      </c>
      <c r="Y167" s="101">
        <f t="shared" si="26"/>
        <v>7204.0354826462662</v>
      </c>
      <c r="Z167" s="101">
        <f t="shared" si="27"/>
        <v>11645.187862775208</v>
      </c>
      <c r="AA167" s="101">
        <f t="shared" si="28"/>
        <v>-21957.175162147614</v>
      </c>
      <c r="AB167" s="101">
        <f t="shared" si="29"/>
        <v>12901.631503942646</v>
      </c>
      <c r="AC167" s="101">
        <f t="shared" si="30"/>
        <v>-7795.9645173537338</v>
      </c>
      <c r="AD167" s="101">
        <f t="shared" si="31"/>
        <v>-10854.812137224792</v>
      </c>
    </row>
    <row r="168" spans="1:30" x14ac:dyDescent="0.25">
      <c r="A168">
        <v>62.5</v>
      </c>
      <c r="B168" s="95">
        <f t="shared" si="32"/>
        <v>9252.1620775013143</v>
      </c>
      <c r="C168" s="95">
        <f t="shared" si="33"/>
        <v>6096.9898884725808</v>
      </c>
      <c r="D168" s="95">
        <f t="shared" si="34"/>
        <v>-1155.1525999377645</v>
      </c>
      <c r="E168" s="95">
        <f t="shared" si="35"/>
        <v>285.73986854523292</v>
      </c>
      <c r="F168" s="96">
        <f t="shared" si="36"/>
        <v>-157.05932648735524</v>
      </c>
      <c r="G168" s="94">
        <f t="shared" si="37"/>
        <v>204.21550506267738</v>
      </c>
      <c r="H168" s="97">
        <f t="shared" si="38"/>
        <v>377.77829384137823</v>
      </c>
      <c r="I168" s="94">
        <f t="shared" si="39"/>
        <v>708.74550518125375</v>
      </c>
      <c r="J168" s="95">
        <f t="shared" si="40"/>
        <v>-177.95951796401522</v>
      </c>
      <c r="K168" s="94">
        <f t="shared" si="41"/>
        <v>23.744494380137343</v>
      </c>
      <c r="L168" s="94">
        <f t="shared" si="42"/>
        <v>-356.87810236471825</v>
      </c>
      <c r="M168" s="94">
        <f t="shared" si="43"/>
        <v>-528.27449449871369</v>
      </c>
      <c r="N168" s="99">
        <f t="shared" si="44"/>
        <v>1555.2280013262371</v>
      </c>
      <c r="O168" s="99">
        <f t="shared" si="45"/>
        <v>30102.864265935244</v>
      </c>
      <c r="P168" s="100">
        <f t="shared" si="46"/>
        <v>25670.922916779084</v>
      </c>
      <c r="Q168" s="95">
        <f t="shared" si="47"/>
        <v>1036499520882.2101</v>
      </c>
      <c r="R168" s="95">
        <f t="shared" si="48"/>
        <v>29520893138823.641</v>
      </c>
      <c r="S168" s="95">
        <f t="shared" si="49"/>
        <v>20910261974498.621</v>
      </c>
      <c r="T168">
        <f t="shared" si="25"/>
        <v>0.5</v>
      </c>
      <c r="X168" s="101">
        <v>125</v>
      </c>
      <c r="Y168" s="101">
        <f t="shared" si="26"/>
        <v>7132.1178182447711</v>
      </c>
      <c r="Z168" s="101">
        <f t="shared" si="27"/>
        <v>11595.76022144496</v>
      </c>
      <c r="AA168" s="101">
        <f t="shared" si="28"/>
        <v>-22007.517527228661</v>
      </c>
      <c r="AB168" s="101">
        <f t="shared" si="29"/>
        <v>12867.032155011471</v>
      </c>
      <c r="AC168" s="101">
        <f t="shared" si="30"/>
        <v>-7867.8821817552289</v>
      </c>
      <c r="AD168" s="101">
        <f t="shared" si="31"/>
        <v>-10904.23977855504</v>
      </c>
    </row>
    <row r="169" spans="1:30" x14ac:dyDescent="0.25">
      <c r="A169">
        <v>63</v>
      </c>
      <c r="B169" s="95">
        <f t="shared" si="32"/>
        <v>8635.3209459105947</v>
      </c>
      <c r="C169" s="95">
        <f t="shared" si="33"/>
        <v>6290.9136990108673</v>
      </c>
      <c r="D169" s="95">
        <f t="shared" si="34"/>
        <v>-1233.6822631814421</v>
      </c>
      <c r="E169" s="95">
        <f t="shared" si="35"/>
        <v>387.84762107657161</v>
      </c>
      <c r="F169" s="96">
        <f t="shared" si="36"/>
        <v>155.12138282956823</v>
      </c>
      <c r="G169" s="94">
        <f t="shared" si="37"/>
        <v>88.980293798420121</v>
      </c>
      <c r="H169" s="97">
        <f t="shared" si="38"/>
        <v>688.28345872504758</v>
      </c>
      <c r="I169" s="94">
        <f t="shared" si="39"/>
        <v>609.80938972289232</v>
      </c>
      <c r="J169" s="95">
        <f t="shared" si="40"/>
        <v>-184.31808683010851</v>
      </c>
      <c r="K169" s="94">
        <f t="shared" si="41"/>
        <v>23.874420411680884</v>
      </c>
      <c r="L169" s="94">
        <f t="shared" si="42"/>
        <v>-348.84398906537081</v>
      </c>
      <c r="M169" s="94">
        <f t="shared" si="43"/>
        <v>-544.70351633615303</v>
      </c>
      <c r="N169" s="99">
        <f t="shared" si="44"/>
        <v>1589.8738727884461</v>
      </c>
      <c r="O169" s="99">
        <f t="shared" si="45"/>
        <v>29511.395665727014</v>
      </c>
      <c r="P169" s="100">
        <f t="shared" si="46"/>
        <v>25459.911748426799</v>
      </c>
      <c r="Q169" s="95">
        <f t="shared" si="47"/>
        <v>1038154081356.9082</v>
      </c>
      <c r="R169" s="95">
        <f t="shared" si="48"/>
        <v>27901454494736.078</v>
      </c>
      <c r="S169" s="95">
        <f t="shared" si="49"/>
        <v>20465989313150.375</v>
      </c>
      <c r="T169">
        <f t="shared" si="25"/>
        <v>0.5</v>
      </c>
      <c r="X169" s="101">
        <v>126</v>
      </c>
      <c r="Y169" s="101">
        <f t="shared" si="26"/>
        <v>7061.0737385376342</v>
      </c>
      <c r="Z169" s="101">
        <f t="shared" si="27"/>
        <v>11545.084971874738</v>
      </c>
      <c r="AA169" s="101">
        <f t="shared" si="28"/>
        <v>-22057.248383023656</v>
      </c>
      <c r="AB169" s="101">
        <f t="shared" si="29"/>
        <v>12831.559480312317</v>
      </c>
      <c r="AC169" s="101">
        <f t="shared" si="30"/>
        <v>-7938.9262614623658</v>
      </c>
      <c r="AD169" s="101">
        <f t="shared" si="31"/>
        <v>-10954.915028125262</v>
      </c>
    </row>
    <row r="170" spans="1:30" x14ac:dyDescent="0.25">
      <c r="A170">
        <v>63.5</v>
      </c>
      <c r="B170" s="95">
        <f t="shared" si="32"/>
        <v>8057.2601600272656</v>
      </c>
      <c r="C170" s="95">
        <f t="shared" si="33"/>
        <v>6507.082582998758</v>
      </c>
      <c r="D170" s="95">
        <f t="shared" si="34"/>
        <v>-1156.121571766658</v>
      </c>
      <c r="E170" s="95">
        <f t="shared" si="35"/>
        <v>432.33776797578167</v>
      </c>
      <c r="F170" s="96">
        <f t="shared" si="36"/>
        <v>436.2335540374786</v>
      </c>
      <c r="G170" s="94">
        <f t="shared" si="37"/>
        <v>-41.370854507021591</v>
      </c>
      <c r="H170" s="97">
        <f t="shared" si="38"/>
        <v>968.52302149655532</v>
      </c>
      <c r="I170" s="94">
        <f t="shared" si="39"/>
        <v>495.00368347009072</v>
      </c>
      <c r="J170" s="95">
        <f t="shared" si="40"/>
        <v>-192.12752307767545</v>
      </c>
      <c r="K170" s="94">
        <f t="shared" si="41"/>
        <v>23.918428521378068</v>
      </c>
      <c r="L170" s="94">
        <f t="shared" si="42"/>
        <v>-340.16194438140133</v>
      </c>
      <c r="M170" s="94">
        <f t="shared" si="43"/>
        <v>-560.29296649849039</v>
      </c>
      <c r="N170" s="99">
        <f t="shared" si="44"/>
        <v>1823.2494628848619</v>
      </c>
      <c r="O170" s="99">
        <f t="shared" si="45"/>
        <v>28874.537690904959</v>
      </c>
      <c r="P170" s="100">
        <f t="shared" si="46"/>
        <v>25282.899031493933</v>
      </c>
      <c r="Q170" s="95">
        <f t="shared" si="47"/>
        <v>1050275707379.6377</v>
      </c>
      <c r="R170" s="95">
        <f t="shared" si="48"/>
        <v>26226988008112.699</v>
      </c>
      <c r="S170" s="95">
        <f t="shared" si="49"/>
        <v>20098560539720.77</v>
      </c>
      <c r="T170">
        <f t="shared" si="25"/>
        <v>0.5</v>
      </c>
      <c r="X170" s="101">
        <v>127</v>
      </c>
      <c r="Y170" s="101">
        <f t="shared" si="26"/>
        <v>6990.9248842397583</v>
      </c>
      <c r="Z170" s="101">
        <f t="shared" si="27"/>
        <v>11493.177550236464</v>
      </c>
      <c r="AA170" s="101">
        <f t="shared" si="28"/>
        <v>-22106.35258103217</v>
      </c>
      <c r="AB170" s="101">
        <f t="shared" si="29"/>
        <v>12795.224285165525</v>
      </c>
      <c r="AC170" s="101">
        <f t="shared" si="30"/>
        <v>-8009.0751157602417</v>
      </c>
      <c r="AD170" s="101">
        <f t="shared" si="31"/>
        <v>-11006.822449763536</v>
      </c>
    </row>
    <row r="171" spans="1:30" x14ac:dyDescent="0.25">
      <c r="A171">
        <v>64</v>
      </c>
      <c r="B171" s="95">
        <f t="shared" si="32"/>
        <v>7588.2577626533057</v>
      </c>
      <c r="C171" s="95">
        <f t="shared" si="33"/>
        <v>6712.9087533598931</v>
      </c>
      <c r="D171" s="95">
        <f t="shared" si="34"/>
        <v>-938.00479474791871</v>
      </c>
      <c r="E171" s="95">
        <f t="shared" si="35"/>
        <v>411.65234072227088</v>
      </c>
      <c r="F171" s="96">
        <f t="shared" si="36"/>
        <v>645.10672549348283</v>
      </c>
      <c r="G171" s="94">
        <f t="shared" si="37"/>
        <v>-164.58000990291453</v>
      </c>
      <c r="H171" s="97">
        <f t="shared" si="38"/>
        <v>1177.7022686157056</v>
      </c>
      <c r="I171" s="94">
        <f t="shared" si="39"/>
        <v>384.35249522993075</v>
      </c>
      <c r="J171" s="95">
        <f t="shared" si="40"/>
        <v>-200.49710384043144</v>
      </c>
      <c r="K171" s="94">
        <f t="shared" si="41"/>
        <v>23.888868977538156</v>
      </c>
      <c r="L171" s="94">
        <f t="shared" si="42"/>
        <v>-332.09843928179134</v>
      </c>
      <c r="M171" s="94">
        <f t="shared" si="43"/>
        <v>-572.82137411038343</v>
      </c>
      <c r="N171" s="99">
        <f t="shared" si="44"/>
        <v>2181.7706301996332</v>
      </c>
      <c r="O171" s="99">
        <f t="shared" si="45"/>
        <v>28273.845153594582</v>
      </c>
      <c r="P171" s="100">
        <f t="shared" si="46"/>
        <v>25160.41820237819</v>
      </c>
      <c r="Q171" s="95">
        <f t="shared" si="47"/>
        <v>1072244926570.2217</v>
      </c>
      <c r="R171" s="95">
        <f t="shared" si="48"/>
        <v>24712057950427.035</v>
      </c>
      <c r="S171" s="95">
        <f t="shared" si="49"/>
        <v>19847116311944.801</v>
      </c>
      <c r="T171">
        <f t="shared" si="25"/>
        <v>0.5</v>
      </c>
      <c r="X171" s="101">
        <v>128</v>
      </c>
      <c r="Y171" s="101">
        <f t="shared" si="26"/>
        <v>6921.6926233717086</v>
      </c>
      <c r="Z171" s="101">
        <f t="shared" si="27"/>
        <v>11440.053768033609</v>
      </c>
      <c r="AA171" s="101">
        <f t="shared" si="28"/>
        <v>-22154.815163639803</v>
      </c>
      <c r="AB171" s="101">
        <f t="shared" si="29"/>
        <v>12758.037637623527</v>
      </c>
      <c r="AC171" s="101">
        <f t="shared" si="30"/>
        <v>-8078.3073766282914</v>
      </c>
      <c r="AD171" s="101">
        <f t="shared" si="31"/>
        <v>-11059.946231966391</v>
      </c>
    </row>
    <row r="172" spans="1:30" x14ac:dyDescent="0.25">
      <c r="A172">
        <v>64.5</v>
      </c>
      <c r="B172" s="95">
        <f t="shared" si="32"/>
        <v>7280.5320466527173</v>
      </c>
      <c r="C172" s="95">
        <f t="shared" si="33"/>
        <v>6877.5899212452996</v>
      </c>
      <c r="D172" s="95">
        <f t="shared" si="34"/>
        <v>-615.4514320011773</v>
      </c>
      <c r="E172" s="95">
        <f t="shared" si="35"/>
        <v>329.36233577081362</v>
      </c>
      <c r="F172" s="96">
        <f t="shared" si="36"/>
        <v>762.35910584174962</v>
      </c>
      <c r="G172" s="94">
        <f t="shared" si="37"/>
        <v>-260.25798312860093</v>
      </c>
      <c r="H172" s="97">
        <f t="shared" si="38"/>
        <v>1296.7303311637709</v>
      </c>
      <c r="I172" s="94">
        <f t="shared" si="39"/>
        <v>296.78526880591744</v>
      </c>
      <c r="J172" s="95">
        <f t="shared" si="40"/>
        <v>-208.30359041767989</v>
      </c>
      <c r="K172" s="94">
        <f t="shared" si="41"/>
        <v>23.841515592462905</v>
      </c>
      <c r="L172" s="94">
        <f t="shared" si="42"/>
        <v>-326.06763490434122</v>
      </c>
      <c r="M172" s="94">
        <f t="shared" si="43"/>
        <v>-580.88476752698125</v>
      </c>
      <c r="N172" s="99">
        <f t="shared" si="44"/>
        <v>2536.9298866818367</v>
      </c>
      <c r="O172" s="99">
        <f t="shared" si="45"/>
        <v>27783.393155666541</v>
      </c>
      <c r="P172" s="100">
        <f t="shared" si="46"/>
        <v>25098.100327131011</v>
      </c>
      <c r="Q172" s="95">
        <f t="shared" si="47"/>
        <v>1098077261271.0758</v>
      </c>
      <c r="R172" s="95">
        <f t="shared" si="48"/>
        <v>23520623096265.203</v>
      </c>
      <c r="S172" s="95">
        <f t="shared" si="49"/>
        <v>19720054537793.762</v>
      </c>
      <c r="T172">
        <f t="shared" ref="T172:T235" si="50">A173-A172</f>
        <v>0.5</v>
      </c>
      <c r="X172" s="101">
        <v>129</v>
      </c>
      <c r="Y172" s="101">
        <f t="shared" ref="Y172:Y235" si="51">$D$19*COS(X172*PI()/180)+$D$18</f>
        <v>6853.3980447508138</v>
      </c>
      <c r="Z172" s="101">
        <f t="shared" ref="Z172:Z235" si="52">$D$19*SIN(X172*PI()/180)+$E$18</f>
        <v>11385.729807284855</v>
      </c>
      <c r="AA172" s="101">
        <f t="shared" ref="AA172:AA235" si="53">$D$27*COS(X172*PI()/180)+$D$26</f>
        <v>-22202.62136867443</v>
      </c>
      <c r="AB172" s="101">
        <f t="shared" ref="AB172:AB235" si="54">$D$27*SIN($X172*PI()/180)+$E$26</f>
        <v>12720.010865099399</v>
      </c>
      <c r="AC172" s="101">
        <f t="shared" ref="AC172:AC235" si="55">$D$35*COS(X172*PI()/180)+$D$34</f>
        <v>-8146.6019552491862</v>
      </c>
      <c r="AD172" s="101">
        <f t="shared" ref="AD172:AD235" si="56">$D$35*SIN(X172*PI()/180)+$E$34</f>
        <v>-11114.270192715145</v>
      </c>
    </row>
    <row r="173" spans="1:30" x14ac:dyDescent="0.25">
      <c r="A173">
        <v>65</v>
      </c>
      <c r="B173" s="95">
        <f t="shared" ref="B173:B236" si="57">B172+(D172*$T172)+(F172*($T172)^2)</f>
        <v>7163.3961071125668</v>
      </c>
      <c r="C173" s="95">
        <f t="shared" ref="C173:C236" si="58">C172+(E172*$T172)+(G172*($T172)^2)</f>
        <v>6977.2065933485555</v>
      </c>
      <c r="D173" s="95">
        <f t="shared" ref="D173:D236" si="59">D172+(F172*$T172)</f>
        <v>-234.27187908030248</v>
      </c>
      <c r="E173" s="95">
        <f t="shared" ref="E173:E236" si="60">E172+(G172*$T172)</f>
        <v>199.23334420651315</v>
      </c>
      <c r="F173" s="96">
        <f t="shared" ref="F173:F236" si="61">SUM(H173,J173,L173)</f>
        <v>789.63922515692389</v>
      </c>
      <c r="G173" s="94">
        <f t="shared" ref="G173:G236" si="62">SUM(I173,K173,M173)</f>
        <v>-315.61346514264</v>
      </c>
      <c r="H173" s="97">
        <f t="shared" ref="H173:H236" si="63">$D$22*(($D$18-$B173)/$Q173)</f>
        <v>1327.3104650672708</v>
      </c>
      <c r="I173" s="94">
        <f t="shared" ref="I173:I236" si="64">$D$22*(($E$18-$C173)/$Q173)</f>
        <v>244.62673884660302</v>
      </c>
      <c r="J173" s="95">
        <f t="shared" ref="J173:J236" si="65">$D$30*(($D$26-$B173)/$R173)</f>
        <v>-214.39875202286129</v>
      </c>
      <c r="K173" s="94">
        <f t="shared" ref="K173:K236" si="66">$D$30*(($E$26-$C173)/$R173)</f>
        <v>23.85869320071162</v>
      </c>
      <c r="L173" s="94">
        <f t="shared" ref="L173:L236" si="67">$D$38*(($D$34-$B173)/$S173)</f>
        <v>-323.27248788748551</v>
      </c>
      <c r="M173" s="94">
        <f t="shared" ref="M173:M236" si="68">$D$38*(($E$34-$C173)/$S173)</f>
        <v>-584.09889718995464</v>
      </c>
      <c r="N173" s="99">
        <f t="shared" ref="N173:N236" si="69">SQRT(($D$18-$B172)^2+($E$18-$C172)^2)</f>
        <v>2789.784983725142</v>
      </c>
      <c r="O173" s="99">
        <f t="shared" ref="O173:O236" si="70">SQRT(($D$26-$B172)^2+($E$26-$C172)^2)</f>
        <v>27458.6393225949</v>
      </c>
      <c r="P173" s="100">
        <f t="shared" ref="P173:P236" si="71">SQRT(($D$34-$B172)^2+($E$34-$C172)^2)</f>
        <v>25088.650982287556</v>
      </c>
      <c r="Q173" s="95">
        <f t="shared" ref="Q173:Q236" si="72">(N173^2+$D$39^2)^(3/2)</f>
        <v>1118986374523.8782</v>
      </c>
      <c r="R173" s="95">
        <f t="shared" ref="R173:R236" si="73">(O173^2+$D$31^2)^(3/2)</f>
        <v>22753832460983.246</v>
      </c>
      <c r="S173" s="95">
        <f t="shared" ref="S173:S236" si="74">(P173^2+$D$23^2)^(3/2)</f>
        <v>19700839222105.051</v>
      </c>
      <c r="T173">
        <f t="shared" si="50"/>
        <v>0.5</v>
      </c>
      <c r="X173" s="101">
        <v>130</v>
      </c>
      <c r="Y173" s="101">
        <f t="shared" si="51"/>
        <v>6786.0619515673034</v>
      </c>
      <c r="Z173" s="101">
        <f t="shared" si="52"/>
        <v>11330.222215594891</v>
      </c>
      <c r="AA173" s="101">
        <f t="shared" si="53"/>
        <v>-22249.756633902889</v>
      </c>
      <c r="AB173" s="101">
        <f t="shared" si="54"/>
        <v>12681.155550916423</v>
      </c>
      <c r="AC173" s="101">
        <f t="shared" si="55"/>
        <v>-8213.9380484326975</v>
      </c>
      <c r="AD173" s="101">
        <f t="shared" si="56"/>
        <v>-11169.777784405109</v>
      </c>
    </row>
    <row r="174" spans="1:30" x14ac:dyDescent="0.25">
      <c r="A174">
        <v>65.5</v>
      </c>
      <c r="B174" s="95">
        <f t="shared" si="57"/>
        <v>7243.6699738616462</v>
      </c>
      <c r="C174" s="95">
        <f t="shared" si="58"/>
        <v>6997.9198991661524</v>
      </c>
      <c r="D174" s="95">
        <f t="shared" si="59"/>
        <v>160.54773349815946</v>
      </c>
      <c r="E174" s="95">
        <f t="shared" si="60"/>
        <v>41.426611635193154</v>
      </c>
      <c r="F174" s="96">
        <f t="shared" si="61"/>
        <v>737.90212853737557</v>
      </c>
      <c r="G174" s="94">
        <f t="shared" si="62"/>
        <v>-325.64569216680275</v>
      </c>
      <c r="H174" s="97">
        <f t="shared" si="63"/>
        <v>1280.1741664493086</v>
      </c>
      <c r="I174" s="94">
        <f t="shared" si="64"/>
        <v>233.19049913491489</v>
      </c>
      <c r="J174" s="95">
        <f t="shared" si="65"/>
        <v>-217.87083075397356</v>
      </c>
      <c r="K174" s="94">
        <f t="shared" si="66"/>
        <v>24.007987403538966</v>
      </c>
      <c r="L174" s="94">
        <f t="shared" si="67"/>
        <v>-324.40120715795962</v>
      </c>
      <c r="M174" s="94">
        <f t="shared" si="68"/>
        <v>-582.84417870525658</v>
      </c>
      <c r="N174" s="99">
        <f t="shared" si="69"/>
        <v>2884.3776783185594</v>
      </c>
      <c r="O174" s="99">
        <f t="shared" si="70"/>
        <v>27331.069647037119</v>
      </c>
      <c r="P174" s="100">
        <f t="shared" si="71"/>
        <v>25118.634805762125</v>
      </c>
      <c r="Q174" s="95">
        <f t="shared" si="72"/>
        <v>1127355218262.0271</v>
      </c>
      <c r="R174" s="95">
        <f t="shared" si="73"/>
        <v>22457389095048.793</v>
      </c>
      <c r="S174" s="95">
        <f t="shared" si="74"/>
        <v>19761858050121.367</v>
      </c>
      <c r="T174">
        <f t="shared" si="50"/>
        <v>0.5</v>
      </c>
      <c r="X174" s="101">
        <v>131</v>
      </c>
      <c r="Y174" s="101">
        <f t="shared" si="51"/>
        <v>6719.7048550474628</v>
      </c>
      <c r="Z174" s="101">
        <f t="shared" si="52"/>
        <v>11273.54790111386</v>
      </c>
      <c r="AA174" s="101">
        <f t="shared" si="53"/>
        <v>-22296.206601466776</v>
      </c>
      <c r="AB174" s="101">
        <f t="shared" si="54"/>
        <v>12641.4835307797</v>
      </c>
      <c r="AC174" s="101">
        <f t="shared" si="55"/>
        <v>-8280.2951449525372</v>
      </c>
      <c r="AD174" s="101">
        <f t="shared" si="56"/>
        <v>-11226.45209888614</v>
      </c>
    </row>
    <row r="175" spans="1:30" x14ac:dyDescent="0.25">
      <c r="A175">
        <v>66</v>
      </c>
      <c r="B175" s="95">
        <f t="shared" si="57"/>
        <v>7508.4193727450693</v>
      </c>
      <c r="C175" s="95">
        <f t="shared" si="58"/>
        <v>6937.2217819420484</v>
      </c>
      <c r="D175" s="95">
        <f t="shared" si="59"/>
        <v>529.49879776684725</v>
      </c>
      <c r="E175" s="95">
        <f t="shared" si="60"/>
        <v>-121.39623444820822</v>
      </c>
      <c r="F175" s="96">
        <f t="shared" si="61"/>
        <v>617.07329882574243</v>
      </c>
      <c r="G175" s="94">
        <f t="shared" si="62"/>
        <v>-290.43754820428774</v>
      </c>
      <c r="H175" s="97">
        <f t="shared" si="63"/>
        <v>1164.7875724060191</v>
      </c>
      <c r="I175" s="94">
        <f t="shared" si="64"/>
        <v>263.09286050956126</v>
      </c>
      <c r="J175" s="95">
        <f t="shared" si="65"/>
        <v>-218.2408801870256</v>
      </c>
      <c r="K175" s="94">
        <f t="shared" si="66"/>
        <v>24.29886665130898</v>
      </c>
      <c r="L175" s="94">
        <f t="shared" si="67"/>
        <v>-329.47339339325106</v>
      </c>
      <c r="M175" s="94">
        <f t="shared" si="68"/>
        <v>-577.82927536515797</v>
      </c>
      <c r="N175" s="99">
        <f t="shared" si="69"/>
        <v>2801.6851430246734</v>
      </c>
      <c r="O175" s="99">
        <f t="shared" si="70"/>
        <v>27408.576004172726</v>
      </c>
      <c r="P175" s="100">
        <f t="shared" si="71"/>
        <v>25175.701267670211</v>
      </c>
      <c r="Q175" s="95">
        <f t="shared" si="72"/>
        <v>1120022737742.9233</v>
      </c>
      <c r="R175" s="95">
        <f t="shared" si="73"/>
        <v>22637177409775.918</v>
      </c>
      <c r="S175" s="95">
        <f t="shared" si="74"/>
        <v>19878367114221.484</v>
      </c>
      <c r="T175">
        <f t="shared" si="50"/>
        <v>0.5</v>
      </c>
      <c r="X175" s="101">
        <v>132</v>
      </c>
      <c r="Y175" s="101">
        <f t="shared" si="51"/>
        <v>6654.3469682057093</v>
      </c>
      <c r="Z175" s="101">
        <f t="shared" si="52"/>
        <v>11215.724127386971</v>
      </c>
      <c r="AA175" s="101">
        <f t="shared" si="53"/>
        <v>-22341.957122256004</v>
      </c>
      <c r="AB175" s="101">
        <f t="shared" si="54"/>
        <v>12601.00688917088</v>
      </c>
      <c r="AC175" s="101">
        <f t="shared" si="55"/>
        <v>-8345.6530317942907</v>
      </c>
      <c r="AD175" s="101">
        <f t="shared" si="56"/>
        <v>-11284.275872613029</v>
      </c>
    </row>
    <row r="176" spans="1:30" x14ac:dyDescent="0.25">
      <c r="A176">
        <v>66.5</v>
      </c>
      <c r="B176" s="95">
        <f t="shared" si="57"/>
        <v>7927.4370963349293</v>
      </c>
      <c r="C176" s="95">
        <f t="shared" si="58"/>
        <v>6803.9142776668723</v>
      </c>
      <c r="D176" s="95">
        <f t="shared" si="59"/>
        <v>838.0354471797184</v>
      </c>
      <c r="E176" s="95">
        <f t="shared" si="60"/>
        <v>-266.61500855035206</v>
      </c>
      <c r="F176" s="96">
        <f t="shared" si="61"/>
        <v>433.67575692684966</v>
      </c>
      <c r="G176" s="94">
        <f t="shared" si="62"/>
        <v>-213.61766195686158</v>
      </c>
      <c r="H176" s="97">
        <f t="shared" si="63"/>
        <v>987.03125217860725</v>
      </c>
      <c r="I176" s="94">
        <f t="shared" si="64"/>
        <v>331.50181397299917</v>
      </c>
      <c r="J176" s="95">
        <f t="shared" si="65"/>
        <v>-215.53235915804103</v>
      </c>
      <c r="K176" s="94">
        <f t="shared" si="66"/>
        <v>24.666062031742737</v>
      </c>
      <c r="L176" s="94">
        <f t="shared" si="67"/>
        <v>-337.82313609371658</v>
      </c>
      <c r="M176" s="94">
        <f t="shared" si="68"/>
        <v>-569.7855379616035</v>
      </c>
      <c r="N176" s="99">
        <f t="shared" si="69"/>
        <v>2554.3479294787853</v>
      </c>
      <c r="O176" s="99">
        <f t="shared" si="70"/>
        <v>27678.398559162099</v>
      </c>
      <c r="P176" s="100">
        <f t="shared" si="71"/>
        <v>25252.767268451524</v>
      </c>
      <c r="Q176" s="95">
        <f t="shared" si="72"/>
        <v>1099449887036.7241</v>
      </c>
      <c r="R176" s="95">
        <f t="shared" si="73"/>
        <v>23270801520208.855</v>
      </c>
      <c r="S176" s="95">
        <f t="shared" si="74"/>
        <v>20036491027622.348</v>
      </c>
      <c r="T176">
        <f t="shared" si="50"/>
        <v>0.5</v>
      </c>
      <c r="X176" s="101">
        <v>133</v>
      </c>
      <c r="Y176" s="101">
        <f t="shared" si="51"/>
        <v>6590.0081996875087</v>
      </c>
      <c r="Z176" s="101">
        <f t="shared" si="52"/>
        <v>11156.768508095853</v>
      </c>
      <c r="AA176" s="101">
        <f t="shared" si="53"/>
        <v>-22386.994260218744</v>
      </c>
      <c r="AB176" s="101">
        <f t="shared" si="54"/>
        <v>12559.737955667097</v>
      </c>
      <c r="AC176" s="101">
        <f t="shared" si="55"/>
        <v>-8409.9918003124913</v>
      </c>
      <c r="AD176" s="101">
        <f t="shared" si="56"/>
        <v>-11343.231491904147</v>
      </c>
    </row>
    <row r="177" spans="1:30" x14ac:dyDescent="0.25">
      <c r="A177">
        <v>67</v>
      </c>
      <c r="B177" s="95">
        <f t="shared" si="57"/>
        <v>8454.8737591565023</v>
      </c>
      <c r="C177" s="95">
        <f t="shared" si="58"/>
        <v>6617.2023579024808</v>
      </c>
      <c r="D177" s="95">
        <f t="shared" si="59"/>
        <v>1054.8733256431433</v>
      </c>
      <c r="E177" s="95">
        <f t="shared" si="60"/>
        <v>-373.42383952878288</v>
      </c>
      <c r="F177" s="96">
        <f t="shared" si="61"/>
        <v>195.89254094484335</v>
      </c>
      <c r="G177" s="94">
        <f t="shared" si="62"/>
        <v>-103.44970908327616</v>
      </c>
      <c r="H177" s="97">
        <f t="shared" si="63"/>
        <v>754.3009836215266</v>
      </c>
      <c r="I177" s="94">
        <f t="shared" si="64"/>
        <v>430.96487016452795</v>
      </c>
      <c r="J177" s="95">
        <f t="shared" si="65"/>
        <v>-210.22521276829829</v>
      </c>
      <c r="K177" s="94">
        <f t="shared" si="66"/>
        <v>24.992180955756581</v>
      </c>
      <c r="L177" s="94">
        <f t="shared" si="67"/>
        <v>-348.18322990838493</v>
      </c>
      <c r="M177" s="94">
        <f t="shared" si="68"/>
        <v>-559.40676020356068</v>
      </c>
      <c r="N177" s="99">
        <f t="shared" si="69"/>
        <v>2186.3330767485136</v>
      </c>
      <c r="O177" s="99">
        <f t="shared" si="70"/>
        <v>28109.726194224055</v>
      </c>
      <c r="P177" s="100">
        <f t="shared" si="71"/>
        <v>25348.161821077712</v>
      </c>
      <c r="Q177" s="95">
        <f t="shared" si="72"/>
        <v>1072550911926.6768</v>
      </c>
      <c r="R177" s="95">
        <f t="shared" si="73"/>
        <v>24308860694298.324</v>
      </c>
      <c r="S177" s="95">
        <f t="shared" si="74"/>
        <v>20233471405207.297</v>
      </c>
      <c r="T177">
        <f t="shared" si="50"/>
        <v>0.5</v>
      </c>
      <c r="X177" s="101">
        <v>134</v>
      </c>
      <c r="Y177" s="101">
        <f t="shared" si="51"/>
        <v>6526.7081477050142</v>
      </c>
      <c r="Z177" s="101">
        <f t="shared" si="52"/>
        <v>11096.699001693258</v>
      </c>
      <c r="AA177" s="101">
        <f t="shared" si="53"/>
        <v>-22431.30429660649</v>
      </c>
      <c r="AB177" s="101">
        <f t="shared" si="54"/>
        <v>12517.689301185281</v>
      </c>
      <c r="AC177" s="101">
        <f t="shared" si="55"/>
        <v>-8473.2918522949858</v>
      </c>
      <c r="AD177" s="101">
        <f t="shared" si="56"/>
        <v>-11403.300998306742</v>
      </c>
    </row>
    <row r="178" spans="1:30" x14ac:dyDescent="0.25">
      <c r="A178">
        <v>67.5</v>
      </c>
      <c r="B178" s="95">
        <f t="shared" si="57"/>
        <v>9031.2835572142849</v>
      </c>
      <c r="C178" s="95">
        <f t="shared" si="58"/>
        <v>6404.6280108672699</v>
      </c>
      <c r="D178" s="95">
        <f t="shared" si="59"/>
        <v>1152.819596115565</v>
      </c>
      <c r="E178" s="95">
        <f t="shared" si="60"/>
        <v>-425.14869407042096</v>
      </c>
      <c r="F178" s="96">
        <f t="shared" si="61"/>
        <v>-77.972246561262409</v>
      </c>
      <c r="G178" s="94">
        <f t="shared" si="62"/>
        <v>25.019022678030979</v>
      </c>
      <c r="H178" s="97">
        <f t="shared" si="63"/>
        <v>484.04494598503578</v>
      </c>
      <c r="I178" s="94">
        <f t="shared" si="64"/>
        <v>547.33175973411073</v>
      </c>
      <c r="J178" s="95">
        <f t="shared" si="65"/>
        <v>-203.13646335807022</v>
      </c>
      <c r="K178" s="94">
        <f t="shared" si="66"/>
        <v>25.157384064322578</v>
      </c>
      <c r="L178" s="94">
        <f t="shared" si="67"/>
        <v>-358.88072918822797</v>
      </c>
      <c r="M178" s="94">
        <f t="shared" si="68"/>
        <v>-547.47012112040238</v>
      </c>
      <c r="N178" s="99">
        <f t="shared" si="69"/>
        <v>1779.5355509334727</v>
      </c>
      <c r="O178" s="99">
        <f t="shared" si="70"/>
        <v>28655.246649381919</v>
      </c>
      <c r="P178" s="100">
        <f t="shared" si="71"/>
        <v>25462.463856770479</v>
      </c>
      <c r="Q178" s="95">
        <f t="shared" si="72"/>
        <v>1047875300737.5076</v>
      </c>
      <c r="R178" s="95">
        <f t="shared" si="73"/>
        <v>25666762558275.004</v>
      </c>
      <c r="S178" s="95">
        <f t="shared" si="74"/>
        <v>20471321787737.082</v>
      </c>
      <c r="T178">
        <f t="shared" si="50"/>
        <v>0.5</v>
      </c>
      <c r="X178" s="101">
        <v>135</v>
      </c>
      <c r="Y178" s="101">
        <f t="shared" si="51"/>
        <v>6464.466094067262</v>
      </c>
      <c r="Z178" s="101">
        <f t="shared" si="52"/>
        <v>11035.533905932738</v>
      </c>
      <c r="AA178" s="101">
        <f t="shared" si="53"/>
        <v>-22474.873734152916</v>
      </c>
      <c r="AB178" s="101">
        <f t="shared" si="54"/>
        <v>12474.873734152916</v>
      </c>
      <c r="AC178" s="101">
        <f t="shared" si="55"/>
        <v>-8535.533905932738</v>
      </c>
      <c r="AD178" s="101">
        <f t="shared" si="56"/>
        <v>-11464.466094067262</v>
      </c>
    </row>
    <row r="179" spans="1:30" x14ac:dyDescent="0.25">
      <c r="A179">
        <v>68</v>
      </c>
      <c r="B179" s="95">
        <f t="shared" si="57"/>
        <v>9588.2002936317513</v>
      </c>
      <c r="C179" s="95">
        <f t="shared" si="58"/>
        <v>6198.3084195015672</v>
      </c>
      <c r="D179" s="95">
        <f t="shared" si="59"/>
        <v>1113.8334728349337</v>
      </c>
      <c r="E179" s="95">
        <f t="shared" si="60"/>
        <v>-412.63918273140547</v>
      </c>
      <c r="F179" s="96">
        <f t="shared" si="61"/>
        <v>-354.55346757851254</v>
      </c>
      <c r="G179" s="94">
        <f t="shared" si="62"/>
        <v>150.36844587926532</v>
      </c>
      <c r="H179" s="97">
        <f t="shared" si="63"/>
        <v>208.88248599522856</v>
      </c>
      <c r="I179" s="94">
        <f t="shared" si="64"/>
        <v>660.27383975457678</v>
      </c>
      <c r="J179" s="95">
        <f t="shared" si="65"/>
        <v>-195.26485130364458</v>
      </c>
      <c r="K179" s="94">
        <f t="shared" si="66"/>
        <v>25.088945383681097</v>
      </c>
      <c r="L179" s="94">
        <f t="shared" si="67"/>
        <v>-368.17110227009653</v>
      </c>
      <c r="M179" s="94">
        <f t="shared" si="68"/>
        <v>-534.99433925899257</v>
      </c>
      <c r="N179" s="99">
        <f t="shared" si="69"/>
        <v>1462.276082379796</v>
      </c>
      <c r="O179" s="99">
        <f t="shared" si="70"/>
        <v>29253.070346881894</v>
      </c>
      <c r="P179" s="100">
        <f t="shared" si="71"/>
        <v>25593.651918914496</v>
      </c>
      <c r="Q179" s="95">
        <f t="shared" si="72"/>
        <v>1032244618397.9221</v>
      </c>
      <c r="R179" s="95">
        <f t="shared" si="73"/>
        <v>27213676462853.93</v>
      </c>
      <c r="S179" s="95">
        <f t="shared" si="74"/>
        <v>20746777150165.078</v>
      </c>
      <c r="T179">
        <f t="shared" si="50"/>
        <v>0.5</v>
      </c>
      <c r="X179" s="101">
        <v>136</v>
      </c>
      <c r="Y179" s="101">
        <f t="shared" si="51"/>
        <v>6403.3009983067441</v>
      </c>
      <c r="Z179" s="101">
        <f t="shared" si="52"/>
        <v>10973.291852294986</v>
      </c>
      <c r="AA179" s="101">
        <f t="shared" si="53"/>
        <v>-22517.689301185281</v>
      </c>
      <c r="AB179" s="101">
        <f t="shared" si="54"/>
        <v>12431.30429660649</v>
      </c>
      <c r="AC179" s="101">
        <f t="shared" si="55"/>
        <v>-8596.6990016932559</v>
      </c>
      <c r="AD179" s="101">
        <f t="shared" si="56"/>
        <v>-11526.708147705014</v>
      </c>
    </row>
    <row r="180" spans="1:30" x14ac:dyDescent="0.25">
      <c r="A180">
        <v>68.5</v>
      </c>
      <c r="B180" s="95">
        <f t="shared" si="57"/>
        <v>10056.47866315459</v>
      </c>
      <c r="C180" s="95">
        <f t="shared" si="58"/>
        <v>6029.5809396056811</v>
      </c>
      <c r="D180" s="95">
        <f t="shared" si="59"/>
        <v>936.55673904567743</v>
      </c>
      <c r="E180" s="95">
        <f t="shared" si="60"/>
        <v>-337.45495979177281</v>
      </c>
      <c r="F180" s="96">
        <f t="shared" si="61"/>
        <v>-591.04541283357037</v>
      </c>
      <c r="G180" s="94">
        <f t="shared" si="62"/>
        <v>250.37252165906455</v>
      </c>
      <c r="H180" s="97">
        <f t="shared" si="63"/>
        <v>-28.76418476529604</v>
      </c>
      <c r="I180" s="94">
        <f t="shared" si="64"/>
        <v>748.8740556734939</v>
      </c>
      <c r="J180" s="95">
        <f t="shared" si="65"/>
        <v>-187.62547406457503</v>
      </c>
      <c r="K180" s="94">
        <f t="shared" si="66"/>
        <v>24.785064371320534</v>
      </c>
      <c r="L180" s="94">
        <f t="shared" si="67"/>
        <v>-374.65575400369931</v>
      </c>
      <c r="M180" s="94">
        <f t="shared" si="68"/>
        <v>-523.28659838574993</v>
      </c>
      <c r="N180" s="99">
        <f t="shared" si="69"/>
        <v>1365.2765173786165</v>
      </c>
      <c r="O180" s="99">
        <f t="shared" si="70"/>
        <v>29831.434016642626</v>
      </c>
      <c r="P180" s="100">
        <f t="shared" si="71"/>
        <v>25732.933522150728</v>
      </c>
      <c r="Q180" s="95">
        <f t="shared" si="72"/>
        <v>1028089588370.7097</v>
      </c>
      <c r="R180" s="95">
        <f t="shared" si="73"/>
        <v>28769945436848.621</v>
      </c>
      <c r="S180" s="95">
        <f t="shared" si="74"/>
        <v>21042126561792.543</v>
      </c>
      <c r="T180">
        <f t="shared" si="50"/>
        <v>0.5</v>
      </c>
      <c r="X180" s="101">
        <v>137</v>
      </c>
      <c r="Y180" s="101">
        <f t="shared" si="51"/>
        <v>6343.2314919041473</v>
      </c>
      <c r="Z180" s="101">
        <f t="shared" si="52"/>
        <v>10909.991800312493</v>
      </c>
      <c r="AA180" s="101">
        <f t="shared" si="53"/>
        <v>-22559.737955667097</v>
      </c>
      <c r="AB180" s="101">
        <f t="shared" si="54"/>
        <v>12386.994260218746</v>
      </c>
      <c r="AC180" s="101">
        <f t="shared" si="55"/>
        <v>-8656.7685080958527</v>
      </c>
      <c r="AD180" s="101">
        <f t="shared" si="56"/>
        <v>-11590.008199687507</v>
      </c>
    </row>
    <row r="181" spans="1:30" x14ac:dyDescent="0.25">
      <c r="A181">
        <v>69</v>
      </c>
      <c r="B181" s="95">
        <f t="shared" si="57"/>
        <v>10376.995679469037</v>
      </c>
      <c r="C181" s="95">
        <f t="shared" si="58"/>
        <v>5923.4465901245612</v>
      </c>
      <c r="D181" s="95">
        <f t="shared" si="59"/>
        <v>641.03403262889219</v>
      </c>
      <c r="E181" s="95">
        <f t="shared" si="60"/>
        <v>-212.26869896224053</v>
      </c>
      <c r="F181" s="96">
        <f t="shared" si="61"/>
        <v>-749.85172401159957</v>
      </c>
      <c r="G181" s="94">
        <f t="shared" si="62"/>
        <v>309.88310667210169</v>
      </c>
      <c r="H181" s="97">
        <f t="shared" si="63"/>
        <v>-191.15239017294164</v>
      </c>
      <c r="I181" s="94">
        <f t="shared" si="64"/>
        <v>799.37773546219807</v>
      </c>
      <c r="J181" s="95">
        <f t="shared" si="65"/>
        <v>-181.10042002694669</v>
      </c>
      <c r="K181" s="94">
        <f t="shared" si="66"/>
        <v>24.303441412729857</v>
      </c>
      <c r="L181" s="94">
        <f t="shared" si="67"/>
        <v>-377.59891381171127</v>
      </c>
      <c r="M181" s="94">
        <f t="shared" si="68"/>
        <v>-513.79807020282624</v>
      </c>
      <c r="N181" s="99">
        <f t="shared" si="69"/>
        <v>1471.5033308024285</v>
      </c>
      <c r="O181" s="99">
        <f t="shared" si="70"/>
        <v>30317.587917639648</v>
      </c>
      <c r="P181" s="100">
        <f t="shared" si="71"/>
        <v>25863.890353723971</v>
      </c>
      <c r="Q181" s="95">
        <f t="shared" si="72"/>
        <v>1032655024597.1156</v>
      </c>
      <c r="R181" s="95">
        <f t="shared" si="73"/>
        <v>30124379089916.273</v>
      </c>
      <c r="S181" s="95">
        <f t="shared" si="74"/>
        <v>21322561627296.195</v>
      </c>
      <c r="T181">
        <f t="shared" si="50"/>
        <v>0.5</v>
      </c>
      <c r="X181" s="101">
        <v>138</v>
      </c>
      <c r="Y181" s="101">
        <f t="shared" si="51"/>
        <v>6284.2758726130305</v>
      </c>
      <c r="Z181" s="101">
        <f t="shared" si="52"/>
        <v>10845.653031794292</v>
      </c>
      <c r="AA181" s="101">
        <f t="shared" si="53"/>
        <v>-22601.00688917088</v>
      </c>
      <c r="AB181" s="101">
        <f t="shared" si="54"/>
        <v>12341.957122256004</v>
      </c>
      <c r="AC181" s="101">
        <f t="shared" si="55"/>
        <v>-8715.7241273869695</v>
      </c>
      <c r="AD181" s="101">
        <f t="shared" si="56"/>
        <v>-11654.346968205708</v>
      </c>
    </row>
    <row r="182" spans="1:30" x14ac:dyDescent="0.25">
      <c r="A182">
        <v>69.5</v>
      </c>
      <c r="B182" s="95">
        <f t="shared" si="57"/>
        <v>10510.049764780584</v>
      </c>
      <c r="C182" s="95">
        <f t="shared" si="58"/>
        <v>5894.7830173114671</v>
      </c>
      <c r="D182" s="95">
        <f t="shared" si="59"/>
        <v>266.10817062309241</v>
      </c>
      <c r="E182" s="95">
        <f t="shared" si="60"/>
        <v>-57.32714562618969</v>
      </c>
      <c r="F182" s="96">
        <f t="shared" si="61"/>
        <v>-810.17105658767446</v>
      </c>
      <c r="G182" s="94">
        <f t="shared" si="62"/>
        <v>324.31174466767237</v>
      </c>
      <c r="H182" s="97">
        <f t="shared" si="63"/>
        <v>-256.87073014859601</v>
      </c>
      <c r="I182" s="94">
        <f t="shared" si="64"/>
        <v>808.41770129530266</v>
      </c>
      <c r="J182" s="95">
        <f t="shared" si="65"/>
        <v>-176.3395115590028</v>
      </c>
      <c r="K182" s="94">
        <f t="shared" si="66"/>
        <v>23.727000222945236</v>
      </c>
      <c r="L182" s="94">
        <f t="shared" si="67"/>
        <v>-376.96081488007565</v>
      </c>
      <c r="M182" s="94">
        <f t="shared" si="68"/>
        <v>-507.8329568505755</v>
      </c>
      <c r="N182" s="99">
        <f t="shared" si="69"/>
        <v>1621.0016645667561</v>
      </c>
      <c r="O182" s="99">
        <f t="shared" si="70"/>
        <v>30649.309196359507</v>
      </c>
      <c r="P182" s="100">
        <f t="shared" si="71"/>
        <v>25966.182109355326</v>
      </c>
      <c r="Q182" s="95">
        <f t="shared" si="72"/>
        <v>1039672492770.2856</v>
      </c>
      <c r="R182" s="95">
        <f t="shared" si="73"/>
        <v>31073203184888.125</v>
      </c>
      <c r="S182" s="95">
        <f t="shared" si="74"/>
        <v>21543467505744.285</v>
      </c>
      <c r="T182">
        <f t="shared" si="50"/>
        <v>0.5</v>
      </c>
      <c r="X182" s="101">
        <v>139</v>
      </c>
      <c r="Y182" s="101">
        <f t="shared" si="51"/>
        <v>6226.4520988861404</v>
      </c>
      <c r="Z182" s="101">
        <f t="shared" si="52"/>
        <v>10780.295144952535</v>
      </c>
      <c r="AA182" s="101">
        <f t="shared" si="53"/>
        <v>-22641.483530779704</v>
      </c>
      <c r="AB182" s="101">
        <f t="shared" si="54"/>
        <v>12296.206601466776</v>
      </c>
      <c r="AC182" s="101">
        <f t="shared" si="55"/>
        <v>-8773.5479011138596</v>
      </c>
      <c r="AD182" s="101">
        <f t="shared" si="56"/>
        <v>-11719.704855047465</v>
      </c>
    </row>
    <row r="183" spans="1:30" x14ac:dyDescent="0.25">
      <c r="A183">
        <v>70</v>
      </c>
      <c r="B183" s="95">
        <f t="shared" si="57"/>
        <v>10440.561085945212</v>
      </c>
      <c r="C183" s="95">
        <f t="shared" si="58"/>
        <v>5947.1973806652904</v>
      </c>
      <c r="D183" s="95">
        <f t="shared" si="59"/>
        <v>-138.97735767074482</v>
      </c>
      <c r="E183" s="95">
        <f t="shared" si="60"/>
        <v>104.8287267076465</v>
      </c>
      <c r="F183" s="96">
        <f t="shared" si="61"/>
        <v>-768.09895634748636</v>
      </c>
      <c r="G183" s="94">
        <f t="shared" si="62"/>
        <v>296.51720498909276</v>
      </c>
      <c r="H183" s="97">
        <f t="shared" si="63"/>
        <v>-221.19813804971406</v>
      </c>
      <c r="I183" s="94">
        <f t="shared" si="64"/>
        <v>779.63546739185108</v>
      </c>
      <c r="J183" s="95">
        <f t="shared" si="65"/>
        <v>-173.73538772427966</v>
      </c>
      <c r="K183" s="94">
        <f t="shared" si="66"/>
        <v>23.130823129445886</v>
      </c>
      <c r="L183" s="94">
        <f t="shared" si="67"/>
        <v>-373.16543057349264</v>
      </c>
      <c r="M183" s="94">
        <f t="shared" si="68"/>
        <v>-506.24908553220416</v>
      </c>
      <c r="N183" s="99">
        <f t="shared" si="69"/>
        <v>1684.3017318949735</v>
      </c>
      <c r="O183" s="99">
        <f t="shared" si="70"/>
        <v>30784.995421866512</v>
      </c>
      <c r="P183" s="100">
        <f t="shared" si="71"/>
        <v>26022.175178998736</v>
      </c>
      <c r="Q183" s="95">
        <f t="shared" si="72"/>
        <v>1042853467081.7405</v>
      </c>
      <c r="R183" s="95">
        <f t="shared" si="73"/>
        <v>31467128071100.82</v>
      </c>
      <c r="S183" s="95">
        <f t="shared" si="74"/>
        <v>21665079926420</v>
      </c>
      <c r="T183">
        <f t="shared" si="50"/>
        <v>0.5</v>
      </c>
      <c r="X183" s="101">
        <v>140</v>
      </c>
      <c r="Y183" s="101">
        <f t="shared" si="51"/>
        <v>6169.7777844051107</v>
      </c>
      <c r="Z183" s="101">
        <f t="shared" si="52"/>
        <v>10713.938048432698</v>
      </c>
      <c r="AA183" s="101">
        <f t="shared" si="53"/>
        <v>-22681.155550916425</v>
      </c>
      <c r="AB183" s="101">
        <f t="shared" si="54"/>
        <v>12249.756633902889</v>
      </c>
      <c r="AC183" s="101">
        <f t="shared" si="55"/>
        <v>-8830.2222155948893</v>
      </c>
      <c r="AD183" s="101">
        <f t="shared" si="56"/>
        <v>-11786.061951567302</v>
      </c>
    </row>
    <row r="184" spans="1:30" x14ac:dyDescent="0.25">
      <c r="A184">
        <v>70.5</v>
      </c>
      <c r="B184" s="95">
        <f t="shared" si="57"/>
        <v>10179.047668022968</v>
      </c>
      <c r="C184" s="95">
        <f t="shared" si="58"/>
        <v>6073.7410452663871</v>
      </c>
      <c r="D184" s="95">
        <f t="shared" si="59"/>
        <v>-523.02683584448801</v>
      </c>
      <c r="E184" s="95">
        <f t="shared" si="60"/>
        <v>253.08732920219288</v>
      </c>
      <c r="F184" s="96">
        <f t="shared" si="61"/>
        <v>-630.47511704631211</v>
      </c>
      <c r="G184" s="94">
        <f t="shared" si="62"/>
        <v>231.82689260061176</v>
      </c>
      <c r="H184" s="97">
        <f t="shared" si="63"/>
        <v>-90.201272169618022</v>
      </c>
      <c r="I184" s="94">
        <f t="shared" si="64"/>
        <v>718.52581818479018</v>
      </c>
      <c r="J184" s="95">
        <f t="shared" si="65"/>
        <v>-173.45865799787262</v>
      </c>
      <c r="K184" s="94">
        <f t="shared" si="66"/>
        <v>22.566769393516708</v>
      </c>
      <c r="L184" s="94">
        <f t="shared" si="67"/>
        <v>-366.81518687882141</v>
      </c>
      <c r="M184" s="94">
        <f t="shared" si="68"/>
        <v>-509.26569497769509</v>
      </c>
      <c r="N184" s="99">
        <f t="shared" si="69"/>
        <v>1614.0910894562176</v>
      </c>
      <c r="O184" s="99">
        <f t="shared" si="70"/>
        <v>30709.167496017348</v>
      </c>
      <c r="P184" s="100">
        <f t="shared" si="71"/>
        <v>26022.989927242343</v>
      </c>
      <c r="Q184" s="95">
        <f t="shared" si="72"/>
        <v>1039332788724.6088</v>
      </c>
      <c r="R184" s="95">
        <f t="shared" si="73"/>
        <v>31246565714277.641</v>
      </c>
      <c r="S184" s="95">
        <f t="shared" si="74"/>
        <v>21666853113010.824</v>
      </c>
      <c r="T184">
        <f t="shared" si="50"/>
        <v>0.5</v>
      </c>
      <c r="X184" s="101">
        <v>141</v>
      </c>
      <c r="Y184" s="101">
        <f t="shared" si="51"/>
        <v>6114.2701927151465</v>
      </c>
      <c r="Z184" s="101">
        <f t="shared" si="52"/>
        <v>10646.601955249189</v>
      </c>
      <c r="AA184" s="101">
        <f t="shared" si="53"/>
        <v>-22720.010865099397</v>
      </c>
      <c r="AB184" s="101">
        <f t="shared" si="54"/>
        <v>12202.621368674432</v>
      </c>
      <c r="AC184" s="101">
        <f t="shared" si="55"/>
        <v>-8885.7298072848535</v>
      </c>
      <c r="AD184" s="101">
        <f t="shared" si="56"/>
        <v>-11853.398044750811</v>
      </c>
    </row>
    <row r="185" spans="1:30" x14ac:dyDescent="0.25">
      <c r="A185">
        <v>71</v>
      </c>
      <c r="B185" s="95">
        <f t="shared" si="57"/>
        <v>9759.9154708391452</v>
      </c>
      <c r="C185" s="95">
        <f t="shared" si="58"/>
        <v>6258.2414330176371</v>
      </c>
      <c r="D185" s="95">
        <f t="shared" si="59"/>
        <v>-838.26439436764406</v>
      </c>
      <c r="E185" s="95">
        <f t="shared" si="60"/>
        <v>369.00077550249875</v>
      </c>
      <c r="F185" s="96">
        <f t="shared" si="61"/>
        <v>-412.14162013771056</v>
      </c>
      <c r="G185" s="94">
        <f t="shared" si="62"/>
        <v>136.20322523037453</v>
      </c>
      <c r="H185" s="97">
        <f t="shared" si="63"/>
        <v>121.91002348086016</v>
      </c>
      <c r="I185" s="94">
        <f t="shared" si="64"/>
        <v>630.53965446042469</v>
      </c>
      <c r="J185" s="95">
        <f t="shared" si="65"/>
        <v>-175.50532231888778</v>
      </c>
      <c r="K185" s="94">
        <f t="shared" si="66"/>
        <v>22.066545988048208</v>
      </c>
      <c r="L185" s="94">
        <f t="shared" si="67"/>
        <v>-358.54632129968297</v>
      </c>
      <c r="M185" s="94">
        <f t="shared" si="68"/>
        <v>-516.40297521809839</v>
      </c>
      <c r="N185" s="99">
        <f t="shared" si="69"/>
        <v>1437.4535378168857</v>
      </c>
      <c r="O185" s="99">
        <f t="shared" si="70"/>
        <v>30433.376866993065</v>
      </c>
      <c r="P185" s="100">
        <f t="shared" si="71"/>
        <v>25971.254296838622</v>
      </c>
      <c r="Q185" s="95">
        <f t="shared" si="72"/>
        <v>1031153648563.2271</v>
      </c>
      <c r="R185" s="95">
        <f t="shared" si="73"/>
        <v>30453284824182.281</v>
      </c>
      <c r="S185" s="95">
        <f t="shared" si="74"/>
        <v>21554463703467.363</v>
      </c>
      <c r="T185">
        <f t="shared" si="50"/>
        <v>0.5</v>
      </c>
      <c r="X185" s="101">
        <v>142</v>
      </c>
      <c r="Y185" s="101">
        <f t="shared" si="51"/>
        <v>6059.9462319663908</v>
      </c>
      <c r="Z185" s="101">
        <f t="shared" si="52"/>
        <v>10578.307376628292</v>
      </c>
      <c r="AA185" s="101">
        <f t="shared" si="53"/>
        <v>-22758.037637623525</v>
      </c>
      <c r="AB185" s="101">
        <f t="shared" si="54"/>
        <v>12154.815163639803</v>
      </c>
      <c r="AC185" s="101">
        <f t="shared" si="55"/>
        <v>-8940.0537680336092</v>
      </c>
      <c r="AD185" s="101">
        <f t="shared" si="56"/>
        <v>-11921.692623371708</v>
      </c>
    </row>
    <row r="186" spans="1:30" x14ac:dyDescent="0.25">
      <c r="A186">
        <v>71.5</v>
      </c>
      <c r="B186" s="95">
        <f t="shared" si="57"/>
        <v>9237.747868620896</v>
      </c>
      <c r="C186" s="95">
        <f t="shared" si="58"/>
        <v>6476.7926270764801</v>
      </c>
      <c r="D186" s="95">
        <f t="shared" si="59"/>
        <v>-1044.3352044364992</v>
      </c>
      <c r="E186" s="95">
        <f t="shared" si="60"/>
        <v>437.10238811768602</v>
      </c>
      <c r="F186" s="96">
        <f t="shared" si="61"/>
        <v>-139.04550390479579</v>
      </c>
      <c r="G186" s="94">
        <f t="shared" si="62"/>
        <v>18.266885593558413</v>
      </c>
      <c r="H186" s="97">
        <f t="shared" si="63"/>
        <v>389.72587517085145</v>
      </c>
      <c r="I186" s="94">
        <f t="shared" si="64"/>
        <v>523.14762068609969</v>
      </c>
      <c r="J186" s="95">
        <f t="shared" si="65"/>
        <v>-179.71128867759808</v>
      </c>
      <c r="K186" s="94">
        <f t="shared" si="66"/>
        <v>21.655571424707201</v>
      </c>
      <c r="L186" s="94">
        <f t="shared" si="67"/>
        <v>-349.06009039804917</v>
      </c>
      <c r="M186" s="94">
        <f t="shared" si="68"/>
        <v>-526.53630651724848</v>
      </c>
      <c r="N186" s="99">
        <f t="shared" si="69"/>
        <v>1264.7548852708501</v>
      </c>
      <c r="O186" s="99">
        <f t="shared" si="70"/>
        <v>29994.221543575302</v>
      </c>
      <c r="P186" s="100">
        <f t="shared" si="71"/>
        <v>25879.875067912992</v>
      </c>
      <c r="Q186" s="95">
        <f t="shared" si="72"/>
        <v>1024089772105.3939</v>
      </c>
      <c r="R186" s="95">
        <f t="shared" si="73"/>
        <v>29218727663596.742</v>
      </c>
      <c r="S186" s="95">
        <f t="shared" si="74"/>
        <v>21356974218353.246</v>
      </c>
      <c r="T186">
        <f t="shared" si="50"/>
        <v>0.5</v>
      </c>
      <c r="X186" s="101">
        <v>143</v>
      </c>
      <c r="Y186" s="101">
        <f t="shared" si="51"/>
        <v>6006.8224497635347</v>
      </c>
      <c r="Z186" s="101">
        <f t="shared" si="52"/>
        <v>10509.075115760241</v>
      </c>
      <c r="AA186" s="101">
        <f t="shared" si="53"/>
        <v>-22795.224285165525</v>
      </c>
      <c r="AB186" s="101">
        <f t="shared" si="54"/>
        <v>12106.352581032168</v>
      </c>
      <c r="AC186" s="101">
        <f t="shared" si="55"/>
        <v>-8993.1775502364653</v>
      </c>
      <c r="AD186" s="101">
        <f t="shared" si="56"/>
        <v>-11990.924884239759</v>
      </c>
    </row>
    <row r="187" spans="1:30" x14ac:dyDescent="0.25">
      <c r="A187">
        <v>72</v>
      </c>
      <c r="B187" s="95">
        <f t="shared" si="57"/>
        <v>8680.818890426448</v>
      </c>
      <c r="C187" s="95">
        <f t="shared" si="58"/>
        <v>6699.9105425337129</v>
      </c>
      <c r="D187" s="95">
        <f t="shared" si="59"/>
        <v>-1113.857956388897</v>
      </c>
      <c r="E187" s="95">
        <f t="shared" si="60"/>
        <v>446.23583091446523</v>
      </c>
      <c r="F187" s="96">
        <f t="shared" si="61"/>
        <v>149.23777215221008</v>
      </c>
      <c r="G187" s="94">
        <f t="shared" si="62"/>
        <v>-107.8088160078986</v>
      </c>
      <c r="H187" s="97">
        <f t="shared" si="63"/>
        <v>674.19122449384088</v>
      </c>
      <c r="I187" s="94">
        <f t="shared" si="64"/>
        <v>408.90010258574995</v>
      </c>
      <c r="J187" s="95">
        <f t="shared" si="65"/>
        <v>-185.7192781021466</v>
      </c>
      <c r="K187" s="94">
        <f t="shared" si="66"/>
        <v>21.369342139590163</v>
      </c>
      <c r="L187" s="94">
        <f t="shared" si="67"/>
        <v>-339.23417423948416</v>
      </c>
      <c r="M187" s="94">
        <f t="shared" si="68"/>
        <v>-538.07826073323872</v>
      </c>
      <c r="N187" s="99">
        <f t="shared" si="69"/>
        <v>1275.9238377728657</v>
      </c>
      <c r="O187" s="99">
        <f t="shared" si="70"/>
        <v>29449.259593777031</v>
      </c>
      <c r="P187" s="100">
        <f t="shared" si="71"/>
        <v>25767.53938421101</v>
      </c>
      <c r="Q187" s="95">
        <f t="shared" si="72"/>
        <v>1024518843720.7659</v>
      </c>
      <c r="R187" s="95">
        <f t="shared" si="73"/>
        <v>27734944589608.141</v>
      </c>
      <c r="S187" s="95">
        <f t="shared" si="74"/>
        <v>21115974050280.746</v>
      </c>
      <c r="T187">
        <f t="shared" si="50"/>
        <v>0.5</v>
      </c>
      <c r="X187" s="101">
        <v>144</v>
      </c>
      <c r="Y187" s="101">
        <f t="shared" si="51"/>
        <v>5954.9150281252632</v>
      </c>
      <c r="Z187" s="101">
        <f t="shared" si="52"/>
        <v>10438.926261462366</v>
      </c>
      <c r="AA187" s="101">
        <f t="shared" si="53"/>
        <v>-22831.559480312317</v>
      </c>
      <c r="AB187" s="101">
        <f t="shared" si="54"/>
        <v>12057.248383023656</v>
      </c>
      <c r="AC187" s="101">
        <f t="shared" si="55"/>
        <v>-9045.0849718747377</v>
      </c>
      <c r="AD187" s="101">
        <f t="shared" si="56"/>
        <v>-12061.073738537634</v>
      </c>
    </row>
    <row r="188" spans="1:30" x14ac:dyDescent="0.25">
      <c r="A188">
        <v>72.5</v>
      </c>
      <c r="B188" s="95">
        <f t="shared" si="57"/>
        <v>8161.1993552700524</v>
      </c>
      <c r="C188" s="95">
        <f t="shared" si="58"/>
        <v>6896.0762539889711</v>
      </c>
      <c r="D188" s="95">
        <f t="shared" si="59"/>
        <v>-1039.2390703127919</v>
      </c>
      <c r="E188" s="95">
        <f t="shared" si="60"/>
        <v>392.33142291051593</v>
      </c>
      <c r="F188" s="96">
        <f t="shared" si="61"/>
        <v>406.3108056046533</v>
      </c>
      <c r="G188" s="94">
        <f t="shared" si="62"/>
        <v>-222.79576900279562</v>
      </c>
      <c r="H188" s="97">
        <f t="shared" si="63"/>
        <v>929.41173473607637</v>
      </c>
      <c r="I188" s="94">
        <f t="shared" si="64"/>
        <v>305.24995628922761</v>
      </c>
      <c r="J188" s="95">
        <f t="shared" si="65"/>
        <v>-192.92415625194013</v>
      </c>
      <c r="K188" s="94">
        <f t="shared" si="66"/>
        <v>21.264075518057663</v>
      </c>
      <c r="L188" s="94">
        <f t="shared" si="67"/>
        <v>-330.176772879483</v>
      </c>
      <c r="M188" s="94">
        <f t="shared" si="68"/>
        <v>-549.3098008100809</v>
      </c>
      <c r="N188" s="99">
        <f t="shared" si="69"/>
        <v>1542.848644489927</v>
      </c>
      <c r="O188" s="99">
        <f t="shared" si="70"/>
        <v>28870.053042083637</v>
      </c>
      <c r="P188" s="100">
        <f t="shared" si="71"/>
        <v>25652.503251468752</v>
      </c>
      <c r="Q188" s="95">
        <f t="shared" si="72"/>
        <v>1035917376730.0948</v>
      </c>
      <c r="R188" s="95">
        <f t="shared" si="73"/>
        <v>26215447756124.094</v>
      </c>
      <c r="S188" s="95">
        <f t="shared" si="74"/>
        <v>20871207286103.84</v>
      </c>
      <c r="T188">
        <f t="shared" si="50"/>
        <v>0.5</v>
      </c>
      <c r="X188" s="101">
        <v>145</v>
      </c>
      <c r="Y188" s="101">
        <f t="shared" si="51"/>
        <v>5904.239778555042</v>
      </c>
      <c r="Z188" s="101">
        <f t="shared" si="52"/>
        <v>10367.882181755233</v>
      </c>
      <c r="AA188" s="101">
        <f t="shared" si="53"/>
        <v>-22867.032155011471</v>
      </c>
      <c r="AB188" s="101">
        <f t="shared" si="54"/>
        <v>12007.517527228661</v>
      </c>
      <c r="AC188" s="101">
        <f t="shared" si="55"/>
        <v>-9095.760221444958</v>
      </c>
      <c r="AD188" s="101">
        <f t="shared" si="56"/>
        <v>-12132.117818244767</v>
      </c>
    </row>
    <row r="189" spans="1:30" x14ac:dyDescent="0.25">
      <c r="A189">
        <v>73</v>
      </c>
      <c r="B189" s="95">
        <f t="shared" si="57"/>
        <v>7743.1575215148205</v>
      </c>
      <c r="C189" s="95">
        <f t="shared" si="58"/>
        <v>7036.5430231935306</v>
      </c>
      <c r="D189" s="95">
        <f t="shared" si="59"/>
        <v>-836.08366751046526</v>
      </c>
      <c r="E189" s="95">
        <f t="shared" si="60"/>
        <v>280.93353840911811</v>
      </c>
      <c r="F189" s="96">
        <f t="shared" si="61"/>
        <v>594.6681784885825</v>
      </c>
      <c r="G189" s="94">
        <f t="shared" si="62"/>
        <v>-307.7342391265683</v>
      </c>
      <c r="H189" s="97">
        <f t="shared" si="63"/>
        <v>1118.2615243668238</v>
      </c>
      <c r="I189" s="94">
        <f t="shared" si="64"/>
        <v>229.64212624618298</v>
      </c>
      <c r="J189" s="95">
        <f t="shared" si="65"/>
        <v>-200.46023101564023</v>
      </c>
      <c r="K189" s="94">
        <f t="shared" si="66"/>
        <v>21.412676971424244</v>
      </c>
      <c r="L189" s="94">
        <f t="shared" si="67"/>
        <v>-323.13311486260102</v>
      </c>
      <c r="M189" s="94">
        <f t="shared" si="68"/>
        <v>-558.78904234417553</v>
      </c>
      <c r="N189" s="99">
        <f t="shared" si="69"/>
        <v>1935.435791250969</v>
      </c>
      <c r="O189" s="99">
        <f t="shared" si="70"/>
        <v>28331.740005659969</v>
      </c>
      <c r="P189" s="100">
        <f t="shared" si="71"/>
        <v>25547.119676974555</v>
      </c>
      <c r="Q189" s="95">
        <f t="shared" si="72"/>
        <v>1056711630244.2354</v>
      </c>
      <c r="R189" s="95">
        <f t="shared" si="73"/>
        <v>24855379792355.664</v>
      </c>
      <c r="S189" s="95">
        <f t="shared" si="74"/>
        <v>20648770951124.996</v>
      </c>
      <c r="T189">
        <f t="shared" si="50"/>
        <v>0.5</v>
      </c>
      <c r="X189" s="101">
        <v>146</v>
      </c>
      <c r="Y189" s="101">
        <f t="shared" si="51"/>
        <v>5854.8121372247915</v>
      </c>
      <c r="Z189" s="101">
        <f t="shared" si="52"/>
        <v>10295.964517353736</v>
      </c>
      <c r="AA189" s="101">
        <f t="shared" si="53"/>
        <v>-22901.631503942644</v>
      </c>
      <c r="AB189" s="101">
        <f t="shared" si="54"/>
        <v>11957.175162147614</v>
      </c>
      <c r="AC189" s="101">
        <f t="shared" si="55"/>
        <v>-9145.1878627752085</v>
      </c>
      <c r="AD189" s="101">
        <f t="shared" si="56"/>
        <v>-12204.035482646264</v>
      </c>
    </row>
    <row r="190" spans="1:30" x14ac:dyDescent="0.25">
      <c r="A190">
        <v>73.5</v>
      </c>
      <c r="B190" s="95">
        <f t="shared" si="57"/>
        <v>7473.7827323817337</v>
      </c>
      <c r="C190" s="95">
        <f t="shared" si="58"/>
        <v>7100.0762326164477</v>
      </c>
      <c r="D190" s="95">
        <f t="shared" si="59"/>
        <v>-538.74957826617401</v>
      </c>
      <c r="E190" s="95">
        <f t="shared" si="60"/>
        <v>127.06641884583397</v>
      </c>
      <c r="F190" s="96">
        <f t="shared" si="61"/>
        <v>697.43033660803428</v>
      </c>
      <c r="G190" s="94">
        <f t="shared" si="62"/>
        <v>-349.9941205150534</v>
      </c>
      <c r="H190" s="97">
        <f t="shared" si="63"/>
        <v>1223.9860503751265</v>
      </c>
      <c r="I190" s="94">
        <f t="shared" si="64"/>
        <v>193.76841365368381</v>
      </c>
      <c r="J190" s="95">
        <f t="shared" si="65"/>
        <v>-207.29405982673202</v>
      </c>
      <c r="K190" s="94">
        <f t="shared" si="66"/>
        <v>21.880385995061516</v>
      </c>
      <c r="L190" s="94">
        <f t="shared" si="67"/>
        <v>-319.26165394036025</v>
      </c>
      <c r="M190" s="94">
        <f t="shared" si="68"/>
        <v>-565.64292016379875</v>
      </c>
      <c r="N190" s="99">
        <f t="shared" si="69"/>
        <v>2303.9380074224482</v>
      </c>
      <c r="O190" s="99">
        <f t="shared" si="70"/>
        <v>27900.983253587448</v>
      </c>
      <c r="P190" s="100">
        <f t="shared" si="71"/>
        <v>25455.790933129523</v>
      </c>
      <c r="Q190" s="95">
        <f t="shared" si="72"/>
        <v>1080669398000.7505</v>
      </c>
      <c r="R190" s="95">
        <f t="shared" si="73"/>
        <v>23802597049964.641</v>
      </c>
      <c r="S190" s="95">
        <f t="shared" si="74"/>
        <v>20457381226792.59</v>
      </c>
      <c r="T190">
        <f t="shared" si="50"/>
        <v>0.5</v>
      </c>
      <c r="X190" s="101">
        <v>147</v>
      </c>
      <c r="Y190" s="101">
        <f t="shared" si="51"/>
        <v>5806.6471602728789</v>
      </c>
      <c r="Z190" s="101">
        <f t="shared" si="52"/>
        <v>10223.195175075136</v>
      </c>
      <c r="AA190" s="101">
        <f t="shared" si="53"/>
        <v>-22935.346987808985</v>
      </c>
      <c r="AB190" s="101">
        <f t="shared" si="54"/>
        <v>11906.236622552595</v>
      </c>
      <c r="AC190" s="101">
        <f t="shared" si="55"/>
        <v>-9193.352839727122</v>
      </c>
      <c r="AD190" s="101">
        <f t="shared" si="56"/>
        <v>-12276.804824924864</v>
      </c>
    </row>
    <row r="191" spans="1:30" x14ac:dyDescent="0.25">
      <c r="A191">
        <v>74</v>
      </c>
      <c r="B191" s="95">
        <f t="shared" si="57"/>
        <v>7378.7655274006556</v>
      </c>
      <c r="C191" s="95">
        <f t="shared" si="58"/>
        <v>7076.1109119106013</v>
      </c>
      <c r="D191" s="95">
        <f t="shared" si="59"/>
        <v>-190.03440996215687</v>
      </c>
      <c r="E191" s="95">
        <f t="shared" si="60"/>
        <v>-47.930641411692733</v>
      </c>
      <c r="F191" s="96">
        <f t="shared" si="61"/>
        <v>716.22792850193036</v>
      </c>
      <c r="G191" s="94">
        <f t="shared" si="62"/>
        <v>-345.07072930677293</v>
      </c>
      <c r="H191" s="97">
        <f t="shared" si="63"/>
        <v>1248.0298770418642</v>
      </c>
      <c r="I191" s="94">
        <f t="shared" si="64"/>
        <v>201.82332104117029</v>
      </c>
      <c r="J191" s="95">
        <f t="shared" si="65"/>
        <v>-212.42100194841538</v>
      </c>
      <c r="K191" s="94">
        <f t="shared" si="66"/>
        <v>22.685297810684588</v>
      </c>
      <c r="L191" s="94">
        <f t="shared" si="67"/>
        <v>-319.38094659151847</v>
      </c>
      <c r="M191" s="94">
        <f t="shared" si="68"/>
        <v>-569.57934815862779</v>
      </c>
      <c r="N191" s="99">
        <f t="shared" si="69"/>
        <v>2557.6772085098919</v>
      </c>
      <c r="O191" s="99">
        <f t="shared" si="70"/>
        <v>27626.40576482494</v>
      </c>
      <c r="P191" s="100">
        <f t="shared" si="71"/>
        <v>25377.325019436605</v>
      </c>
      <c r="Q191" s="95">
        <f t="shared" si="72"/>
        <v>1099713384796.6611</v>
      </c>
      <c r="R191" s="95">
        <f t="shared" si="73"/>
        <v>23147769645113.777</v>
      </c>
      <c r="S191" s="95">
        <f t="shared" si="74"/>
        <v>20293967259903.965</v>
      </c>
      <c r="T191">
        <f t="shared" si="50"/>
        <v>0.5</v>
      </c>
      <c r="X191" s="101">
        <v>148</v>
      </c>
      <c r="Y191" s="101">
        <f t="shared" si="51"/>
        <v>5759.7595192178705</v>
      </c>
      <c r="Z191" s="101">
        <f t="shared" si="52"/>
        <v>10149.596321166024</v>
      </c>
      <c r="AA191" s="101">
        <f t="shared" si="53"/>
        <v>-22968.168336547489</v>
      </c>
      <c r="AB191" s="101">
        <f t="shared" si="54"/>
        <v>11854.717424816217</v>
      </c>
      <c r="AC191" s="101">
        <f t="shared" si="55"/>
        <v>-9240.2404807821295</v>
      </c>
      <c r="AD191" s="101">
        <f t="shared" si="56"/>
        <v>-12350.403678833976</v>
      </c>
    </row>
    <row r="192" spans="1:30" x14ac:dyDescent="0.25">
      <c r="A192">
        <v>74.5</v>
      </c>
      <c r="B192" s="95">
        <f t="shared" si="57"/>
        <v>7462.8053045450597</v>
      </c>
      <c r="C192" s="95">
        <f t="shared" si="58"/>
        <v>6965.877908878062</v>
      </c>
      <c r="D192" s="95">
        <f t="shared" si="59"/>
        <v>168.07955428880831</v>
      </c>
      <c r="E192" s="95">
        <f t="shared" si="60"/>
        <v>-220.4660060650792</v>
      </c>
      <c r="F192" s="96">
        <f t="shared" si="61"/>
        <v>660.54988292551116</v>
      </c>
      <c r="G192" s="94">
        <f t="shared" si="62"/>
        <v>-294.40609574376225</v>
      </c>
      <c r="H192" s="97">
        <f t="shared" si="63"/>
        <v>1199.4138231755403</v>
      </c>
      <c r="I192" s="94">
        <f t="shared" si="64"/>
        <v>252.49675182700435</v>
      </c>
      <c r="J192" s="95">
        <f t="shared" si="65"/>
        <v>-215.08471543621329</v>
      </c>
      <c r="K192" s="94">
        <f t="shared" si="66"/>
        <v>23.762804976798456</v>
      </c>
      <c r="L192" s="94">
        <f t="shared" si="67"/>
        <v>-323.77922481381586</v>
      </c>
      <c r="M192" s="94">
        <f t="shared" si="68"/>
        <v>-570.66565254756506</v>
      </c>
      <c r="N192" s="99">
        <f t="shared" si="69"/>
        <v>2655.2875775223338</v>
      </c>
      <c r="O192" s="99">
        <f t="shared" si="70"/>
        <v>27534.449862015234</v>
      </c>
      <c r="P192" s="100">
        <f t="shared" si="71"/>
        <v>25309.850038618191</v>
      </c>
      <c r="Q192" s="95">
        <f t="shared" si="72"/>
        <v>1107601071728.0825</v>
      </c>
      <c r="R192" s="95">
        <f t="shared" si="73"/>
        <v>22931269116717.043</v>
      </c>
      <c r="S192" s="95">
        <f t="shared" si="74"/>
        <v>20154194889224.805</v>
      </c>
      <c r="T192">
        <f t="shared" si="50"/>
        <v>0.5</v>
      </c>
      <c r="X192" s="101">
        <v>149</v>
      </c>
      <c r="Y192" s="101">
        <f t="shared" si="51"/>
        <v>5714.1634964894392</v>
      </c>
      <c r="Z192" s="101">
        <f t="shared" si="52"/>
        <v>10075.190374550271</v>
      </c>
      <c r="AA192" s="101">
        <f t="shared" si="53"/>
        <v>-23000.085552457393</v>
      </c>
      <c r="AB192" s="101">
        <f t="shared" si="54"/>
        <v>11802.633262185191</v>
      </c>
      <c r="AC192" s="101">
        <f t="shared" si="55"/>
        <v>-9285.8365035105599</v>
      </c>
      <c r="AD192" s="101">
        <f t="shared" si="56"/>
        <v>-12424.809625449729</v>
      </c>
    </row>
    <row r="193" spans="1:30" x14ac:dyDescent="0.25">
      <c r="A193">
        <v>75</v>
      </c>
      <c r="B193" s="95">
        <f t="shared" si="57"/>
        <v>7711.9825524208418</v>
      </c>
      <c r="C193" s="95">
        <f t="shared" si="58"/>
        <v>6782.0433819095824</v>
      </c>
      <c r="D193" s="95">
        <f t="shared" si="59"/>
        <v>498.35449575156389</v>
      </c>
      <c r="E193" s="95">
        <f t="shared" si="60"/>
        <v>-367.66905393696032</v>
      </c>
      <c r="F193" s="96">
        <f t="shared" si="61"/>
        <v>539.56648911196771</v>
      </c>
      <c r="G193" s="94">
        <f t="shared" si="62"/>
        <v>-203.15159492339677</v>
      </c>
      <c r="H193" s="97">
        <f t="shared" si="63"/>
        <v>1086.6084902825555</v>
      </c>
      <c r="I193" s="94">
        <f t="shared" si="64"/>
        <v>340.96669922557817</v>
      </c>
      <c r="J193" s="95">
        <f t="shared" si="65"/>
        <v>-214.92957894993347</v>
      </c>
      <c r="K193" s="94">
        <f t="shared" si="66"/>
        <v>24.957942279914796</v>
      </c>
      <c r="L193" s="94">
        <f t="shared" si="67"/>
        <v>-332.11242222065431</v>
      </c>
      <c r="M193" s="94">
        <f t="shared" si="68"/>
        <v>-569.07623642888973</v>
      </c>
      <c r="N193" s="99">
        <f t="shared" si="69"/>
        <v>2592.8060727461202</v>
      </c>
      <c r="O193" s="99">
        <f t="shared" si="70"/>
        <v>27629.903583964646</v>
      </c>
      <c r="P193" s="100">
        <f t="shared" si="71"/>
        <v>25255.124398163902</v>
      </c>
      <c r="Q193" s="95">
        <f t="shared" si="72"/>
        <v>1102515896768.3662</v>
      </c>
      <c r="R193" s="95">
        <f t="shared" si="73"/>
        <v>23156032549012.441</v>
      </c>
      <c r="S193" s="95">
        <f t="shared" si="74"/>
        <v>20041341589602.699</v>
      </c>
      <c r="T193">
        <f t="shared" si="50"/>
        <v>0.5</v>
      </c>
      <c r="X193" s="101">
        <v>150</v>
      </c>
      <c r="Y193" s="101">
        <f t="shared" si="51"/>
        <v>5669.8729810778068</v>
      </c>
      <c r="Z193" s="101">
        <f t="shared" si="52"/>
        <v>10000</v>
      </c>
      <c r="AA193" s="101">
        <f t="shared" si="53"/>
        <v>-23031.088913245534</v>
      </c>
      <c r="AB193" s="101">
        <f t="shared" si="54"/>
        <v>11750</v>
      </c>
      <c r="AC193" s="101">
        <f t="shared" si="55"/>
        <v>-9330.1270189221941</v>
      </c>
      <c r="AD193" s="101">
        <f t="shared" si="56"/>
        <v>-12500</v>
      </c>
    </row>
    <row r="194" spans="1:30" x14ac:dyDescent="0.25">
      <c r="A194">
        <v>75.5</v>
      </c>
      <c r="B194" s="95">
        <f t="shared" si="57"/>
        <v>8096.0514225746156</v>
      </c>
      <c r="C194" s="95">
        <f t="shared" si="58"/>
        <v>6547.4209562102524</v>
      </c>
      <c r="D194" s="95">
        <f t="shared" si="59"/>
        <v>768.1377403075478</v>
      </c>
      <c r="E194" s="95">
        <f t="shared" si="60"/>
        <v>-469.24485139865874</v>
      </c>
      <c r="F194" s="96">
        <f t="shared" si="61"/>
        <v>361.27638659920507</v>
      </c>
      <c r="G194" s="94">
        <f t="shared" si="62"/>
        <v>-80.275620665630981</v>
      </c>
      <c r="H194" s="97">
        <f t="shared" si="63"/>
        <v>916.70643884838023</v>
      </c>
      <c r="I194" s="94">
        <f t="shared" si="64"/>
        <v>458.64439476350134</v>
      </c>
      <c r="J194" s="95">
        <f t="shared" si="65"/>
        <v>-212.04900232462805</v>
      </c>
      <c r="K194" s="94">
        <f t="shared" si="66"/>
        <v>26.057609685832713</v>
      </c>
      <c r="L194" s="94">
        <f t="shared" si="67"/>
        <v>-343.38104992454709</v>
      </c>
      <c r="M194" s="94">
        <f t="shared" si="68"/>
        <v>-564.97762511496501</v>
      </c>
      <c r="N194" s="99">
        <f t="shared" si="69"/>
        <v>2398.0170028351499</v>
      </c>
      <c r="O194" s="99">
        <f t="shared" si="70"/>
        <v>27898.193880278148</v>
      </c>
      <c r="P194" s="100">
        <f t="shared" si="71"/>
        <v>25220.069672870512</v>
      </c>
      <c r="Q194" s="95">
        <f t="shared" si="72"/>
        <v>1087485700650.7167</v>
      </c>
      <c r="R194" s="95">
        <f t="shared" si="73"/>
        <v>23795881523694.039</v>
      </c>
      <c r="S194" s="95">
        <f t="shared" si="74"/>
        <v>19969292107235.297</v>
      </c>
      <c r="T194">
        <f t="shared" si="50"/>
        <v>0.5</v>
      </c>
      <c r="X194" s="101">
        <v>151</v>
      </c>
      <c r="Y194" s="101">
        <f t="shared" si="51"/>
        <v>5626.9014643030214</v>
      </c>
      <c r="Z194" s="101">
        <f t="shared" si="52"/>
        <v>9924.048101231685</v>
      </c>
      <c r="AA194" s="101">
        <f t="shared" si="53"/>
        <v>-23061.168974987886</v>
      </c>
      <c r="AB194" s="101">
        <f t="shared" si="54"/>
        <v>11696.833670862179</v>
      </c>
      <c r="AC194" s="101">
        <f t="shared" si="55"/>
        <v>-9373.0985356969795</v>
      </c>
      <c r="AD194" s="101">
        <f t="shared" si="56"/>
        <v>-12575.951898768315</v>
      </c>
    </row>
    <row r="195" spans="1:30" x14ac:dyDescent="0.25">
      <c r="A195">
        <v>76</v>
      </c>
      <c r="B195" s="95">
        <f t="shared" si="57"/>
        <v>8570.4393893781908</v>
      </c>
      <c r="C195" s="95">
        <f t="shared" si="58"/>
        <v>6292.7296253445156</v>
      </c>
      <c r="D195" s="95">
        <f t="shared" si="59"/>
        <v>948.77593360715036</v>
      </c>
      <c r="E195" s="95">
        <f t="shared" si="60"/>
        <v>-509.38266173147423</v>
      </c>
      <c r="F195" s="96">
        <f t="shared" si="61"/>
        <v>137.42123914199232</v>
      </c>
      <c r="G195" s="94">
        <f t="shared" si="62"/>
        <v>59.725347625723543</v>
      </c>
      <c r="H195" s="97">
        <f t="shared" si="63"/>
        <v>700.36533904686826</v>
      </c>
      <c r="I195" s="94">
        <f t="shared" si="64"/>
        <v>591.46168339029123</v>
      </c>
      <c r="J195" s="95">
        <f t="shared" si="65"/>
        <v>-206.9402416863671</v>
      </c>
      <c r="K195" s="94">
        <f t="shared" si="66"/>
        <v>26.852349621655986</v>
      </c>
      <c r="L195" s="94">
        <f t="shared" si="67"/>
        <v>-356.00385821850881</v>
      </c>
      <c r="M195" s="94">
        <f t="shared" si="68"/>
        <v>-558.58868538622369</v>
      </c>
      <c r="N195" s="99">
        <f t="shared" si="69"/>
        <v>2128.949745801327</v>
      </c>
      <c r="O195" s="99">
        <f t="shared" si="70"/>
        <v>28307.391395068058</v>
      </c>
      <c r="P195" s="100">
        <f t="shared" si="71"/>
        <v>25215.033466700919</v>
      </c>
      <c r="Q195" s="95">
        <f t="shared" si="72"/>
        <v>1068751041254.8347</v>
      </c>
      <c r="R195" s="95">
        <f t="shared" si="73"/>
        <v>24795034100244.227</v>
      </c>
      <c r="S195" s="95">
        <f t="shared" si="74"/>
        <v>19958956299423.414</v>
      </c>
      <c r="T195">
        <f t="shared" si="50"/>
        <v>0.5</v>
      </c>
      <c r="X195" s="101">
        <v>152</v>
      </c>
      <c r="Y195" s="101">
        <f t="shared" si="51"/>
        <v>5585.2620357053665</v>
      </c>
      <c r="Z195" s="101">
        <f t="shared" si="52"/>
        <v>9847.357813929455</v>
      </c>
      <c r="AA195" s="101">
        <f t="shared" si="53"/>
        <v>-23090.316575006244</v>
      </c>
      <c r="AB195" s="101">
        <f t="shared" si="54"/>
        <v>11643.150469750619</v>
      </c>
      <c r="AC195" s="101">
        <f t="shared" si="55"/>
        <v>-9414.7379642946325</v>
      </c>
      <c r="AD195" s="101">
        <f t="shared" si="56"/>
        <v>-12652.642186070545</v>
      </c>
    </row>
    <row r="196" spans="1:30" x14ac:dyDescent="0.25">
      <c r="A196">
        <v>76.5</v>
      </c>
      <c r="B196" s="95">
        <f t="shared" si="57"/>
        <v>9079.1826659672643</v>
      </c>
      <c r="C196" s="95">
        <f t="shared" si="58"/>
        <v>6052.9696313852101</v>
      </c>
      <c r="D196" s="95">
        <f t="shared" si="59"/>
        <v>1017.4865531781466</v>
      </c>
      <c r="E196" s="95">
        <f t="shared" si="60"/>
        <v>-479.51998791861246</v>
      </c>
      <c r="F196" s="96">
        <f t="shared" si="61"/>
        <v>-110.5539944280896</v>
      </c>
      <c r="G196" s="94">
        <f t="shared" si="62"/>
        <v>196.39960260815315</v>
      </c>
      <c r="H196" s="97">
        <f t="shared" si="63"/>
        <v>457.88284769327959</v>
      </c>
      <c r="I196" s="94">
        <f t="shared" si="64"/>
        <v>719.54595270080063</v>
      </c>
      <c r="J196" s="95">
        <f t="shared" si="65"/>
        <v>-200.39244913116181</v>
      </c>
      <c r="K196" s="94">
        <f t="shared" si="66"/>
        <v>27.200045181719705</v>
      </c>
      <c r="L196" s="94">
        <f t="shared" si="67"/>
        <v>-368.04439299020737</v>
      </c>
      <c r="M196" s="94">
        <f t="shared" si="68"/>
        <v>-550.34639527436718</v>
      </c>
      <c r="N196" s="99">
        <f t="shared" si="69"/>
        <v>1871.1347618389741</v>
      </c>
      <c r="O196" s="99">
        <f t="shared" si="70"/>
        <v>28809.961133832356</v>
      </c>
      <c r="P196" s="100">
        <f t="shared" si="71"/>
        <v>25249.498215188578</v>
      </c>
      <c r="Q196" s="95">
        <f t="shared" si="72"/>
        <v>1052974207437.879</v>
      </c>
      <c r="R196" s="95">
        <f t="shared" si="73"/>
        <v>26061150533978.367</v>
      </c>
      <c r="S196" s="95">
        <f t="shared" si="74"/>
        <v>20029765283019.531</v>
      </c>
      <c r="T196">
        <f t="shared" si="50"/>
        <v>0.5</v>
      </c>
      <c r="X196" s="101">
        <v>153</v>
      </c>
      <c r="Y196" s="101">
        <f t="shared" si="51"/>
        <v>5544.967379058161</v>
      </c>
      <c r="Z196" s="101">
        <f t="shared" si="52"/>
        <v>9769.952498697734</v>
      </c>
      <c r="AA196" s="101">
        <f t="shared" si="53"/>
        <v>-23118.522834659288</v>
      </c>
      <c r="AB196" s="101">
        <f t="shared" si="54"/>
        <v>11588.966749088413</v>
      </c>
      <c r="AC196" s="101">
        <f t="shared" si="55"/>
        <v>-9455.0326209418381</v>
      </c>
      <c r="AD196" s="101">
        <f t="shared" si="56"/>
        <v>-12730.047501302266</v>
      </c>
    </row>
    <row r="197" spans="1:30" x14ac:dyDescent="0.25">
      <c r="A197">
        <v>77</v>
      </c>
      <c r="B197" s="95">
        <f t="shared" si="57"/>
        <v>9560.2874439493153</v>
      </c>
      <c r="C197" s="95">
        <f t="shared" si="58"/>
        <v>5862.3095380779414</v>
      </c>
      <c r="D197" s="95">
        <f t="shared" si="59"/>
        <v>962.20955596410181</v>
      </c>
      <c r="E197" s="95">
        <f t="shared" si="60"/>
        <v>-381.32018661453588</v>
      </c>
      <c r="F197" s="96">
        <f t="shared" si="61"/>
        <v>-350.51229888977184</v>
      </c>
      <c r="G197" s="94">
        <f t="shared" si="62"/>
        <v>307.01140811683683</v>
      </c>
      <c r="H197" s="97">
        <f t="shared" si="63"/>
        <v>220.43464055239821</v>
      </c>
      <c r="I197" s="94">
        <f t="shared" si="64"/>
        <v>820.99931726368038</v>
      </c>
      <c r="J197" s="95">
        <f t="shared" si="65"/>
        <v>-193.33565601743931</v>
      </c>
      <c r="K197" s="94">
        <f t="shared" si="66"/>
        <v>27.062087991182469</v>
      </c>
      <c r="L197" s="94">
        <f t="shared" si="67"/>
        <v>-377.61128342473074</v>
      </c>
      <c r="M197" s="94">
        <f t="shared" si="68"/>
        <v>-541.04999713802601</v>
      </c>
      <c r="N197" s="99">
        <f t="shared" si="69"/>
        <v>1715.1680530923522</v>
      </c>
      <c r="O197" s="99">
        <f t="shared" si="70"/>
        <v>29345.832979342373</v>
      </c>
      <c r="P197" s="100">
        <f t="shared" si="71"/>
        <v>25326.881269546415</v>
      </c>
      <c r="Q197" s="95">
        <f t="shared" si="72"/>
        <v>1044449980213.5662</v>
      </c>
      <c r="R197" s="95">
        <f t="shared" si="73"/>
        <v>27459298540007.539</v>
      </c>
      <c r="S197" s="95">
        <f t="shared" si="74"/>
        <v>20189409089865.789</v>
      </c>
      <c r="T197">
        <f t="shared" si="50"/>
        <v>0.5</v>
      </c>
      <c r="X197" s="101">
        <v>154</v>
      </c>
      <c r="Y197" s="101">
        <f t="shared" si="51"/>
        <v>5506.0297685041651</v>
      </c>
      <c r="Z197" s="101">
        <f t="shared" si="52"/>
        <v>9691.8557339453873</v>
      </c>
      <c r="AA197" s="101">
        <f t="shared" si="53"/>
        <v>-23145.779162047085</v>
      </c>
      <c r="AB197" s="101">
        <f t="shared" si="54"/>
        <v>11534.299013761771</v>
      </c>
      <c r="AC197" s="101">
        <f t="shared" si="55"/>
        <v>-9493.970231495834</v>
      </c>
      <c r="AD197" s="101">
        <f t="shared" si="56"/>
        <v>-12808.144266054613</v>
      </c>
    </row>
    <row r="198" spans="1:30" x14ac:dyDescent="0.25">
      <c r="A198">
        <v>77.5</v>
      </c>
      <c r="B198" s="95">
        <f t="shared" si="57"/>
        <v>9953.7641472089235</v>
      </c>
      <c r="C198" s="95">
        <f t="shared" si="58"/>
        <v>5748.4022967998826</v>
      </c>
      <c r="D198" s="95">
        <f t="shared" si="59"/>
        <v>786.95340651921583</v>
      </c>
      <c r="E198" s="95">
        <f t="shared" si="60"/>
        <v>-227.81448255611747</v>
      </c>
      <c r="F198" s="96">
        <f t="shared" si="61"/>
        <v>-546.79920135601685</v>
      </c>
      <c r="G198" s="94">
        <f t="shared" si="62"/>
        <v>373.59356223670466</v>
      </c>
      <c r="H198" s="97">
        <f t="shared" si="63"/>
        <v>23.201193912260571</v>
      </c>
      <c r="I198" s="94">
        <f t="shared" si="64"/>
        <v>878.9533557832317</v>
      </c>
      <c r="J198" s="95">
        <f t="shared" si="65"/>
        <v>-186.68100722219285</v>
      </c>
      <c r="K198" s="94">
        <f t="shared" si="66"/>
        <v>26.497255491374212</v>
      </c>
      <c r="L198" s="94">
        <f t="shared" si="67"/>
        <v>-383.31938804608455</v>
      </c>
      <c r="M198" s="94">
        <f t="shared" si="68"/>
        <v>-531.85704903790122</v>
      </c>
      <c r="N198" s="99">
        <f t="shared" si="69"/>
        <v>1695.6937167481374</v>
      </c>
      <c r="O198" s="99">
        <f t="shared" si="70"/>
        <v>29848.468572568148</v>
      </c>
      <c r="P198" s="100">
        <f t="shared" si="71"/>
        <v>25440.871245163871</v>
      </c>
      <c r="Q198" s="95">
        <f t="shared" si="72"/>
        <v>1043439229968.1469</v>
      </c>
      <c r="R198" s="95">
        <f t="shared" si="73"/>
        <v>28816684576736.043</v>
      </c>
      <c r="S198" s="95">
        <f t="shared" si="74"/>
        <v>20426236820358.793</v>
      </c>
      <c r="T198">
        <f t="shared" si="50"/>
        <v>0.5</v>
      </c>
      <c r="X198" s="101">
        <v>155</v>
      </c>
      <c r="Y198" s="101">
        <f t="shared" si="51"/>
        <v>5468.46106481675</v>
      </c>
      <c r="Z198" s="101">
        <f t="shared" si="52"/>
        <v>9613.0913087034969</v>
      </c>
      <c r="AA198" s="101">
        <f t="shared" si="53"/>
        <v>-23172.077254628275</v>
      </c>
      <c r="AB198" s="101">
        <f t="shared" si="54"/>
        <v>11479.163916092448</v>
      </c>
      <c r="AC198" s="101">
        <f t="shared" si="55"/>
        <v>-9531.5389351832491</v>
      </c>
      <c r="AD198" s="101">
        <f t="shared" si="56"/>
        <v>-12886.908691296503</v>
      </c>
    </row>
    <row r="199" spans="1:30" x14ac:dyDescent="0.25">
      <c r="A199">
        <v>78</v>
      </c>
      <c r="B199" s="95">
        <f t="shared" si="57"/>
        <v>10210.541050129528</v>
      </c>
      <c r="C199" s="95">
        <f t="shared" si="58"/>
        <v>5727.8934460809996</v>
      </c>
      <c r="D199" s="95">
        <f t="shared" si="59"/>
        <v>513.55380584120735</v>
      </c>
      <c r="E199" s="95">
        <f t="shared" si="60"/>
        <v>-41.01770143776514</v>
      </c>
      <c r="F199" s="96">
        <f t="shared" si="61"/>
        <v>-671.12163533964849</v>
      </c>
      <c r="G199" s="94">
        <f t="shared" si="62"/>
        <v>388.26257012333394</v>
      </c>
      <c r="H199" s="97">
        <f t="shared" si="63"/>
        <v>-105.35023894884957</v>
      </c>
      <c r="I199" s="94">
        <f t="shared" si="64"/>
        <v>886.72422210933792</v>
      </c>
      <c r="J199" s="95">
        <f t="shared" si="65"/>
        <v>-181.1883400380618</v>
      </c>
      <c r="K199" s="94">
        <f t="shared" si="66"/>
        <v>25.622046744740093</v>
      </c>
      <c r="L199" s="94">
        <f t="shared" si="67"/>
        <v>-384.58305635273717</v>
      </c>
      <c r="M199" s="94">
        <f t="shared" si="68"/>
        <v>-524.08369873074412</v>
      </c>
      <c r="N199" s="99">
        <f t="shared" si="69"/>
        <v>1752.2078266972912</v>
      </c>
      <c r="O199" s="99">
        <f t="shared" si="70"/>
        <v>30253.992622734531</v>
      </c>
      <c r="P199" s="100">
        <f t="shared" si="71"/>
        <v>25575.598918504365</v>
      </c>
      <c r="Q199" s="95">
        <f t="shared" si="72"/>
        <v>1046405182949.0878</v>
      </c>
      <c r="R199" s="95">
        <f t="shared" si="73"/>
        <v>29944771220574.5</v>
      </c>
      <c r="S199" s="95">
        <f t="shared" si="74"/>
        <v>20708714381662.074</v>
      </c>
      <c r="T199">
        <f t="shared" si="50"/>
        <v>0.5</v>
      </c>
      <c r="X199" s="101">
        <v>156</v>
      </c>
      <c r="Y199" s="101">
        <f t="shared" si="51"/>
        <v>5432.2727117869963</v>
      </c>
      <c r="Z199" s="101">
        <f t="shared" si="52"/>
        <v>9533.6832153790019</v>
      </c>
      <c r="AA199" s="101">
        <f t="shared" si="53"/>
        <v>-23197.409101749101</v>
      </c>
      <c r="AB199" s="101">
        <f t="shared" si="54"/>
        <v>11423.578250765302</v>
      </c>
      <c r="AC199" s="101">
        <f t="shared" si="55"/>
        <v>-9567.7272882130037</v>
      </c>
      <c r="AD199" s="101">
        <f t="shared" si="56"/>
        <v>-12966.316784620998</v>
      </c>
    </row>
    <row r="200" spans="1:30" x14ac:dyDescent="0.25">
      <c r="A200">
        <v>78.5</v>
      </c>
      <c r="B200" s="95">
        <f t="shared" si="57"/>
        <v>10299.537544215218</v>
      </c>
      <c r="C200" s="95">
        <f t="shared" si="58"/>
        <v>5804.4502378929501</v>
      </c>
      <c r="D200" s="95">
        <f t="shared" si="59"/>
        <v>177.9929881713831</v>
      </c>
      <c r="E200" s="95">
        <f t="shared" si="60"/>
        <v>153.11358362390183</v>
      </c>
      <c r="F200" s="96">
        <f t="shared" si="61"/>
        <v>-708.61435594721411</v>
      </c>
      <c r="G200" s="94">
        <f t="shared" si="62"/>
        <v>352.68228273359171</v>
      </c>
      <c r="H200" s="97">
        <f t="shared" si="63"/>
        <v>-149.63286685721701</v>
      </c>
      <c r="I200" s="94">
        <f t="shared" si="64"/>
        <v>847.00558144677609</v>
      </c>
      <c r="J200" s="95">
        <f t="shared" si="65"/>
        <v>-177.39349940509416</v>
      </c>
      <c r="K200" s="94">
        <f t="shared" si="66"/>
        <v>24.563518606259208</v>
      </c>
      <c r="L200" s="94">
        <f t="shared" si="67"/>
        <v>-381.58798968490294</v>
      </c>
      <c r="M200" s="94">
        <f t="shared" si="68"/>
        <v>-518.88681731944359</v>
      </c>
      <c r="N200" s="99">
        <f t="shared" si="69"/>
        <v>1784.5697442891717</v>
      </c>
      <c r="O200" s="99">
        <f t="shared" si="70"/>
        <v>30511.107566746883</v>
      </c>
      <c r="P200" s="100">
        <f t="shared" si="71"/>
        <v>25710.039396114564</v>
      </c>
      <c r="Q200" s="95">
        <f t="shared" si="72"/>
        <v>1048148676764.0913</v>
      </c>
      <c r="R200" s="95">
        <f t="shared" si="73"/>
        <v>30675456985203.008</v>
      </c>
      <c r="S200" s="95">
        <f t="shared" si="74"/>
        <v>20993373329140.266</v>
      </c>
      <c r="T200">
        <f t="shared" si="50"/>
        <v>0.5</v>
      </c>
      <c r="X200" s="101">
        <v>157</v>
      </c>
      <c r="Y200" s="101">
        <f t="shared" si="51"/>
        <v>5397.4757327377993</v>
      </c>
      <c r="Z200" s="101">
        <f t="shared" si="52"/>
        <v>9453.6556424463706</v>
      </c>
      <c r="AA200" s="101">
        <f t="shared" si="53"/>
        <v>-23221.766987083542</v>
      </c>
      <c r="AB200" s="101">
        <f t="shared" si="54"/>
        <v>11367.55894971246</v>
      </c>
      <c r="AC200" s="101">
        <f t="shared" si="55"/>
        <v>-9602.5242672622007</v>
      </c>
      <c r="AD200" s="101">
        <f t="shared" si="56"/>
        <v>-13046.344357553629</v>
      </c>
    </row>
    <row r="201" spans="1:30" x14ac:dyDescent="0.25">
      <c r="A201">
        <v>79</v>
      </c>
      <c r="B201" s="95">
        <f t="shared" si="57"/>
        <v>10211.380449314107</v>
      </c>
      <c r="C201" s="95">
        <f t="shared" si="58"/>
        <v>5969.1776003882987</v>
      </c>
      <c r="D201" s="95">
        <f t="shared" si="59"/>
        <v>-176.31418980222395</v>
      </c>
      <c r="E201" s="95">
        <f t="shared" si="60"/>
        <v>329.45472499069768</v>
      </c>
      <c r="F201" s="96">
        <f t="shared" si="61"/>
        <v>-656.55893383639307</v>
      </c>
      <c r="G201" s="94">
        <f t="shared" si="62"/>
        <v>273.62191229051791</v>
      </c>
      <c r="H201" s="97">
        <f t="shared" si="63"/>
        <v>-105.93304589896132</v>
      </c>
      <c r="I201" s="94">
        <f t="shared" si="64"/>
        <v>767.16971719674564</v>
      </c>
      <c r="J201" s="95">
        <f t="shared" si="65"/>
        <v>-175.60254930354523</v>
      </c>
      <c r="K201" s="94">
        <f t="shared" si="66"/>
        <v>23.429008493973601</v>
      </c>
      <c r="L201" s="94">
        <f t="shared" si="67"/>
        <v>-375.02333863388651</v>
      </c>
      <c r="M201" s="94">
        <f t="shared" si="68"/>
        <v>-516.97681340020131</v>
      </c>
      <c r="N201" s="99">
        <f t="shared" si="69"/>
        <v>1721.8047903800702</v>
      </c>
      <c r="O201" s="99">
        <f t="shared" si="70"/>
        <v>30588.635360205659</v>
      </c>
      <c r="P201" s="100">
        <f t="shared" si="71"/>
        <v>25824.426397653348</v>
      </c>
      <c r="Q201" s="95">
        <f t="shared" si="72"/>
        <v>1044797150002.1777</v>
      </c>
      <c r="R201" s="95">
        <f t="shared" si="73"/>
        <v>30898151326223.543</v>
      </c>
      <c r="S201" s="95">
        <f t="shared" si="74"/>
        <v>21237772047558.355</v>
      </c>
      <c r="T201">
        <f t="shared" si="50"/>
        <v>0.5</v>
      </c>
      <c r="X201" s="101">
        <v>158</v>
      </c>
      <c r="Y201" s="101">
        <f t="shared" si="51"/>
        <v>5364.0807271660633</v>
      </c>
      <c r="Z201" s="101">
        <f t="shared" si="52"/>
        <v>9373.0329670795618</v>
      </c>
      <c r="AA201" s="101">
        <f t="shared" si="53"/>
        <v>-23245.143490983755</v>
      </c>
      <c r="AB201" s="101">
        <f t="shared" si="54"/>
        <v>11311.123076955693</v>
      </c>
      <c r="AC201" s="101">
        <f t="shared" si="55"/>
        <v>-9635.9192728339367</v>
      </c>
      <c r="AD201" s="101">
        <f t="shared" si="56"/>
        <v>-13126.967032920438</v>
      </c>
    </row>
    <row r="202" spans="1:30" x14ac:dyDescent="0.25">
      <c r="A202">
        <v>79.5</v>
      </c>
      <c r="B202" s="95">
        <f t="shared" si="57"/>
        <v>9959.0836209538975</v>
      </c>
      <c r="C202" s="95">
        <f t="shared" si="58"/>
        <v>6202.3104409562766</v>
      </c>
      <c r="D202" s="95">
        <f t="shared" si="59"/>
        <v>-504.59365672042048</v>
      </c>
      <c r="E202" s="95">
        <f t="shared" si="60"/>
        <v>466.26568113595664</v>
      </c>
      <c r="F202" s="96">
        <f t="shared" si="61"/>
        <v>-521.04736859570448</v>
      </c>
      <c r="G202" s="94">
        <f t="shared" si="62"/>
        <v>159.66858924202552</v>
      </c>
      <c r="H202" s="97">
        <f t="shared" si="63"/>
        <v>20.67862209752959</v>
      </c>
      <c r="I202" s="94">
        <f t="shared" si="64"/>
        <v>655.83594191312181</v>
      </c>
      <c r="J202" s="95">
        <f t="shared" si="65"/>
        <v>-175.92583164495542</v>
      </c>
      <c r="K202" s="94">
        <f t="shared" si="66"/>
        <v>22.300805407039967</v>
      </c>
      <c r="L202" s="94">
        <f t="shared" si="67"/>
        <v>-365.8001590482786</v>
      </c>
      <c r="M202" s="94">
        <f t="shared" si="68"/>
        <v>-518.4681580781363</v>
      </c>
      <c r="N202" s="99">
        <f t="shared" si="69"/>
        <v>1545.3475057426926</v>
      </c>
      <c r="O202" s="99">
        <f t="shared" si="70"/>
        <v>30479.09181505266</v>
      </c>
      <c r="P202" s="100">
        <f t="shared" si="71"/>
        <v>25905.453179020085</v>
      </c>
      <c r="Q202" s="95">
        <f t="shared" si="72"/>
        <v>1036034503141.0289</v>
      </c>
      <c r="R202" s="95">
        <f t="shared" si="73"/>
        <v>30583814775065.246</v>
      </c>
      <c r="S202" s="95">
        <f t="shared" si="74"/>
        <v>21412122641997.758</v>
      </c>
      <c r="T202">
        <f t="shared" si="50"/>
        <v>0.5</v>
      </c>
      <c r="X202" s="101">
        <v>159</v>
      </c>
      <c r="Y202" s="101">
        <f t="shared" si="51"/>
        <v>5332.0978675139913</v>
      </c>
      <c r="Z202" s="101">
        <f t="shared" si="52"/>
        <v>9291.8397477265007</v>
      </c>
      <c r="AA202" s="101">
        <f t="shared" si="53"/>
        <v>-23267.531492740207</v>
      </c>
      <c r="AB202" s="101">
        <f t="shared" si="54"/>
        <v>11254.287823408551</v>
      </c>
      <c r="AC202" s="101">
        <f t="shared" si="55"/>
        <v>-9667.9021324860078</v>
      </c>
      <c r="AD202" s="101">
        <f t="shared" si="56"/>
        <v>-13208.160252273499</v>
      </c>
    </row>
    <row r="203" spans="1:30" x14ac:dyDescent="0.25">
      <c r="A203">
        <v>80</v>
      </c>
      <c r="B203" s="95">
        <f t="shared" si="57"/>
        <v>9576.524950444762</v>
      </c>
      <c r="C203" s="95">
        <f t="shared" si="58"/>
        <v>6475.3604288347615</v>
      </c>
      <c r="D203" s="95">
        <f t="shared" si="59"/>
        <v>-765.11734101827278</v>
      </c>
      <c r="E203" s="95">
        <f t="shared" si="60"/>
        <v>546.09997575696934</v>
      </c>
      <c r="F203" s="96">
        <f t="shared" si="61"/>
        <v>-316.98137284819973</v>
      </c>
      <c r="G203" s="94">
        <f t="shared" si="62"/>
        <v>21.578348937275337</v>
      </c>
      <c r="H203" s="97">
        <f t="shared" si="63"/>
        <v>216.24038357268265</v>
      </c>
      <c r="I203" s="94">
        <f t="shared" si="64"/>
        <v>523.214895718712</v>
      </c>
      <c r="J203" s="95">
        <f t="shared" si="65"/>
        <v>-178.31001156585174</v>
      </c>
      <c r="K203" s="94">
        <f t="shared" si="66"/>
        <v>21.249234781737993</v>
      </c>
      <c r="L203" s="94">
        <f t="shared" si="67"/>
        <v>-354.91174485503063</v>
      </c>
      <c r="M203" s="94">
        <f t="shared" si="68"/>
        <v>-522.88578156317465</v>
      </c>
      <c r="N203" s="99">
        <f t="shared" si="69"/>
        <v>1298.3344491021323</v>
      </c>
      <c r="O203" s="99">
        <f t="shared" si="70"/>
        <v>30198.826755259513</v>
      </c>
      <c r="P203" s="100">
        <f t="shared" si="71"/>
        <v>25948.259109492774</v>
      </c>
      <c r="Q203" s="95">
        <f t="shared" si="72"/>
        <v>1025391343560.1328</v>
      </c>
      <c r="R203" s="95">
        <f t="shared" si="73"/>
        <v>29789564900351.445</v>
      </c>
      <c r="S203" s="95">
        <f t="shared" si="74"/>
        <v>21504643695712.145</v>
      </c>
      <c r="T203">
        <f t="shared" si="50"/>
        <v>0.5</v>
      </c>
      <c r="X203" s="101">
        <v>160</v>
      </c>
      <c r="Y203" s="101">
        <f t="shared" si="51"/>
        <v>5301.5368960704582</v>
      </c>
      <c r="Z203" s="101">
        <f t="shared" si="52"/>
        <v>9210.1007166283453</v>
      </c>
      <c r="AA203" s="101">
        <f t="shared" si="53"/>
        <v>-23288.924172750678</v>
      </c>
      <c r="AB203" s="101">
        <f t="shared" si="54"/>
        <v>11197.070501639841</v>
      </c>
      <c r="AC203" s="101">
        <f t="shared" si="55"/>
        <v>-9698.4631039295418</v>
      </c>
      <c r="AD203" s="101">
        <f t="shared" si="56"/>
        <v>-13289.899283371655</v>
      </c>
    </row>
    <row r="204" spans="1:30" x14ac:dyDescent="0.25">
      <c r="A204">
        <v>80.5</v>
      </c>
      <c r="B204" s="95">
        <f t="shared" si="57"/>
        <v>9114.7209367235773</v>
      </c>
      <c r="C204" s="95">
        <f t="shared" si="58"/>
        <v>6753.8050039475656</v>
      </c>
      <c r="D204" s="95">
        <f t="shared" si="59"/>
        <v>-923.60802744237265</v>
      </c>
      <c r="E204" s="95">
        <f t="shared" si="60"/>
        <v>556.88915022560695</v>
      </c>
      <c r="F204" s="96">
        <f t="shared" si="61"/>
        <v>-70.857414622633598</v>
      </c>
      <c r="G204" s="94">
        <f t="shared" si="62"/>
        <v>-125.33737471748111</v>
      </c>
      <c r="H204" s="97">
        <f t="shared" si="63"/>
        <v>455.11379205183215</v>
      </c>
      <c r="I204" s="94">
        <f t="shared" si="64"/>
        <v>383.61195734896336</v>
      </c>
      <c r="J204" s="95">
        <f t="shared" si="65"/>
        <v>-182.53941527382707</v>
      </c>
      <c r="K204" s="94">
        <f t="shared" si="66"/>
        <v>20.352540480538032</v>
      </c>
      <c r="L204" s="94">
        <f t="shared" si="67"/>
        <v>-343.4317914006387</v>
      </c>
      <c r="M204" s="94">
        <f t="shared" si="68"/>
        <v>-529.30187254698251</v>
      </c>
      <c r="N204" s="99">
        <f t="shared" si="69"/>
        <v>1108.7007569193299</v>
      </c>
      <c r="O204" s="99">
        <f t="shared" si="70"/>
        <v>29785.800513850649</v>
      </c>
      <c r="P204" s="100">
        <f t="shared" si="71"/>
        <v>25955.080142031937</v>
      </c>
      <c r="Q204" s="95">
        <f t="shared" si="72"/>
        <v>1018494806550.6067</v>
      </c>
      <c r="R204" s="95">
        <f t="shared" si="73"/>
        <v>28644992910379.715</v>
      </c>
      <c r="S204" s="95">
        <f t="shared" si="74"/>
        <v>21519413127827.266</v>
      </c>
      <c r="T204">
        <f t="shared" si="50"/>
        <v>0.5</v>
      </c>
      <c r="X204" s="101">
        <v>161</v>
      </c>
      <c r="Y204" s="101">
        <f t="shared" si="51"/>
        <v>5272.4071220034166</v>
      </c>
      <c r="Z204" s="101">
        <f t="shared" si="52"/>
        <v>9127.8407722857846</v>
      </c>
      <c r="AA204" s="101">
        <f t="shared" si="53"/>
        <v>-23309.315014597611</v>
      </c>
      <c r="AB204" s="101">
        <f t="shared" si="54"/>
        <v>11139.48854060005</v>
      </c>
      <c r="AC204" s="101">
        <f t="shared" si="55"/>
        <v>-9727.5928779965834</v>
      </c>
      <c r="AD204" s="101">
        <f t="shared" si="56"/>
        <v>-13372.159227714215</v>
      </c>
    </row>
    <row r="205" spans="1:30" x14ac:dyDescent="0.25">
      <c r="A205">
        <v>81</v>
      </c>
      <c r="B205" s="95">
        <f t="shared" si="57"/>
        <v>8635.2025693467331</v>
      </c>
      <c r="C205" s="95">
        <f t="shared" si="58"/>
        <v>7000.9152353809986</v>
      </c>
      <c r="D205" s="95">
        <f t="shared" si="59"/>
        <v>-959.03673475368942</v>
      </c>
      <c r="E205" s="95">
        <f t="shared" si="60"/>
        <v>494.2204628668664</v>
      </c>
      <c r="F205" s="96">
        <f t="shared" si="61"/>
        <v>179.72137792347456</v>
      </c>
      <c r="G205" s="94">
        <f t="shared" si="62"/>
        <v>-260.71170134639863</v>
      </c>
      <c r="H205" s="97">
        <f t="shared" si="63"/>
        <v>700.47410886071816</v>
      </c>
      <c r="I205" s="94">
        <f t="shared" si="64"/>
        <v>256.15226691562606</v>
      </c>
      <c r="J205" s="95">
        <f t="shared" si="65"/>
        <v>-188.2066756638329</v>
      </c>
      <c r="K205" s="94">
        <f t="shared" si="66"/>
        <v>19.711673846764338</v>
      </c>
      <c r="L205" s="94">
        <f t="shared" si="67"/>
        <v>-332.54605527341067</v>
      </c>
      <c r="M205" s="94">
        <f t="shared" si="68"/>
        <v>-536.575642108789</v>
      </c>
      <c r="N205" s="99">
        <f t="shared" si="69"/>
        <v>1157.8108619326702</v>
      </c>
      <c r="O205" s="99">
        <f t="shared" si="70"/>
        <v>29295.131970613926</v>
      </c>
      <c r="P205" s="100">
        <f t="shared" si="71"/>
        <v>25931.706061718287</v>
      </c>
      <c r="Q205" s="95">
        <f t="shared" si="72"/>
        <v>1020175127945.8733</v>
      </c>
      <c r="R205" s="95">
        <f t="shared" si="73"/>
        <v>27324862066355.23</v>
      </c>
      <c r="S205" s="95">
        <f t="shared" si="74"/>
        <v>21468831932091.09</v>
      </c>
      <c r="T205">
        <f t="shared" si="50"/>
        <v>0.5</v>
      </c>
      <c r="X205" s="101">
        <v>162</v>
      </c>
      <c r="Y205" s="101">
        <f t="shared" si="51"/>
        <v>5244.717418524232</v>
      </c>
      <c r="Z205" s="101">
        <f t="shared" si="52"/>
        <v>9045.0849718747377</v>
      </c>
      <c r="AA205" s="101">
        <f t="shared" si="53"/>
        <v>-23328.697807033037</v>
      </c>
      <c r="AB205" s="101">
        <f t="shared" si="54"/>
        <v>11081.559480312317</v>
      </c>
      <c r="AC205" s="101">
        <f t="shared" si="55"/>
        <v>-9755.2825814757671</v>
      </c>
      <c r="AD205" s="101">
        <f t="shared" si="56"/>
        <v>-13454.915028125262</v>
      </c>
    </row>
    <row r="206" spans="1:30" x14ac:dyDescent="0.25">
      <c r="A206">
        <v>81.5</v>
      </c>
      <c r="B206" s="95">
        <f t="shared" si="57"/>
        <v>8200.6145464507572</v>
      </c>
      <c r="C206" s="95">
        <f t="shared" si="58"/>
        <v>7182.8475414778322</v>
      </c>
      <c r="D206" s="95">
        <f t="shared" si="59"/>
        <v>-869.17604579195211</v>
      </c>
      <c r="E206" s="95">
        <f t="shared" si="60"/>
        <v>363.86461219366709</v>
      </c>
      <c r="F206" s="96">
        <f t="shared" si="61"/>
        <v>394.88315081359258</v>
      </c>
      <c r="G206" s="94">
        <f t="shared" si="62"/>
        <v>-363.25951353020537</v>
      </c>
      <c r="H206" s="97">
        <f t="shared" si="63"/>
        <v>913.08077771781609</v>
      </c>
      <c r="I206" s="94">
        <f t="shared" si="64"/>
        <v>160.93595338971843</v>
      </c>
      <c r="J206" s="95">
        <f t="shared" si="65"/>
        <v>-194.68491111907539</v>
      </c>
      <c r="K206" s="94">
        <f t="shared" si="66"/>
        <v>19.448408654105023</v>
      </c>
      <c r="L206" s="94">
        <f t="shared" si="67"/>
        <v>-323.51271578514809</v>
      </c>
      <c r="M206" s="94">
        <f t="shared" si="68"/>
        <v>-543.64387557402881</v>
      </c>
      <c r="N206" s="99">
        <f t="shared" si="69"/>
        <v>1453.1887795439941</v>
      </c>
      <c r="O206" s="99">
        <f t="shared" si="70"/>
        <v>28791.827583758757</v>
      </c>
      <c r="P206" s="100">
        <f t="shared" si="71"/>
        <v>25883.56660704895</v>
      </c>
      <c r="Q206" s="95">
        <f t="shared" si="72"/>
        <v>1031843012468.8735</v>
      </c>
      <c r="R206" s="95">
        <f t="shared" si="73"/>
        <v>26014711961129.941</v>
      </c>
      <c r="S206" s="95">
        <f t="shared" si="74"/>
        <v>21364927177258.172</v>
      </c>
      <c r="T206">
        <f t="shared" si="50"/>
        <v>0.5</v>
      </c>
      <c r="X206" s="101">
        <v>163</v>
      </c>
      <c r="Y206" s="101">
        <f t="shared" si="51"/>
        <v>5218.4762201848225</v>
      </c>
      <c r="Z206" s="101">
        <f t="shared" si="52"/>
        <v>8961.858523613686</v>
      </c>
      <c r="AA206" s="101">
        <f t="shared" si="53"/>
        <v>-23347.066645870626</v>
      </c>
      <c r="AB206" s="101">
        <f t="shared" si="54"/>
        <v>11023.300966529579</v>
      </c>
      <c r="AC206" s="101">
        <f t="shared" si="55"/>
        <v>-9781.5237798151775</v>
      </c>
      <c r="AD206" s="101">
        <f t="shared" si="56"/>
        <v>-13538.141476386314</v>
      </c>
    </row>
    <row r="207" spans="1:30" x14ac:dyDescent="0.25">
      <c r="A207">
        <v>82</v>
      </c>
      <c r="B207" s="95">
        <f t="shared" si="57"/>
        <v>7864.7473112581793</v>
      </c>
      <c r="C207" s="95">
        <f t="shared" si="58"/>
        <v>7273.9649691921149</v>
      </c>
      <c r="D207" s="95">
        <f t="shared" si="59"/>
        <v>-671.73447038515587</v>
      </c>
      <c r="E207" s="95">
        <f t="shared" si="60"/>
        <v>182.2348554285644</v>
      </c>
      <c r="F207" s="96">
        <f t="shared" si="61"/>
        <v>545.6050236379599</v>
      </c>
      <c r="G207" s="94">
        <f t="shared" si="62"/>
        <v>-417.41157408819083</v>
      </c>
      <c r="H207" s="97">
        <f t="shared" si="63"/>
        <v>1064.278934160614</v>
      </c>
      <c r="I207" s="94">
        <f t="shared" si="64"/>
        <v>112.66316297811474</v>
      </c>
      <c r="J207" s="95">
        <f t="shared" si="65"/>
        <v>-201.15329053274209</v>
      </c>
      <c r="K207" s="94">
        <f t="shared" si="66"/>
        <v>19.679019889513985</v>
      </c>
      <c r="L207" s="94">
        <f t="shared" si="67"/>
        <v>-317.52061998991206</v>
      </c>
      <c r="M207" s="94">
        <f t="shared" si="68"/>
        <v>-549.75375695581954</v>
      </c>
      <c r="N207" s="99">
        <f t="shared" si="69"/>
        <v>1827.1216961087373</v>
      </c>
      <c r="O207" s="99">
        <f t="shared" si="70"/>
        <v>28340.977554982954</v>
      </c>
      <c r="P207" s="100">
        <f t="shared" si="71"/>
        <v>25813.464499218549</v>
      </c>
      <c r="Q207" s="95">
        <f t="shared" si="72"/>
        <v>1050491236397.4962</v>
      </c>
      <c r="R207" s="95">
        <f t="shared" si="73"/>
        <v>24878300547857.496</v>
      </c>
      <c r="S207" s="95">
        <f t="shared" si="74"/>
        <v>21214263000526.699</v>
      </c>
      <c r="T207">
        <f t="shared" si="50"/>
        <v>0.5</v>
      </c>
      <c r="X207" s="101">
        <v>164</v>
      </c>
      <c r="Y207" s="101">
        <f t="shared" si="51"/>
        <v>5193.6915203084063</v>
      </c>
      <c r="Z207" s="101">
        <f t="shared" si="52"/>
        <v>8878.1867790849974</v>
      </c>
      <c r="AA207" s="101">
        <f t="shared" si="53"/>
        <v>-23364.415935784116</v>
      </c>
      <c r="AB207" s="101">
        <f t="shared" si="54"/>
        <v>10964.730745359499</v>
      </c>
      <c r="AC207" s="101">
        <f t="shared" si="55"/>
        <v>-9806.3084796915937</v>
      </c>
      <c r="AD207" s="101">
        <f t="shared" si="56"/>
        <v>-13621.813220915003</v>
      </c>
    </row>
    <row r="208" spans="1:30" x14ac:dyDescent="0.25">
      <c r="A208">
        <v>82.5</v>
      </c>
      <c r="B208" s="95">
        <f t="shared" si="57"/>
        <v>7665.2813319750912</v>
      </c>
      <c r="C208" s="95">
        <f t="shared" si="58"/>
        <v>7260.7295033843493</v>
      </c>
      <c r="D208" s="95">
        <f t="shared" si="59"/>
        <v>-398.93195856617592</v>
      </c>
      <c r="E208" s="95">
        <f t="shared" si="60"/>
        <v>-26.470931615531015</v>
      </c>
      <c r="F208" s="96">
        <f t="shared" si="61"/>
        <v>620.33263834339391</v>
      </c>
      <c r="G208" s="94">
        <f t="shared" si="62"/>
        <v>-416.96599790314707</v>
      </c>
      <c r="H208" s="97">
        <f t="shared" si="63"/>
        <v>1142.5386746894951</v>
      </c>
      <c r="I208" s="94">
        <f t="shared" si="64"/>
        <v>117.09153648341253</v>
      </c>
      <c r="J208" s="95">
        <f t="shared" si="65"/>
        <v>-206.70823248990362</v>
      </c>
      <c r="K208" s="94">
        <f t="shared" si="66"/>
        <v>20.467160838618412</v>
      </c>
      <c r="L208" s="94">
        <f t="shared" si="67"/>
        <v>-315.49780385619755</v>
      </c>
      <c r="M208" s="94">
        <f t="shared" si="68"/>
        <v>-554.52469522517799</v>
      </c>
      <c r="N208" s="99">
        <f t="shared" si="69"/>
        <v>2147.1832432122546</v>
      </c>
      <c r="O208" s="99">
        <f t="shared" si="70"/>
        <v>27997.77508498598</v>
      </c>
      <c r="P208" s="100">
        <f t="shared" si="71"/>
        <v>25722.19350738428</v>
      </c>
      <c r="Q208" s="95">
        <f t="shared" si="72"/>
        <v>1069947007506.3822</v>
      </c>
      <c r="R208" s="95">
        <f t="shared" si="73"/>
        <v>24036435265926.191</v>
      </c>
      <c r="S208" s="95">
        <f t="shared" si="74"/>
        <v>21019245512887.211</v>
      </c>
      <c r="T208">
        <f t="shared" si="50"/>
        <v>0.5</v>
      </c>
      <c r="X208" s="101">
        <v>165</v>
      </c>
      <c r="Y208" s="101">
        <f t="shared" si="51"/>
        <v>5170.370868554659</v>
      </c>
      <c r="Z208" s="101">
        <f t="shared" si="52"/>
        <v>8794.0952255126049</v>
      </c>
      <c r="AA208" s="101">
        <f t="shared" si="53"/>
        <v>-23380.740392011739</v>
      </c>
      <c r="AB208" s="101">
        <f t="shared" si="54"/>
        <v>10905.866657858824</v>
      </c>
      <c r="AC208" s="101">
        <f t="shared" si="55"/>
        <v>-9829.629131445341</v>
      </c>
      <c r="AD208" s="101">
        <f t="shared" si="56"/>
        <v>-13705.904774487395</v>
      </c>
    </row>
    <row r="209" spans="1:30" x14ac:dyDescent="0.25">
      <c r="A209">
        <v>83</v>
      </c>
      <c r="B209" s="95">
        <f t="shared" si="57"/>
        <v>7620.8985122778513</v>
      </c>
      <c r="C209" s="95">
        <f t="shared" si="58"/>
        <v>7143.2525381007972</v>
      </c>
      <c r="D209" s="95">
        <f t="shared" si="59"/>
        <v>-88.765639394478967</v>
      </c>
      <c r="E209" s="95">
        <f t="shared" si="60"/>
        <v>-234.95393056710455</v>
      </c>
      <c r="F209" s="96">
        <f t="shared" si="61"/>
        <v>620.95135344149026</v>
      </c>
      <c r="G209" s="94">
        <f t="shared" si="62"/>
        <v>-363.6961554921819</v>
      </c>
      <c r="H209" s="97">
        <f t="shared" si="63"/>
        <v>1149.4299442572694</v>
      </c>
      <c r="I209" s="94">
        <f t="shared" si="64"/>
        <v>172.35759691669477</v>
      </c>
      <c r="J209" s="95">
        <f t="shared" si="65"/>
        <v>-210.53521465263825</v>
      </c>
      <c r="K209" s="94">
        <f t="shared" si="66"/>
        <v>21.775031678711599</v>
      </c>
      <c r="L209" s="94">
        <f t="shared" si="67"/>
        <v>-317.94337616314084</v>
      </c>
      <c r="M209" s="94">
        <f t="shared" si="68"/>
        <v>-557.82878408758825</v>
      </c>
      <c r="N209" s="99">
        <f t="shared" si="69"/>
        <v>2346.947300084666</v>
      </c>
      <c r="O209" s="99">
        <f t="shared" si="70"/>
        <v>27800.564635110535</v>
      </c>
      <c r="P209" s="100">
        <f t="shared" si="71"/>
        <v>25611.509702493586</v>
      </c>
      <c r="Q209" s="95">
        <f t="shared" si="72"/>
        <v>1083749933799.0038</v>
      </c>
      <c r="R209" s="95">
        <f t="shared" si="73"/>
        <v>23561655243159.621</v>
      </c>
      <c r="S209" s="95">
        <f t="shared" si="74"/>
        <v>20784477688216.648</v>
      </c>
      <c r="T209">
        <f t="shared" si="50"/>
        <v>0.5</v>
      </c>
      <c r="X209" s="101">
        <v>166</v>
      </c>
      <c r="Y209" s="101">
        <f t="shared" si="51"/>
        <v>5148.5213686200177</v>
      </c>
      <c r="Z209" s="101">
        <f t="shared" si="52"/>
        <v>8709.6094779983396</v>
      </c>
      <c r="AA209" s="101">
        <f t="shared" si="53"/>
        <v>-23396.035041965988</v>
      </c>
      <c r="AB209" s="101">
        <f t="shared" si="54"/>
        <v>10846.726634598837</v>
      </c>
      <c r="AC209" s="101">
        <f t="shared" si="55"/>
        <v>-9851.4786313799814</v>
      </c>
      <c r="AD209" s="101">
        <f t="shared" si="56"/>
        <v>-13790.39052200166</v>
      </c>
    </row>
    <row r="210" spans="1:30" x14ac:dyDescent="0.25">
      <c r="A210">
        <v>83.5</v>
      </c>
      <c r="B210" s="95">
        <f t="shared" si="57"/>
        <v>7731.7535309409841</v>
      </c>
      <c r="C210" s="95">
        <f t="shared" si="58"/>
        <v>6934.8515339441992</v>
      </c>
      <c r="D210" s="95">
        <f t="shared" si="59"/>
        <v>221.71003732626616</v>
      </c>
      <c r="E210" s="95">
        <f t="shared" si="60"/>
        <v>-416.80200831319553</v>
      </c>
      <c r="F210" s="96">
        <f t="shared" si="61"/>
        <v>554.64790374018457</v>
      </c>
      <c r="G210" s="94">
        <f t="shared" si="62"/>
        <v>-264.1988590657752</v>
      </c>
      <c r="H210" s="97">
        <f t="shared" si="63"/>
        <v>1091.5358299251761</v>
      </c>
      <c r="I210" s="94">
        <f t="shared" si="64"/>
        <v>271.96330219928518</v>
      </c>
      <c r="J210" s="95">
        <f t="shared" si="65"/>
        <v>-212.07510114453933</v>
      </c>
      <c r="K210" s="94">
        <f t="shared" si="66"/>
        <v>23.440337814792215</v>
      </c>
      <c r="L210" s="94">
        <f t="shared" si="67"/>
        <v>-324.81282504045225</v>
      </c>
      <c r="M210" s="94">
        <f t="shared" si="68"/>
        <v>-559.60249907985258</v>
      </c>
      <c r="N210" s="99">
        <f t="shared" si="69"/>
        <v>2405.700031270163</v>
      </c>
      <c r="O210" s="99">
        <f t="shared" si="70"/>
        <v>27768.237983109775</v>
      </c>
      <c r="P210" s="100">
        <f t="shared" si="71"/>
        <v>25487.461863106822</v>
      </c>
      <c r="Q210" s="95">
        <f t="shared" si="72"/>
        <v>1088055051785.041</v>
      </c>
      <c r="R210" s="95">
        <f t="shared" si="73"/>
        <v>23484449874885.063</v>
      </c>
      <c r="S210" s="95">
        <f t="shared" si="74"/>
        <v>20523606354489.824</v>
      </c>
      <c r="T210">
        <f t="shared" si="50"/>
        <v>0.5</v>
      </c>
      <c r="X210" s="101">
        <v>167</v>
      </c>
      <c r="Y210" s="101">
        <f t="shared" si="51"/>
        <v>5128.1496760738237</v>
      </c>
      <c r="Z210" s="101">
        <f t="shared" si="52"/>
        <v>8624.7552717193248</v>
      </c>
      <c r="AA210" s="101">
        <f t="shared" si="53"/>
        <v>-23410.295226748323</v>
      </c>
      <c r="AB210" s="101">
        <f t="shared" si="54"/>
        <v>10787.328690203527</v>
      </c>
      <c r="AC210" s="101">
        <f t="shared" si="55"/>
        <v>-9871.8503239261772</v>
      </c>
      <c r="AD210" s="101">
        <f t="shared" si="56"/>
        <v>-13875.244728280675</v>
      </c>
    </row>
    <row r="211" spans="1:30" x14ac:dyDescent="0.25">
      <c r="A211">
        <v>84</v>
      </c>
      <c r="B211" s="95">
        <f t="shared" si="57"/>
        <v>7981.2705255391629</v>
      </c>
      <c r="C211" s="95">
        <f t="shared" si="58"/>
        <v>6660.4008150211575</v>
      </c>
      <c r="D211" s="95">
        <f t="shared" si="59"/>
        <v>499.03398919635845</v>
      </c>
      <c r="E211" s="95">
        <f t="shared" si="60"/>
        <v>-548.90143784608313</v>
      </c>
      <c r="F211" s="96">
        <f t="shared" si="61"/>
        <v>429.34969209542095</v>
      </c>
      <c r="G211" s="94">
        <f t="shared" si="62"/>
        <v>-128.6339214233127</v>
      </c>
      <c r="H211" s="97">
        <f t="shared" si="63"/>
        <v>975.92921592111975</v>
      </c>
      <c r="I211" s="94">
        <f t="shared" si="64"/>
        <v>405.89360023252038</v>
      </c>
      <c r="J211" s="95">
        <f t="shared" si="65"/>
        <v>-211.1306287896731</v>
      </c>
      <c r="K211" s="94">
        <f t="shared" si="66"/>
        <v>25.198701223609877</v>
      </c>
      <c r="L211" s="94">
        <f t="shared" si="67"/>
        <v>-335.4488950360257</v>
      </c>
      <c r="M211" s="94">
        <f t="shared" si="68"/>
        <v>-559.72622287944296</v>
      </c>
      <c r="N211" s="99">
        <f t="shared" si="69"/>
        <v>2337.5916737283092</v>
      </c>
      <c r="O211" s="99">
        <f t="shared" si="70"/>
        <v>27900.632412542585</v>
      </c>
      <c r="P211" s="100">
        <f t="shared" si="71"/>
        <v>25362.083112173623</v>
      </c>
      <c r="Q211" s="95">
        <f t="shared" si="72"/>
        <v>1083074739282.4489</v>
      </c>
      <c r="R211" s="95">
        <f t="shared" si="73"/>
        <v>23801752314668.309</v>
      </c>
      <c r="S211" s="95">
        <f t="shared" si="74"/>
        <v>20262333408946.32</v>
      </c>
      <c r="T211">
        <f t="shared" si="50"/>
        <v>0.5</v>
      </c>
      <c r="X211" s="101">
        <v>168</v>
      </c>
      <c r="Y211" s="101">
        <f t="shared" si="51"/>
        <v>5109.2619963309717</v>
      </c>
      <c r="Z211" s="101">
        <f t="shared" si="52"/>
        <v>8539.5584540887976</v>
      </c>
      <c r="AA211" s="101">
        <f t="shared" si="53"/>
        <v>-23423.516602568321</v>
      </c>
      <c r="AB211" s="101">
        <f t="shared" si="54"/>
        <v>10727.690917862157</v>
      </c>
      <c r="AC211" s="101">
        <f t="shared" si="55"/>
        <v>-9890.7380036690283</v>
      </c>
      <c r="AD211" s="101">
        <f t="shared" si="56"/>
        <v>-13960.441545911202</v>
      </c>
    </row>
    <row r="212" spans="1:30" x14ac:dyDescent="0.25">
      <c r="A212">
        <v>84.5</v>
      </c>
      <c r="B212" s="95">
        <f t="shared" si="57"/>
        <v>8338.1249431611977</v>
      </c>
      <c r="C212" s="95">
        <f t="shared" si="58"/>
        <v>6353.7916157422878</v>
      </c>
      <c r="D212" s="95">
        <f t="shared" si="59"/>
        <v>713.70883524406895</v>
      </c>
      <c r="E212" s="95">
        <f t="shared" si="60"/>
        <v>-613.21839855773942</v>
      </c>
      <c r="F212" s="96">
        <f t="shared" si="61"/>
        <v>254.8333150725154</v>
      </c>
      <c r="G212" s="94">
        <f t="shared" si="62"/>
        <v>28.264213355113952</v>
      </c>
      <c r="H212" s="97">
        <f t="shared" si="63"/>
        <v>811.29385277367578</v>
      </c>
      <c r="I212" s="94">
        <f t="shared" si="64"/>
        <v>559.55579351121366</v>
      </c>
      <c r="J212" s="95">
        <f t="shared" si="65"/>
        <v>-207.89392642158381</v>
      </c>
      <c r="K212" s="94">
        <f t="shared" si="66"/>
        <v>26.749284897114123</v>
      </c>
      <c r="L212" s="94">
        <f t="shared" si="67"/>
        <v>-348.56661127957653</v>
      </c>
      <c r="M212" s="94">
        <f t="shared" si="68"/>
        <v>-558.04086505321379</v>
      </c>
      <c r="N212" s="99">
        <f t="shared" si="69"/>
        <v>2186.3658162517231</v>
      </c>
      <c r="O212" s="99">
        <f t="shared" si="70"/>
        <v>28179.858462024218</v>
      </c>
      <c r="P212" s="100">
        <f t="shared" si="71"/>
        <v>25252.452315064394</v>
      </c>
      <c r="Q212" s="95">
        <f t="shared" si="72"/>
        <v>1072553110051.599</v>
      </c>
      <c r="R212" s="95">
        <f t="shared" si="73"/>
        <v>24480599640343.633</v>
      </c>
      <c r="S212" s="95">
        <f t="shared" si="74"/>
        <v>20035842972391.813</v>
      </c>
      <c r="T212">
        <f t="shared" si="50"/>
        <v>0.5</v>
      </c>
      <c r="X212" s="101">
        <v>169</v>
      </c>
      <c r="Y212" s="101">
        <f t="shared" si="51"/>
        <v>5091.86408276168</v>
      </c>
      <c r="Z212" s="101">
        <f t="shared" si="52"/>
        <v>8454.0449768827257</v>
      </c>
      <c r="AA212" s="101">
        <f t="shared" si="53"/>
        <v>-23435.695142066823</v>
      </c>
      <c r="AB212" s="101">
        <f t="shared" si="54"/>
        <v>10667.831483817907</v>
      </c>
      <c r="AC212" s="101">
        <f t="shared" si="55"/>
        <v>-9908.13591723832</v>
      </c>
      <c r="AD212" s="101">
        <f t="shared" si="56"/>
        <v>-14045.955023117274</v>
      </c>
    </row>
    <row r="213" spans="1:30" x14ac:dyDescent="0.25">
      <c r="A213">
        <v>85</v>
      </c>
      <c r="B213" s="95">
        <f t="shared" si="57"/>
        <v>8758.6876895513615</v>
      </c>
      <c r="C213" s="95">
        <f t="shared" si="58"/>
        <v>6054.2484698021963</v>
      </c>
      <c r="D213" s="95">
        <f t="shared" si="59"/>
        <v>841.12549278032668</v>
      </c>
      <c r="E213" s="95">
        <f t="shared" si="60"/>
        <v>-599.08629188018244</v>
      </c>
      <c r="F213" s="96">
        <f t="shared" si="61"/>
        <v>46.898499064677367</v>
      </c>
      <c r="G213" s="94">
        <f t="shared" si="62"/>
        <v>186.31627180958174</v>
      </c>
      <c r="H213" s="97">
        <f t="shared" si="63"/>
        <v>612.14761225262646</v>
      </c>
      <c r="I213" s="94">
        <f t="shared" si="64"/>
        <v>712.96589880857834</v>
      </c>
      <c r="J213" s="95">
        <f t="shared" si="65"/>
        <v>-202.89834547314075</v>
      </c>
      <c r="K213" s="94">
        <f t="shared" si="66"/>
        <v>27.838073342133679</v>
      </c>
      <c r="L213" s="94">
        <f t="shared" si="67"/>
        <v>-362.35076771480834</v>
      </c>
      <c r="M213" s="94">
        <f t="shared" si="68"/>
        <v>-554.48770034113033</v>
      </c>
      <c r="N213" s="99">
        <f t="shared" si="69"/>
        <v>2018.817070634595</v>
      </c>
      <c r="O213" s="99">
        <f t="shared" si="70"/>
        <v>28571.737099372276</v>
      </c>
      <c r="P213" s="100">
        <f t="shared" si="71"/>
        <v>25177.172068521209</v>
      </c>
      <c r="Q213" s="95">
        <f t="shared" si="72"/>
        <v>1061753068829.7051</v>
      </c>
      <c r="R213" s="95">
        <f t="shared" si="73"/>
        <v>25455597846515.289</v>
      </c>
      <c r="S213" s="95">
        <f t="shared" si="74"/>
        <v>19881376472640.684</v>
      </c>
      <c r="T213">
        <f t="shared" si="50"/>
        <v>0.5</v>
      </c>
      <c r="X213" s="101">
        <v>170</v>
      </c>
      <c r="Y213" s="101">
        <f t="shared" si="51"/>
        <v>5075.9612349389599</v>
      </c>
      <c r="Z213" s="101">
        <f t="shared" si="52"/>
        <v>8368.2408883346507</v>
      </c>
      <c r="AA213" s="101">
        <f t="shared" si="53"/>
        <v>-23446.827135542728</v>
      </c>
      <c r="AB213" s="101">
        <f t="shared" si="54"/>
        <v>10607.768621834257</v>
      </c>
      <c r="AC213" s="101">
        <f t="shared" si="55"/>
        <v>-9924.0387650610392</v>
      </c>
      <c r="AD213" s="101">
        <f t="shared" si="56"/>
        <v>-14131.759111665349</v>
      </c>
    </row>
    <row r="214" spans="1:30" x14ac:dyDescent="0.25">
      <c r="A214">
        <v>85.5</v>
      </c>
      <c r="B214" s="95">
        <f t="shared" si="57"/>
        <v>9190.9750607076949</v>
      </c>
      <c r="C214" s="95">
        <f t="shared" si="58"/>
        <v>5801.2843918144999</v>
      </c>
      <c r="D214" s="95">
        <f t="shared" si="59"/>
        <v>864.57474231266542</v>
      </c>
      <c r="E214" s="95">
        <f t="shared" si="60"/>
        <v>-505.92815597539158</v>
      </c>
      <c r="F214" s="96">
        <f t="shared" si="61"/>
        <v>-170.10726783766248</v>
      </c>
      <c r="G214" s="94">
        <f t="shared" si="62"/>
        <v>322.14039153912347</v>
      </c>
      <c r="H214" s="97">
        <f t="shared" si="63"/>
        <v>401.53708383790212</v>
      </c>
      <c r="I214" s="94">
        <f t="shared" si="64"/>
        <v>843.1103646537756</v>
      </c>
      <c r="J214" s="95">
        <f t="shared" si="65"/>
        <v>-196.90808648653504</v>
      </c>
      <c r="K214" s="94">
        <f t="shared" si="66"/>
        <v>28.322488522208047</v>
      </c>
      <c r="L214" s="94">
        <f t="shared" si="67"/>
        <v>-374.73626518902955</v>
      </c>
      <c r="M214" s="94">
        <f t="shared" si="68"/>
        <v>-549.29246163686014</v>
      </c>
      <c r="N214" s="99">
        <f t="shared" si="69"/>
        <v>1905.532403067612</v>
      </c>
      <c r="O214" s="99">
        <f t="shared" si="70"/>
        <v>29028.108322162701</v>
      </c>
      <c r="P214" s="100">
        <f t="shared" si="71"/>
        <v>25151.200082039428</v>
      </c>
      <c r="Q214" s="95">
        <f t="shared" si="72"/>
        <v>1054957274663.4414</v>
      </c>
      <c r="R214" s="95">
        <f t="shared" si="73"/>
        <v>26624275122717.242</v>
      </c>
      <c r="S214" s="95">
        <f t="shared" si="74"/>
        <v>19828284200314.617</v>
      </c>
      <c r="T214">
        <f t="shared" si="50"/>
        <v>0.5</v>
      </c>
      <c r="X214" s="101">
        <v>171</v>
      </c>
      <c r="Y214" s="101">
        <f t="shared" si="51"/>
        <v>5061.5582970243113</v>
      </c>
      <c r="Z214" s="101">
        <f t="shared" si="52"/>
        <v>8282.1723252011543</v>
      </c>
      <c r="AA214" s="101">
        <f t="shared" si="53"/>
        <v>-23456.909192082981</v>
      </c>
      <c r="AB214" s="101">
        <f t="shared" si="54"/>
        <v>10547.520627640808</v>
      </c>
      <c r="AC214" s="101">
        <f t="shared" si="55"/>
        <v>-9938.4417029756878</v>
      </c>
      <c r="AD214" s="101">
        <f t="shared" si="56"/>
        <v>-14217.827674798846</v>
      </c>
    </row>
    <row r="215" spans="1:30" x14ac:dyDescent="0.25">
      <c r="A215">
        <v>86</v>
      </c>
      <c r="B215" s="95">
        <f t="shared" si="57"/>
        <v>9580.7356149046118</v>
      </c>
      <c r="C215" s="95">
        <f t="shared" si="58"/>
        <v>5628.8554117115855</v>
      </c>
      <c r="D215" s="95">
        <f t="shared" si="59"/>
        <v>779.5211083938342</v>
      </c>
      <c r="E215" s="95">
        <f t="shared" si="60"/>
        <v>-344.85796020582984</v>
      </c>
      <c r="F215" s="96">
        <f t="shared" si="61"/>
        <v>-366.25960895501669</v>
      </c>
      <c r="G215" s="94">
        <f t="shared" si="62"/>
        <v>415.02739715239215</v>
      </c>
      <c r="H215" s="97">
        <f t="shared" si="63"/>
        <v>208.36432895759475</v>
      </c>
      <c r="I215" s="94">
        <f t="shared" si="64"/>
        <v>929.91391680609263</v>
      </c>
      <c r="J215" s="95">
        <f t="shared" si="65"/>
        <v>-190.77048680222251</v>
      </c>
      <c r="K215" s="94">
        <f t="shared" si="66"/>
        <v>28.190150233130719</v>
      </c>
      <c r="L215" s="94">
        <f t="shared" si="67"/>
        <v>-383.8534511103889</v>
      </c>
      <c r="M215" s="94">
        <f t="shared" si="68"/>
        <v>-543.07666988683116</v>
      </c>
      <c r="N215" s="99">
        <f t="shared" si="69"/>
        <v>1881.5302468708685</v>
      </c>
      <c r="O215" s="99">
        <f t="shared" si="70"/>
        <v>29491.392604508848</v>
      </c>
      <c r="P215" s="100">
        <f t="shared" si="71"/>
        <v>25180.889688864718</v>
      </c>
      <c r="Q215" s="95">
        <f t="shared" si="72"/>
        <v>1053569580677.1023</v>
      </c>
      <c r="R215" s="95">
        <f t="shared" si="73"/>
        <v>27847776470289.152</v>
      </c>
      <c r="S215" s="95">
        <f t="shared" si="74"/>
        <v>19888984437164.902</v>
      </c>
      <c r="T215">
        <f t="shared" si="50"/>
        <v>0.5</v>
      </c>
      <c r="X215" s="101">
        <v>172</v>
      </c>
      <c r="Y215" s="101">
        <f t="shared" si="51"/>
        <v>5048.6596562921486</v>
      </c>
      <c r="Z215" s="101">
        <f t="shared" si="52"/>
        <v>8195.8655048003293</v>
      </c>
      <c r="AA215" s="101">
        <f t="shared" si="53"/>
        <v>-23465.938240595497</v>
      </c>
      <c r="AB215" s="101">
        <f t="shared" si="54"/>
        <v>10487.10585336023</v>
      </c>
      <c r="AC215" s="101">
        <f t="shared" si="55"/>
        <v>-9951.3403437078523</v>
      </c>
      <c r="AD215" s="101">
        <f t="shared" si="56"/>
        <v>-14304.134495199671</v>
      </c>
    </row>
    <row r="216" spans="1:30" x14ac:dyDescent="0.25">
      <c r="A216">
        <v>86.5</v>
      </c>
      <c r="B216" s="95">
        <f t="shared" si="57"/>
        <v>9878.9312668627754</v>
      </c>
      <c r="C216" s="95">
        <f t="shared" si="58"/>
        <v>5560.1832808967683</v>
      </c>
      <c r="D216" s="95">
        <f t="shared" si="59"/>
        <v>596.3913039163258</v>
      </c>
      <c r="E216" s="95">
        <f t="shared" si="60"/>
        <v>-137.34426162963376</v>
      </c>
      <c r="F216" s="96">
        <f t="shared" si="61"/>
        <v>-513.68807812889315</v>
      </c>
      <c r="G216" s="94">
        <f t="shared" si="62"/>
        <v>452.86659028226939</v>
      </c>
      <c r="H216" s="97">
        <f t="shared" si="63"/>
        <v>60.049197686327595</v>
      </c>
      <c r="I216" s="94">
        <f t="shared" si="64"/>
        <v>962.1347694176726</v>
      </c>
      <c r="J216" s="95">
        <f t="shared" si="65"/>
        <v>-185.26895660050025</v>
      </c>
      <c r="K216" s="94">
        <f t="shared" si="66"/>
        <v>27.529773528344784</v>
      </c>
      <c r="L216" s="94">
        <f t="shared" si="67"/>
        <v>-388.46831921472051</v>
      </c>
      <c r="M216" s="94">
        <f t="shared" si="68"/>
        <v>-536.79795266374799</v>
      </c>
      <c r="N216" s="99">
        <f t="shared" si="69"/>
        <v>1917.5413150413303</v>
      </c>
      <c r="O216" s="99">
        <f t="shared" si="70"/>
        <v>29901.953523651409</v>
      </c>
      <c r="P216" s="100">
        <f t="shared" si="71"/>
        <v>25261.582030210426</v>
      </c>
      <c r="Q216" s="95">
        <f t="shared" si="72"/>
        <v>1055658408044.3325</v>
      </c>
      <c r="R216" s="95">
        <f t="shared" si="73"/>
        <v>28963773722808.254</v>
      </c>
      <c r="S216" s="95">
        <f t="shared" si="74"/>
        <v>20054634594885.594</v>
      </c>
      <c r="T216">
        <f t="shared" si="50"/>
        <v>0.5</v>
      </c>
      <c r="X216" s="101">
        <v>173</v>
      </c>
      <c r="Y216" s="101">
        <f t="shared" si="51"/>
        <v>5037.2692417933904</v>
      </c>
      <c r="Z216" s="101">
        <f t="shared" si="52"/>
        <v>8109.3467170257372</v>
      </c>
      <c r="AA216" s="101">
        <f t="shared" si="53"/>
        <v>-23473.911530744626</v>
      </c>
      <c r="AB216" s="101">
        <f t="shared" si="54"/>
        <v>10426.542701918017</v>
      </c>
      <c r="AC216" s="101">
        <f t="shared" si="55"/>
        <v>-9962.7307582066096</v>
      </c>
      <c r="AD216" s="101">
        <f t="shared" si="56"/>
        <v>-14390.653282974263</v>
      </c>
    </row>
    <row r="217" spans="1:30" x14ac:dyDescent="0.25">
      <c r="A217">
        <v>87</v>
      </c>
      <c r="B217" s="95">
        <f t="shared" si="57"/>
        <v>10048.704899288716</v>
      </c>
      <c r="C217" s="95">
        <f t="shared" si="58"/>
        <v>5604.7277976525183</v>
      </c>
      <c r="D217" s="95">
        <f t="shared" si="59"/>
        <v>339.54726485187922</v>
      </c>
      <c r="E217" s="95">
        <f t="shared" si="60"/>
        <v>89.089033511500929</v>
      </c>
      <c r="F217" s="96">
        <f t="shared" si="61"/>
        <v>-593.33225537241162</v>
      </c>
      <c r="G217" s="94">
        <f t="shared" si="62"/>
        <v>433.63769314606975</v>
      </c>
      <c r="H217" s="97">
        <f t="shared" si="63"/>
        <v>-24.122158863718575</v>
      </c>
      <c r="I217" s="94">
        <f t="shared" si="64"/>
        <v>938.67470875990421</v>
      </c>
      <c r="J217" s="95">
        <f t="shared" si="65"/>
        <v>-181.0172536892569</v>
      </c>
      <c r="K217" s="94">
        <f t="shared" si="66"/>
        <v>26.477683678956367</v>
      </c>
      <c r="L217" s="94">
        <f t="shared" si="67"/>
        <v>-388.19284281943612</v>
      </c>
      <c r="M217" s="94">
        <f t="shared" si="68"/>
        <v>-531.51469929279085</v>
      </c>
      <c r="N217" s="99">
        <f t="shared" si="69"/>
        <v>1943.5911457546513</v>
      </c>
      <c r="O217" s="99">
        <f t="shared" si="70"/>
        <v>30206.994324976105</v>
      </c>
      <c r="P217" s="100">
        <f t="shared" si="71"/>
        <v>25379.198809026529</v>
      </c>
      <c r="Q217" s="95">
        <f t="shared" si="72"/>
        <v>1057194995575.8962</v>
      </c>
      <c r="R217" s="95">
        <f t="shared" si="73"/>
        <v>29812509123371.84</v>
      </c>
      <c r="S217" s="95">
        <f t="shared" si="74"/>
        <v>20297858668333.957</v>
      </c>
      <c r="T217">
        <f t="shared" si="50"/>
        <v>0.5</v>
      </c>
      <c r="X217" s="101">
        <v>174</v>
      </c>
      <c r="Y217" s="101">
        <f t="shared" si="51"/>
        <v>5027.3905231586332</v>
      </c>
      <c r="Z217" s="101">
        <f t="shared" si="52"/>
        <v>8022.6423163382688</v>
      </c>
      <c r="AA217" s="101">
        <f t="shared" si="53"/>
        <v>-23480.826633788958</v>
      </c>
      <c r="AB217" s="101">
        <f t="shared" si="54"/>
        <v>10365.849621436788</v>
      </c>
      <c r="AC217" s="101">
        <f t="shared" si="55"/>
        <v>-9972.6094768413677</v>
      </c>
      <c r="AD217" s="101">
        <f t="shared" si="56"/>
        <v>-14477.357683661732</v>
      </c>
    </row>
    <row r="218" spans="1:30" x14ac:dyDescent="0.25">
      <c r="A218">
        <v>87.5</v>
      </c>
      <c r="B218" s="95">
        <f t="shared" si="57"/>
        <v>10070.145467871553</v>
      </c>
      <c r="C218" s="95">
        <f t="shared" si="58"/>
        <v>5757.6817376947856</v>
      </c>
      <c r="D218" s="95">
        <f t="shared" si="59"/>
        <v>42.881137165673408</v>
      </c>
      <c r="E218" s="95">
        <f t="shared" si="60"/>
        <v>305.9078800845358</v>
      </c>
      <c r="F218" s="96">
        <f t="shared" si="61"/>
        <v>-596.6398184376967</v>
      </c>
      <c r="G218" s="94">
        <f t="shared" si="62"/>
        <v>362.29879951602402</v>
      </c>
      <c r="H218" s="97">
        <f t="shared" si="63"/>
        <v>-34.833221216312602</v>
      </c>
      <c r="I218" s="94">
        <f t="shared" si="64"/>
        <v>865.20996012504759</v>
      </c>
      <c r="J218" s="95">
        <f t="shared" si="65"/>
        <v>-178.41705336994954</v>
      </c>
      <c r="K218" s="94">
        <f t="shared" si="66"/>
        <v>25.171209252270923</v>
      </c>
      <c r="L218" s="94">
        <f t="shared" si="67"/>
        <v>-383.3895438514345</v>
      </c>
      <c r="M218" s="94">
        <f t="shared" si="68"/>
        <v>-528.08236986129452</v>
      </c>
      <c r="N218" s="99">
        <f t="shared" si="69"/>
        <v>1895.89791080791</v>
      </c>
      <c r="O218" s="99">
        <f t="shared" si="70"/>
        <v>30368.455407828467</v>
      </c>
      <c r="P218" s="100">
        <f t="shared" si="71"/>
        <v>25515.060783020497</v>
      </c>
      <c r="Q218" s="95">
        <f t="shared" si="72"/>
        <v>1054398066237.8367</v>
      </c>
      <c r="R218" s="95">
        <f t="shared" si="73"/>
        <v>30268570356461.234</v>
      </c>
      <c r="S218" s="95">
        <f t="shared" si="74"/>
        <v>20581442143146.945</v>
      </c>
      <c r="T218">
        <f t="shared" si="50"/>
        <v>0.5</v>
      </c>
      <c r="X218" s="101">
        <v>175</v>
      </c>
      <c r="Y218" s="101">
        <f t="shared" si="51"/>
        <v>5019.0265095412724</v>
      </c>
      <c r="Z218" s="101">
        <f t="shared" si="52"/>
        <v>7935.7787137382929</v>
      </c>
      <c r="AA218" s="101">
        <f t="shared" si="53"/>
        <v>-23486.681443321111</v>
      </c>
      <c r="AB218" s="101">
        <f t="shared" si="54"/>
        <v>10305.045099616806</v>
      </c>
      <c r="AC218" s="101">
        <f t="shared" si="55"/>
        <v>-9980.9734904587276</v>
      </c>
      <c r="AD218" s="101">
        <f t="shared" si="56"/>
        <v>-14564.221286261707</v>
      </c>
    </row>
    <row r="219" spans="1:30" x14ac:dyDescent="0.25">
      <c r="A219">
        <v>88</v>
      </c>
      <c r="B219" s="95">
        <f t="shared" si="57"/>
        <v>9942.4260818449657</v>
      </c>
      <c r="C219" s="95">
        <f t="shared" si="58"/>
        <v>6001.2103776160602</v>
      </c>
      <c r="D219" s="95">
        <f t="shared" si="59"/>
        <v>-255.43877205317494</v>
      </c>
      <c r="E219" s="95">
        <f t="shared" si="60"/>
        <v>487.05727984254781</v>
      </c>
      <c r="F219" s="96">
        <f t="shared" si="61"/>
        <v>-523.75425731764813</v>
      </c>
      <c r="G219" s="94">
        <f t="shared" si="62"/>
        <v>247.09028677741287</v>
      </c>
      <c r="H219" s="97">
        <f t="shared" si="63"/>
        <v>28.821188265274913</v>
      </c>
      <c r="I219" s="94">
        <f t="shared" si="64"/>
        <v>750.28588049970381</v>
      </c>
      <c r="J219" s="95">
        <f t="shared" si="65"/>
        <v>-177.66807550142758</v>
      </c>
      <c r="K219" s="94">
        <f t="shared" si="66"/>
        <v>23.727444616614001</v>
      </c>
      <c r="L219" s="94">
        <f t="shared" si="67"/>
        <v>-374.90737008149551</v>
      </c>
      <c r="M219" s="94">
        <f t="shared" si="68"/>
        <v>-526.92303833890492</v>
      </c>
      <c r="N219" s="99">
        <f t="shared" si="69"/>
        <v>1743.7297135236242</v>
      </c>
      <c r="O219" s="99">
        <f t="shared" si="70"/>
        <v>30367.925722670694</v>
      </c>
      <c r="P219" s="100">
        <f t="shared" si="71"/>
        <v>25651.328143903916</v>
      </c>
      <c r="Q219" s="95">
        <f t="shared" si="72"/>
        <v>1045953857797.5109</v>
      </c>
      <c r="R219" s="95">
        <f t="shared" si="73"/>
        <v>30267066458578.953</v>
      </c>
      <c r="S219" s="95">
        <f t="shared" si="74"/>
        <v>20868717516066.441</v>
      </c>
      <c r="T219">
        <f t="shared" si="50"/>
        <v>0.5</v>
      </c>
      <c r="X219" s="101">
        <v>176</v>
      </c>
      <c r="Y219" s="101">
        <f t="shared" si="51"/>
        <v>5012.1797487008789</v>
      </c>
      <c r="Z219" s="101">
        <f t="shared" si="52"/>
        <v>7848.7823687206273</v>
      </c>
      <c r="AA219" s="101">
        <f t="shared" si="53"/>
        <v>-23491.474175909385</v>
      </c>
      <c r="AB219" s="101">
        <f t="shared" si="54"/>
        <v>10244.147658104439</v>
      </c>
      <c r="AC219" s="101">
        <f t="shared" si="55"/>
        <v>-9987.8202512991211</v>
      </c>
      <c r="AD219" s="101">
        <f t="shared" si="56"/>
        <v>-14651.217631279373</v>
      </c>
    </row>
    <row r="220" spans="1:30" x14ac:dyDescent="0.25">
      <c r="A220">
        <v>88.5</v>
      </c>
      <c r="B220" s="95">
        <f t="shared" si="57"/>
        <v>9683.7681314889669</v>
      </c>
      <c r="C220" s="95">
        <f t="shared" si="58"/>
        <v>6306.5115892316871</v>
      </c>
      <c r="D220" s="95">
        <f t="shared" si="59"/>
        <v>-517.31590071199901</v>
      </c>
      <c r="E220" s="95">
        <f t="shared" si="60"/>
        <v>610.60242323125431</v>
      </c>
      <c r="F220" s="96">
        <f t="shared" si="61"/>
        <v>-382.49903076354701</v>
      </c>
      <c r="G220" s="94">
        <f t="shared" si="62"/>
        <v>98.697246881757223</v>
      </c>
      <c r="H220" s="97">
        <f t="shared" si="63"/>
        <v>160.14422710181253</v>
      </c>
      <c r="I220" s="94">
        <f t="shared" si="64"/>
        <v>604.39917076476945</v>
      </c>
      <c r="J220" s="95">
        <f t="shared" si="65"/>
        <v>-178.79743443204657</v>
      </c>
      <c r="K220" s="94">
        <f t="shared" si="66"/>
        <v>22.247386148031662</v>
      </c>
      <c r="L220" s="94">
        <f t="shared" si="67"/>
        <v>-363.845823433313</v>
      </c>
      <c r="M220" s="94">
        <f t="shared" si="68"/>
        <v>-527.94931003104386</v>
      </c>
      <c r="N220" s="99">
        <f t="shared" si="69"/>
        <v>1499.8950257326396</v>
      </c>
      <c r="O220" s="99">
        <f t="shared" si="70"/>
        <v>30208.26373876584</v>
      </c>
      <c r="P220" s="100">
        <f t="shared" si="71"/>
        <v>25774.540433076378</v>
      </c>
      <c r="Q220" s="95">
        <f t="shared" si="72"/>
        <v>1033934361257.1915</v>
      </c>
      <c r="R220" s="95">
        <f t="shared" si="73"/>
        <v>29816076228775.891</v>
      </c>
      <c r="S220" s="95">
        <f t="shared" si="74"/>
        <v>21130936566119.746</v>
      </c>
      <c r="T220">
        <f t="shared" si="50"/>
        <v>0.5</v>
      </c>
      <c r="X220" s="101">
        <v>177</v>
      </c>
      <c r="Y220" s="101">
        <f t="shared" si="51"/>
        <v>5006.852326227131</v>
      </c>
      <c r="Z220" s="101">
        <f t="shared" si="52"/>
        <v>7761.6797812147188</v>
      </c>
      <c r="AA220" s="101">
        <f t="shared" si="53"/>
        <v>-23495.203371641008</v>
      </c>
      <c r="AB220" s="101">
        <f t="shared" si="54"/>
        <v>10183.175846850303</v>
      </c>
      <c r="AC220" s="101">
        <f t="shared" si="55"/>
        <v>-9993.1476737728699</v>
      </c>
      <c r="AD220" s="101">
        <f t="shared" si="56"/>
        <v>-14738.32021878528</v>
      </c>
    </row>
    <row r="221" spans="1:30" x14ac:dyDescent="0.25">
      <c r="A221">
        <v>89</v>
      </c>
      <c r="B221" s="95">
        <f t="shared" si="57"/>
        <v>9329.4854234420818</v>
      </c>
      <c r="C221" s="95">
        <f t="shared" si="58"/>
        <v>6636.4871125677537</v>
      </c>
      <c r="D221" s="95">
        <f t="shared" si="59"/>
        <v>-708.56541609377246</v>
      </c>
      <c r="E221" s="95">
        <f t="shared" si="60"/>
        <v>659.95104667213286</v>
      </c>
      <c r="F221" s="96">
        <f t="shared" si="61"/>
        <v>-189.9112787621726</v>
      </c>
      <c r="G221" s="94">
        <f t="shared" si="62"/>
        <v>-67.821312012970623</v>
      </c>
      <c r="H221" s="97">
        <f t="shared" si="63"/>
        <v>343.20301019892298</v>
      </c>
      <c r="I221" s="94">
        <f t="shared" si="64"/>
        <v>441.98923136566805</v>
      </c>
      <c r="J221" s="95">
        <f t="shared" si="65"/>
        <v>-181.67674934269107</v>
      </c>
      <c r="K221" s="94">
        <f t="shared" si="66"/>
        <v>20.83473606640673</v>
      </c>
      <c r="L221" s="94">
        <f t="shared" si="67"/>
        <v>-351.43753961840451</v>
      </c>
      <c r="M221" s="94">
        <f t="shared" si="68"/>
        <v>-530.64527944504539</v>
      </c>
      <c r="N221" s="99">
        <f t="shared" si="69"/>
        <v>1234.6729045784766</v>
      </c>
      <c r="O221" s="99">
        <f t="shared" si="70"/>
        <v>29912.67201579424</v>
      </c>
      <c r="P221" s="100">
        <f t="shared" si="71"/>
        <v>25876.253257405624</v>
      </c>
      <c r="Q221" s="95">
        <f t="shared" si="72"/>
        <v>1022953181858.8912</v>
      </c>
      <c r="R221" s="95">
        <f t="shared" si="73"/>
        <v>28993312409463.055</v>
      </c>
      <c r="S221" s="95">
        <f t="shared" si="74"/>
        <v>21349173542515.387</v>
      </c>
      <c r="T221">
        <f t="shared" si="50"/>
        <v>0.5</v>
      </c>
      <c r="X221" s="101">
        <v>178</v>
      </c>
      <c r="Y221" s="101">
        <f t="shared" si="51"/>
        <v>5003.0458649045213</v>
      </c>
      <c r="Z221" s="101">
        <f t="shared" si="52"/>
        <v>7674.4974835125031</v>
      </c>
      <c r="AA221" s="101">
        <f t="shared" si="53"/>
        <v>-23497.867894566836</v>
      </c>
      <c r="AB221" s="101">
        <f t="shared" si="54"/>
        <v>10122.148238458753</v>
      </c>
      <c r="AC221" s="101">
        <f t="shared" si="55"/>
        <v>-9996.9541350954787</v>
      </c>
      <c r="AD221" s="101">
        <f t="shared" si="56"/>
        <v>-14825.502516487497</v>
      </c>
    </row>
    <row r="222" spans="1:30" x14ac:dyDescent="0.25">
      <c r="A222">
        <v>89.5</v>
      </c>
      <c r="B222" s="95">
        <f t="shared" si="57"/>
        <v>8927.7248957046522</v>
      </c>
      <c r="C222" s="95">
        <f t="shared" si="58"/>
        <v>6949.5073079005779</v>
      </c>
      <c r="D222" s="95">
        <f t="shared" si="59"/>
        <v>-803.52105547485871</v>
      </c>
      <c r="E222" s="95">
        <f t="shared" si="60"/>
        <v>626.04039066564758</v>
      </c>
      <c r="F222" s="96">
        <f t="shared" si="61"/>
        <v>26.499311002678269</v>
      </c>
      <c r="G222" s="94">
        <f t="shared" si="62"/>
        <v>-231.50354693785863</v>
      </c>
      <c r="H222" s="97">
        <f t="shared" si="63"/>
        <v>551.52434854451849</v>
      </c>
      <c r="I222" s="94">
        <f t="shared" si="64"/>
        <v>283.1457358027269</v>
      </c>
      <c r="J222" s="95">
        <f t="shared" si="65"/>
        <v>-186.01532793997245</v>
      </c>
      <c r="K222" s="94">
        <f t="shared" si="66"/>
        <v>19.615728528433969</v>
      </c>
      <c r="L222" s="94">
        <f t="shared" si="67"/>
        <v>-339.00970960186777</v>
      </c>
      <c r="M222" s="94">
        <f t="shared" si="68"/>
        <v>-534.26501126901951</v>
      </c>
      <c r="N222" s="99">
        <f t="shared" si="69"/>
        <v>1093.2722918551533</v>
      </c>
      <c r="O222" s="99">
        <f t="shared" si="70"/>
        <v>29521.719701735266</v>
      </c>
      <c r="P222" s="100">
        <f t="shared" si="71"/>
        <v>25951.333820691172</v>
      </c>
      <c r="Q222" s="95">
        <f t="shared" si="72"/>
        <v>1017982131152.0271</v>
      </c>
      <c r="R222" s="95">
        <f t="shared" si="73"/>
        <v>27929186674365.129</v>
      </c>
      <c r="S222" s="95">
        <f t="shared" si="74"/>
        <v>21511300401470.039</v>
      </c>
      <c r="T222">
        <f t="shared" si="50"/>
        <v>0.5</v>
      </c>
      <c r="X222" s="101">
        <v>179</v>
      </c>
      <c r="Y222" s="101">
        <f t="shared" si="51"/>
        <v>5000.7615242180436</v>
      </c>
      <c r="Z222" s="101">
        <f t="shared" si="52"/>
        <v>7587.2620321864169</v>
      </c>
      <c r="AA222" s="101">
        <f t="shared" si="53"/>
        <v>-23499.46693304737</v>
      </c>
      <c r="AB222" s="101">
        <f t="shared" si="54"/>
        <v>10061.083422530492</v>
      </c>
      <c r="AC222" s="101">
        <f t="shared" si="55"/>
        <v>-9999.2384757819564</v>
      </c>
      <c r="AD222" s="101">
        <f t="shared" si="56"/>
        <v>-14912.737967813582</v>
      </c>
    </row>
    <row r="223" spans="1:30" x14ac:dyDescent="0.25">
      <c r="A223">
        <v>90</v>
      </c>
      <c r="B223" s="95">
        <f t="shared" si="57"/>
        <v>8532.5891957178919</v>
      </c>
      <c r="C223" s="95">
        <f t="shared" si="58"/>
        <v>7204.6516164989371</v>
      </c>
      <c r="D223" s="95">
        <f t="shared" si="59"/>
        <v>-790.27139997351958</v>
      </c>
      <c r="E223" s="95">
        <f t="shared" si="60"/>
        <v>510.28861719671829</v>
      </c>
      <c r="F223" s="96">
        <f t="shared" si="61"/>
        <v>232.61262062619869</v>
      </c>
      <c r="G223" s="94">
        <f t="shared" si="62"/>
        <v>-368.00313627945707</v>
      </c>
      <c r="H223" s="97">
        <f t="shared" si="63"/>
        <v>751.88976800006787</v>
      </c>
      <c r="I223" s="94">
        <f t="shared" si="64"/>
        <v>151.33419142191124</v>
      </c>
      <c r="J223" s="95">
        <f t="shared" si="65"/>
        <v>-191.3431535881046</v>
      </c>
      <c r="K223" s="94">
        <f t="shared" si="66"/>
        <v>18.74595997606751</v>
      </c>
      <c r="L223" s="94">
        <f t="shared" si="67"/>
        <v>-327.93399378576453</v>
      </c>
      <c r="M223" s="94">
        <f t="shared" si="68"/>
        <v>-538.08328767743581</v>
      </c>
      <c r="N223" s="99">
        <f t="shared" si="69"/>
        <v>1205.3282139510666</v>
      </c>
      <c r="O223" s="99">
        <f t="shared" si="70"/>
        <v>29088.12082803086</v>
      </c>
      <c r="P223" s="100">
        <f t="shared" si="71"/>
        <v>25995.430210519928</v>
      </c>
      <c r="Q223" s="95">
        <f t="shared" si="72"/>
        <v>1021871201234.0582</v>
      </c>
      <c r="R223" s="95">
        <f t="shared" si="73"/>
        <v>26780642898217.473</v>
      </c>
      <c r="S223" s="95">
        <f t="shared" si="74"/>
        <v>21606930869696.984</v>
      </c>
      <c r="T223">
        <f t="shared" si="50"/>
        <v>0.5</v>
      </c>
      <c r="X223" s="101">
        <v>180</v>
      </c>
      <c r="Y223" s="101">
        <f t="shared" si="51"/>
        <v>5000</v>
      </c>
      <c r="Z223" s="101">
        <f t="shared" si="52"/>
        <v>7500.0000000000009</v>
      </c>
      <c r="AA223" s="101">
        <f t="shared" si="53"/>
        <v>-23500</v>
      </c>
      <c r="AB223" s="101">
        <f t="shared" si="54"/>
        <v>10000</v>
      </c>
      <c r="AC223" s="101">
        <f t="shared" si="55"/>
        <v>-10000</v>
      </c>
      <c r="AD223" s="101">
        <f t="shared" si="56"/>
        <v>-15000</v>
      </c>
    </row>
    <row r="224" spans="1:30" x14ac:dyDescent="0.25">
      <c r="A224">
        <v>90.5</v>
      </c>
      <c r="B224" s="95">
        <f t="shared" si="57"/>
        <v>8195.6066508876829</v>
      </c>
      <c r="C224" s="95">
        <f t="shared" si="58"/>
        <v>7367.7951410274318</v>
      </c>
      <c r="D224" s="95">
        <f t="shared" si="59"/>
        <v>-673.96508966042029</v>
      </c>
      <c r="E224" s="95">
        <f t="shared" si="60"/>
        <v>326.28704905698976</v>
      </c>
      <c r="F224" s="96">
        <f t="shared" si="61"/>
        <v>397.36381598258384</v>
      </c>
      <c r="G224" s="94">
        <f t="shared" si="62"/>
        <v>-456.24995320136691</v>
      </c>
      <c r="H224" s="97">
        <f t="shared" si="63"/>
        <v>913.89275146628108</v>
      </c>
      <c r="I224" s="94">
        <f t="shared" si="64"/>
        <v>66.959381325081225</v>
      </c>
      <c r="J224" s="95">
        <f t="shared" si="65"/>
        <v>-197.0175122364349</v>
      </c>
      <c r="K224" s="94">
        <f t="shared" si="66"/>
        <v>18.392597805484868</v>
      </c>
      <c r="L224" s="94">
        <f t="shared" si="67"/>
        <v>-319.51142324726237</v>
      </c>
      <c r="M224" s="94">
        <f t="shared" si="68"/>
        <v>-541.60193233193297</v>
      </c>
      <c r="N224" s="99">
        <f t="shared" si="69"/>
        <v>1496.838380106735</v>
      </c>
      <c r="O224" s="99">
        <f t="shared" si="70"/>
        <v>28669.19285220181</v>
      </c>
      <c r="P224" s="100">
        <f t="shared" si="71"/>
        <v>26003.413694170031</v>
      </c>
      <c r="Q224" s="95">
        <f t="shared" si="72"/>
        <v>1033795428158.3788</v>
      </c>
      <c r="R224" s="95">
        <f t="shared" si="73"/>
        <v>25702144132066.492</v>
      </c>
      <c r="S224" s="95">
        <f t="shared" si="74"/>
        <v>21624276889576.773</v>
      </c>
      <c r="T224">
        <f t="shared" si="50"/>
        <v>0.5</v>
      </c>
      <c r="X224" s="101">
        <v>181</v>
      </c>
      <c r="Y224" s="101">
        <f t="shared" si="51"/>
        <v>5000.7615242180436</v>
      </c>
      <c r="Z224" s="101">
        <f t="shared" si="52"/>
        <v>7412.737967813584</v>
      </c>
      <c r="AA224" s="101">
        <f t="shared" si="53"/>
        <v>-23499.46693304737</v>
      </c>
      <c r="AB224" s="101">
        <f t="shared" si="54"/>
        <v>9938.9165774695084</v>
      </c>
      <c r="AC224" s="101">
        <f t="shared" si="55"/>
        <v>-9999.2384757819564</v>
      </c>
      <c r="AD224" s="101">
        <f t="shared" si="56"/>
        <v>-15087.262032186416</v>
      </c>
    </row>
    <row r="225" spans="1:30" x14ac:dyDescent="0.25">
      <c r="A225">
        <v>91</v>
      </c>
      <c r="B225" s="95">
        <f t="shared" si="57"/>
        <v>7957.9650600531186</v>
      </c>
      <c r="C225" s="95">
        <f t="shared" si="58"/>
        <v>7416.8761772555845</v>
      </c>
      <c r="D225" s="95">
        <f t="shared" si="59"/>
        <v>-475.28318166912834</v>
      </c>
      <c r="E225" s="95">
        <f t="shared" si="60"/>
        <v>98.162072456306305</v>
      </c>
      <c r="F225" s="96">
        <f t="shared" si="61"/>
        <v>501.680306280406</v>
      </c>
      <c r="G225" s="94">
        <f t="shared" si="62"/>
        <v>-484.4551128301506</v>
      </c>
      <c r="H225" s="97">
        <f t="shared" si="63"/>
        <v>1018.7781546433832</v>
      </c>
      <c r="I225" s="94">
        <f t="shared" si="64"/>
        <v>41.470756981593176</v>
      </c>
      <c r="J225" s="95">
        <f t="shared" si="65"/>
        <v>-202.28544673261541</v>
      </c>
      <c r="K225" s="94">
        <f t="shared" si="66"/>
        <v>18.689785015723981</v>
      </c>
      <c r="L225" s="94">
        <f t="shared" si="67"/>
        <v>-314.81240163036188</v>
      </c>
      <c r="M225" s="94">
        <f t="shared" si="68"/>
        <v>-544.61565482746778</v>
      </c>
      <c r="N225" s="99">
        <f t="shared" si="69"/>
        <v>1809.2300801879016</v>
      </c>
      <c r="O225" s="99">
        <f t="shared" si="70"/>
        <v>28318.205042537222</v>
      </c>
      <c r="P225" s="100">
        <f t="shared" si="71"/>
        <v>25970.026845498673</v>
      </c>
      <c r="Q225" s="95">
        <f t="shared" si="72"/>
        <v>1049499333502.4952</v>
      </c>
      <c r="R225" s="95">
        <f t="shared" si="73"/>
        <v>24821822246578.457</v>
      </c>
      <c r="S225" s="95">
        <f t="shared" si="74"/>
        <v>21551802294166.66</v>
      </c>
      <c r="T225">
        <f t="shared" si="50"/>
        <v>0.5</v>
      </c>
      <c r="X225" s="101">
        <v>182</v>
      </c>
      <c r="Y225" s="101">
        <f t="shared" si="51"/>
        <v>5003.0458649045213</v>
      </c>
      <c r="Z225" s="101">
        <f t="shared" si="52"/>
        <v>7325.5025164874951</v>
      </c>
      <c r="AA225" s="101">
        <f t="shared" si="53"/>
        <v>-23497.867894566836</v>
      </c>
      <c r="AB225" s="101">
        <f t="shared" si="54"/>
        <v>9877.8517615412475</v>
      </c>
      <c r="AC225" s="101">
        <f t="shared" si="55"/>
        <v>-9996.9541350954787</v>
      </c>
      <c r="AD225" s="101">
        <f t="shared" si="56"/>
        <v>-15174.497483512505</v>
      </c>
    </row>
    <row r="226" spans="1:30" x14ac:dyDescent="0.25">
      <c r="A226">
        <v>91.5</v>
      </c>
      <c r="B226" s="95">
        <f t="shared" si="57"/>
        <v>7845.7435457886559</v>
      </c>
      <c r="C226" s="95">
        <f t="shared" si="58"/>
        <v>7344.8434352762006</v>
      </c>
      <c r="D226" s="95">
        <f t="shared" si="59"/>
        <v>-224.44302852892534</v>
      </c>
      <c r="E226" s="95">
        <f t="shared" si="60"/>
        <v>-144.06548395876899</v>
      </c>
      <c r="F226" s="96">
        <f t="shared" si="61"/>
        <v>539.88224194647705</v>
      </c>
      <c r="G226" s="94">
        <f t="shared" si="62"/>
        <v>-451.03278804749965</v>
      </c>
      <c r="H226" s="97">
        <f t="shared" si="63"/>
        <v>1060.8143935120165</v>
      </c>
      <c r="I226" s="94">
        <f t="shared" si="64"/>
        <v>76.403306943852769</v>
      </c>
      <c r="J226" s="95">
        <f t="shared" si="65"/>
        <v>-206.40209471696031</v>
      </c>
      <c r="K226" s="94">
        <f t="shared" si="66"/>
        <v>19.680920922772906</v>
      </c>
      <c r="L226" s="94">
        <f t="shared" si="67"/>
        <v>-314.53005684857919</v>
      </c>
      <c r="M226" s="94">
        <f t="shared" si="68"/>
        <v>-547.11701591412532</v>
      </c>
      <c r="N226" s="99">
        <f t="shared" si="69"/>
        <v>2043.7260740792806</v>
      </c>
      <c r="O226" s="99">
        <f t="shared" si="70"/>
        <v>28077.042917351187</v>
      </c>
      <c r="P226" s="100">
        <f t="shared" si="71"/>
        <v>25892.570286550665</v>
      </c>
      <c r="Q226" s="95">
        <f t="shared" si="72"/>
        <v>1063301976904.2333</v>
      </c>
      <c r="R226" s="95">
        <f t="shared" si="73"/>
        <v>24229109958617.992</v>
      </c>
      <c r="S226" s="95">
        <f t="shared" si="74"/>
        <v>21384333375371.891</v>
      </c>
      <c r="T226">
        <f t="shared" si="50"/>
        <v>0.5</v>
      </c>
      <c r="X226" s="101">
        <v>183</v>
      </c>
      <c r="Y226" s="101">
        <f t="shared" si="51"/>
        <v>5006.852326227131</v>
      </c>
      <c r="Z226" s="101">
        <f t="shared" si="52"/>
        <v>7238.3202187852821</v>
      </c>
      <c r="AA226" s="101">
        <f t="shared" si="53"/>
        <v>-23495.203371641008</v>
      </c>
      <c r="AB226" s="101">
        <f t="shared" si="54"/>
        <v>9816.8241531496969</v>
      </c>
      <c r="AC226" s="101">
        <f t="shared" si="55"/>
        <v>-9993.1476737728699</v>
      </c>
      <c r="AD226" s="101">
        <f t="shared" si="56"/>
        <v>-15261.679781214718</v>
      </c>
    </row>
    <row r="227" spans="1:30" x14ac:dyDescent="0.25">
      <c r="A227">
        <v>92</v>
      </c>
      <c r="B227" s="95">
        <f t="shared" si="57"/>
        <v>7868.4925920108126</v>
      </c>
      <c r="C227" s="95">
        <f t="shared" si="58"/>
        <v>7160.0524962849413</v>
      </c>
      <c r="D227" s="95">
        <f t="shared" si="59"/>
        <v>45.498092444313187</v>
      </c>
      <c r="E227" s="95">
        <f t="shared" si="60"/>
        <v>-369.58187798251879</v>
      </c>
      <c r="F227" s="96">
        <f t="shared" si="61"/>
        <v>514.63185537501954</v>
      </c>
      <c r="G227" s="94">
        <f t="shared" si="62"/>
        <v>-361.61811694586572</v>
      </c>
      <c r="H227" s="97">
        <f t="shared" si="63"/>
        <v>1042.2788114954867</v>
      </c>
      <c r="I227" s="94">
        <f t="shared" si="64"/>
        <v>166.22981408131534</v>
      </c>
      <c r="J227" s="95">
        <f t="shared" si="65"/>
        <v>-208.76781201107511</v>
      </c>
      <c r="K227" s="94">
        <f t="shared" si="66"/>
        <v>21.274549551591953</v>
      </c>
      <c r="L227" s="94">
        <f t="shared" si="67"/>
        <v>-318.87914410939214</v>
      </c>
      <c r="M227" s="94">
        <f t="shared" si="68"/>
        <v>-549.12248057877298</v>
      </c>
      <c r="N227" s="99">
        <f t="shared" si="69"/>
        <v>2159.836667456158</v>
      </c>
      <c r="O227" s="99">
        <f t="shared" si="70"/>
        <v>27972.044794777277</v>
      </c>
      <c r="P227" s="100">
        <f t="shared" si="71"/>
        <v>25774.117936239389</v>
      </c>
      <c r="Q227" s="95">
        <f t="shared" si="72"/>
        <v>1070783226803.2964</v>
      </c>
      <c r="R227" s="95">
        <f t="shared" si="73"/>
        <v>23974120345589.234</v>
      </c>
      <c r="S227" s="95">
        <f t="shared" si="74"/>
        <v>21130033398048.699</v>
      </c>
      <c r="T227">
        <f t="shared" si="50"/>
        <v>0.5</v>
      </c>
      <c r="X227" s="101">
        <v>184</v>
      </c>
      <c r="Y227" s="101">
        <f t="shared" si="51"/>
        <v>5012.179748700878</v>
      </c>
      <c r="Z227" s="101">
        <f t="shared" si="52"/>
        <v>7151.2176312793763</v>
      </c>
      <c r="AA227" s="101">
        <f t="shared" si="53"/>
        <v>-23491.474175909385</v>
      </c>
      <c r="AB227" s="101">
        <f t="shared" si="54"/>
        <v>9755.8523418955629</v>
      </c>
      <c r="AC227" s="101">
        <f t="shared" si="55"/>
        <v>-9987.8202512991229</v>
      </c>
      <c r="AD227" s="101">
        <f t="shared" si="56"/>
        <v>-15348.782368720624</v>
      </c>
    </row>
    <row r="228" spans="1:30" x14ac:dyDescent="0.25">
      <c r="A228">
        <v>92.5</v>
      </c>
      <c r="B228" s="95">
        <f t="shared" si="57"/>
        <v>8019.8996020767245</v>
      </c>
      <c r="C228" s="95">
        <f t="shared" si="58"/>
        <v>6884.8570280572158</v>
      </c>
      <c r="D228" s="95">
        <f t="shared" si="59"/>
        <v>302.81402013182299</v>
      </c>
      <c r="E228" s="95">
        <f t="shared" si="60"/>
        <v>-550.39093645545165</v>
      </c>
      <c r="F228" s="96">
        <f t="shared" si="61"/>
        <v>431.75654994457017</v>
      </c>
      <c r="G228" s="94">
        <f t="shared" si="62"/>
        <v>-226.47338652929733</v>
      </c>
      <c r="H228" s="97">
        <f t="shared" si="63"/>
        <v>968.32614586376826</v>
      </c>
      <c r="I228" s="94">
        <f t="shared" si="64"/>
        <v>300.82263697399691</v>
      </c>
      <c r="J228" s="95">
        <f t="shared" si="65"/>
        <v>-209.04048704057297</v>
      </c>
      <c r="K228" s="94">
        <f t="shared" si="66"/>
        <v>23.240304687161473</v>
      </c>
      <c r="L228" s="94">
        <f t="shared" si="67"/>
        <v>-327.5291088786251</v>
      </c>
      <c r="M228" s="94">
        <f t="shared" si="68"/>
        <v>-550.53632819045572</v>
      </c>
      <c r="N228" s="99">
        <f t="shared" si="69"/>
        <v>2158.4457685091102</v>
      </c>
      <c r="O228" s="99">
        <f t="shared" si="70"/>
        <v>28012.821728180457</v>
      </c>
      <c r="P228" s="100">
        <f t="shared" si="71"/>
        <v>25625.495667962048</v>
      </c>
      <c r="Q228" s="95">
        <f t="shared" si="72"/>
        <v>1070691056255.1241</v>
      </c>
      <c r="R228" s="95">
        <f t="shared" si="73"/>
        <v>24072927540429.855</v>
      </c>
      <c r="S228" s="95">
        <f t="shared" si="74"/>
        <v>20814038524394.035</v>
      </c>
      <c r="T228">
        <f t="shared" si="50"/>
        <v>0.5</v>
      </c>
      <c r="X228" s="101">
        <v>185</v>
      </c>
      <c r="Y228" s="101">
        <f t="shared" si="51"/>
        <v>5019.0265095412724</v>
      </c>
      <c r="Z228" s="101">
        <f t="shared" si="52"/>
        <v>7064.2212862617107</v>
      </c>
      <c r="AA228" s="101">
        <f t="shared" si="53"/>
        <v>-23486.681443321111</v>
      </c>
      <c r="AB228" s="101">
        <f t="shared" si="54"/>
        <v>9694.954900383198</v>
      </c>
      <c r="AC228" s="101">
        <f t="shared" si="55"/>
        <v>-9980.9734904587276</v>
      </c>
      <c r="AD228" s="101">
        <f t="shared" si="56"/>
        <v>-15435.778713738289</v>
      </c>
    </row>
    <row r="229" spans="1:30" x14ac:dyDescent="0.25">
      <c r="A229">
        <v>93</v>
      </c>
      <c r="B229" s="95">
        <f t="shared" si="57"/>
        <v>8279.2457496287789</v>
      </c>
      <c r="C229" s="95">
        <f t="shared" si="58"/>
        <v>6553.0432131971656</v>
      </c>
      <c r="D229" s="95">
        <f t="shared" si="59"/>
        <v>518.6922951041081</v>
      </c>
      <c r="E229" s="95">
        <f t="shared" si="60"/>
        <v>-663.62762972010034</v>
      </c>
      <c r="F229" s="96">
        <f t="shared" si="61"/>
        <v>299.09783456316478</v>
      </c>
      <c r="G229" s="94">
        <f t="shared" si="62"/>
        <v>-60.382921333768991</v>
      </c>
      <c r="H229" s="97">
        <f t="shared" si="63"/>
        <v>845.85518715382057</v>
      </c>
      <c r="I229" s="94">
        <f t="shared" si="64"/>
        <v>465.4867538202468</v>
      </c>
      <c r="J229" s="95">
        <f t="shared" si="65"/>
        <v>-207.19854418568261</v>
      </c>
      <c r="K229" s="94">
        <f t="shared" si="66"/>
        <v>25.255427051334312</v>
      </c>
      <c r="L229" s="94">
        <f t="shared" si="67"/>
        <v>-339.55880840497315</v>
      </c>
      <c r="M229" s="94">
        <f t="shared" si="68"/>
        <v>-551.12510220535012</v>
      </c>
      <c r="N229" s="99">
        <f t="shared" si="69"/>
        <v>2073.450858300364</v>
      </c>
      <c r="O229" s="99">
        <f t="shared" si="70"/>
        <v>28192.532512105114</v>
      </c>
      <c r="P229" s="100">
        <f t="shared" si="71"/>
        <v>25464.971093379689</v>
      </c>
      <c r="Q229" s="95">
        <f t="shared" si="72"/>
        <v>1065176205434.9073</v>
      </c>
      <c r="R229" s="95">
        <f t="shared" si="73"/>
        <v>24511724385357.242</v>
      </c>
      <c r="S229" s="95">
        <f t="shared" si="74"/>
        <v>20476561477039.008</v>
      </c>
      <c r="T229">
        <f t="shared" si="50"/>
        <v>0.5</v>
      </c>
      <c r="X229" s="101">
        <v>186</v>
      </c>
      <c r="Y229" s="101">
        <f t="shared" si="51"/>
        <v>5027.3905231586332</v>
      </c>
      <c r="Z229" s="101">
        <f t="shared" si="52"/>
        <v>6977.3576836617349</v>
      </c>
      <c r="AA229" s="101">
        <f t="shared" si="53"/>
        <v>-23480.826633788958</v>
      </c>
      <c r="AB229" s="101">
        <f t="shared" si="54"/>
        <v>9634.150378563214</v>
      </c>
      <c r="AC229" s="101">
        <f t="shared" si="55"/>
        <v>-9972.6094768413677</v>
      </c>
      <c r="AD229" s="101">
        <f t="shared" si="56"/>
        <v>-15522.642316338266</v>
      </c>
    </row>
    <row r="230" spans="1:30" x14ac:dyDescent="0.25">
      <c r="A230">
        <v>93.5</v>
      </c>
      <c r="B230" s="95">
        <f t="shared" si="57"/>
        <v>8613.3663558216249</v>
      </c>
      <c r="C230" s="95">
        <f t="shared" si="58"/>
        <v>6206.1336680036729</v>
      </c>
      <c r="D230" s="95">
        <f t="shared" si="59"/>
        <v>668.24121238569046</v>
      </c>
      <c r="E230" s="95">
        <f t="shared" si="60"/>
        <v>-693.81909038698484</v>
      </c>
      <c r="F230" s="96">
        <f t="shared" si="61"/>
        <v>128.95232007953518</v>
      </c>
      <c r="G230" s="94">
        <f t="shared" si="62"/>
        <v>116.45021088883891</v>
      </c>
      <c r="H230" s="97">
        <f t="shared" si="63"/>
        <v>685.96532747300239</v>
      </c>
      <c r="I230" s="94">
        <f t="shared" si="64"/>
        <v>640.07349443771307</v>
      </c>
      <c r="J230" s="95">
        <f t="shared" si="65"/>
        <v>-203.54562208235342</v>
      </c>
      <c r="K230" s="94">
        <f t="shared" si="66"/>
        <v>26.988256923022735</v>
      </c>
      <c r="L230" s="94">
        <f t="shared" si="67"/>
        <v>-353.46738531111379</v>
      </c>
      <c r="M230" s="94">
        <f t="shared" si="68"/>
        <v>-550.61154047189689</v>
      </c>
      <c r="N230" s="99">
        <f t="shared" si="69"/>
        <v>1964.1085372867183</v>
      </c>
      <c r="O230" s="99">
        <f t="shared" si="70"/>
        <v>28488.545966019105</v>
      </c>
      <c r="P230" s="100">
        <f t="shared" si="71"/>
        <v>25315.450606872051</v>
      </c>
      <c r="Q230" s="95">
        <f t="shared" si="72"/>
        <v>1058420373767.0388</v>
      </c>
      <c r="R230" s="95">
        <f t="shared" si="73"/>
        <v>25246427501998.105</v>
      </c>
      <c r="S230" s="95">
        <f t="shared" si="74"/>
        <v>20165769889647.465</v>
      </c>
      <c r="T230">
        <f t="shared" si="50"/>
        <v>0.5</v>
      </c>
      <c r="X230" s="101">
        <v>187</v>
      </c>
      <c r="Y230" s="101">
        <f t="shared" si="51"/>
        <v>5037.2692417933904</v>
      </c>
      <c r="Z230" s="101">
        <f t="shared" si="52"/>
        <v>6890.6532829742609</v>
      </c>
      <c r="AA230" s="101">
        <f t="shared" si="53"/>
        <v>-23473.911530744626</v>
      </c>
      <c r="AB230" s="101">
        <f t="shared" si="54"/>
        <v>9573.457298081983</v>
      </c>
      <c r="AC230" s="101">
        <f t="shared" si="55"/>
        <v>-9962.7307582066096</v>
      </c>
      <c r="AD230" s="101">
        <f t="shared" si="56"/>
        <v>-15609.346717025739</v>
      </c>
    </row>
    <row r="231" spans="1:30" x14ac:dyDescent="0.25">
      <c r="A231">
        <v>94</v>
      </c>
      <c r="B231" s="95">
        <f t="shared" si="57"/>
        <v>8979.7250420343553</v>
      </c>
      <c r="C231" s="95">
        <f t="shared" si="58"/>
        <v>5888.3366755323896</v>
      </c>
      <c r="D231" s="95">
        <f t="shared" si="59"/>
        <v>732.71737242545805</v>
      </c>
      <c r="E231" s="95">
        <f t="shared" si="60"/>
        <v>-635.59398494256538</v>
      </c>
      <c r="F231" s="96">
        <f t="shared" si="61"/>
        <v>-59.338215694436485</v>
      </c>
      <c r="G231" s="94">
        <f t="shared" si="62"/>
        <v>279.6399893154512</v>
      </c>
      <c r="H231" s="97">
        <f t="shared" si="63"/>
        <v>506.6360260060689</v>
      </c>
      <c r="I231" s="94">
        <f t="shared" si="64"/>
        <v>800.30064012949572</v>
      </c>
      <c r="J231" s="95">
        <f t="shared" si="65"/>
        <v>-198.65379294928877</v>
      </c>
      <c r="K231" s="94">
        <f t="shared" si="66"/>
        <v>28.18513679999479</v>
      </c>
      <c r="L231" s="94">
        <f t="shared" si="67"/>
        <v>-367.32044875121665</v>
      </c>
      <c r="M231" s="94">
        <f t="shared" si="68"/>
        <v>-548.8457876140393</v>
      </c>
      <c r="N231" s="99">
        <f t="shared" si="69"/>
        <v>1896.5344574357277</v>
      </c>
      <c r="O231" s="99">
        <f t="shared" si="70"/>
        <v>28863.786237386117</v>
      </c>
      <c r="P231" s="100">
        <f t="shared" si="71"/>
        <v>25199.679535324551</v>
      </c>
      <c r="Q231" s="95">
        <f t="shared" si="72"/>
        <v>1054434922395.3885</v>
      </c>
      <c r="R231" s="95">
        <f t="shared" si="73"/>
        <v>26199327357917.098</v>
      </c>
      <c r="S231" s="95">
        <f t="shared" si="74"/>
        <v>19927469162403.445</v>
      </c>
      <c r="T231">
        <f t="shared" si="50"/>
        <v>0.5</v>
      </c>
      <c r="X231" s="101">
        <v>188</v>
      </c>
      <c r="Y231" s="101">
        <f t="shared" si="51"/>
        <v>5048.6596562921486</v>
      </c>
      <c r="Z231" s="101">
        <f t="shared" si="52"/>
        <v>6804.1344951996725</v>
      </c>
      <c r="AA231" s="101">
        <f t="shared" si="53"/>
        <v>-23465.938240595497</v>
      </c>
      <c r="AB231" s="101">
        <f t="shared" si="54"/>
        <v>9512.89414663977</v>
      </c>
      <c r="AC231" s="101">
        <f t="shared" si="55"/>
        <v>-9951.3403437078523</v>
      </c>
      <c r="AD231" s="101">
        <f t="shared" si="56"/>
        <v>-15695.865504800327</v>
      </c>
    </row>
    <row r="232" spans="1:30" x14ac:dyDescent="0.25">
      <c r="A232">
        <v>94.5</v>
      </c>
      <c r="B232" s="95">
        <f t="shared" si="57"/>
        <v>9331.249174323475</v>
      </c>
      <c r="C232" s="95">
        <f t="shared" si="58"/>
        <v>5640.4496803899701</v>
      </c>
      <c r="D232" s="95">
        <f t="shared" si="59"/>
        <v>703.04826457823981</v>
      </c>
      <c r="E232" s="95">
        <f t="shared" si="60"/>
        <v>-495.77399028483978</v>
      </c>
      <c r="F232" s="96">
        <f t="shared" si="61"/>
        <v>-240.45449892241362</v>
      </c>
      <c r="G232" s="94">
        <f t="shared" si="62"/>
        <v>405.59103298898845</v>
      </c>
      <c r="H232" s="97">
        <f t="shared" si="63"/>
        <v>331.88053427008367</v>
      </c>
      <c r="I232" s="94">
        <f t="shared" si="64"/>
        <v>922.83781922804906</v>
      </c>
      <c r="J232" s="95">
        <f t="shared" si="65"/>
        <v>-193.25244649211407</v>
      </c>
      <c r="K232" s="94">
        <f t="shared" si="66"/>
        <v>28.723419171919677</v>
      </c>
      <c r="L232" s="94">
        <f t="shared" si="67"/>
        <v>-379.08258670038322</v>
      </c>
      <c r="M232" s="94">
        <f t="shared" si="68"/>
        <v>-545.97020541098027</v>
      </c>
      <c r="N232" s="99">
        <f t="shared" si="69"/>
        <v>1907.4641965934218</v>
      </c>
      <c r="O232" s="99">
        <f t="shared" si="70"/>
        <v>29269.954540546951</v>
      </c>
      <c r="P232" s="100">
        <f t="shared" si="71"/>
        <v>25134.743311227066</v>
      </c>
      <c r="Q232" s="95">
        <f t="shared" si="72"/>
        <v>1055069753562.6563</v>
      </c>
      <c r="R232" s="95">
        <f t="shared" si="73"/>
        <v>27258270757205.559</v>
      </c>
      <c r="S232" s="95">
        <f t="shared" si="74"/>
        <v>19794695888789.863</v>
      </c>
      <c r="T232">
        <f t="shared" si="50"/>
        <v>0.5</v>
      </c>
      <c r="X232" s="101">
        <v>189</v>
      </c>
      <c r="Y232" s="101">
        <f t="shared" si="51"/>
        <v>5061.5582970243113</v>
      </c>
      <c r="Z232" s="101">
        <f t="shared" si="52"/>
        <v>6717.8276747988466</v>
      </c>
      <c r="AA232" s="101">
        <f t="shared" si="53"/>
        <v>-23456.909192082981</v>
      </c>
      <c r="AB232" s="101">
        <f t="shared" si="54"/>
        <v>9452.479372359192</v>
      </c>
      <c r="AC232" s="101">
        <f t="shared" si="55"/>
        <v>-9938.4417029756878</v>
      </c>
      <c r="AD232" s="101">
        <f t="shared" si="56"/>
        <v>-15782.172325201154</v>
      </c>
    </row>
    <row r="233" spans="1:30" x14ac:dyDescent="0.25">
      <c r="A233">
        <v>95</v>
      </c>
      <c r="B233" s="95">
        <f t="shared" si="57"/>
        <v>9622.6596818819908</v>
      </c>
      <c r="C233" s="95">
        <f t="shared" si="58"/>
        <v>5493.9604434947978</v>
      </c>
      <c r="D233" s="95">
        <f t="shared" si="59"/>
        <v>582.82101511703297</v>
      </c>
      <c r="E233" s="95">
        <f t="shared" si="60"/>
        <v>-292.97847379034556</v>
      </c>
      <c r="F233" s="96">
        <f t="shared" si="61"/>
        <v>-388.61026328025184</v>
      </c>
      <c r="G233" s="94">
        <f t="shared" si="62"/>
        <v>477.83998731464851</v>
      </c>
      <c r="H233" s="97">
        <f t="shared" si="63"/>
        <v>186.54181214627607</v>
      </c>
      <c r="I233" s="94">
        <f t="shared" si="64"/>
        <v>991.70493090685864</v>
      </c>
      <c r="J233" s="95">
        <f t="shared" si="65"/>
        <v>-188.08957158689407</v>
      </c>
      <c r="K233" s="94">
        <f t="shared" si="66"/>
        <v>28.611173299034967</v>
      </c>
      <c r="L233" s="94">
        <f t="shared" si="67"/>
        <v>-387.06250383963385</v>
      </c>
      <c r="M233" s="94">
        <f t="shared" si="68"/>
        <v>-542.47611689124506</v>
      </c>
      <c r="N233" s="99">
        <f t="shared" si="69"/>
        <v>1976.1465173424763</v>
      </c>
      <c r="O233" s="99">
        <f t="shared" si="70"/>
        <v>29653.462818285887</v>
      </c>
      <c r="P233" s="100">
        <f t="shared" si="71"/>
        <v>25127.929996425446</v>
      </c>
      <c r="Q233" s="95">
        <f t="shared" si="72"/>
        <v>1059145541030.4182</v>
      </c>
      <c r="R233" s="95">
        <f t="shared" si="73"/>
        <v>28284732404507.133</v>
      </c>
      <c r="S233" s="95">
        <f t="shared" si="74"/>
        <v>19780801884638.742</v>
      </c>
      <c r="T233">
        <f t="shared" si="50"/>
        <v>0.5</v>
      </c>
      <c r="X233" s="101">
        <v>190</v>
      </c>
      <c r="Y233" s="101">
        <f t="shared" si="51"/>
        <v>5075.9612349389599</v>
      </c>
      <c r="Z233" s="101">
        <f t="shared" si="52"/>
        <v>6631.7591116653475</v>
      </c>
      <c r="AA233" s="101">
        <f t="shared" si="53"/>
        <v>-23446.827135542728</v>
      </c>
      <c r="AB233" s="101">
        <f t="shared" si="54"/>
        <v>9392.2313781657431</v>
      </c>
      <c r="AC233" s="101">
        <f t="shared" si="55"/>
        <v>-9924.0387650610392</v>
      </c>
      <c r="AD233" s="101">
        <f t="shared" si="56"/>
        <v>-15868.240888334652</v>
      </c>
    </row>
    <row r="234" spans="1:30" x14ac:dyDescent="0.25">
      <c r="A234">
        <v>95.5</v>
      </c>
      <c r="B234" s="95">
        <f t="shared" si="57"/>
        <v>9816.9176236204439</v>
      </c>
      <c r="C234" s="95">
        <f t="shared" si="58"/>
        <v>5466.9312034282866</v>
      </c>
      <c r="D234" s="95">
        <f t="shared" si="59"/>
        <v>388.51588347690705</v>
      </c>
      <c r="E234" s="95">
        <f t="shared" si="60"/>
        <v>-54.058480133021305</v>
      </c>
      <c r="F234" s="96">
        <f t="shared" si="61"/>
        <v>-483.91232385797673</v>
      </c>
      <c r="G234" s="94">
        <f t="shared" si="62"/>
        <v>490.13808015163875</v>
      </c>
      <c r="H234" s="97">
        <f t="shared" si="63"/>
        <v>90.168023947800521</v>
      </c>
      <c r="I234" s="94">
        <f t="shared" si="64"/>
        <v>1001.2858668425851</v>
      </c>
      <c r="J234" s="95">
        <f t="shared" si="65"/>
        <v>-183.8077160306554</v>
      </c>
      <c r="K234" s="94">
        <f t="shared" si="66"/>
        <v>27.944304392068393</v>
      </c>
      <c r="L234" s="94">
        <f t="shared" si="67"/>
        <v>-390.27263177512185</v>
      </c>
      <c r="M234" s="94">
        <f t="shared" si="68"/>
        <v>-539.09209108301468</v>
      </c>
      <c r="N234" s="99">
        <f t="shared" si="69"/>
        <v>2041.2203256730982</v>
      </c>
      <c r="O234" s="99">
        <f t="shared" si="70"/>
        <v>29963.417013307851</v>
      </c>
      <c r="P234" s="100">
        <f t="shared" si="71"/>
        <v>25175.873189060723</v>
      </c>
      <c r="Q234" s="95">
        <f t="shared" si="72"/>
        <v>1063145269341.3588</v>
      </c>
      <c r="R234" s="95">
        <f t="shared" si="73"/>
        <v>29133438740586.133</v>
      </c>
      <c r="S234" s="95">
        <f t="shared" si="74"/>
        <v>19878718860150.074</v>
      </c>
      <c r="T234">
        <f t="shared" si="50"/>
        <v>0.5</v>
      </c>
      <c r="X234" s="101">
        <v>191</v>
      </c>
      <c r="Y234" s="101">
        <f t="shared" si="51"/>
        <v>5091.86408276168</v>
      </c>
      <c r="Z234" s="101">
        <f t="shared" si="52"/>
        <v>6545.9550231172761</v>
      </c>
      <c r="AA234" s="101">
        <f t="shared" si="53"/>
        <v>-23435.695142066823</v>
      </c>
      <c r="AB234" s="101">
        <f t="shared" si="54"/>
        <v>9332.1685161820933</v>
      </c>
      <c r="AC234" s="101">
        <f t="shared" si="55"/>
        <v>-9908.13591723832</v>
      </c>
      <c r="AD234" s="101">
        <f t="shared" si="56"/>
        <v>-15954.044976882724</v>
      </c>
    </row>
    <row r="235" spans="1:30" x14ac:dyDescent="0.25">
      <c r="A235">
        <v>96</v>
      </c>
      <c r="B235" s="95">
        <f t="shared" si="57"/>
        <v>9890.1974843944026</v>
      </c>
      <c r="C235" s="95">
        <f t="shared" si="58"/>
        <v>5562.436483399686</v>
      </c>
      <c r="D235" s="95">
        <f t="shared" si="59"/>
        <v>146.55972154791868</v>
      </c>
      <c r="E235" s="95">
        <f t="shared" si="60"/>
        <v>191.01055994279807</v>
      </c>
      <c r="F235" s="96">
        <f t="shared" si="61"/>
        <v>-515.32724307417072</v>
      </c>
      <c r="G235" s="94">
        <f t="shared" si="62"/>
        <v>444.55583729950047</v>
      </c>
      <c r="H235" s="97">
        <f t="shared" si="63"/>
        <v>54.077471663963166</v>
      </c>
      <c r="I235" s="94">
        <f t="shared" si="64"/>
        <v>954.24531567600116</v>
      </c>
      <c r="J235" s="95">
        <f t="shared" si="65"/>
        <v>-180.87028875983736</v>
      </c>
      <c r="K235" s="94">
        <f t="shared" si="66"/>
        <v>26.852395172586789</v>
      </c>
      <c r="L235" s="94">
        <f t="shared" si="67"/>
        <v>-388.53442597829655</v>
      </c>
      <c r="M235" s="94">
        <f t="shared" si="68"/>
        <v>-536.54187354908743</v>
      </c>
      <c r="N235" s="99">
        <f t="shared" si="69"/>
        <v>2041.2956395716767</v>
      </c>
      <c r="O235" s="99">
        <f t="shared" si="70"/>
        <v>30159.530654309256</v>
      </c>
      <c r="P235" s="100">
        <f t="shared" si="71"/>
        <v>25267.29745641628</v>
      </c>
      <c r="Q235" s="95">
        <f t="shared" si="72"/>
        <v>1063149976499.6676</v>
      </c>
      <c r="R235" s="95">
        <f t="shared" si="73"/>
        <v>29679343815934.414</v>
      </c>
      <c r="S235" s="95">
        <f t="shared" si="74"/>
        <v>20066405059512.766</v>
      </c>
      <c r="T235">
        <f t="shared" si="50"/>
        <v>0.5</v>
      </c>
      <c r="X235" s="101">
        <v>192</v>
      </c>
      <c r="Y235" s="101">
        <f t="shared" si="51"/>
        <v>5109.2619963309717</v>
      </c>
      <c r="Z235" s="101">
        <f t="shared" si="52"/>
        <v>6460.4415459112042</v>
      </c>
      <c r="AA235" s="101">
        <f t="shared" si="53"/>
        <v>-23423.516602568321</v>
      </c>
      <c r="AB235" s="101">
        <f t="shared" si="54"/>
        <v>9272.3090821378428</v>
      </c>
      <c r="AC235" s="101">
        <f t="shared" si="55"/>
        <v>-9890.7380036690283</v>
      </c>
      <c r="AD235" s="101">
        <f t="shared" si="56"/>
        <v>-16039.558454088796</v>
      </c>
    </row>
    <row r="236" spans="1:30" x14ac:dyDescent="0.25">
      <c r="A236">
        <v>96.5</v>
      </c>
      <c r="B236" s="95">
        <f t="shared" si="57"/>
        <v>9834.6455343998186</v>
      </c>
      <c r="C236" s="95">
        <f t="shared" si="58"/>
        <v>5769.0807226959605</v>
      </c>
      <c r="D236" s="95">
        <f t="shared" si="59"/>
        <v>-111.10389998916668</v>
      </c>
      <c r="E236" s="95">
        <f t="shared" si="60"/>
        <v>413.2884785925483</v>
      </c>
      <c r="F236" s="96">
        <f t="shared" si="61"/>
        <v>-479.97693335717508</v>
      </c>
      <c r="G236" s="94">
        <f t="shared" si="62"/>
        <v>347.58514534451069</v>
      </c>
      <c r="H236" s="97">
        <f t="shared" si="63"/>
        <v>81.908811587184843</v>
      </c>
      <c r="I236" s="94">
        <f t="shared" si="64"/>
        <v>857.415857761795</v>
      </c>
      <c r="J236" s="95">
        <f t="shared" si="65"/>
        <v>-179.54468499955755</v>
      </c>
      <c r="K236" s="94">
        <f t="shared" si="66"/>
        <v>25.461642171221154</v>
      </c>
      <c r="L236" s="94">
        <f t="shared" si="67"/>
        <v>-382.3410599448024</v>
      </c>
      <c r="M236" s="94">
        <f t="shared" si="68"/>
        <v>-535.29235458850542</v>
      </c>
      <c r="N236" s="99">
        <f t="shared" si="69"/>
        <v>1940.672299306066</v>
      </c>
      <c r="O236" s="99">
        <f t="shared" si="70"/>
        <v>30217.807260288755</v>
      </c>
      <c r="P236" s="100">
        <f t="shared" si="71"/>
        <v>25387.630359253933</v>
      </c>
      <c r="Q236" s="95">
        <f t="shared" si="72"/>
        <v>1057021754439.8102</v>
      </c>
      <c r="R236" s="95">
        <f t="shared" si="73"/>
        <v>29842903276056.363</v>
      </c>
      <c r="S236" s="95">
        <f t="shared" si="74"/>
        <v>20315375595202.555</v>
      </c>
      <c r="T236">
        <f t="shared" ref="T236:T299" si="75">A237-A236</f>
        <v>0.5</v>
      </c>
      <c r="X236" s="101">
        <v>193</v>
      </c>
      <c r="Y236" s="101">
        <f t="shared" ref="Y236:Y299" si="76">$D$19*COS(X236*PI()/180)+$D$18</f>
        <v>5128.1496760738237</v>
      </c>
      <c r="Z236" s="101">
        <f t="shared" ref="Z236:Z299" si="77">$D$19*SIN(X236*PI()/180)+$E$18</f>
        <v>6375.2447282806752</v>
      </c>
      <c r="AA236" s="101">
        <f t="shared" ref="AA236:AA299" si="78">$D$27*COS(X236*PI()/180)+$D$26</f>
        <v>-23410.295226748323</v>
      </c>
      <c r="AB236" s="101">
        <f t="shared" ref="AB236:AB299" si="79">$D$27*SIN($X236*PI()/180)+$E$26</f>
        <v>9212.671309796473</v>
      </c>
      <c r="AC236" s="101">
        <f t="shared" ref="AC236:AC299" si="80">$D$35*COS(X236*PI()/180)+$D$34</f>
        <v>-9871.8503239261772</v>
      </c>
      <c r="AD236" s="101">
        <f t="shared" ref="AD236:AD299" si="81">$D$35*SIN(X236*PI()/180)+$E$34</f>
        <v>-16124.755271719325</v>
      </c>
    </row>
    <row r="237" spans="1:30" x14ac:dyDescent="0.25">
      <c r="A237">
        <v>97</v>
      </c>
      <c r="B237" s="95">
        <f t="shared" ref="B237:B300" si="82">B236+(D236*$T236)+(F236*($T236)^2)</f>
        <v>9659.0993510659409</v>
      </c>
      <c r="C237" s="95">
        <f t="shared" ref="C237:C300" si="83">C236+(E236*$T236)+(G236*($T236)^2)</f>
        <v>6062.6212483283625</v>
      </c>
      <c r="D237" s="95">
        <f t="shared" ref="D237:D300" si="84">D236+(F236*$T236)</f>
        <v>-351.09236666775422</v>
      </c>
      <c r="E237" s="95">
        <f t="shared" ref="E237:E300" si="85">E236+(G236*$T236)</f>
        <v>587.08105126480359</v>
      </c>
      <c r="F237" s="96">
        <f t="shared" ref="F237:F300" si="86">SUM(H237,J237,L237)</f>
        <v>-381.85617041068861</v>
      </c>
      <c r="G237" s="94">
        <f t="shared" ref="G237:G300" si="87">SUM(I237,K237,M237)</f>
        <v>208.19992048145514</v>
      </c>
      <c r="H237" s="97">
        <f t="shared" ref="H237:H300" si="88">$D$22*(($D$18-$B237)/$Q237)</f>
        <v>170.69566153481307</v>
      </c>
      <c r="I237" s="94">
        <f t="shared" ref="I237:I300" si="89">$D$22*(($E$18-$C237)/$Q237)</f>
        <v>719.72381883066828</v>
      </c>
      <c r="J237" s="95">
        <f t="shared" ref="J237:J300" si="90">$D$30*(($D$26-$B237)/$R237)</f>
        <v>-179.91948457103513</v>
      </c>
      <c r="K237" s="94">
        <f t="shared" ref="K237:K300" si="91">$D$30*(($E$26-$C237)/$R237)</f>
        <v>23.885120285564124</v>
      </c>
      <c r="L237" s="94">
        <f t="shared" ref="L237:L300" si="92">$D$38*(($D$34-$B237)/$S237)</f>
        <v>-372.63234737446658</v>
      </c>
      <c r="M237" s="94">
        <f t="shared" ref="M237:M300" si="93">$D$38*(($E$34-$C237)/$S237)</f>
        <v>-535.40901863477723</v>
      </c>
      <c r="N237" s="99">
        <f t="shared" ref="N237:N300" si="94">SQRT(($D$18-$B236)^2+($E$18-$C236)^2)</f>
        <v>1738.7994835048289</v>
      </c>
      <c r="O237" s="99">
        <f t="shared" ref="O237:O300" si="95">SQRT(($D$26-$B236)^2+($E$26-$C236)^2)</f>
        <v>30133.150384490931</v>
      </c>
      <c r="P237" s="100">
        <f t="shared" ref="P237:P300" si="96">SQRT(($D$34-$B236)^2+($E$34-$C236)^2)</f>
        <v>25522.958727333109</v>
      </c>
      <c r="Q237" s="95">
        <f t="shared" ref="Q237:Q300" si="97">(N237^2+$D$39^2)^(3/2)</f>
        <v>1045692437508.9351</v>
      </c>
      <c r="R237" s="95">
        <f t="shared" ref="R237:R300" si="98">(O237^2+$D$31^2)^(3/2)</f>
        <v>29605507001695.82</v>
      </c>
      <c r="S237" s="95">
        <f t="shared" ref="S237:S300" si="99">(P237^2+$D$23^2)^(3/2)</f>
        <v>20598014438823.465</v>
      </c>
      <c r="T237">
        <f t="shared" si="75"/>
        <v>0.5</v>
      </c>
      <c r="X237" s="101">
        <v>194</v>
      </c>
      <c r="Y237" s="101">
        <f t="shared" si="76"/>
        <v>5148.5213686200177</v>
      </c>
      <c r="Z237" s="101">
        <f t="shared" si="77"/>
        <v>6290.3905220016622</v>
      </c>
      <c r="AA237" s="101">
        <f t="shared" si="78"/>
        <v>-23396.035041965988</v>
      </c>
      <c r="AB237" s="101">
        <f t="shared" si="79"/>
        <v>9153.2733654011645</v>
      </c>
      <c r="AC237" s="101">
        <f t="shared" si="80"/>
        <v>-9851.4786313799814</v>
      </c>
      <c r="AD237" s="101">
        <f t="shared" si="81"/>
        <v>-16209.609477998338</v>
      </c>
    </row>
    <row r="238" spans="1:30" x14ac:dyDescent="0.25">
      <c r="A238">
        <v>97.5</v>
      </c>
      <c r="B238" s="95">
        <f t="shared" si="82"/>
        <v>9388.0891251293906</v>
      </c>
      <c r="C238" s="95">
        <f t="shared" si="83"/>
        <v>6408.2117540811287</v>
      </c>
      <c r="D238" s="95">
        <f t="shared" si="84"/>
        <v>-542.02045187309852</v>
      </c>
      <c r="E238" s="95">
        <f t="shared" si="85"/>
        <v>691.18101150553116</v>
      </c>
      <c r="F238" s="96">
        <f t="shared" si="86"/>
        <v>-232.35685098019943</v>
      </c>
      <c r="G238" s="94">
        <f t="shared" si="87"/>
        <v>39.10959192350424</v>
      </c>
      <c r="H238" s="97">
        <f t="shared" si="88"/>
        <v>310.18691133001221</v>
      </c>
      <c r="I238" s="94">
        <f t="shared" si="89"/>
        <v>553.44403529287968</v>
      </c>
      <c r="J238" s="95">
        <f t="shared" si="90"/>
        <v>-181.92490552689654</v>
      </c>
      <c r="K238" s="94">
        <f t="shared" si="91"/>
        <v>22.234713340128785</v>
      </c>
      <c r="L238" s="94">
        <f t="shared" si="92"/>
        <v>-360.6188567833151</v>
      </c>
      <c r="M238" s="94">
        <f t="shared" si="93"/>
        <v>-536.56915670950423</v>
      </c>
      <c r="N238" s="99">
        <f t="shared" si="94"/>
        <v>1477.2511391773496</v>
      </c>
      <c r="O238" s="99">
        <f t="shared" si="95"/>
        <v>29919.310248575508</v>
      </c>
      <c r="P238" s="100">
        <f t="shared" si="96"/>
        <v>25661.707028858298</v>
      </c>
      <c r="Q238" s="95">
        <f t="shared" si="97"/>
        <v>1032912006131.2368</v>
      </c>
      <c r="R238" s="95">
        <f t="shared" si="98"/>
        <v>29011616806474.301</v>
      </c>
      <c r="S238" s="95">
        <f t="shared" si="99"/>
        <v>20890715245219.832</v>
      </c>
      <c r="T238">
        <f t="shared" si="75"/>
        <v>0.5</v>
      </c>
      <c r="X238" s="101">
        <v>195</v>
      </c>
      <c r="Y238" s="101">
        <f t="shared" si="76"/>
        <v>5170.370868554658</v>
      </c>
      <c r="Z238" s="101">
        <f t="shared" si="77"/>
        <v>6205.9047744873988</v>
      </c>
      <c r="AA238" s="101">
        <f t="shared" si="78"/>
        <v>-23380.740392011739</v>
      </c>
      <c r="AB238" s="101">
        <f t="shared" si="79"/>
        <v>9094.1333421411782</v>
      </c>
      <c r="AC238" s="101">
        <f t="shared" si="80"/>
        <v>-9829.629131445341</v>
      </c>
      <c r="AD238" s="101">
        <f t="shared" si="81"/>
        <v>-16294.095225512601</v>
      </c>
    </row>
    <row r="239" spans="1:30" x14ac:dyDescent="0.25">
      <c r="A239">
        <v>98</v>
      </c>
      <c r="B239" s="95">
        <f t="shared" si="82"/>
        <v>9058.9896864477923</v>
      </c>
      <c r="C239" s="95">
        <f t="shared" si="83"/>
        <v>6763.5796578147701</v>
      </c>
      <c r="D239" s="95">
        <f t="shared" si="84"/>
        <v>-658.19887736319822</v>
      </c>
      <c r="E239" s="95">
        <f t="shared" si="85"/>
        <v>710.73580746728328</v>
      </c>
      <c r="F239" s="96">
        <f t="shared" si="86"/>
        <v>-51.662028875537203</v>
      </c>
      <c r="G239" s="94">
        <f t="shared" si="87"/>
        <v>-140.8715682680957</v>
      </c>
      <c r="H239" s="97">
        <f t="shared" si="88"/>
        <v>481.35743329533665</v>
      </c>
      <c r="I239" s="94">
        <f t="shared" si="89"/>
        <v>376.70299744391588</v>
      </c>
      <c r="J239" s="95">
        <f t="shared" si="90"/>
        <v>-185.33859934333708</v>
      </c>
      <c r="K239" s="94">
        <f t="shared" si="91"/>
        <v>20.641929384992967</v>
      </c>
      <c r="L239" s="94">
        <f t="shared" si="92"/>
        <v>-347.68086282753677</v>
      </c>
      <c r="M239" s="94">
        <f t="shared" si="93"/>
        <v>-538.21649509700455</v>
      </c>
      <c r="N239" s="99">
        <f t="shared" si="94"/>
        <v>1251.5736065895287</v>
      </c>
      <c r="O239" s="99">
        <f t="shared" si="95"/>
        <v>29606.768233464274</v>
      </c>
      <c r="P239" s="100">
        <f t="shared" si="96"/>
        <v>25793.965169788149</v>
      </c>
      <c r="Q239" s="95">
        <f t="shared" si="97"/>
        <v>1023588323188.9431</v>
      </c>
      <c r="R239" s="95">
        <f t="shared" si="98"/>
        <v>28158361267067.941</v>
      </c>
      <c r="S239" s="95">
        <f t="shared" si="99"/>
        <v>21172490559610.27</v>
      </c>
      <c r="T239">
        <f t="shared" si="75"/>
        <v>0.5</v>
      </c>
      <c r="X239" s="101">
        <v>196</v>
      </c>
      <c r="Y239" s="101">
        <f t="shared" si="76"/>
        <v>5193.6915203084054</v>
      </c>
      <c r="Z239" s="101">
        <f t="shared" si="77"/>
        <v>6121.8132209150053</v>
      </c>
      <c r="AA239" s="101">
        <f t="shared" si="78"/>
        <v>-23364.415935784116</v>
      </c>
      <c r="AB239" s="101">
        <f t="shared" si="79"/>
        <v>9035.2692546405033</v>
      </c>
      <c r="AC239" s="101">
        <f t="shared" si="80"/>
        <v>-9806.3084796915937</v>
      </c>
      <c r="AD239" s="101">
        <f t="shared" si="81"/>
        <v>-16378.186779084996</v>
      </c>
    </row>
    <row r="240" spans="1:30" x14ac:dyDescent="0.25">
      <c r="A240">
        <v>98.5</v>
      </c>
      <c r="B240" s="95">
        <f t="shared" si="82"/>
        <v>8716.9747405473099</v>
      </c>
      <c r="C240" s="95">
        <f t="shared" si="83"/>
        <v>7083.7296694813876</v>
      </c>
      <c r="D240" s="95">
        <f t="shared" si="84"/>
        <v>-684.02989180096688</v>
      </c>
      <c r="E240" s="95">
        <f t="shared" si="85"/>
        <v>640.30002333323546</v>
      </c>
      <c r="F240" s="96">
        <f t="shared" si="86"/>
        <v>132.58929519408508</v>
      </c>
      <c r="G240" s="94">
        <f t="shared" si="87"/>
        <v>-307.14979880806879</v>
      </c>
      <c r="H240" s="97">
        <f t="shared" si="88"/>
        <v>657.65514495870548</v>
      </c>
      <c r="I240" s="94">
        <f t="shared" si="89"/>
        <v>213.37251355129763</v>
      </c>
      <c r="J240" s="95">
        <f t="shared" si="90"/>
        <v>-189.78039870740449</v>
      </c>
      <c r="K240" s="94">
        <f t="shared" si="91"/>
        <v>19.272606222094286</v>
      </c>
      <c r="L240" s="94">
        <f t="shared" si="92"/>
        <v>-335.28545105721588</v>
      </c>
      <c r="M240" s="94">
        <f t="shared" si="93"/>
        <v>-539.79491858146071</v>
      </c>
      <c r="N240" s="99">
        <f t="shared" si="94"/>
        <v>1194.9122689954418</v>
      </c>
      <c r="O240" s="99">
        <f t="shared" si="95"/>
        <v>29238.66101975926</v>
      </c>
      <c r="P240" s="100">
        <f t="shared" si="96"/>
        <v>25909.62351184776</v>
      </c>
      <c r="Q240" s="95">
        <f t="shared" si="97"/>
        <v>1021493498622.7474</v>
      </c>
      <c r="R240" s="95">
        <f t="shared" si="98"/>
        <v>27175658339844.977</v>
      </c>
      <c r="S240" s="95">
        <f t="shared" si="99"/>
        <v>21421123870471.004</v>
      </c>
      <c r="T240">
        <f t="shared" si="75"/>
        <v>0.5</v>
      </c>
      <c r="X240" s="101">
        <v>197</v>
      </c>
      <c r="Y240" s="101">
        <f t="shared" si="76"/>
        <v>5218.4762201848225</v>
      </c>
      <c r="Z240" s="101">
        <f t="shared" si="77"/>
        <v>6038.1414763863177</v>
      </c>
      <c r="AA240" s="101">
        <f t="shared" si="78"/>
        <v>-23347.066645870626</v>
      </c>
      <c r="AB240" s="101">
        <f t="shared" si="79"/>
        <v>8976.6990334704224</v>
      </c>
      <c r="AC240" s="101">
        <f t="shared" si="80"/>
        <v>-9781.5237798151775</v>
      </c>
      <c r="AD240" s="101">
        <f t="shared" si="81"/>
        <v>-16461.858523613682</v>
      </c>
    </row>
    <row r="241" spans="1:30" x14ac:dyDescent="0.25">
      <c r="A241">
        <v>99</v>
      </c>
      <c r="B241" s="95">
        <f t="shared" si="82"/>
        <v>8408.1071184453467</v>
      </c>
      <c r="C241" s="95">
        <f t="shared" si="83"/>
        <v>7327.0922314459876</v>
      </c>
      <c r="D241" s="95">
        <f t="shared" si="84"/>
        <v>-617.73524420392437</v>
      </c>
      <c r="E241" s="95">
        <f t="shared" si="85"/>
        <v>486.72512392920106</v>
      </c>
      <c r="F241" s="96">
        <f t="shared" si="86"/>
        <v>291.68885189020847</v>
      </c>
      <c r="G241" s="94">
        <f t="shared" si="87"/>
        <v>-434.52290075779547</v>
      </c>
      <c r="H241" s="97">
        <f t="shared" si="88"/>
        <v>811.27191213785341</v>
      </c>
      <c r="I241" s="94">
        <f t="shared" si="89"/>
        <v>88.118501969372019</v>
      </c>
      <c r="J241" s="95">
        <f t="shared" si="90"/>
        <v>-194.71847103054083</v>
      </c>
      <c r="K241" s="94">
        <f t="shared" si="91"/>
        <v>18.320985334519349</v>
      </c>
      <c r="L241" s="94">
        <f t="shared" si="92"/>
        <v>-324.86458921710408</v>
      </c>
      <c r="M241" s="94">
        <f t="shared" si="93"/>
        <v>-540.96238806168685</v>
      </c>
      <c r="N241" s="99">
        <f t="shared" si="94"/>
        <v>1348.8642646551643</v>
      </c>
      <c r="O241" s="99">
        <f t="shared" si="95"/>
        <v>28864.671674728874</v>
      </c>
      <c r="P241" s="100">
        <f t="shared" si="96"/>
        <v>25997.048142963184</v>
      </c>
      <c r="Q241" s="95">
        <f t="shared" si="97"/>
        <v>1027415286040.4115</v>
      </c>
      <c r="R241" s="95">
        <f t="shared" si="98"/>
        <v>26201604597485.539</v>
      </c>
      <c r="S241" s="95">
        <f t="shared" si="99"/>
        <v>21610445408123.883</v>
      </c>
      <c r="T241">
        <f t="shared" si="75"/>
        <v>0.5</v>
      </c>
      <c r="X241" s="101">
        <v>198</v>
      </c>
      <c r="Y241" s="101">
        <f t="shared" si="76"/>
        <v>5244.717418524232</v>
      </c>
      <c r="Z241" s="101">
        <f t="shared" si="77"/>
        <v>5954.9150281252614</v>
      </c>
      <c r="AA241" s="101">
        <f t="shared" si="78"/>
        <v>-23328.697807033037</v>
      </c>
      <c r="AB241" s="101">
        <f t="shared" si="79"/>
        <v>8918.4405196876833</v>
      </c>
      <c r="AC241" s="101">
        <f t="shared" si="80"/>
        <v>-9755.2825814757671</v>
      </c>
      <c r="AD241" s="101">
        <f t="shared" si="81"/>
        <v>-16545.084971874738</v>
      </c>
    </row>
    <row r="242" spans="1:30" x14ac:dyDescent="0.25">
      <c r="A242">
        <v>99.5</v>
      </c>
      <c r="B242" s="95">
        <f t="shared" si="82"/>
        <v>8172.1617093159366</v>
      </c>
      <c r="C242" s="95">
        <f t="shared" si="83"/>
        <v>7461.8240682211399</v>
      </c>
      <c r="D242" s="95">
        <f t="shared" si="84"/>
        <v>-471.8908182588201</v>
      </c>
      <c r="E242" s="95">
        <f t="shared" si="85"/>
        <v>269.46367355030333</v>
      </c>
      <c r="F242" s="96">
        <f t="shared" si="86"/>
        <v>404.22286259176673</v>
      </c>
      <c r="G242" s="94">
        <f t="shared" si="87"/>
        <v>-504.46086334899962</v>
      </c>
      <c r="H242" s="97">
        <f t="shared" si="88"/>
        <v>921.39073508621459</v>
      </c>
      <c r="I242" s="94">
        <f t="shared" si="89"/>
        <v>19.2440162915949</v>
      </c>
      <c r="J242" s="95">
        <f t="shared" si="90"/>
        <v>-199.51345637808754</v>
      </c>
      <c r="K242" s="94">
        <f t="shared" si="91"/>
        <v>17.975200421961848</v>
      </c>
      <c r="L242" s="94">
        <f t="shared" si="92"/>
        <v>-317.65441611636032</v>
      </c>
      <c r="M242" s="94">
        <f t="shared" si="93"/>
        <v>-541.68008006255639</v>
      </c>
      <c r="N242" s="99">
        <f t="shared" si="94"/>
        <v>1601.2557705659347</v>
      </c>
      <c r="O242" s="99">
        <f t="shared" si="95"/>
        <v>28533.576466897055</v>
      </c>
      <c r="P242" s="100">
        <f t="shared" si="96"/>
        <v>26043.73982382716</v>
      </c>
      <c r="Q242" s="95">
        <f t="shared" si="97"/>
        <v>1038705789573.9656</v>
      </c>
      <c r="R242" s="95">
        <f t="shared" si="98"/>
        <v>25359502101489.781</v>
      </c>
      <c r="S242" s="95">
        <f t="shared" si="99"/>
        <v>21712047410838.445</v>
      </c>
      <c r="T242">
        <f t="shared" si="75"/>
        <v>0.5</v>
      </c>
      <c r="X242" s="101">
        <v>199</v>
      </c>
      <c r="Y242" s="101">
        <f t="shared" si="76"/>
        <v>5272.4071220034166</v>
      </c>
      <c r="Z242" s="101">
        <f t="shared" si="77"/>
        <v>5872.1592277142163</v>
      </c>
      <c r="AA242" s="101">
        <f t="shared" si="78"/>
        <v>-23309.315014597611</v>
      </c>
      <c r="AB242" s="101">
        <f t="shared" si="79"/>
        <v>8860.5114593999515</v>
      </c>
      <c r="AC242" s="101">
        <f t="shared" si="80"/>
        <v>-9727.5928779965834</v>
      </c>
      <c r="AD242" s="101">
        <f t="shared" si="81"/>
        <v>-16627.840772285785</v>
      </c>
    </row>
    <row r="243" spans="1:30" x14ac:dyDescent="0.25">
      <c r="A243">
        <v>100</v>
      </c>
      <c r="B243" s="95">
        <f t="shared" si="82"/>
        <v>8037.2720158344682</v>
      </c>
      <c r="C243" s="95">
        <f t="shared" si="83"/>
        <v>7470.4406891590415</v>
      </c>
      <c r="D243" s="95">
        <f t="shared" si="84"/>
        <v>-269.77938696293677</v>
      </c>
      <c r="E243" s="95">
        <f t="shared" si="85"/>
        <v>17.233241875803515</v>
      </c>
      <c r="F243" s="96">
        <f t="shared" si="86"/>
        <v>460.17660892468734</v>
      </c>
      <c r="G243" s="94">
        <f t="shared" si="87"/>
        <v>-509.04234267183631</v>
      </c>
      <c r="H243" s="97">
        <f t="shared" si="88"/>
        <v>978.22916196610026</v>
      </c>
      <c r="I243" s="94">
        <f t="shared" si="89"/>
        <v>14.732443876852356</v>
      </c>
      <c r="J243" s="95">
        <f t="shared" si="90"/>
        <v>-203.50741489627876</v>
      </c>
      <c r="K243" s="94">
        <f t="shared" si="91"/>
        <v>18.360704846224834</v>
      </c>
      <c r="L243" s="94">
        <f t="shared" si="92"/>
        <v>-314.54513814513416</v>
      </c>
      <c r="M243" s="94">
        <f t="shared" si="93"/>
        <v>-542.13549139491352</v>
      </c>
      <c r="N243" s="99">
        <f t="shared" si="94"/>
        <v>1828.236915352609</v>
      </c>
      <c r="O243" s="99">
        <f t="shared" si="95"/>
        <v>28286.269326945687</v>
      </c>
      <c r="P243" s="100">
        <f t="shared" si="96"/>
        <v>26039.189399213014</v>
      </c>
      <c r="Q243" s="95">
        <f t="shared" si="97"/>
        <v>1050553397197.9493</v>
      </c>
      <c r="R243" s="95">
        <f t="shared" si="98"/>
        <v>24742766684883.109</v>
      </c>
      <c r="S243" s="95">
        <f t="shared" si="99"/>
        <v>21702130590501.043</v>
      </c>
      <c r="T243">
        <f t="shared" si="75"/>
        <v>0.5</v>
      </c>
      <c r="X243" s="101">
        <v>200</v>
      </c>
      <c r="Y243" s="101">
        <f t="shared" si="76"/>
        <v>5301.5368960704582</v>
      </c>
      <c r="Z243" s="101">
        <f t="shared" si="77"/>
        <v>5789.8992833716566</v>
      </c>
      <c r="AA243" s="101">
        <f t="shared" si="78"/>
        <v>-23288.924172750681</v>
      </c>
      <c r="AB243" s="101">
        <f t="shared" si="79"/>
        <v>8802.9294983601594</v>
      </c>
      <c r="AC243" s="101">
        <f t="shared" si="80"/>
        <v>-9698.4631039295418</v>
      </c>
      <c r="AD243" s="101">
        <f t="shared" si="81"/>
        <v>-16710.100716628342</v>
      </c>
    </row>
    <row r="244" spans="1:30" x14ac:dyDescent="0.25">
      <c r="A244">
        <v>100.5</v>
      </c>
      <c r="B244" s="95">
        <f t="shared" si="82"/>
        <v>8017.426474584172</v>
      </c>
      <c r="C244" s="95">
        <f t="shared" si="83"/>
        <v>7351.7967244289839</v>
      </c>
      <c r="D244" s="95">
        <f t="shared" si="84"/>
        <v>-39.691082500593097</v>
      </c>
      <c r="E244" s="95">
        <f t="shared" si="85"/>
        <v>-237.28792946011464</v>
      </c>
      <c r="F244" s="96">
        <f t="shared" si="86"/>
        <v>458.72394465965181</v>
      </c>
      <c r="G244" s="94">
        <f t="shared" si="87"/>
        <v>-449.75829454742126</v>
      </c>
      <c r="H244" s="97">
        <f t="shared" si="88"/>
        <v>980.84020167691199</v>
      </c>
      <c r="I244" s="94">
        <f t="shared" si="89"/>
        <v>73.32072623625173</v>
      </c>
      <c r="J244" s="95">
        <f t="shared" si="90"/>
        <v>-206.13400455835131</v>
      </c>
      <c r="K244" s="94">
        <f t="shared" si="91"/>
        <v>19.483757602547563</v>
      </c>
      <c r="L244" s="94">
        <f t="shared" si="92"/>
        <v>-315.98225245890887</v>
      </c>
      <c r="M244" s="94">
        <f t="shared" si="93"/>
        <v>-542.56277838622054</v>
      </c>
      <c r="N244" s="99">
        <f t="shared" si="94"/>
        <v>1962.950557880632</v>
      </c>
      <c r="O244" s="99">
        <f t="shared" si="95"/>
        <v>28151.150818340564</v>
      </c>
      <c r="P244" s="100">
        <f t="shared" si="96"/>
        <v>25978.667525103643</v>
      </c>
      <c r="Q244" s="95">
        <f t="shared" si="97"/>
        <v>1058350859463.7222</v>
      </c>
      <c r="R244" s="95">
        <f t="shared" si="98"/>
        <v>24410200289495.43</v>
      </c>
      <c r="S244" s="95">
        <f t="shared" si="99"/>
        <v>21570542365886.543</v>
      </c>
      <c r="T244">
        <f t="shared" si="75"/>
        <v>0.5</v>
      </c>
      <c r="X244" s="101">
        <v>201</v>
      </c>
      <c r="Y244" s="101">
        <f t="shared" si="76"/>
        <v>5332.0978675139913</v>
      </c>
      <c r="Z244" s="101">
        <f t="shared" si="77"/>
        <v>5708.1602522734975</v>
      </c>
      <c r="AA244" s="101">
        <f t="shared" si="78"/>
        <v>-23267.531492740207</v>
      </c>
      <c r="AB244" s="101">
        <f t="shared" si="79"/>
        <v>8745.712176591449</v>
      </c>
      <c r="AC244" s="101">
        <f t="shared" si="80"/>
        <v>-9667.9021324860078</v>
      </c>
      <c r="AD244" s="101">
        <f t="shared" si="81"/>
        <v>-16791.839747726503</v>
      </c>
    </row>
    <row r="245" spans="1:30" x14ac:dyDescent="0.25">
      <c r="A245">
        <v>101</v>
      </c>
      <c r="B245" s="95">
        <f t="shared" si="82"/>
        <v>8112.2619194987883</v>
      </c>
      <c r="C245" s="95">
        <f t="shared" si="83"/>
        <v>7120.7131860620711</v>
      </c>
      <c r="D245" s="95">
        <f t="shared" si="84"/>
        <v>189.67088982923281</v>
      </c>
      <c r="E245" s="95">
        <f t="shared" si="85"/>
        <v>-462.1670767338253</v>
      </c>
      <c r="F245" s="96">
        <f t="shared" si="86"/>
        <v>403.65417178410377</v>
      </c>
      <c r="G245" s="94">
        <f t="shared" si="87"/>
        <v>-334.49744113487679</v>
      </c>
      <c r="H245" s="97">
        <f t="shared" si="88"/>
        <v>932.58314727183563</v>
      </c>
      <c r="I245" s="94">
        <f t="shared" si="89"/>
        <v>187.37583053207567</v>
      </c>
      <c r="J245" s="95">
        <f t="shared" si="90"/>
        <v>-207.0155317891857</v>
      </c>
      <c r="K245" s="94">
        <f t="shared" si="91"/>
        <v>21.202743936713347</v>
      </c>
      <c r="L245" s="94">
        <f t="shared" si="92"/>
        <v>-321.91344369854613</v>
      </c>
      <c r="M245" s="94">
        <f t="shared" si="93"/>
        <v>-543.07601560366584</v>
      </c>
      <c r="N245" s="99">
        <f t="shared" si="94"/>
        <v>1988.1051266393645</v>
      </c>
      <c r="O245" s="99">
        <f t="shared" si="95"/>
        <v>28142.302088625856</v>
      </c>
      <c r="P245" s="100">
        <f t="shared" si="96"/>
        <v>25866.120869419115</v>
      </c>
      <c r="Q245" s="95">
        <f t="shared" si="97"/>
        <v>1059870479637.3579</v>
      </c>
      <c r="R245" s="95">
        <f t="shared" si="98"/>
        <v>24388528759382.656</v>
      </c>
      <c r="S245" s="95">
        <f t="shared" si="99"/>
        <v>21327361192168.73</v>
      </c>
      <c r="T245">
        <f t="shared" si="75"/>
        <v>0.5</v>
      </c>
      <c r="X245" s="101">
        <v>202</v>
      </c>
      <c r="Y245" s="101">
        <f t="shared" si="76"/>
        <v>5364.0807271660633</v>
      </c>
      <c r="Z245" s="101">
        <f t="shared" si="77"/>
        <v>5626.96703292044</v>
      </c>
      <c r="AA245" s="101">
        <f t="shared" si="78"/>
        <v>-23245.143490983755</v>
      </c>
      <c r="AB245" s="101">
        <f t="shared" si="79"/>
        <v>8688.8769230443086</v>
      </c>
      <c r="AC245" s="101">
        <f t="shared" si="80"/>
        <v>-9635.9192728339367</v>
      </c>
      <c r="AD245" s="101">
        <f t="shared" si="81"/>
        <v>-16873.032967079562</v>
      </c>
    </row>
    <row r="246" spans="1:30" x14ac:dyDescent="0.25">
      <c r="A246">
        <v>101.5</v>
      </c>
      <c r="B246" s="95">
        <f t="shared" si="82"/>
        <v>8308.0109073594303</v>
      </c>
      <c r="C246" s="95">
        <f t="shared" si="83"/>
        <v>6806.005287411439</v>
      </c>
      <c r="D246" s="95">
        <f t="shared" si="84"/>
        <v>391.49797572128466</v>
      </c>
      <c r="E246" s="95">
        <f t="shared" si="85"/>
        <v>-629.41579730126364</v>
      </c>
      <c r="F246" s="96">
        <f t="shared" si="86"/>
        <v>301.06500596984296</v>
      </c>
      <c r="G246" s="94">
        <f t="shared" si="87"/>
        <v>-176.28684426368227</v>
      </c>
      <c r="H246" s="97">
        <f t="shared" si="88"/>
        <v>838.84452952373931</v>
      </c>
      <c r="I246" s="94">
        <f t="shared" si="89"/>
        <v>344.06466962785646</v>
      </c>
      <c r="J246" s="95">
        <f t="shared" si="90"/>
        <v>-206.02679014442899</v>
      </c>
      <c r="K246" s="94">
        <f t="shared" si="91"/>
        <v>23.246016137496323</v>
      </c>
      <c r="L246" s="94">
        <f t="shared" si="92"/>
        <v>-331.75273340946734</v>
      </c>
      <c r="M246" s="94">
        <f t="shared" si="93"/>
        <v>-543.59753002903506</v>
      </c>
      <c r="N246" s="99">
        <f t="shared" si="94"/>
        <v>1925.4645018284768</v>
      </c>
      <c r="O246" s="99">
        <f t="shared" si="95"/>
        <v>28259.327005210485</v>
      </c>
      <c r="P246" s="100">
        <f t="shared" si="96"/>
        <v>25714.924936805834</v>
      </c>
      <c r="Q246" s="95">
        <f t="shared" si="97"/>
        <v>1056123496132.5538</v>
      </c>
      <c r="R246" s="95">
        <f t="shared" si="98"/>
        <v>24676206745889.039</v>
      </c>
      <c r="S246" s="95">
        <f t="shared" si="99"/>
        <v>21003770323549.512</v>
      </c>
      <c r="T246">
        <f t="shared" si="75"/>
        <v>0.5</v>
      </c>
      <c r="X246" s="101">
        <v>203</v>
      </c>
      <c r="Y246" s="101">
        <f t="shared" si="76"/>
        <v>5397.4757327377984</v>
      </c>
      <c r="Z246" s="101">
        <f t="shared" si="77"/>
        <v>5546.3443575536321</v>
      </c>
      <c r="AA246" s="101">
        <f t="shared" si="78"/>
        <v>-23221.766987083542</v>
      </c>
      <c r="AB246" s="101">
        <f t="shared" si="79"/>
        <v>8632.4410502875435</v>
      </c>
      <c r="AC246" s="101">
        <f t="shared" si="80"/>
        <v>-9602.5242672622007</v>
      </c>
      <c r="AD246" s="101">
        <f t="shared" si="81"/>
        <v>-16953.655642446367</v>
      </c>
    </row>
    <row r="247" spans="1:30" x14ac:dyDescent="0.25">
      <c r="A247">
        <v>102</v>
      </c>
      <c r="B247" s="95">
        <f t="shared" si="82"/>
        <v>8579.0261467125347</v>
      </c>
      <c r="C247" s="95">
        <f t="shared" si="83"/>
        <v>6447.2256776948861</v>
      </c>
      <c r="D247" s="95">
        <f t="shared" si="84"/>
        <v>542.03047870620617</v>
      </c>
      <c r="E247" s="95">
        <f t="shared" si="85"/>
        <v>-717.55921943310477</v>
      </c>
      <c r="F247" s="96">
        <f t="shared" si="86"/>
        <v>160.51385804299264</v>
      </c>
      <c r="G247" s="94">
        <f t="shared" si="87"/>
        <v>6.0659040676073346</v>
      </c>
      <c r="H247" s="97">
        <f t="shared" si="88"/>
        <v>708.19675975135283</v>
      </c>
      <c r="I247" s="94">
        <f t="shared" si="89"/>
        <v>524.69041712555554</v>
      </c>
      <c r="J247" s="95">
        <f t="shared" si="90"/>
        <v>-203.31982459283037</v>
      </c>
      <c r="K247" s="94">
        <f t="shared" si="91"/>
        <v>25.275509680447243</v>
      </c>
      <c r="L247" s="94">
        <f t="shared" si="92"/>
        <v>-344.36307711552979</v>
      </c>
      <c r="M247" s="94">
        <f t="shared" si="93"/>
        <v>-543.90002273839548</v>
      </c>
      <c r="N247" s="99">
        <f t="shared" si="94"/>
        <v>1828.7853211122233</v>
      </c>
      <c r="O247" s="99">
        <f t="shared" si="95"/>
        <v>28487.630363988228</v>
      </c>
      <c r="P247" s="100">
        <f t="shared" si="96"/>
        <v>25546.13514614321</v>
      </c>
      <c r="Q247" s="95">
        <f t="shared" si="97"/>
        <v>1050583978949.2092</v>
      </c>
      <c r="R247" s="95">
        <f t="shared" si="98"/>
        <v>25244131962856.203</v>
      </c>
      <c r="S247" s="95">
        <f t="shared" si="99"/>
        <v>20646700929120.398</v>
      </c>
      <c r="T247">
        <f t="shared" si="75"/>
        <v>0.5</v>
      </c>
      <c r="X247" s="101">
        <v>204</v>
      </c>
      <c r="Y247" s="101">
        <f t="shared" si="76"/>
        <v>5432.2727117869945</v>
      </c>
      <c r="Z247" s="101">
        <f t="shared" si="77"/>
        <v>5466.3167846210008</v>
      </c>
      <c r="AA247" s="101">
        <f t="shared" si="78"/>
        <v>-23197.409101749105</v>
      </c>
      <c r="AB247" s="101">
        <f t="shared" si="79"/>
        <v>8576.4217492347016</v>
      </c>
      <c r="AC247" s="101">
        <f t="shared" si="80"/>
        <v>-9567.7272882130055</v>
      </c>
      <c r="AD247" s="101">
        <f t="shared" si="81"/>
        <v>-17033.683215378998</v>
      </c>
    </row>
    <row r="248" spans="1:30" x14ac:dyDescent="0.25">
      <c r="A248">
        <v>102.5</v>
      </c>
      <c r="B248" s="95">
        <f t="shared" si="82"/>
        <v>8890.1698505763852</v>
      </c>
      <c r="C248" s="95">
        <f t="shared" si="83"/>
        <v>6089.9625439952351</v>
      </c>
      <c r="D248" s="95">
        <f t="shared" si="84"/>
        <v>622.28740772770243</v>
      </c>
      <c r="E248" s="95">
        <f t="shared" si="85"/>
        <v>-714.5262673993011</v>
      </c>
      <c r="F248" s="96">
        <f t="shared" si="86"/>
        <v>-2.5445188869680919</v>
      </c>
      <c r="G248" s="94">
        <f t="shared" si="87"/>
        <v>188.20306867240004</v>
      </c>
      <c r="H248" s="97">
        <f t="shared" si="88"/>
        <v>554.87275806662421</v>
      </c>
      <c r="I248" s="94">
        <f t="shared" si="89"/>
        <v>704.9649647713585</v>
      </c>
      <c r="J248" s="95">
        <f t="shared" si="90"/>
        <v>-199.30445129360285</v>
      </c>
      <c r="K248" s="94">
        <f t="shared" si="91"/>
        <v>26.974153275561893</v>
      </c>
      <c r="L248" s="94">
        <f t="shared" si="92"/>
        <v>-358.11282565998948</v>
      </c>
      <c r="M248" s="94">
        <f t="shared" si="93"/>
        <v>-543.73604937452035</v>
      </c>
      <c r="N248" s="99">
        <f t="shared" si="94"/>
        <v>1768.4740499740499</v>
      </c>
      <c r="O248" s="99">
        <f t="shared" si="95"/>
        <v>28799.009373235553</v>
      </c>
      <c r="P248" s="100">
        <f t="shared" si="96"/>
        <v>25384.51182046008</v>
      </c>
      <c r="Q248" s="95">
        <f t="shared" si="97"/>
        <v>1047277414348.2239</v>
      </c>
      <c r="R248" s="95">
        <f t="shared" si="98"/>
        <v>26033097151646.289</v>
      </c>
      <c r="S248" s="95">
        <f t="shared" si="99"/>
        <v>20308895424816.309</v>
      </c>
      <c r="T248">
        <f t="shared" si="75"/>
        <v>0.5</v>
      </c>
      <c r="X248" s="101">
        <v>205</v>
      </c>
      <c r="Y248" s="101">
        <f t="shared" si="76"/>
        <v>5468.46106481675</v>
      </c>
      <c r="Z248" s="101">
        <f t="shared" si="77"/>
        <v>5386.9086912965031</v>
      </c>
      <c r="AA248" s="101">
        <f t="shared" si="78"/>
        <v>-23172.077254628275</v>
      </c>
      <c r="AB248" s="101">
        <f t="shared" si="79"/>
        <v>8520.8360839075522</v>
      </c>
      <c r="AC248" s="101">
        <f t="shared" si="80"/>
        <v>-9531.5389351832491</v>
      </c>
      <c r="AD248" s="101">
        <f t="shared" si="81"/>
        <v>-17113.091308703497</v>
      </c>
    </row>
    <row r="249" spans="1:30" x14ac:dyDescent="0.25">
      <c r="A249">
        <v>103</v>
      </c>
      <c r="B249" s="95">
        <f t="shared" si="82"/>
        <v>9200.6774247184931</v>
      </c>
      <c r="C249" s="95">
        <f t="shared" si="83"/>
        <v>5779.7501774636848</v>
      </c>
      <c r="D249" s="95">
        <f t="shared" si="84"/>
        <v>621.01514828421841</v>
      </c>
      <c r="E249" s="95">
        <f t="shared" si="85"/>
        <v>-620.42473306310103</v>
      </c>
      <c r="F249" s="96">
        <f t="shared" si="86"/>
        <v>-166.56501568832624</v>
      </c>
      <c r="G249" s="94">
        <f t="shared" si="87"/>
        <v>344.02755233542325</v>
      </c>
      <c r="H249" s="97">
        <f t="shared" si="88"/>
        <v>399.09415733131107</v>
      </c>
      <c r="I249" s="94">
        <f t="shared" si="89"/>
        <v>858.90437046980753</v>
      </c>
      <c r="J249" s="95">
        <f t="shared" si="90"/>
        <v>-194.57929929366253</v>
      </c>
      <c r="K249" s="94">
        <f t="shared" si="91"/>
        <v>28.121719279642232</v>
      </c>
      <c r="L249" s="94">
        <f t="shared" si="92"/>
        <v>-371.07987372597478</v>
      </c>
      <c r="M249" s="94">
        <f t="shared" si="93"/>
        <v>-542.99853741402649</v>
      </c>
      <c r="N249" s="99">
        <f t="shared" si="94"/>
        <v>1794.4159461802697</v>
      </c>
      <c r="O249" s="99">
        <f t="shared" si="95"/>
        <v>29153.564222964451</v>
      </c>
      <c r="P249" s="100">
        <f t="shared" si="96"/>
        <v>25253.184721634283</v>
      </c>
      <c r="Q249" s="95">
        <f t="shared" si="97"/>
        <v>1048685664866.8873</v>
      </c>
      <c r="R249" s="95">
        <f t="shared" si="98"/>
        <v>26951878116489.16</v>
      </c>
      <c r="S249" s="95">
        <f t="shared" si="99"/>
        <v>20037350011980.832</v>
      </c>
      <c r="T249">
        <f t="shared" si="75"/>
        <v>0.5</v>
      </c>
      <c r="X249" s="101">
        <v>206</v>
      </c>
      <c r="Y249" s="101">
        <f t="shared" si="76"/>
        <v>5506.0297685041642</v>
      </c>
      <c r="Z249" s="101">
        <f t="shared" si="77"/>
        <v>5308.1442660546145</v>
      </c>
      <c r="AA249" s="101">
        <f t="shared" si="78"/>
        <v>-23145.779162047085</v>
      </c>
      <c r="AB249" s="101">
        <f t="shared" si="79"/>
        <v>8465.7009862382292</v>
      </c>
      <c r="AC249" s="101">
        <f t="shared" si="80"/>
        <v>-9493.9702314958358</v>
      </c>
      <c r="AD249" s="101">
        <f t="shared" si="81"/>
        <v>-17191.855733945384</v>
      </c>
    </row>
    <row r="250" spans="1:30" x14ac:dyDescent="0.25">
      <c r="A250">
        <v>103.5</v>
      </c>
      <c r="B250" s="95">
        <f t="shared" si="82"/>
        <v>9469.5437449385208</v>
      </c>
      <c r="C250" s="95">
        <f t="shared" si="83"/>
        <v>5555.5446990159908</v>
      </c>
      <c r="D250" s="95">
        <f t="shared" si="84"/>
        <v>537.73264044005532</v>
      </c>
      <c r="E250" s="95">
        <f t="shared" si="85"/>
        <v>-448.4109568953894</v>
      </c>
      <c r="F250" s="96">
        <f t="shared" si="86"/>
        <v>-307.82826717166546</v>
      </c>
      <c r="G250" s="94">
        <f t="shared" si="87"/>
        <v>452.33094137175965</v>
      </c>
      <c r="H250" s="97">
        <f t="shared" si="88"/>
        <v>263.40258539656514</v>
      </c>
      <c r="I250" s="94">
        <f t="shared" si="89"/>
        <v>965.53589213098041</v>
      </c>
      <c r="J250" s="95">
        <f t="shared" si="90"/>
        <v>-189.82158209901735</v>
      </c>
      <c r="K250" s="94">
        <f t="shared" si="91"/>
        <v>28.62798094544809</v>
      </c>
      <c r="L250" s="94">
        <f t="shared" si="92"/>
        <v>-381.40927046921325</v>
      </c>
      <c r="M250" s="94">
        <f t="shared" si="93"/>
        <v>-541.83293170466891</v>
      </c>
      <c r="N250" s="99">
        <f t="shared" si="94"/>
        <v>1896.8858772448289</v>
      </c>
      <c r="O250" s="99">
        <f t="shared" si="95"/>
        <v>29504.068713095861</v>
      </c>
      <c r="P250" s="100">
        <f t="shared" si="96"/>
        <v>25168.576772608965</v>
      </c>
      <c r="Q250" s="95">
        <f t="shared" si="97"/>
        <v>1054455275146.5564</v>
      </c>
      <c r="R250" s="95">
        <f t="shared" si="98"/>
        <v>27881784463711.816</v>
      </c>
      <c r="S250" s="95">
        <f t="shared" si="99"/>
        <v>19863794550655.461</v>
      </c>
      <c r="T250">
        <f t="shared" si="75"/>
        <v>0.5</v>
      </c>
      <c r="X250" s="101">
        <v>207</v>
      </c>
      <c r="Y250" s="101">
        <f t="shared" si="76"/>
        <v>5544.9673790581592</v>
      </c>
      <c r="Z250" s="101">
        <f t="shared" si="77"/>
        <v>5230.0475013022688</v>
      </c>
      <c r="AA250" s="101">
        <f t="shared" si="78"/>
        <v>-23118.522834659288</v>
      </c>
      <c r="AB250" s="101">
        <f t="shared" si="79"/>
        <v>8411.0332509115888</v>
      </c>
      <c r="AC250" s="101">
        <f t="shared" si="80"/>
        <v>-9455.0326209418417</v>
      </c>
      <c r="AD250" s="101">
        <f t="shared" si="81"/>
        <v>-17269.95249869773</v>
      </c>
    </row>
    <row r="251" spans="1:30" x14ac:dyDescent="0.25">
      <c r="A251">
        <v>104</v>
      </c>
      <c r="B251" s="95">
        <f t="shared" si="82"/>
        <v>9661.4529983656321</v>
      </c>
      <c r="C251" s="95">
        <f t="shared" si="83"/>
        <v>5444.4219559112353</v>
      </c>
      <c r="D251" s="95">
        <f t="shared" si="84"/>
        <v>383.81850685422262</v>
      </c>
      <c r="E251" s="95">
        <f t="shared" si="85"/>
        <v>-222.24548620950958</v>
      </c>
      <c r="F251" s="96">
        <f t="shared" si="86"/>
        <v>-406.38417797236582</v>
      </c>
      <c r="G251" s="94">
        <f t="shared" si="87"/>
        <v>501.78281744611127</v>
      </c>
      <c r="H251" s="97">
        <f t="shared" si="88"/>
        <v>166.98502438928716</v>
      </c>
      <c r="I251" s="94">
        <f t="shared" si="89"/>
        <v>1013.8939295553346</v>
      </c>
      <c r="J251" s="95">
        <f t="shared" si="90"/>
        <v>-185.66572823183853</v>
      </c>
      <c r="K251" s="94">
        <f t="shared" si="91"/>
        <v>28.515619754680266</v>
      </c>
      <c r="L251" s="94">
        <f t="shared" si="92"/>
        <v>-387.70347412981448</v>
      </c>
      <c r="M251" s="94">
        <f t="shared" si="93"/>
        <v>-540.62673186390361</v>
      </c>
      <c r="N251" s="99">
        <f t="shared" si="94"/>
        <v>2015.5124053348477</v>
      </c>
      <c r="O251" s="99">
        <f t="shared" si="95"/>
        <v>29802.805093770785</v>
      </c>
      <c r="P251" s="100">
        <f t="shared" si="96"/>
        <v>25137.583695732053</v>
      </c>
      <c r="Q251" s="95">
        <f t="shared" si="97"/>
        <v>1061549059183.7917</v>
      </c>
      <c r="R251" s="95">
        <f t="shared" si="98"/>
        <v>28691510882315.797</v>
      </c>
      <c r="S251" s="95">
        <f t="shared" si="99"/>
        <v>19800490195932.219</v>
      </c>
      <c r="T251">
        <f t="shared" si="75"/>
        <v>0.5</v>
      </c>
      <c r="X251" s="101">
        <v>208</v>
      </c>
      <c r="Y251" s="101">
        <f t="shared" si="76"/>
        <v>5585.2620357053656</v>
      </c>
      <c r="Z251" s="101">
        <f t="shared" si="77"/>
        <v>5152.6421860705459</v>
      </c>
      <c r="AA251" s="101">
        <f t="shared" si="78"/>
        <v>-23090.316575006244</v>
      </c>
      <c r="AB251" s="101">
        <f t="shared" si="79"/>
        <v>8356.849530249383</v>
      </c>
      <c r="AC251" s="101">
        <f t="shared" si="80"/>
        <v>-9414.7379642946344</v>
      </c>
      <c r="AD251" s="101">
        <f t="shared" si="81"/>
        <v>-17347.357813929455</v>
      </c>
    </row>
    <row r="252" spans="1:30" x14ac:dyDescent="0.25">
      <c r="A252">
        <v>104.5</v>
      </c>
      <c r="B252" s="95">
        <f t="shared" si="82"/>
        <v>9751.7662072996518</v>
      </c>
      <c r="C252" s="95">
        <f t="shared" si="83"/>
        <v>5458.7449171680082</v>
      </c>
      <c r="D252" s="95">
        <f t="shared" si="84"/>
        <v>180.62641786803971</v>
      </c>
      <c r="E252" s="95">
        <f t="shared" si="85"/>
        <v>28.645922513546054</v>
      </c>
      <c r="F252" s="96">
        <f t="shared" si="86"/>
        <v>-449.92601053277366</v>
      </c>
      <c r="G252" s="94">
        <f t="shared" si="87"/>
        <v>490.82487734966617</v>
      </c>
      <c r="H252" s="97">
        <f t="shared" si="88"/>
        <v>121.95038671513909</v>
      </c>
      <c r="I252" s="94">
        <f t="shared" si="89"/>
        <v>1002.8120830273061</v>
      </c>
      <c r="J252" s="95">
        <f t="shared" si="90"/>
        <v>-182.61029120987615</v>
      </c>
      <c r="K252" s="94">
        <f t="shared" si="91"/>
        <v>27.873300272533566</v>
      </c>
      <c r="L252" s="94">
        <f t="shared" si="92"/>
        <v>-389.26610603803658</v>
      </c>
      <c r="M252" s="94">
        <f t="shared" si="93"/>
        <v>-539.86050595017355</v>
      </c>
      <c r="N252" s="99">
        <f t="shared" si="94"/>
        <v>2083.2703059505775</v>
      </c>
      <c r="O252" s="99">
        <f t="shared" si="95"/>
        <v>30009.249995460352</v>
      </c>
      <c r="P252" s="100">
        <f t="shared" si="96"/>
        <v>25158.151623969316</v>
      </c>
      <c r="Q252" s="95">
        <f t="shared" si="97"/>
        <v>1065801539634.552</v>
      </c>
      <c r="R252" s="95">
        <f t="shared" si="98"/>
        <v>29260399134147.742</v>
      </c>
      <c r="S252" s="95">
        <f t="shared" si="99"/>
        <v>19842484624900.063</v>
      </c>
      <c r="T252">
        <f t="shared" si="75"/>
        <v>0.5</v>
      </c>
      <c r="X252" s="101">
        <v>209</v>
      </c>
      <c r="Y252" s="101">
        <f t="shared" si="76"/>
        <v>5626.9014643030205</v>
      </c>
      <c r="Z252" s="101">
        <f t="shared" si="77"/>
        <v>5075.951898768315</v>
      </c>
      <c r="AA252" s="101">
        <f t="shared" si="78"/>
        <v>-23061.168974987886</v>
      </c>
      <c r="AB252" s="101">
        <f t="shared" si="79"/>
        <v>8303.1663291378209</v>
      </c>
      <c r="AC252" s="101">
        <f t="shared" si="80"/>
        <v>-9373.0985356969795</v>
      </c>
      <c r="AD252" s="101">
        <f t="shared" si="81"/>
        <v>-17424.048101231685</v>
      </c>
    </row>
    <row r="253" spans="1:30" x14ac:dyDescent="0.25">
      <c r="A253">
        <v>105</v>
      </c>
      <c r="B253" s="95">
        <f t="shared" si="82"/>
        <v>9729.5979136004789</v>
      </c>
      <c r="C253" s="95">
        <f t="shared" si="83"/>
        <v>5595.7740977621979</v>
      </c>
      <c r="D253" s="95">
        <f t="shared" si="84"/>
        <v>-44.33658739834712</v>
      </c>
      <c r="E253" s="95">
        <f t="shared" si="85"/>
        <v>274.05836118837914</v>
      </c>
      <c r="F253" s="96">
        <f t="shared" si="86"/>
        <v>-434.03703228132258</v>
      </c>
      <c r="G253" s="94">
        <f t="shared" si="87"/>
        <v>423.91752360251598</v>
      </c>
      <c r="H253" s="97">
        <f t="shared" si="88"/>
        <v>133.05460637902024</v>
      </c>
      <c r="I253" s="94">
        <f t="shared" si="89"/>
        <v>936.99731112516383</v>
      </c>
      <c r="J253" s="95">
        <f t="shared" si="90"/>
        <v>-180.9754155551384</v>
      </c>
      <c r="K253" s="94">
        <f t="shared" si="91"/>
        <v>26.810204940294835</v>
      </c>
      <c r="L253" s="94">
        <f t="shared" si="92"/>
        <v>-386.11622310520443</v>
      </c>
      <c r="M253" s="94">
        <f t="shared" si="93"/>
        <v>-539.8899924629427</v>
      </c>
      <c r="N253" s="99">
        <f t="shared" si="94"/>
        <v>2056.2933470265962</v>
      </c>
      <c r="O253" s="99">
        <f t="shared" si="95"/>
        <v>30096.355097937772</v>
      </c>
      <c r="P253" s="100">
        <f t="shared" si="96"/>
        <v>25222.506810794519</v>
      </c>
      <c r="Q253" s="95">
        <f t="shared" si="97"/>
        <v>1064090941389.1512</v>
      </c>
      <c r="R253" s="95">
        <f t="shared" si="98"/>
        <v>29502729359469.066</v>
      </c>
      <c r="S253" s="95">
        <f t="shared" si="99"/>
        <v>19974295227981.352</v>
      </c>
      <c r="T253">
        <f t="shared" si="75"/>
        <v>0.5</v>
      </c>
      <c r="X253" s="101">
        <v>210</v>
      </c>
      <c r="Y253" s="101">
        <f t="shared" si="76"/>
        <v>5669.8729810778068</v>
      </c>
      <c r="Z253" s="101">
        <f t="shared" si="77"/>
        <v>5000</v>
      </c>
      <c r="AA253" s="101">
        <f t="shared" si="78"/>
        <v>-23031.088913245534</v>
      </c>
      <c r="AB253" s="101">
        <f t="shared" si="79"/>
        <v>8250</v>
      </c>
      <c r="AC253" s="101">
        <f t="shared" si="80"/>
        <v>-9330.1270189221941</v>
      </c>
      <c r="AD253" s="101">
        <f t="shared" si="81"/>
        <v>-17500</v>
      </c>
    </row>
    <row r="254" spans="1:30" x14ac:dyDescent="0.25">
      <c r="A254">
        <v>105.5</v>
      </c>
      <c r="B254" s="95">
        <f t="shared" si="82"/>
        <v>9598.9203618309748</v>
      </c>
      <c r="C254" s="95">
        <f t="shared" si="83"/>
        <v>5838.7826592570163</v>
      </c>
      <c r="D254" s="95">
        <f t="shared" si="84"/>
        <v>-261.35510353900838</v>
      </c>
      <c r="E254" s="95">
        <f t="shared" si="85"/>
        <v>486.01712298963713</v>
      </c>
      <c r="F254" s="96">
        <f t="shared" si="86"/>
        <v>-360.88012802455376</v>
      </c>
      <c r="G254" s="94">
        <f t="shared" si="87"/>
        <v>308.34679485521133</v>
      </c>
      <c r="H254" s="97">
        <f t="shared" si="88"/>
        <v>198.86857791850403</v>
      </c>
      <c r="I254" s="94">
        <f t="shared" si="89"/>
        <v>823.6866166411877</v>
      </c>
      <c r="J254" s="95">
        <f t="shared" si="90"/>
        <v>-180.90257203128985</v>
      </c>
      <c r="K254" s="94">
        <f t="shared" si="91"/>
        <v>25.432512757875593</v>
      </c>
      <c r="L254" s="94">
        <f t="shared" si="92"/>
        <v>-378.84613391176794</v>
      </c>
      <c r="M254" s="94">
        <f t="shared" si="93"/>
        <v>-540.77233454385191</v>
      </c>
      <c r="N254" s="99">
        <f t="shared" si="94"/>
        <v>1923.3287745683485</v>
      </c>
      <c r="O254" s="99">
        <f t="shared" si="95"/>
        <v>30054.054600041913</v>
      </c>
      <c r="P254" s="100">
        <f t="shared" si="96"/>
        <v>25320.880027803061</v>
      </c>
      <c r="Q254" s="95">
        <f t="shared" si="97"/>
        <v>1055997934217.4905</v>
      </c>
      <c r="R254" s="95">
        <f t="shared" si="98"/>
        <v>29384876578909.77</v>
      </c>
      <c r="S254" s="95">
        <f t="shared" si="99"/>
        <v>20176995730652.039</v>
      </c>
      <c r="T254">
        <f t="shared" si="75"/>
        <v>0.5</v>
      </c>
      <c r="X254" s="101">
        <v>211</v>
      </c>
      <c r="Y254" s="101">
        <f t="shared" si="76"/>
        <v>5714.1634964894383</v>
      </c>
      <c r="Z254" s="101">
        <f t="shared" si="77"/>
        <v>4924.8096254497286</v>
      </c>
      <c r="AA254" s="101">
        <f t="shared" si="78"/>
        <v>-23000.085552457393</v>
      </c>
      <c r="AB254" s="101">
        <f t="shared" si="79"/>
        <v>8197.3667378148111</v>
      </c>
      <c r="AC254" s="101">
        <f t="shared" si="80"/>
        <v>-9285.8365035105617</v>
      </c>
      <c r="AD254" s="101">
        <f t="shared" si="81"/>
        <v>-17575.190374550271</v>
      </c>
    </row>
    <row r="255" spans="1:30" x14ac:dyDescent="0.25">
      <c r="A255">
        <v>106</v>
      </c>
      <c r="B255" s="95">
        <f t="shared" si="82"/>
        <v>9378.0227780553323</v>
      </c>
      <c r="C255" s="95">
        <f t="shared" si="83"/>
        <v>6158.8779194656372</v>
      </c>
      <c r="D255" s="95">
        <f t="shared" si="84"/>
        <v>-441.79516755128526</v>
      </c>
      <c r="E255" s="95">
        <f t="shared" si="85"/>
        <v>640.19052041724285</v>
      </c>
      <c r="F255" s="96">
        <f t="shared" si="86"/>
        <v>-238.9203527720517</v>
      </c>
      <c r="G255" s="94">
        <f t="shared" si="87"/>
        <v>154.15753406306499</v>
      </c>
      <c r="H255" s="97">
        <f t="shared" si="88"/>
        <v>311.90348067047364</v>
      </c>
      <c r="I255" s="94">
        <f t="shared" si="89"/>
        <v>672.53370407173509</v>
      </c>
      <c r="J255" s="95">
        <f t="shared" si="90"/>
        <v>-182.37034568616329</v>
      </c>
      <c r="K255" s="94">
        <f t="shared" si="91"/>
        <v>23.844585013157108</v>
      </c>
      <c r="L255" s="94">
        <f t="shared" si="92"/>
        <v>-368.45348775636205</v>
      </c>
      <c r="M255" s="94">
        <f t="shared" si="93"/>
        <v>-542.22075502182724</v>
      </c>
      <c r="N255" s="99">
        <f t="shared" si="94"/>
        <v>1708.9493641822703</v>
      </c>
      <c r="O255" s="99">
        <f t="shared" si="95"/>
        <v>29889.995254983103</v>
      </c>
      <c r="P255" s="100">
        <f t="shared" si="96"/>
        <v>25443.728862940552</v>
      </c>
      <c r="Q255" s="95">
        <f t="shared" si="97"/>
        <v>1044125930112.0989</v>
      </c>
      <c r="R255" s="95">
        <f t="shared" si="98"/>
        <v>28930842717258.363</v>
      </c>
      <c r="S255" s="95">
        <f t="shared" si="99"/>
        <v>20432199374625.766</v>
      </c>
      <c r="T255">
        <f t="shared" si="75"/>
        <v>0.5</v>
      </c>
      <c r="X255" s="101">
        <v>212</v>
      </c>
      <c r="Y255" s="101">
        <f t="shared" si="76"/>
        <v>5759.7595192178696</v>
      </c>
      <c r="Z255" s="101">
        <f t="shared" si="77"/>
        <v>4850.4036788339763</v>
      </c>
      <c r="AA255" s="101">
        <f t="shared" si="78"/>
        <v>-22968.168336547493</v>
      </c>
      <c r="AB255" s="101">
        <f t="shared" si="79"/>
        <v>8145.2825751837827</v>
      </c>
      <c r="AC255" s="101">
        <f t="shared" si="80"/>
        <v>-9240.2404807821295</v>
      </c>
      <c r="AD255" s="101">
        <f t="shared" si="81"/>
        <v>-17649.596321166024</v>
      </c>
    </row>
    <row r="256" spans="1:30" x14ac:dyDescent="0.25">
      <c r="A256">
        <v>106.5</v>
      </c>
      <c r="B256" s="95">
        <f t="shared" si="82"/>
        <v>9097.3951060866766</v>
      </c>
      <c r="C256" s="95">
        <f t="shared" si="83"/>
        <v>6517.5125631900255</v>
      </c>
      <c r="D256" s="95">
        <f t="shared" si="84"/>
        <v>-561.25534393731107</v>
      </c>
      <c r="E256" s="95">
        <f t="shared" si="85"/>
        <v>717.26928744877534</v>
      </c>
      <c r="F256" s="96">
        <f t="shared" si="86"/>
        <v>-83.897548129076313</v>
      </c>
      <c r="G256" s="94">
        <f t="shared" si="87"/>
        <v>-23.52790643377125</v>
      </c>
      <c r="H256" s="97">
        <f t="shared" si="88"/>
        <v>457.52267596479993</v>
      </c>
      <c r="I256" s="94">
        <f t="shared" si="89"/>
        <v>498.01445153061962</v>
      </c>
      <c r="J256" s="95">
        <f t="shared" si="90"/>
        <v>-185.20471648209221</v>
      </c>
      <c r="K256" s="94">
        <f t="shared" si="91"/>
        <v>22.166008195418222</v>
      </c>
      <c r="L256" s="94">
        <f t="shared" si="92"/>
        <v>-356.21550761178401</v>
      </c>
      <c r="M256" s="94">
        <f t="shared" si="93"/>
        <v>-543.70836615980909</v>
      </c>
      <c r="N256" s="99">
        <f t="shared" si="94"/>
        <v>1478.3315255770015</v>
      </c>
      <c r="O256" s="99">
        <f t="shared" si="95"/>
        <v>29628.068468692094</v>
      </c>
      <c r="P256" s="100">
        <f t="shared" si="96"/>
        <v>25581.744542097367</v>
      </c>
      <c r="Q256" s="95">
        <f t="shared" si="97"/>
        <v>1032960423885.9819</v>
      </c>
      <c r="R256" s="95">
        <f t="shared" si="98"/>
        <v>28215958717645.176</v>
      </c>
      <c r="S256" s="95">
        <f t="shared" si="99"/>
        <v>20721666123297.797</v>
      </c>
      <c r="T256">
        <f t="shared" si="75"/>
        <v>0.5</v>
      </c>
      <c r="X256" s="101">
        <v>213</v>
      </c>
      <c r="Y256" s="101">
        <f t="shared" si="76"/>
        <v>5806.6471602728798</v>
      </c>
      <c r="Z256" s="101">
        <f t="shared" si="77"/>
        <v>4776.8048249248641</v>
      </c>
      <c r="AA256" s="101">
        <f t="shared" si="78"/>
        <v>-22935.346987808985</v>
      </c>
      <c r="AB256" s="101">
        <f t="shared" si="79"/>
        <v>8093.7633774474052</v>
      </c>
      <c r="AC256" s="101">
        <f t="shared" si="80"/>
        <v>-9193.3528397271202</v>
      </c>
      <c r="AD256" s="101">
        <f t="shared" si="81"/>
        <v>-17723.195175075136</v>
      </c>
    </row>
    <row r="257" spans="1:30" x14ac:dyDescent="0.25">
      <c r="A257">
        <v>107</v>
      </c>
      <c r="B257" s="95">
        <f t="shared" si="82"/>
        <v>8795.7930470857518</v>
      </c>
      <c r="C257" s="95">
        <f t="shared" si="83"/>
        <v>6870.2652303059704</v>
      </c>
      <c r="D257" s="95">
        <f t="shared" si="84"/>
        <v>-603.20411800184922</v>
      </c>
      <c r="E257" s="95">
        <f t="shared" si="85"/>
        <v>705.50533423188972</v>
      </c>
      <c r="F257" s="96">
        <f t="shared" si="86"/>
        <v>81.38731394454328</v>
      </c>
      <c r="G257" s="94">
        <f t="shared" si="87"/>
        <v>-203.01426010687334</v>
      </c>
      <c r="H257" s="97">
        <f t="shared" si="88"/>
        <v>614.05352548248982</v>
      </c>
      <c r="I257" s="94">
        <f t="shared" si="89"/>
        <v>321.11661082317221</v>
      </c>
      <c r="J257" s="95">
        <f t="shared" si="90"/>
        <v>-189.08038517574843</v>
      </c>
      <c r="K257" s="94">
        <f t="shared" si="91"/>
        <v>20.550621918418358</v>
      </c>
      <c r="L257" s="94">
        <f t="shared" si="92"/>
        <v>-343.58582636219808</v>
      </c>
      <c r="M257" s="94">
        <f t="shared" si="93"/>
        <v>-544.6814928484639</v>
      </c>
      <c r="N257" s="99">
        <f t="shared" si="94"/>
        <v>1334.157845985892</v>
      </c>
      <c r="O257" s="99">
        <f t="shared" si="95"/>
        <v>29305.052818707834</v>
      </c>
      <c r="P257" s="100">
        <f t="shared" si="96"/>
        <v>25724.305543282546</v>
      </c>
      <c r="Q257" s="95">
        <f t="shared" si="97"/>
        <v>1026818119181.7592</v>
      </c>
      <c r="R257" s="95">
        <f t="shared" si="98"/>
        <v>27351132138655.559</v>
      </c>
      <c r="S257" s="95">
        <f t="shared" si="99"/>
        <v>21023743686815.719</v>
      </c>
      <c r="T257">
        <f t="shared" si="75"/>
        <v>0.5</v>
      </c>
      <c r="X257" s="101">
        <v>214</v>
      </c>
      <c r="Y257" s="101">
        <f t="shared" si="76"/>
        <v>5854.8121372247906</v>
      </c>
      <c r="Z257" s="101">
        <f t="shared" si="77"/>
        <v>4704.0354826462662</v>
      </c>
      <c r="AA257" s="101">
        <f t="shared" si="78"/>
        <v>-22901.631503942648</v>
      </c>
      <c r="AB257" s="101">
        <f t="shared" si="79"/>
        <v>8042.8248378523867</v>
      </c>
      <c r="AC257" s="101">
        <f t="shared" si="80"/>
        <v>-9145.1878627752085</v>
      </c>
      <c r="AD257" s="101">
        <f t="shared" si="81"/>
        <v>-17795.964517353732</v>
      </c>
    </row>
    <row r="258" spans="1:30" x14ac:dyDescent="0.25">
      <c r="A258">
        <v>107.5</v>
      </c>
      <c r="B258" s="95">
        <f t="shared" si="82"/>
        <v>8514.5378165709626</v>
      </c>
      <c r="C258" s="95">
        <f t="shared" si="83"/>
        <v>7172.264332395197</v>
      </c>
      <c r="D258" s="95">
        <f t="shared" si="84"/>
        <v>-562.51046102957753</v>
      </c>
      <c r="E258" s="95">
        <f t="shared" si="85"/>
        <v>603.99820417845308</v>
      </c>
      <c r="F258" s="96">
        <f t="shared" si="86"/>
        <v>231.13574009116815</v>
      </c>
      <c r="G258" s="94">
        <f t="shared" si="87"/>
        <v>-358.64402572640029</v>
      </c>
      <c r="H258" s="97">
        <f t="shared" si="88"/>
        <v>756.72817826120092</v>
      </c>
      <c r="I258" s="94">
        <f t="shared" si="89"/>
        <v>166.95599353818804</v>
      </c>
      <c r="J258" s="95">
        <f t="shared" si="90"/>
        <v>-193.52844712300762</v>
      </c>
      <c r="K258" s="94">
        <f t="shared" si="91"/>
        <v>19.191869640190028</v>
      </c>
      <c r="L258" s="94">
        <f t="shared" si="92"/>
        <v>-332.06399104702518</v>
      </c>
      <c r="M258" s="94">
        <f t="shared" si="93"/>
        <v>-544.79188890477838</v>
      </c>
      <c r="N258" s="99">
        <f t="shared" si="94"/>
        <v>1358.9261442803324</v>
      </c>
      <c r="O258" s="99">
        <f t="shared" si="95"/>
        <v>28965.374793695042</v>
      </c>
      <c r="P258" s="100">
        <f t="shared" si="96"/>
        <v>25857.927353946019</v>
      </c>
      <c r="Q258" s="95">
        <f t="shared" si="97"/>
        <v>1027827696635.0128</v>
      </c>
      <c r="R258" s="95">
        <f t="shared" si="98"/>
        <v>26461488309055.988</v>
      </c>
      <c r="S258" s="95">
        <f t="shared" si="99"/>
        <v>21309734401558.07</v>
      </c>
      <c r="T258">
        <f t="shared" si="75"/>
        <v>0.5</v>
      </c>
      <c r="X258" s="101">
        <v>215</v>
      </c>
      <c r="Y258" s="101">
        <f t="shared" si="76"/>
        <v>5904.2397785550402</v>
      </c>
      <c r="Z258" s="101">
        <f t="shared" si="77"/>
        <v>4632.1178182447711</v>
      </c>
      <c r="AA258" s="101">
        <f t="shared" si="78"/>
        <v>-22867.032155011471</v>
      </c>
      <c r="AB258" s="101">
        <f t="shared" si="79"/>
        <v>7992.4824727713394</v>
      </c>
      <c r="AC258" s="101">
        <f t="shared" si="80"/>
        <v>-9095.7602214449598</v>
      </c>
      <c r="AD258" s="101">
        <f t="shared" si="81"/>
        <v>-17867.882181755231</v>
      </c>
    </row>
    <row r="259" spans="1:30" x14ac:dyDescent="0.25">
      <c r="A259">
        <v>108</v>
      </c>
      <c r="B259" s="95">
        <f t="shared" si="82"/>
        <v>8291.0665210789648</v>
      </c>
      <c r="C259" s="95">
        <f t="shared" si="83"/>
        <v>7384.6024280528236</v>
      </c>
      <c r="D259" s="95">
        <f t="shared" si="84"/>
        <v>-446.94259098399345</v>
      </c>
      <c r="E259" s="95">
        <f t="shared" si="85"/>
        <v>424.67619131525294</v>
      </c>
      <c r="F259" s="96">
        <f t="shared" si="86"/>
        <v>343.61414895390016</v>
      </c>
      <c r="G259" s="94">
        <f t="shared" si="87"/>
        <v>-467.34632488249792</v>
      </c>
      <c r="H259" s="97">
        <f t="shared" si="88"/>
        <v>864.61174323161185</v>
      </c>
      <c r="I259" s="94">
        <f t="shared" si="89"/>
        <v>58.383838269080925</v>
      </c>
      <c r="J259" s="95">
        <f t="shared" si="90"/>
        <v>-197.97349948200252</v>
      </c>
      <c r="K259" s="94">
        <f t="shared" si="91"/>
        <v>18.301869583790012</v>
      </c>
      <c r="L259" s="94">
        <f t="shared" si="92"/>
        <v>-323.02409479570912</v>
      </c>
      <c r="M259" s="94">
        <f t="shared" si="93"/>
        <v>-544.03203273536883</v>
      </c>
      <c r="N259" s="99">
        <f t="shared" si="94"/>
        <v>1521.1865652240456</v>
      </c>
      <c r="O259" s="99">
        <f t="shared" si="95"/>
        <v>28654.40552338331</v>
      </c>
      <c r="P259" s="100">
        <f t="shared" si="96"/>
        <v>25966.36358871089</v>
      </c>
      <c r="Q259" s="95">
        <f t="shared" si="97"/>
        <v>1034910159556.2041</v>
      </c>
      <c r="R259" s="95">
        <f t="shared" si="98"/>
        <v>25664629688018.875</v>
      </c>
      <c r="S259" s="95">
        <f t="shared" si="99"/>
        <v>21543860872773.906</v>
      </c>
      <c r="T259">
        <f t="shared" si="75"/>
        <v>0.5</v>
      </c>
      <c r="X259" s="101">
        <v>216</v>
      </c>
      <c r="Y259" s="101">
        <f t="shared" si="76"/>
        <v>5954.9150281252623</v>
      </c>
      <c r="Z259" s="101">
        <f t="shared" si="77"/>
        <v>4561.0737385376342</v>
      </c>
      <c r="AA259" s="101">
        <f t="shared" si="78"/>
        <v>-22831.559480312317</v>
      </c>
      <c r="AB259" s="101">
        <f t="shared" si="79"/>
        <v>7942.7516169763439</v>
      </c>
      <c r="AC259" s="101">
        <f t="shared" si="80"/>
        <v>-9045.0849718747377</v>
      </c>
      <c r="AD259" s="101">
        <f t="shared" si="81"/>
        <v>-17938.926261462366</v>
      </c>
    </row>
    <row r="260" spans="1:30" x14ac:dyDescent="0.25">
      <c r="A260">
        <v>108.5</v>
      </c>
      <c r="B260" s="95">
        <f t="shared" si="82"/>
        <v>8153.498762825443</v>
      </c>
      <c r="C260" s="95">
        <f t="shared" si="83"/>
        <v>7480.1039424898254</v>
      </c>
      <c r="D260" s="95">
        <f t="shared" si="84"/>
        <v>-275.13551650704335</v>
      </c>
      <c r="E260" s="95">
        <f t="shared" si="85"/>
        <v>191.00302887400397</v>
      </c>
      <c r="F260" s="96">
        <f t="shared" si="86"/>
        <v>406.4342972312308</v>
      </c>
      <c r="G260" s="94">
        <f t="shared" si="87"/>
        <v>-514.6612330387477</v>
      </c>
      <c r="H260" s="97">
        <f t="shared" si="88"/>
        <v>925.78769650776258</v>
      </c>
      <c r="I260" s="94">
        <f t="shared" si="89"/>
        <v>9.9753657788582668</v>
      </c>
      <c r="J260" s="95">
        <f t="shared" si="90"/>
        <v>-201.81035718151938</v>
      </c>
      <c r="K260" s="94">
        <f t="shared" si="91"/>
        <v>18.06315895976385</v>
      </c>
      <c r="L260" s="94">
        <f t="shared" si="92"/>
        <v>-317.54304209501237</v>
      </c>
      <c r="M260" s="94">
        <f t="shared" si="93"/>
        <v>-542.69975777736977</v>
      </c>
      <c r="N260" s="99">
        <f t="shared" si="94"/>
        <v>1712.8252202102981</v>
      </c>
      <c r="O260" s="99">
        <f t="shared" si="95"/>
        <v>28411.700923377717</v>
      </c>
      <c r="P260" s="100">
        <f t="shared" si="96"/>
        <v>26033.111130437992</v>
      </c>
      <c r="Q260" s="95">
        <f t="shared" si="97"/>
        <v>1044327755242.7867</v>
      </c>
      <c r="R260" s="95">
        <f t="shared" si="98"/>
        <v>25054264937667.539</v>
      </c>
      <c r="S260" s="95">
        <f t="shared" si="99"/>
        <v>21688889171088.898</v>
      </c>
      <c r="T260">
        <f t="shared" si="75"/>
        <v>0.5</v>
      </c>
      <c r="X260" s="101">
        <v>217</v>
      </c>
      <c r="Y260" s="101">
        <f t="shared" si="76"/>
        <v>6006.8224497635347</v>
      </c>
      <c r="Z260" s="101">
        <f t="shared" si="77"/>
        <v>4490.9248842397592</v>
      </c>
      <c r="AA260" s="101">
        <f t="shared" si="78"/>
        <v>-22795.224285165525</v>
      </c>
      <c r="AB260" s="101">
        <f t="shared" si="79"/>
        <v>7893.647418967832</v>
      </c>
      <c r="AC260" s="101">
        <f t="shared" si="80"/>
        <v>-8993.1775502364653</v>
      </c>
      <c r="AD260" s="101">
        <f t="shared" si="81"/>
        <v>-18009.075115760239</v>
      </c>
    </row>
    <row r="261" spans="1:30" x14ac:dyDescent="0.25">
      <c r="A261">
        <v>109</v>
      </c>
      <c r="B261" s="95">
        <f t="shared" si="82"/>
        <v>8117.5395788797287</v>
      </c>
      <c r="C261" s="95">
        <f t="shared" si="83"/>
        <v>7446.9401486671404</v>
      </c>
      <c r="D261" s="95">
        <f t="shared" si="84"/>
        <v>-71.918367891427948</v>
      </c>
      <c r="E261" s="95">
        <f t="shared" si="85"/>
        <v>-66.327587645369874</v>
      </c>
      <c r="F261" s="96">
        <f t="shared" si="86"/>
        <v>416.52153076183339</v>
      </c>
      <c r="G261" s="94">
        <f t="shared" si="87"/>
        <v>-496.23583276917498</v>
      </c>
      <c r="H261" s="97">
        <f t="shared" si="88"/>
        <v>937.30493614223212</v>
      </c>
      <c r="I261" s="94">
        <f t="shared" si="89"/>
        <v>26.419286167868279</v>
      </c>
      <c r="J261" s="95">
        <f t="shared" si="90"/>
        <v>-204.50305999104225</v>
      </c>
      <c r="K261" s="94">
        <f t="shared" si="91"/>
        <v>18.568785169596524</v>
      </c>
      <c r="L261" s="94">
        <f t="shared" si="92"/>
        <v>-316.28034538935646</v>
      </c>
      <c r="M261" s="94">
        <f t="shared" si="93"/>
        <v>-541.22390410663979</v>
      </c>
      <c r="N261" s="99">
        <f t="shared" si="94"/>
        <v>1846.6084241093502</v>
      </c>
      <c r="O261" s="99">
        <f t="shared" si="95"/>
        <v>28266.04621677869</v>
      </c>
      <c r="P261" s="100">
        <f t="shared" si="96"/>
        <v>26045.529423853091</v>
      </c>
      <c r="Q261" s="95">
        <f t="shared" si="97"/>
        <v>1051583037285.1714</v>
      </c>
      <c r="R261" s="95">
        <f t="shared" si="98"/>
        <v>24692794762411.73</v>
      </c>
      <c r="S261" s="95">
        <f t="shared" si="99"/>
        <v>21715948406178.723</v>
      </c>
      <c r="T261">
        <f t="shared" si="75"/>
        <v>0.5</v>
      </c>
      <c r="X261" s="101">
        <v>218</v>
      </c>
      <c r="Y261" s="101">
        <f t="shared" si="76"/>
        <v>6059.946231966389</v>
      </c>
      <c r="Z261" s="101">
        <f t="shared" si="77"/>
        <v>4421.6926233717113</v>
      </c>
      <c r="AA261" s="101">
        <f t="shared" si="78"/>
        <v>-22758.037637623529</v>
      </c>
      <c r="AB261" s="101">
        <f t="shared" si="79"/>
        <v>7845.1848363601976</v>
      </c>
      <c r="AC261" s="101">
        <f t="shared" si="80"/>
        <v>-8940.053768033611</v>
      </c>
      <c r="AD261" s="101">
        <f t="shared" si="81"/>
        <v>-18078.307376628291</v>
      </c>
    </row>
    <row r="262" spans="1:30" x14ac:dyDescent="0.25">
      <c r="A262">
        <v>109.5</v>
      </c>
      <c r="B262" s="95">
        <f t="shared" si="82"/>
        <v>8185.7107776244729</v>
      </c>
      <c r="C262" s="95">
        <f t="shared" si="83"/>
        <v>7289.7173966521614</v>
      </c>
      <c r="D262" s="95">
        <f t="shared" si="84"/>
        <v>136.34239748948875</v>
      </c>
      <c r="E262" s="95">
        <f t="shared" si="85"/>
        <v>-314.44550402995736</v>
      </c>
      <c r="F262" s="96">
        <f t="shared" si="86"/>
        <v>376.48065350037211</v>
      </c>
      <c r="G262" s="94">
        <f t="shared" si="87"/>
        <v>-415.69149075265307</v>
      </c>
      <c r="H262" s="97">
        <f t="shared" si="88"/>
        <v>901.57566275567967</v>
      </c>
      <c r="I262" s="94">
        <f t="shared" si="89"/>
        <v>104.49584065272936</v>
      </c>
      <c r="J262" s="95">
        <f t="shared" si="90"/>
        <v>-205.67348128579667</v>
      </c>
      <c r="K262" s="94">
        <f t="shared" si="91"/>
        <v>19.777158103155106</v>
      </c>
      <c r="L262" s="94">
        <f t="shared" si="92"/>
        <v>-319.42152796951086</v>
      </c>
      <c r="M262" s="94">
        <f t="shared" si="93"/>
        <v>-539.96448950853755</v>
      </c>
      <c r="N262" s="99">
        <f t="shared" si="94"/>
        <v>1883.2080567233602</v>
      </c>
      <c r="O262" s="99">
        <f t="shared" si="95"/>
        <v>28233.209994160348</v>
      </c>
      <c r="P262" s="100">
        <f t="shared" si="96"/>
        <v>25998.749328406568</v>
      </c>
      <c r="Q262" s="95">
        <f t="shared" si="97"/>
        <v>1053665992395.4132</v>
      </c>
      <c r="R262" s="95">
        <f t="shared" si="98"/>
        <v>24611803238670.754</v>
      </c>
      <c r="S262" s="95">
        <f t="shared" si="99"/>
        <v>21614141233512.801</v>
      </c>
      <c r="T262">
        <f t="shared" si="75"/>
        <v>0.5</v>
      </c>
      <c r="X262" s="101">
        <v>219</v>
      </c>
      <c r="Y262" s="101">
        <f t="shared" si="76"/>
        <v>6114.2701927151465</v>
      </c>
      <c r="Z262" s="101">
        <f t="shared" si="77"/>
        <v>4353.398044750812</v>
      </c>
      <c r="AA262" s="101">
        <f t="shared" si="78"/>
        <v>-22720.010865099397</v>
      </c>
      <c r="AB262" s="101">
        <f t="shared" si="79"/>
        <v>7797.3786313255678</v>
      </c>
      <c r="AC262" s="101">
        <f t="shared" si="80"/>
        <v>-8885.7298072848535</v>
      </c>
      <c r="AD262" s="101">
        <f t="shared" si="81"/>
        <v>-18146.601955249189</v>
      </c>
    </row>
    <row r="263" spans="1:30" x14ac:dyDescent="0.25">
      <c r="A263">
        <v>110</v>
      </c>
      <c r="B263" s="95">
        <f t="shared" si="82"/>
        <v>8348.0021397443106</v>
      </c>
      <c r="C263" s="95">
        <f t="shared" si="83"/>
        <v>7028.5717719490194</v>
      </c>
      <c r="D263" s="95">
        <f t="shared" si="84"/>
        <v>324.5827242396748</v>
      </c>
      <c r="E263" s="95">
        <f t="shared" si="85"/>
        <v>-522.2912494062839</v>
      </c>
      <c r="F263" s="96">
        <f t="shared" si="86"/>
        <v>291.62401997205694</v>
      </c>
      <c r="G263" s="94">
        <f t="shared" si="87"/>
        <v>-282.60214094514197</v>
      </c>
      <c r="H263" s="97">
        <f t="shared" si="88"/>
        <v>823.43910797597493</v>
      </c>
      <c r="I263" s="94">
        <f t="shared" si="89"/>
        <v>234.98362129894716</v>
      </c>
      <c r="J263" s="95">
        <f t="shared" si="90"/>
        <v>-205.15842177758083</v>
      </c>
      <c r="K263" s="94">
        <f t="shared" si="91"/>
        <v>21.504638058341534</v>
      </c>
      <c r="L263" s="94">
        <f t="shared" si="92"/>
        <v>-326.65666622633711</v>
      </c>
      <c r="M263" s="94">
        <f t="shared" si="93"/>
        <v>-539.09040030243068</v>
      </c>
      <c r="N263" s="99">
        <f t="shared" si="94"/>
        <v>1826.4348210923758</v>
      </c>
      <c r="O263" s="99">
        <f t="shared" si="95"/>
        <v>28315.718670553048</v>
      </c>
      <c r="P263" s="100">
        <f t="shared" si="96"/>
        <v>25897.769601527085</v>
      </c>
      <c r="Q263" s="95">
        <f t="shared" si="97"/>
        <v>1050452970404.8569</v>
      </c>
      <c r="R263" s="95">
        <f t="shared" si="98"/>
        <v>24815661113352.246</v>
      </c>
      <c r="S263" s="95">
        <f t="shared" si="99"/>
        <v>21395545536520.563</v>
      </c>
      <c r="T263">
        <f t="shared" si="75"/>
        <v>0.5</v>
      </c>
      <c r="X263" s="101">
        <v>220</v>
      </c>
      <c r="Y263" s="101">
        <f t="shared" si="76"/>
        <v>6169.7777844051097</v>
      </c>
      <c r="Z263" s="101">
        <f t="shared" si="77"/>
        <v>4286.0619515673043</v>
      </c>
      <c r="AA263" s="101">
        <f t="shared" si="78"/>
        <v>-22681.155550916425</v>
      </c>
      <c r="AB263" s="101">
        <f t="shared" si="79"/>
        <v>7750.2433660971128</v>
      </c>
      <c r="AC263" s="101">
        <f t="shared" si="80"/>
        <v>-8830.2222155948912</v>
      </c>
      <c r="AD263" s="101">
        <f t="shared" si="81"/>
        <v>-18213.938048432698</v>
      </c>
    </row>
    <row r="264" spans="1:30" x14ac:dyDescent="0.25">
      <c r="A264">
        <v>110.5</v>
      </c>
      <c r="B264" s="95">
        <f t="shared" si="82"/>
        <v>8583.1995068571614</v>
      </c>
      <c r="C264" s="95">
        <f t="shared" si="83"/>
        <v>6696.7756120095919</v>
      </c>
      <c r="D264" s="95">
        <f t="shared" si="84"/>
        <v>470.39473422570325</v>
      </c>
      <c r="E264" s="95">
        <f t="shared" si="85"/>
        <v>-663.59231987885482</v>
      </c>
      <c r="F264" s="96">
        <f t="shared" si="86"/>
        <v>169.96155739591444</v>
      </c>
      <c r="G264" s="94">
        <f t="shared" si="87"/>
        <v>-112.49403432708476</v>
      </c>
      <c r="H264" s="97">
        <f t="shared" si="88"/>
        <v>710.16506866803559</v>
      </c>
      <c r="I264" s="94">
        <f t="shared" si="89"/>
        <v>402.61272170205297</v>
      </c>
      <c r="J264" s="95">
        <f t="shared" si="90"/>
        <v>-203.03321074128033</v>
      </c>
      <c r="K264" s="94">
        <f t="shared" si="91"/>
        <v>23.463582274325155</v>
      </c>
      <c r="L264" s="94">
        <f t="shared" si="92"/>
        <v>-337.17030053084085</v>
      </c>
      <c r="M264" s="94">
        <f t="shared" si="93"/>
        <v>-538.5703383034629</v>
      </c>
      <c r="N264" s="99">
        <f t="shared" si="94"/>
        <v>1717.9468864003518</v>
      </c>
      <c r="O264" s="99">
        <f t="shared" si="95"/>
        <v>28503.308773358338</v>
      </c>
      <c r="P264" s="100">
        <f t="shared" si="96"/>
        <v>25757.07932655657</v>
      </c>
      <c r="Q264" s="95">
        <f t="shared" si="97"/>
        <v>1044595174003.7283</v>
      </c>
      <c r="R264" s="95">
        <f t="shared" si="98"/>
        <v>25283459666385.965</v>
      </c>
      <c r="S264" s="95">
        <f t="shared" si="99"/>
        <v>21093633156005.922</v>
      </c>
      <c r="T264">
        <f t="shared" si="75"/>
        <v>0.5</v>
      </c>
      <c r="X264" s="101">
        <v>221</v>
      </c>
      <c r="Y264" s="101">
        <f t="shared" si="76"/>
        <v>6226.4520988861404</v>
      </c>
      <c r="Z264" s="101">
        <f t="shared" si="77"/>
        <v>4219.7048550474628</v>
      </c>
      <c r="AA264" s="101">
        <f t="shared" si="78"/>
        <v>-22641.4835307797</v>
      </c>
      <c r="AB264" s="101">
        <f t="shared" si="79"/>
        <v>7703.7933985332238</v>
      </c>
      <c r="AC264" s="101">
        <f t="shared" si="80"/>
        <v>-8773.5479011138596</v>
      </c>
      <c r="AD264" s="101">
        <f t="shared" si="81"/>
        <v>-18280.295144952535</v>
      </c>
    </row>
    <row r="265" spans="1:30" x14ac:dyDescent="0.25">
      <c r="A265">
        <v>111</v>
      </c>
      <c r="B265" s="95">
        <f t="shared" si="82"/>
        <v>8860.8872633189912</v>
      </c>
      <c r="C265" s="95">
        <f t="shared" si="83"/>
        <v>6336.8559434883928</v>
      </c>
      <c r="D265" s="95">
        <f t="shared" si="84"/>
        <v>555.37551292366049</v>
      </c>
      <c r="E265" s="95">
        <f t="shared" si="85"/>
        <v>-719.83933704239723</v>
      </c>
      <c r="F265" s="96">
        <f t="shared" si="86"/>
        <v>24.20262686564979</v>
      </c>
      <c r="G265" s="94">
        <f t="shared" si="87"/>
        <v>72.645886663309852</v>
      </c>
      <c r="H265" s="97">
        <f t="shared" si="88"/>
        <v>573.47049479222039</v>
      </c>
      <c r="I265" s="94">
        <f t="shared" si="89"/>
        <v>585.56872917235501</v>
      </c>
      <c r="J265" s="95">
        <f t="shared" si="90"/>
        <v>-199.60409729290561</v>
      </c>
      <c r="K265" s="94">
        <f t="shared" si="91"/>
        <v>25.334583652359498</v>
      </c>
      <c r="L265" s="94">
        <f t="shared" si="92"/>
        <v>-349.66377063366497</v>
      </c>
      <c r="M265" s="94">
        <f t="shared" si="93"/>
        <v>-538.25742616140462</v>
      </c>
      <c r="N265" s="99">
        <f t="shared" si="94"/>
        <v>1628.6476153030637</v>
      </c>
      <c r="O265" s="99">
        <f t="shared" si="95"/>
        <v>28773.435411959661</v>
      </c>
      <c r="P265" s="100">
        <f t="shared" si="96"/>
        <v>25597.917509066607</v>
      </c>
      <c r="Q265" s="95">
        <f t="shared" si="97"/>
        <v>1040050080363.2535</v>
      </c>
      <c r="R265" s="95">
        <f t="shared" si="98"/>
        <v>25967669128413.082</v>
      </c>
      <c r="S265" s="95">
        <f t="shared" si="99"/>
        <v>20755778005332.578</v>
      </c>
      <c r="T265">
        <f t="shared" si="75"/>
        <v>0.5</v>
      </c>
      <c r="X265" s="101">
        <v>222</v>
      </c>
      <c r="Y265" s="101">
        <f t="shared" si="76"/>
        <v>6284.2758726130287</v>
      </c>
      <c r="Z265" s="101">
        <f t="shared" si="77"/>
        <v>4154.3469682057093</v>
      </c>
      <c r="AA265" s="101">
        <f t="shared" si="78"/>
        <v>-22601.00688917088</v>
      </c>
      <c r="AB265" s="101">
        <f t="shared" si="79"/>
        <v>7658.0428777439956</v>
      </c>
      <c r="AC265" s="101">
        <f t="shared" si="80"/>
        <v>-8715.7241273869713</v>
      </c>
      <c r="AD265" s="101">
        <f t="shared" si="81"/>
        <v>-18345.653031794292</v>
      </c>
    </row>
    <row r="266" spans="1:30" x14ac:dyDescent="0.25">
      <c r="A266">
        <v>111.5</v>
      </c>
      <c r="B266" s="95">
        <f t="shared" si="82"/>
        <v>9144.6256764972331</v>
      </c>
      <c r="C266" s="95">
        <f t="shared" si="83"/>
        <v>5995.0977466330223</v>
      </c>
      <c r="D266" s="95">
        <f t="shared" si="84"/>
        <v>567.47682635648539</v>
      </c>
      <c r="E266" s="95">
        <f t="shared" si="85"/>
        <v>-683.51639371074225</v>
      </c>
      <c r="F266" s="96">
        <f t="shared" si="86"/>
        <v>-127.19725231928473</v>
      </c>
      <c r="G266" s="94">
        <f t="shared" si="87"/>
        <v>246.46928047260485</v>
      </c>
      <c r="H266" s="97">
        <f t="shared" si="88"/>
        <v>430.63898469733044</v>
      </c>
      <c r="I266" s="94">
        <f t="shared" si="89"/>
        <v>757.64441444165448</v>
      </c>
      <c r="J266" s="95">
        <f t="shared" si="90"/>
        <v>-195.36547813435496</v>
      </c>
      <c r="K266" s="94">
        <f t="shared" si="91"/>
        <v>26.846103713775015</v>
      </c>
      <c r="L266" s="94">
        <f t="shared" si="92"/>
        <v>-362.47075888226021</v>
      </c>
      <c r="M266" s="94">
        <f t="shared" si="93"/>
        <v>-538.02123768282468</v>
      </c>
      <c r="N266" s="99">
        <f t="shared" si="94"/>
        <v>1628.0300743742955</v>
      </c>
      <c r="O266" s="99">
        <f t="shared" si="95"/>
        <v>29092.429221444614</v>
      </c>
      <c r="P266" s="100">
        <f t="shared" si="96"/>
        <v>25443.773644638775</v>
      </c>
      <c r="Q266" s="95">
        <f t="shared" si="97"/>
        <v>1040019516066.4659</v>
      </c>
      <c r="R266" s="95">
        <f t="shared" si="98"/>
        <v>26791892966799.523</v>
      </c>
      <c r="S266" s="95">
        <f t="shared" si="99"/>
        <v>20432292823697.551</v>
      </c>
      <c r="T266">
        <f t="shared" si="75"/>
        <v>0.5</v>
      </c>
      <c r="X266" s="101">
        <v>223</v>
      </c>
      <c r="Y266" s="101">
        <f t="shared" si="76"/>
        <v>6343.2314919041473</v>
      </c>
      <c r="Z266" s="101">
        <f t="shared" si="77"/>
        <v>4090.0081996875083</v>
      </c>
      <c r="AA266" s="101">
        <f t="shared" si="78"/>
        <v>-22559.737955667097</v>
      </c>
      <c r="AB266" s="101">
        <f t="shared" si="79"/>
        <v>7613.0057397812561</v>
      </c>
      <c r="AC266" s="101">
        <f t="shared" si="80"/>
        <v>-8656.7685080958527</v>
      </c>
      <c r="AD266" s="101">
        <f t="shared" si="81"/>
        <v>-18409.991800312491</v>
      </c>
    </row>
    <row r="267" spans="1:30" x14ac:dyDescent="0.25">
      <c r="A267">
        <v>112</v>
      </c>
      <c r="B267" s="95">
        <f t="shared" si="82"/>
        <v>9396.5647765956546</v>
      </c>
      <c r="C267" s="95">
        <f t="shared" si="83"/>
        <v>5714.9568698958019</v>
      </c>
      <c r="D267" s="95">
        <f t="shared" si="84"/>
        <v>503.87820019684301</v>
      </c>
      <c r="E267" s="95">
        <f t="shared" si="85"/>
        <v>-560.28175347443982</v>
      </c>
      <c r="F267" s="96">
        <f t="shared" si="86"/>
        <v>-262.45733543824457</v>
      </c>
      <c r="G267" s="94">
        <f t="shared" si="87"/>
        <v>384.12138554574949</v>
      </c>
      <c r="H267" s="97">
        <f t="shared" si="88"/>
        <v>302.27082865997789</v>
      </c>
      <c r="I267" s="94">
        <f t="shared" si="89"/>
        <v>894.15805575016623</v>
      </c>
      <c r="J267" s="95">
        <f t="shared" si="90"/>
        <v>-190.91958614854349</v>
      </c>
      <c r="K267" s="94">
        <f t="shared" si="91"/>
        <v>27.829736816034021</v>
      </c>
      <c r="L267" s="94">
        <f t="shared" si="92"/>
        <v>-373.80857794967898</v>
      </c>
      <c r="M267" s="94">
        <f t="shared" si="93"/>
        <v>-537.86640702045077</v>
      </c>
      <c r="N267" s="99">
        <f t="shared" si="94"/>
        <v>1731.0101170983442</v>
      </c>
      <c r="O267" s="99">
        <f t="shared" si="95"/>
        <v>29418.505194556805</v>
      </c>
      <c r="P267" s="100">
        <f t="shared" si="96"/>
        <v>25315.302979006588</v>
      </c>
      <c r="Q267" s="95">
        <f t="shared" si="97"/>
        <v>1045280967164.7799</v>
      </c>
      <c r="R267" s="95">
        <f t="shared" si="98"/>
        <v>27652782684973.746</v>
      </c>
      <c r="S267" s="95">
        <f t="shared" si="99"/>
        <v>20165464717778.168</v>
      </c>
      <c r="T267">
        <f t="shared" si="75"/>
        <v>0.5</v>
      </c>
      <c r="X267" s="101">
        <v>224</v>
      </c>
      <c r="Y267" s="101">
        <f t="shared" si="76"/>
        <v>6403.3009983067441</v>
      </c>
      <c r="Z267" s="101">
        <f t="shared" si="77"/>
        <v>4026.7081477050133</v>
      </c>
      <c r="AA267" s="101">
        <f t="shared" si="78"/>
        <v>-22517.689301185281</v>
      </c>
      <c r="AB267" s="101">
        <f t="shared" si="79"/>
        <v>7568.6957033935087</v>
      </c>
      <c r="AC267" s="101">
        <f t="shared" si="80"/>
        <v>-8596.6990016932559</v>
      </c>
      <c r="AD267" s="101">
        <f t="shared" si="81"/>
        <v>-18473.291852294988</v>
      </c>
    </row>
    <row r="268" spans="1:30" x14ac:dyDescent="0.25">
      <c r="A268">
        <v>112.5</v>
      </c>
      <c r="B268" s="95">
        <f t="shared" si="82"/>
        <v>9582.8895428345149</v>
      </c>
      <c r="C268" s="95">
        <f t="shared" si="83"/>
        <v>5530.8463395450199</v>
      </c>
      <c r="D268" s="95">
        <f t="shared" si="84"/>
        <v>372.64953247772075</v>
      </c>
      <c r="E268" s="95">
        <f t="shared" si="85"/>
        <v>-368.22106070156508</v>
      </c>
      <c r="F268" s="96">
        <f t="shared" si="86"/>
        <v>-361.72780241212149</v>
      </c>
      <c r="G268" s="94">
        <f t="shared" si="87"/>
        <v>468.73299261181216</v>
      </c>
      <c r="H268" s="97">
        <f t="shared" si="88"/>
        <v>207.26277943081573</v>
      </c>
      <c r="I268" s="94">
        <f t="shared" si="89"/>
        <v>978.47525465021101</v>
      </c>
      <c r="J268" s="95">
        <f t="shared" si="90"/>
        <v>-186.8724707536575</v>
      </c>
      <c r="K268" s="94">
        <f t="shared" si="91"/>
        <v>28.231244466423846</v>
      </c>
      <c r="L268" s="94">
        <f t="shared" si="92"/>
        <v>-382.11811108927975</v>
      </c>
      <c r="M268" s="94">
        <f t="shared" si="93"/>
        <v>-537.97350650482269</v>
      </c>
      <c r="N268" s="99">
        <f t="shared" si="94"/>
        <v>1884.2805112767169</v>
      </c>
      <c r="O268" s="99">
        <f t="shared" si="95"/>
        <v>29707.231700234835</v>
      </c>
      <c r="P268" s="100">
        <f t="shared" si="96"/>
        <v>25226.385303652958</v>
      </c>
      <c r="Q268" s="95">
        <f t="shared" si="97"/>
        <v>1053727665241.4866</v>
      </c>
      <c r="R268" s="95">
        <f t="shared" si="98"/>
        <v>28430729713802.719</v>
      </c>
      <c r="S268" s="95">
        <f t="shared" si="99"/>
        <v>19982259117598.793</v>
      </c>
      <c r="T268">
        <f t="shared" si="75"/>
        <v>0.5</v>
      </c>
      <c r="X268" s="101">
        <v>225</v>
      </c>
      <c r="Y268" s="101">
        <f t="shared" si="76"/>
        <v>6464.466094067262</v>
      </c>
      <c r="Z268" s="101">
        <f t="shared" si="77"/>
        <v>3964.4660940672625</v>
      </c>
      <c r="AA268" s="101">
        <f t="shared" si="78"/>
        <v>-22474.873734152916</v>
      </c>
      <c r="AB268" s="101">
        <f t="shared" si="79"/>
        <v>7525.1262658470841</v>
      </c>
      <c r="AC268" s="101">
        <f t="shared" si="80"/>
        <v>-8535.533905932738</v>
      </c>
      <c r="AD268" s="101">
        <f t="shared" si="81"/>
        <v>-18535.533905932738</v>
      </c>
    </row>
    <row r="269" spans="1:30" x14ac:dyDescent="0.25">
      <c r="A269">
        <v>113</v>
      </c>
      <c r="B269" s="95">
        <f t="shared" si="82"/>
        <v>9678.7823584703456</v>
      </c>
      <c r="C269" s="95">
        <f t="shared" si="83"/>
        <v>5463.9190573471897</v>
      </c>
      <c r="D269" s="95">
        <f t="shared" si="84"/>
        <v>191.78563127166001</v>
      </c>
      <c r="E269" s="95">
        <f t="shared" si="85"/>
        <v>-133.854564395659</v>
      </c>
      <c r="F269" s="96">
        <f t="shared" si="86"/>
        <v>-411.63175595861776</v>
      </c>
      <c r="G269" s="94">
        <f t="shared" si="87"/>
        <v>493.88952904719645</v>
      </c>
      <c r="H269" s="97">
        <f t="shared" si="88"/>
        <v>158.46202349235074</v>
      </c>
      <c r="I269" s="94">
        <f t="shared" si="89"/>
        <v>1004.4327099549772</v>
      </c>
      <c r="J269" s="95">
        <f t="shared" si="90"/>
        <v>-183.73739299583761</v>
      </c>
      <c r="K269" s="94">
        <f t="shared" si="91"/>
        <v>28.082273617376433</v>
      </c>
      <c r="L269" s="94">
        <f t="shared" si="92"/>
        <v>-386.35638645513092</v>
      </c>
      <c r="M269" s="94">
        <f t="shared" si="93"/>
        <v>-538.62545452515724</v>
      </c>
      <c r="N269" s="99">
        <f t="shared" si="94"/>
        <v>2012.8455658495132</v>
      </c>
      <c r="O269" s="99">
        <f t="shared" si="95"/>
        <v>29918.567615183481</v>
      </c>
      <c r="P269" s="100">
        <f t="shared" si="96"/>
        <v>25182.857638411915</v>
      </c>
      <c r="Q269" s="95">
        <f t="shared" si="97"/>
        <v>1061384678163.0876</v>
      </c>
      <c r="R269" s="95">
        <f t="shared" si="98"/>
        <v>29009568661083.367</v>
      </c>
      <c r="S269" s="95">
        <f t="shared" si="99"/>
        <v>19893012616375.02</v>
      </c>
      <c r="T269">
        <f t="shared" si="75"/>
        <v>0.5</v>
      </c>
      <c r="X269" s="101">
        <v>226</v>
      </c>
      <c r="Y269" s="101">
        <f t="shared" si="76"/>
        <v>6526.7081477050124</v>
      </c>
      <c r="Z269" s="101">
        <f t="shared" si="77"/>
        <v>3903.3009983067459</v>
      </c>
      <c r="AA269" s="101">
        <f t="shared" si="78"/>
        <v>-22431.30429660649</v>
      </c>
      <c r="AB269" s="101">
        <f t="shared" si="79"/>
        <v>7482.3106988147219</v>
      </c>
      <c r="AC269" s="101">
        <f t="shared" si="80"/>
        <v>-8473.2918522949876</v>
      </c>
      <c r="AD269" s="101">
        <f t="shared" si="81"/>
        <v>-18596.699001693254</v>
      </c>
    </row>
    <row r="270" spans="1:30" x14ac:dyDescent="0.25">
      <c r="A270">
        <v>113.5</v>
      </c>
      <c r="B270" s="95">
        <f t="shared" si="82"/>
        <v>9671.767235116522</v>
      </c>
      <c r="C270" s="95">
        <f t="shared" si="83"/>
        <v>5520.4641574111592</v>
      </c>
      <c r="D270" s="95">
        <f t="shared" si="84"/>
        <v>-14.030246707648871</v>
      </c>
      <c r="E270" s="95">
        <f t="shared" si="85"/>
        <v>113.09020012793923</v>
      </c>
      <c r="F270" s="96">
        <f t="shared" si="86"/>
        <v>-406.5339505276645</v>
      </c>
      <c r="G270" s="94">
        <f t="shared" si="87"/>
        <v>461.18023171323341</v>
      </c>
      <c r="H270" s="97">
        <f t="shared" si="88"/>
        <v>161.46333432347205</v>
      </c>
      <c r="I270" s="94">
        <f t="shared" si="89"/>
        <v>973.76767877114071</v>
      </c>
      <c r="J270" s="95">
        <f t="shared" si="90"/>
        <v>-181.87470299463334</v>
      </c>
      <c r="K270" s="94">
        <f t="shared" si="91"/>
        <v>27.457557363163932</v>
      </c>
      <c r="L270" s="94">
        <f t="shared" si="92"/>
        <v>-386.12258185650319</v>
      </c>
      <c r="M270" s="94">
        <f t="shared" si="93"/>
        <v>-540.04500442107121</v>
      </c>
      <c r="N270" s="99">
        <f t="shared" si="94"/>
        <v>2061.2632966857559</v>
      </c>
      <c r="O270" s="99">
        <f t="shared" si="95"/>
        <v>30023.426729801322</v>
      </c>
      <c r="P270" s="100">
        <f t="shared" si="96"/>
        <v>25184.094875794082</v>
      </c>
      <c r="Q270" s="95">
        <f t="shared" si="97"/>
        <v>1064404339996.6478</v>
      </c>
      <c r="R270" s="95">
        <f t="shared" si="98"/>
        <v>29299746216761.578</v>
      </c>
      <c r="S270" s="95">
        <f t="shared" si="99"/>
        <v>19895545407456.113</v>
      </c>
      <c r="T270">
        <f t="shared" si="75"/>
        <v>0.5</v>
      </c>
      <c r="X270" s="101">
        <v>227</v>
      </c>
      <c r="Y270" s="101">
        <f t="shared" si="76"/>
        <v>6590.0081996875051</v>
      </c>
      <c r="Z270" s="101">
        <f t="shared" si="77"/>
        <v>3843.2314919041492</v>
      </c>
      <c r="AA270" s="101">
        <f t="shared" si="78"/>
        <v>-22386.994260218748</v>
      </c>
      <c r="AB270" s="101">
        <f t="shared" si="79"/>
        <v>7440.2620443329051</v>
      </c>
      <c r="AC270" s="101">
        <f t="shared" si="80"/>
        <v>-8409.9918003124949</v>
      </c>
      <c r="AD270" s="101">
        <f t="shared" si="81"/>
        <v>-18656.768508095851</v>
      </c>
    </row>
    <row r="271" spans="1:30" x14ac:dyDescent="0.25">
      <c r="A271">
        <v>114</v>
      </c>
      <c r="B271" s="95">
        <f t="shared" si="82"/>
        <v>9563.1186241307823</v>
      </c>
      <c r="C271" s="95">
        <f t="shared" si="83"/>
        <v>5692.3043154034376</v>
      </c>
      <c r="D271" s="95">
        <f t="shared" si="84"/>
        <v>-217.29722197148112</v>
      </c>
      <c r="E271" s="95">
        <f t="shared" si="85"/>
        <v>343.68031598455593</v>
      </c>
      <c r="F271" s="96">
        <f t="shared" si="86"/>
        <v>-347.49042884932624</v>
      </c>
      <c r="G271" s="94">
        <f t="shared" si="87"/>
        <v>376.30737442191469</v>
      </c>
      <c r="H271" s="97">
        <f t="shared" si="88"/>
        <v>215.59934282958864</v>
      </c>
      <c r="I271" s="94">
        <f t="shared" si="89"/>
        <v>892.0911331124629</v>
      </c>
      <c r="J271" s="95">
        <f t="shared" si="90"/>
        <v>-181.47393162936206</v>
      </c>
      <c r="K271" s="94">
        <f t="shared" si="91"/>
        <v>26.442896031560313</v>
      </c>
      <c r="L271" s="94">
        <f t="shared" si="92"/>
        <v>-381.61584004955279</v>
      </c>
      <c r="M271" s="94">
        <f t="shared" si="93"/>
        <v>-542.22665472210849</v>
      </c>
      <c r="N271" s="99">
        <f t="shared" si="94"/>
        <v>2006.5639536374026</v>
      </c>
      <c r="O271" s="99">
        <f t="shared" si="95"/>
        <v>30007.999137229603</v>
      </c>
      <c r="P271" s="100">
        <f t="shared" si="96"/>
        <v>25225.982697152449</v>
      </c>
      <c r="Q271" s="95">
        <f t="shared" si="97"/>
        <v>1060998380072.1913</v>
      </c>
      <c r="R271" s="95">
        <f t="shared" si="98"/>
        <v>29256929154454.223</v>
      </c>
      <c r="S271" s="95">
        <f t="shared" si="99"/>
        <v>19981432320779.777</v>
      </c>
      <c r="T271">
        <f t="shared" si="75"/>
        <v>0.5</v>
      </c>
      <c r="X271" s="101">
        <v>228</v>
      </c>
      <c r="Y271" s="101">
        <f t="shared" si="76"/>
        <v>6654.3469682057075</v>
      </c>
      <c r="Z271" s="101">
        <f t="shared" si="77"/>
        <v>3784.2758726130301</v>
      </c>
      <c r="AA271" s="101">
        <f t="shared" si="78"/>
        <v>-22341.957122256004</v>
      </c>
      <c r="AB271" s="101">
        <f t="shared" si="79"/>
        <v>7398.9931108291203</v>
      </c>
      <c r="AC271" s="101">
        <f t="shared" si="80"/>
        <v>-8345.6530317942925</v>
      </c>
      <c r="AD271" s="101">
        <f t="shared" si="81"/>
        <v>-18715.724127386969</v>
      </c>
    </row>
    <row r="272" spans="1:30" x14ac:dyDescent="0.25">
      <c r="A272">
        <v>114.5</v>
      </c>
      <c r="B272" s="95">
        <f t="shared" si="82"/>
        <v>9367.5974059327091</v>
      </c>
      <c r="C272" s="95">
        <f t="shared" si="83"/>
        <v>5958.2213170011946</v>
      </c>
      <c r="D272" s="95">
        <f t="shared" si="84"/>
        <v>-391.04243639614424</v>
      </c>
      <c r="E272" s="95">
        <f t="shared" si="85"/>
        <v>531.83400319551333</v>
      </c>
      <c r="F272" s="96">
        <f t="shared" si="86"/>
        <v>-241.41676014629269</v>
      </c>
      <c r="G272" s="94">
        <f t="shared" si="87"/>
        <v>247.4040150828265</v>
      </c>
      <c r="H272" s="97">
        <f t="shared" si="88"/>
        <v>314.66046954126273</v>
      </c>
      <c r="I272" s="94">
        <f t="shared" si="89"/>
        <v>767.13284997925348</v>
      </c>
      <c r="J272" s="95">
        <f t="shared" si="90"/>
        <v>-182.5605743020339</v>
      </c>
      <c r="K272" s="94">
        <f t="shared" si="91"/>
        <v>25.125291230699009</v>
      </c>
      <c r="L272" s="94">
        <f t="shared" si="92"/>
        <v>-373.51665538552152</v>
      </c>
      <c r="M272" s="94">
        <f t="shared" si="93"/>
        <v>-544.85412612712594</v>
      </c>
      <c r="N272" s="99">
        <f t="shared" si="94"/>
        <v>1859.7389668150784</v>
      </c>
      <c r="O272" s="99">
        <f t="shared" si="95"/>
        <v>29875.311293700692</v>
      </c>
      <c r="P272" s="100">
        <f t="shared" si="96"/>
        <v>25303.278086875791</v>
      </c>
      <c r="Q272" s="95">
        <f t="shared" si="97"/>
        <v>1052325461859.1348</v>
      </c>
      <c r="R272" s="95">
        <f t="shared" si="98"/>
        <v>28890440716786.898</v>
      </c>
      <c r="S272" s="95">
        <f t="shared" si="99"/>
        <v>20140618367529.07</v>
      </c>
      <c r="T272">
        <f t="shared" si="75"/>
        <v>0.5</v>
      </c>
      <c r="X272" s="101">
        <v>229</v>
      </c>
      <c r="Y272" s="101">
        <f t="shared" si="76"/>
        <v>6719.7048550474619</v>
      </c>
      <c r="Z272" s="101">
        <f t="shared" si="77"/>
        <v>3726.4520988861418</v>
      </c>
      <c r="AA272" s="101">
        <f t="shared" si="78"/>
        <v>-22296.206601466776</v>
      </c>
      <c r="AB272" s="101">
        <f t="shared" si="79"/>
        <v>7358.5164692202998</v>
      </c>
      <c r="AC272" s="101">
        <f t="shared" si="80"/>
        <v>-8280.295144952539</v>
      </c>
      <c r="AD272" s="101">
        <f t="shared" si="81"/>
        <v>-18773.54790111386</v>
      </c>
    </row>
    <row r="273" spans="1:30" x14ac:dyDescent="0.25">
      <c r="A273">
        <v>115</v>
      </c>
      <c r="B273" s="95">
        <f t="shared" si="82"/>
        <v>9111.721997698065</v>
      </c>
      <c r="C273" s="95">
        <f t="shared" si="83"/>
        <v>6285.9893223696581</v>
      </c>
      <c r="D273" s="95">
        <f t="shared" si="84"/>
        <v>-511.75081646929061</v>
      </c>
      <c r="E273" s="95">
        <f t="shared" si="85"/>
        <v>655.53601073692653</v>
      </c>
      <c r="F273" s="96">
        <f t="shared" si="86"/>
        <v>-101.49957567739114</v>
      </c>
      <c r="G273" s="94">
        <f t="shared" si="87"/>
        <v>86.315198526653035</v>
      </c>
      <c r="H273" s="97">
        <f t="shared" si="88"/>
        <v>446.37877105573057</v>
      </c>
      <c r="I273" s="94">
        <f t="shared" si="89"/>
        <v>610.06643519802742</v>
      </c>
      <c r="J273" s="95">
        <f t="shared" si="90"/>
        <v>-185.00560084629709</v>
      </c>
      <c r="K273" s="94">
        <f t="shared" si="91"/>
        <v>23.602615366377027</v>
      </c>
      <c r="L273" s="94">
        <f t="shared" si="92"/>
        <v>-362.87274588682465</v>
      </c>
      <c r="M273" s="94">
        <f t="shared" si="93"/>
        <v>-547.35385203775138</v>
      </c>
      <c r="N273" s="99">
        <f t="shared" si="94"/>
        <v>1666.437682102925</v>
      </c>
      <c r="O273" s="99">
        <f t="shared" si="95"/>
        <v>29644.421942741425</v>
      </c>
      <c r="P273" s="100">
        <f t="shared" si="96"/>
        <v>25410.133726357439</v>
      </c>
      <c r="Q273" s="95">
        <f t="shared" si="97"/>
        <v>1041943086352.8408</v>
      </c>
      <c r="R273" s="95">
        <f t="shared" si="98"/>
        <v>28260234500318.078</v>
      </c>
      <c r="S273" s="95">
        <f t="shared" si="99"/>
        <v>20362180525629.176</v>
      </c>
      <c r="T273">
        <f t="shared" si="75"/>
        <v>0.5</v>
      </c>
      <c r="X273" s="101">
        <v>230</v>
      </c>
      <c r="Y273" s="101">
        <f t="shared" si="76"/>
        <v>6786.0619515673025</v>
      </c>
      <c r="Z273" s="101">
        <f t="shared" si="77"/>
        <v>3669.7777844051107</v>
      </c>
      <c r="AA273" s="101">
        <f t="shared" si="78"/>
        <v>-22249.756633902889</v>
      </c>
      <c r="AB273" s="101">
        <f t="shared" si="79"/>
        <v>7318.8444490835773</v>
      </c>
      <c r="AC273" s="101">
        <f t="shared" si="80"/>
        <v>-8213.9380484326975</v>
      </c>
      <c r="AD273" s="101">
        <f t="shared" si="81"/>
        <v>-18830.222215594891</v>
      </c>
    </row>
    <row r="274" spans="1:30" x14ac:dyDescent="0.25">
      <c r="A274">
        <v>115.5</v>
      </c>
      <c r="B274" s="95">
        <f t="shared" si="82"/>
        <v>8830.4716955440708</v>
      </c>
      <c r="C274" s="95">
        <f t="shared" si="83"/>
        <v>6635.3361273697847</v>
      </c>
      <c r="D274" s="95">
        <f t="shared" si="84"/>
        <v>-562.50060430798612</v>
      </c>
      <c r="E274" s="95">
        <f t="shared" si="85"/>
        <v>698.6936100002531</v>
      </c>
      <c r="F274" s="96">
        <f t="shared" si="86"/>
        <v>52.623052636905868</v>
      </c>
      <c r="G274" s="94">
        <f t="shared" si="87"/>
        <v>-89.280930806922527</v>
      </c>
      <c r="H274" s="97">
        <f t="shared" si="88"/>
        <v>592.15098916650436</v>
      </c>
      <c r="I274" s="94">
        <f t="shared" si="89"/>
        <v>437.7932244339421</v>
      </c>
      <c r="J274" s="95">
        <f t="shared" si="90"/>
        <v>-188.52872411812791</v>
      </c>
      <c r="K274" s="94">
        <f t="shared" si="91"/>
        <v>22.002268769378976</v>
      </c>
      <c r="L274" s="94">
        <f t="shared" si="92"/>
        <v>-350.99921241147058</v>
      </c>
      <c r="M274" s="94">
        <f t="shared" si="93"/>
        <v>-549.07642401024361</v>
      </c>
      <c r="N274" s="99">
        <f t="shared" si="94"/>
        <v>1504.2804707812961</v>
      </c>
      <c r="O274" s="99">
        <f t="shared" si="95"/>
        <v>29347.67849395944</v>
      </c>
      <c r="P274" s="100">
        <f t="shared" si="96"/>
        <v>25538.873099108161</v>
      </c>
      <c r="Q274" s="95">
        <f t="shared" si="97"/>
        <v>1034134197939.3217</v>
      </c>
      <c r="R274" s="95">
        <f t="shared" si="98"/>
        <v>27464200558083.945</v>
      </c>
      <c r="S274" s="95">
        <f t="shared" si="99"/>
        <v>20631436737369.582</v>
      </c>
      <c r="T274">
        <f t="shared" si="75"/>
        <v>0.5</v>
      </c>
      <c r="X274" s="101">
        <v>231</v>
      </c>
      <c r="Y274" s="101">
        <f t="shared" si="76"/>
        <v>6853.3980447508147</v>
      </c>
      <c r="Z274" s="101">
        <f t="shared" si="77"/>
        <v>3614.2701927151443</v>
      </c>
      <c r="AA274" s="101">
        <f t="shared" si="78"/>
        <v>-22202.62136867443</v>
      </c>
      <c r="AB274" s="101">
        <f t="shared" si="79"/>
        <v>7279.9891349006011</v>
      </c>
      <c r="AC274" s="101">
        <f t="shared" si="80"/>
        <v>-8146.6019552491853</v>
      </c>
      <c r="AD274" s="101">
        <f t="shared" si="81"/>
        <v>-18885.729807284857</v>
      </c>
    </row>
    <row r="275" spans="1:30" x14ac:dyDescent="0.25">
      <c r="A275">
        <v>116</v>
      </c>
      <c r="B275" s="95">
        <f t="shared" si="82"/>
        <v>8562.3771565493043</v>
      </c>
      <c r="C275" s="95">
        <f t="shared" si="83"/>
        <v>6962.3626996681805</v>
      </c>
      <c r="D275" s="95">
        <f t="shared" si="84"/>
        <v>-536.18907798953319</v>
      </c>
      <c r="E275" s="95">
        <f t="shared" si="85"/>
        <v>654.05314459679187</v>
      </c>
      <c r="F275" s="96">
        <f t="shared" si="86"/>
        <v>197.40832514732307</v>
      </c>
      <c r="G275" s="94">
        <f t="shared" si="87"/>
        <v>-256.23960203316256</v>
      </c>
      <c r="H275" s="97">
        <f t="shared" si="88"/>
        <v>729.46837317021493</v>
      </c>
      <c r="I275" s="94">
        <f t="shared" si="89"/>
        <v>272.80410061328371</v>
      </c>
      <c r="J275" s="95">
        <f t="shared" si="90"/>
        <v>-192.70483163947114</v>
      </c>
      <c r="K275" s="94">
        <f t="shared" si="91"/>
        <v>20.494351059571983</v>
      </c>
      <c r="L275" s="94">
        <f t="shared" si="92"/>
        <v>-339.35521638342078</v>
      </c>
      <c r="M275" s="94">
        <f t="shared" si="93"/>
        <v>-549.53805370601822</v>
      </c>
      <c r="N275" s="99">
        <f t="shared" si="94"/>
        <v>1454.4552476977221</v>
      </c>
      <c r="O275" s="99">
        <f t="shared" si="95"/>
        <v>29026.144441922541</v>
      </c>
      <c r="P275" s="100">
        <f t="shared" si="96"/>
        <v>25678.195354532178</v>
      </c>
      <c r="Q275" s="95">
        <f t="shared" si="97"/>
        <v>1031898829734.8492</v>
      </c>
      <c r="R275" s="95">
        <f t="shared" si="98"/>
        <v>26619168673552.875</v>
      </c>
      <c r="S275" s="95">
        <f t="shared" si="99"/>
        <v>20925695939054.629</v>
      </c>
      <c r="T275">
        <f t="shared" si="75"/>
        <v>0.5</v>
      </c>
      <c r="X275" s="101">
        <v>232</v>
      </c>
      <c r="Y275" s="101">
        <f t="shared" si="76"/>
        <v>6921.6926233717095</v>
      </c>
      <c r="Z275" s="101">
        <f t="shared" si="77"/>
        <v>3559.9462319663894</v>
      </c>
      <c r="AA275" s="101">
        <f t="shared" si="78"/>
        <v>-22154.815163639803</v>
      </c>
      <c r="AB275" s="101">
        <f t="shared" si="79"/>
        <v>7241.9623623764728</v>
      </c>
      <c r="AC275" s="101">
        <f t="shared" si="80"/>
        <v>-8078.3073766282905</v>
      </c>
      <c r="AD275" s="101">
        <f t="shared" si="81"/>
        <v>-18940.053768033609</v>
      </c>
    </row>
    <row r="276" spans="1:30" x14ac:dyDescent="0.25">
      <c r="A276">
        <v>116.5</v>
      </c>
      <c r="B276" s="95">
        <f t="shared" si="82"/>
        <v>8343.6346988413679</v>
      </c>
      <c r="C276" s="95">
        <f t="shared" si="83"/>
        <v>7225.329371458286</v>
      </c>
      <c r="D276" s="95">
        <f t="shared" si="84"/>
        <v>-437.48491541587168</v>
      </c>
      <c r="E276" s="95">
        <f t="shared" si="85"/>
        <v>525.93334358021059</v>
      </c>
      <c r="F276" s="96">
        <f t="shared" si="86"/>
        <v>311.13440173565897</v>
      </c>
      <c r="G276" s="94">
        <f t="shared" si="87"/>
        <v>-390.44334488176321</v>
      </c>
      <c r="H276" s="97">
        <f t="shared" si="88"/>
        <v>837.50223764189343</v>
      </c>
      <c r="I276" s="94">
        <f t="shared" si="89"/>
        <v>138.88075647158215</v>
      </c>
      <c r="J276" s="95">
        <f t="shared" si="90"/>
        <v>-196.99437897152424</v>
      </c>
      <c r="K276" s="94">
        <f t="shared" si="91"/>
        <v>19.284559765457587</v>
      </c>
      <c r="L276" s="94">
        <f t="shared" si="92"/>
        <v>-329.37345693471019</v>
      </c>
      <c r="M276" s="94">
        <f t="shared" si="93"/>
        <v>-548.60866111880296</v>
      </c>
      <c r="N276" s="99">
        <f t="shared" si="94"/>
        <v>1534.8658920959026</v>
      </c>
      <c r="O276" s="99">
        <f t="shared" si="95"/>
        <v>28723.450858163556</v>
      </c>
      <c r="P276" s="100">
        <f t="shared" si="96"/>
        <v>25812.466939218863</v>
      </c>
      <c r="Q276" s="95">
        <f t="shared" si="97"/>
        <v>1035544509196.8848</v>
      </c>
      <c r="R276" s="95">
        <f t="shared" si="98"/>
        <v>25840115480031.867</v>
      </c>
      <c r="S276" s="95">
        <f t="shared" si="99"/>
        <v>21212124545085.16</v>
      </c>
      <c r="T276">
        <f t="shared" si="75"/>
        <v>0.5</v>
      </c>
      <c r="X276" s="101">
        <v>233</v>
      </c>
      <c r="Y276" s="101">
        <f t="shared" si="76"/>
        <v>6990.9248842397592</v>
      </c>
      <c r="Z276" s="101">
        <f t="shared" si="77"/>
        <v>3506.822449763536</v>
      </c>
      <c r="AA276" s="101">
        <f t="shared" si="78"/>
        <v>-22106.35258103217</v>
      </c>
      <c r="AB276" s="101">
        <f t="shared" si="79"/>
        <v>7204.7757148344754</v>
      </c>
      <c r="AC276" s="101">
        <f t="shared" si="80"/>
        <v>-8009.0751157602408</v>
      </c>
      <c r="AD276" s="101">
        <f t="shared" si="81"/>
        <v>-18993.177550236465</v>
      </c>
    </row>
    <row r="277" spans="1:30" x14ac:dyDescent="0.25">
      <c r="A277">
        <v>117</v>
      </c>
      <c r="B277" s="95">
        <f t="shared" si="82"/>
        <v>8202.6758415673467</v>
      </c>
      <c r="C277" s="95">
        <f t="shared" si="83"/>
        <v>7390.685207027951</v>
      </c>
      <c r="D277" s="95">
        <f t="shared" si="84"/>
        <v>-281.91771454804223</v>
      </c>
      <c r="E277" s="95">
        <f t="shared" si="85"/>
        <v>330.71167113932898</v>
      </c>
      <c r="F277" s="96">
        <f t="shared" si="86"/>
        <v>379.55920842599835</v>
      </c>
      <c r="G277" s="94">
        <f t="shared" si="87"/>
        <v>-473.0652823574917</v>
      </c>
      <c r="H277" s="97">
        <f t="shared" si="88"/>
        <v>902.64095416600753</v>
      </c>
      <c r="I277" s="94">
        <f t="shared" si="89"/>
        <v>54.899395064492005</v>
      </c>
      <c r="J277" s="95">
        <f t="shared" si="90"/>
        <v>-200.81197681526226</v>
      </c>
      <c r="K277" s="94">
        <f t="shared" si="91"/>
        <v>18.579147051633242</v>
      </c>
      <c r="L277" s="94">
        <f t="shared" si="92"/>
        <v>-322.26976892474693</v>
      </c>
      <c r="M277" s="94">
        <f t="shared" si="93"/>
        <v>-546.54382447361695</v>
      </c>
      <c r="N277" s="99">
        <f t="shared" si="94"/>
        <v>1678.984801916273</v>
      </c>
      <c r="O277" s="99">
        <f t="shared" si="95"/>
        <v>28479.122617072608</v>
      </c>
      <c r="P277" s="100">
        <f t="shared" si="96"/>
        <v>25923.307131728579</v>
      </c>
      <c r="Q277" s="95">
        <f t="shared" si="97"/>
        <v>1042581465382.418</v>
      </c>
      <c r="R277" s="95">
        <f t="shared" si="98"/>
        <v>25222808735253.16</v>
      </c>
      <c r="S277" s="95">
        <f t="shared" si="99"/>
        <v>21450677574663.02</v>
      </c>
      <c r="T277">
        <f t="shared" si="75"/>
        <v>0.5</v>
      </c>
      <c r="X277" s="101">
        <v>234</v>
      </c>
      <c r="Y277" s="101">
        <f t="shared" si="76"/>
        <v>7061.0737385376342</v>
      </c>
      <c r="Z277" s="101">
        <f t="shared" si="77"/>
        <v>3454.9150281252632</v>
      </c>
      <c r="AA277" s="101">
        <f t="shared" si="78"/>
        <v>-22057.248383023656</v>
      </c>
      <c r="AB277" s="101">
        <f t="shared" si="79"/>
        <v>7168.4405196876842</v>
      </c>
      <c r="AC277" s="101">
        <f t="shared" si="80"/>
        <v>-7938.9262614623658</v>
      </c>
      <c r="AD277" s="101">
        <f t="shared" si="81"/>
        <v>-19045.084971874738</v>
      </c>
    </row>
    <row r="278" spans="1:30" x14ac:dyDescent="0.25">
      <c r="A278">
        <v>117.5</v>
      </c>
      <c r="B278" s="95">
        <f t="shared" si="82"/>
        <v>8156.6067863998251</v>
      </c>
      <c r="C278" s="95">
        <f t="shared" si="83"/>
        <v>7437.774722008242</v>
      </c>
      <c r="D278" s="95">
        <f t="shared" si="84"/>
        <v>-92.138110335043052</v>
      </c>
      <c r="E278" s="95">
        <f t="shared" si="85"/>
        <v>94.179029960583136</v>
      </c>
      <c r="F278" s="96">
        <f t="shared" si="86"/>
        <v>397.57656985898035</v>
      </c>
      <c r="G278" s="94">
        <f t="shared" si="87"/>
        <v>-494.2592589933484</v>
      </c>
      <c r="H278" s="97">
        <f t="shared" si="88"/>
        <v>920.08923502807261</v>
      </c>
      <c r="I278" s="94">
        <f t="shared" si="89"/>
        <v>31.058380818832585</v>
      </c>
      <c r="J278" s="95">
        <f t="shared" si="90"/>
        <v>-203.62263726038668</v>
      </c>
      <c r="K278" s="94">
        <f t="shared" si="91"/>
        <v>18.529472401195488</v>
      </c>
      <c r="L278" s="94">
        <f t="shared" si="92"/>
        <v>-318.89002790870558</v>
      </c>
      <c r="M278" s="94">
        <f t="shared" si="93"/>
        <v>-543.84711221337648</v>
      </c>
      <c r="N278" s="99">
        <f t="shared" si="94"/>
        <v>1800.6453994188216</v>
      </c>
      <c r="O278" s="99">
        <f t="shared" si="95"/>
        <v>28323.125680499128</v>
      </c>
      <c r="P278" s="100">
        <f t="shared" si="96"/>
        <v>25993.33440360675</v>
      </c>
      <c r="Q278" s="95">
        <f t="shared" si="97"/>
        <v>1049026977864.6155</v>
      </c>
      <c r="R278" s="95">
        <f t="shared" si="98"/>
        <v>24834018494179.586</v>
      </c>
      <c r="S278" s="95">
        <f t="shared" si="99"/>
        <v>21602378881409.848</v>
      </c>
      <c r="T278">
        <f t="shared" si="75"/>
        <v>0.5</v>
      </c>
      <c r="X278" s="101">
        <v>235</v>
      </c>
      <c r="Y278" s="101">
        <f t="shared" si="76"/>
        <v>7132.1178182447675</v>
      </c>
      <c r="Z278" s="101">
        <f t="shared" si="77"/>
        <v>3404.239778555042</v>
      </c>
      <c r="AA278" s="101">
        <f t="shared" si="78"/>
        <v>-22007.517527228661</v>
      </c>
      <c r="AB278" s="101">
        <f t="shared" si="79"/>
        <v>7132.9678449885296</v>
      </c>
      <c r="AC278" s="101">
        <f t="shared" si="80"/>
        <v>-7867.8821817552325</v>
      </c>
      <c r="AD278" s="101">
        <f t="shared" si="81"/>
        <v>-19095.760221444958</v>
      </c>
    </row>
    <row r="279" spans="1:30" x14ac:dyDescent="0.25">
      <c r="A279">
        <v>118</v>
      </c>
      <c r="B279" s="95">
        <f t="shared" si="82"/>
        <v>8209.931873697049</v>
      </c>
      <c r="C279" s="95">
        <f t="shared" si="83"/>
        <v>7361.2994222401967</v>
      </c>
      <c r="D279" s="95">
        <f t="shared" si="84"/>
        <v>106.65017459444712</v>
      </c>
      <c r="E279" s="95">
        <f t="shared" si="85"/>
        <v>-152.95059953609106</v>
      </c>
      <c r="F279" s="96">
        <f t="shared" si="86"/>
        <v>366.74309391015618</v>
      </c>
      <c r="G279" s="94">
        <f t="shared" si="87"/>
        <v>-452.80759107112954</v>
      </c>
      <c r="H279" s="97">
        <f t="shared" si="88"/>
        <v>891.40478129928135</v>
      </c>
      <c r="I279" s="94">
        <f t="shared" si="89"/>
        <v>69.069079755871186</v>
      </c>
      <c r="J279" s="95">
        <f t="shared" si="90"/>
        <v>-205.0335283333921</v>
      </c>
      <c r="K279" s="94">
        <f t="shared" si="91"/>
        <v>19.178425956352697</v>
      </c>
      <c r="L279" s="94">
        <f t="shared" si="92"/>
        <v>-319.62815905573302</v>
      </c>
      <c r="M279" s="94">
        <f t="shared" si="93"/>
        <v>-541.05509678335341</v>
      </c>
      <c r="N279" s="99">
        <f t="shared" si="94"/>
        <v>1844.4431477192056</v>
      </c>
      <c r="O279" s="99">
        <f t="shared" si="95"/>
        <v>28272.946505433716</v>
      </c>
      <c r="P279" s="100">
        <f t="shared" si="96"/>
        <v>26010.575476285292</v>
      </c>
      <c r="Q279" s="95">
        <f t="shared" si="97"/>
        <v>1051461130602.8921</v>
      </c>
      <c r="R279" s="95">
        <f t="shared" si="98"/>
        <v>24709837784741.242</v>
      </c>
      <c r="S279" s="95">
        <f t="shared" si="99"/>
        <v>21639846048728.961</v>
      </c>
      <c r="T279">
        <f t="shared" si="75"/>
        <v>0.5</v>
      </c>
      <c r="X279" s="101">
        <v>236</v>
      </c>
      <c r="Y279" s="101">
        <f t="shared" si="76"/>
        <v>7204.0354826462644</v>
      </c>
      <c r="Z279" s="101">
        <f t="shared" si="77"/>
        <v>3354.8121372247933</v>
      </c>
      <c r="AA279" s="101">
        <f t="shared" si="78"/>
        <v>-21957.175162147614</v>
      </c>
      <c r="AB279" s="101">
        <f t="shared" si="79"/>
        <v>7098.3684960573555</v>
      </c>
      <c r="AC279" s="101">
        <f t="shared" si="80"/>
        <v>-7795.9645173537356</v>
      </c>
      <c r="AD279" s="101">
        <f t="shared" si="81"/>
        <v>-19145.187862775208</v>
      </c>
    </row>
    <row r="280" spans="1:30" x14ac:dyDescent="0.25">
      <c r="A280">
        <v>118.5</v>
      </c>
      <c r="B280" s="95">
        <f t="shared" si="82"/>
        <v>8354.9427344718115</v>
      </c>
      <c r="C280" s="95">
        <f t="shared" si="83"/>
        <v>7171.6222247043688</v>
      </c>
      <c r="D280" s="95">
        <f t="shared" si="84"/>
        <v>290.02172154952518</v>
      </c>
      <c r="E280" s="95">
        <f t="shared" si="85"/>
        <v>-379.35439507165586</v>
      </c>
      <c r="F280" s="96">
        <f t="shared" si="86"/>
        <v>292.06253585811658</v>
      </c>
      <c r="G280" s="94">
        <f t="shared" si="87"/>
        <v>-354.18460152996846</v>
      </c>
      <c r="H280" s="97">
        <f t="shared" si="88"/>
        <v>821.31783961349504</v>
      </c>
      <c r="I280" s="94">
        <f t="shared" si="89"/>
        <v>163.94719541650633</v>
      </c>
      <c r="J280" s="95">
        <f t="shared" si="90"/>
        <v>-204.85348804169385</v>
      </c>
      <c r="K280" s="94">
        <f t="shared" si="91"/>
        <v>20.433934859072078</v>
      </c>
      <c r="L280" s="94">
        <f t="shared" si="92"/>
        <v>-324.40181571368464</v>
      </c>
      <c r="M280" s="94">
        <f t="shared" si="93"/>
        <v>-538.56573180554687</v>
      </c>
      <c r="N280" s="99">
        <f t="shared" si="94"/>
        <v>1795.4335819173766</v>
      </c>
      <c r="O280" s="99">
        <f t="shared" si="95"/>
        <v>28333.072495896005</v>
      </c>
      <c r="P280" s="100">
        <f t="shared" si="96"/>
        <v>25971.715614467925</v>
      </c>
      <c r="Q280" s="95">
        <f t="shared" si="97"/>
        <v>1048741337975.7937</v>
      </c>
      <c r="R280" s="95">
        <f t="shared" si="98"/>
        <v>24858685150400.289</v>
      </c>
      <c r="S280" s="95">
        <f t="shared" si="99"/>
        <v>21555464011725.809</v>
      </c>
      <c r="T280">
        <f t="shared" si="75"/>
        <v>0.5</v>
      </c>
      <c r="X280" s="101">
        <v>237</v>
      </c>
      <c r="Y280" s="101">
        <f t="shared" si="76"/>
        <v>7276.804824924865</v>
      </c>
      <c r="Z280" s="101">
        <f t="shared" si="77"/>
        <v>3306.6471602728798</v>
      </c>
      <c r="AA280" s="101">
        <f t="shared" si="78"/>
        <v>-21906.236622552595</v>
      </c>
      <c r="AB280" s="101">
        <f t="shared" si="79"/>
        <v>7064.6530121910164</v>
      </c>
      <c r="AC280" s="101">
        <f t="shared" si="80"/>
        <v>-7723.195175075135</v>
      </c>
      <c r="AD280" s="101">
        <f t="shared" si="81"/>
        <v>-19193.352839727122</v>
      </c>
    </row>
    <row r="281" spans="1:30" x14ac:dyDescent="0.25">
      <c r="A281">
        <v>119</v>
      </c>
      <c r="B281" s="95">
        <f t="shared" si="82"/>
        <v>8572.9692292111031</v>
      </c>
      <c r="C281" s="95">
        <f t="shared" si="83"/>
        <v>6893.3988767860492</v>
      </c>
      <c r="D281" s="95">
        <f t="shared" si="84"/>
        <v>436.05298947858347</v>
      </c>
      <c r="E281" s="95">
        <f t="shared" si="85"/>
        <v>-556.44669583664006</v>
      </c>
      <c r="F281" s="96">
        <f t="shared" si="86"/>
        <v>180.95793285544005</v>
      </c>
      <c r="G281" s="94">
        <f t="shared" si="87"/>
        <v>-209.82590152721207</v>
      </c>
      <c r="H281" s="97">
        <f t="shared" si="88"/>
        <v>716.72621407970257</v>
      </c>
      <c r="I281" s="94">
        <f t="shared" si="89"/>
        <v>304.66541815162157</v>
      </c>
      <c r="J281" s="95">
        <f t="shared" si="90"/>
        <v>-203.11476674844738</v>
      </c>
      <c r="K281" s="94">
        <f t="shared" si="91"/>
        <v>22.08368886902301</v>
      </c>
      <c r="L281" s="94">
        <f t="shared" si="92"/>
        <v>-332.6535144758152</v>
      </c>
      <c r="M281" s="94">
        <f t="shared" si="93"/>
        <v>-536.57500854785667</v>
      </c>
      <c r="N281" s="99">
        <f t="shared" si="94"/>
        <v>1677.5116602203364</v>
      </c>
      <c r="O281" s="99">
        <f t="shared" si="95"/>
        <v>28495.657534350074</v>
      </c>
      <c r="P281" s="100">
        <f t="shared" si="96"/>
        <v>25883.108922925509</v>
      </c>
      <c r="Q281" s="95">
        <f t="shared" si="97"/>
        <v>1042506259221.4224</v>
      </c>
      <c r="R281" s="95">
        <f t="shared" si="98"/>
        <v>25264262054850.563</v>
      </c>
      <c r="S281" s="95">
        <f t="shared" si="99"/>
        <v>21363941038912.434</v>
      </c>
      <c r="T281">
        <f t="shared" si="75"/>
        <v>0.5</v>
      </c>
      <c r="X281" s="101">
        <v>238</v>
      </c>
      <c r="Y281" s="101">
        <f t="shared" si="76"/>
        <v>7350.4036788339745</v>
      </c>
      <c r="Z281" s="101">
        <f t="shared" si="77"/>
        <v>3259.7595192178705</v>
      </c>
      <c r="AA281" s="101">
        <f t="shared" si="78"/>
        <v>-21854.717424816219</v>
      </c>
      <c r="AB281" s="101">
        <f t="shared" si="79"/>
        <v>7031.831663452509</v>
      </c>
      <c r="AC281" s="101">
        <f t="shared" si="80"/>
        <v>-7649.5963211660255</v>
      </c>
      <c r="AD281" s="101">
        <f t="shared" si="81"/>
        <v>-19240.240480782129</v>
      </c>
    </row>
    <row r="282" spans="1:30" x14ac:dyDescent="0.25">
      <c r="A282">
        <v>119.5</v>
      </c>
      <c r="B282" s="95">
        <f t="shared" si="82"/>
        <v>8836.2352071642545</v>
      </c>
      <c r="C282" s="95">
        <f t="shared" si="83"/>
        <v>6562.7190534859265</v>
      </c>
      <c r="D282" s="95">
        <f t="shared" si="84"/>
        <v>526.53195590630344</v>
      </c>
      <c r="E282" s="95">
        <f t="shared" si="85"/>
        <v>-661.35964660024615</v>
      </c>
      <c r="F282" s="96">
        <f t="shared" si="86"/>
        <v>44.576266285858253</v>
      </c>
      <c r="G282" s="94">
        <f t="shared" si="87"/>
        <v>-37.692575885843667</v>
      </c>
      <c r="H282" s="97">
        <f t="shared" si="88"/>
        <v>588.01178030820881</v>
      </c>
      <c r="I282" s="94">
        <f t="shared" si="89"/>
        <v>473.57699889318656</v>
      </c>
      <c r="J282" s="95">
        <f t="shared" si="90"/>
        <v>-200.06468204295729</v>
      </c>
      <c r="K282" s="94">
        <f t="shared" si="91"/>
        <v>23.847721962186043</v>
      </c>
      <c r="L282" s="94">
        <f t="shared" si="92"/>
        <v>-343.37083197939324</v>
      </c>
      <c r="M282" s="94">
        <f t="shared" si="93"/>
        <v>-535.11729674121625</v>
      </c>
      <c r="N282" s="99">
        <f t="shared" si="94"/>
        <v>1550.6068952067703</v>
      </c>
      <c r="O282" s="99">
        <f t="shared" si="95"/>
        <v>28741.355937258748</v>
      </c>
      <c r="P282" s="100">
        <f t="shared" si="96"/>
        <v>25759.39455956153</v>
      </c>
      <c r="Q282" s="95">
        <f t="shared" si="97"/>
        <v>1036281654584.9016</v>
      </c>
      <c r="R282" s="95">
        <f t="shared" si="98"/>
        <v>25885757203883.613</v>
      </c>
      <c r="S282" s="95">
        <f t="shared" si="99"/>
        <v>21098576636806.621</v>
      </c>
      <c r="T282">
        <f t="shared" si="75"/>
        <v>0.5</v>
      </c>
      <c r="X282" s="101">
        <v>239</v>
      </c>
      <c r="Y282" s="101">
        <f t="shared" si="76"/>
        <v>7424.8096254497277</v>
      </c>
      <c r="Z282" s="101">
        <f t="shared" si="77"/>
        <v>3214.1634964894392</v>
      </c>
      <c r="AA282" s="101">
        <f t="shared" si="78"/>
        <v>-21802.633262185191</v>
      </c>
      <c r="AB282" s="101">
        <f t="shared" si="79"/>
        <v>6999.9144475426074</v>
      </c>
      <c r="AC282" s="101">
        <f t="shared" si="80"/>
        <v>-7575.1903745502723</v>
      </c>
      <c r="AD282" s="101">
        <f t="shared" si="81"/>
        <v>-19285.83650351056</v>
      </c>
    </row>
    <row r="283" spans="1:30" x14ac:dyDescent="0.25">
      <c r="A283">
        <v>120</v>
      </c>
      <c r="B283" s="95">
        <f t="shared" si="82"/>
        <v>9110.6452516888712</v>
      </c>
      <c r="C283" s="95">
        <f t="shared" si="83"/>
        <v>6222.6160862143424</v>
      </c>
      <c r="D283" s="95">
        <f t="shared" si="84"/>
        <v>548.82008904923259</v>
      </c>
      <c r="E283" s="95">
        <f t="shared" si="85"/>
        <v>-680.20593454316804</v>
      </c>
      <c r="F283" s="96">
        <f t="shared" si="86"/>
        <v>-100.79889891339434</v>
      </c>
      <c r="G283" s="94">
        <f t="shared" si="87"/>
        <v>138.32791733462943</v>
      </c>
      <c r="H283" s="97">
        <f t="shared" si="88"/>
        <v>450.49293687829032</v>
      </c>
      <c r="I283" s="94">
        <f t="shared" si="89"/>
        <v>647.04487375275289</v>
      </c>
      <c r="J283" s="95">
        <f t="shared" si="90"/>
        <v>-196.13115180661657</v>
      </c>
      <c r="K283" s="94">
        <f t="shared" si="91"/>
        <v>25.44988788194534</v>
      </c>
      <c r="L283" s="94">
        <f t="shared" si="92"/>
        <v>-355.16068398506809</v>
      </c>
      <c r="M283" s="94">
        <f t="shared" si="93"/>
        <v>-534.16684430006876</v>
      </c>
      <c r="N283" s="99">
        <f t="shared" si="94"/>
        <v>1494.2704125232297</v>
      </c>
      <c r="O283" s="99">
        <f t="shared" si="95"/>
        <v>29040.374674376497</v>
      </c>
      <c r="P283" s="100">
        <f t="shared" si="96"/>
        <v>25620.153350195556</v>
      </c>
      <c r="Q283" s="95">
        <f t="shared" si="97"/>
        <v>1033678930717.7284</v>
      </c>
      <c r="R283" s="95">
        <f t="shared" si="98"/>
        <v>26656185099098.859</v>
      </c>
      <c r="S283" s="95">
        <f t="shared" si="99"/>
        <v>20802743405564.754</v>
      </c>
      <c r="T283">
        <f t="shared" si="75"/>
        <v>0.5</v>
      </c>
      <c r="X283" s="101">
        <v>240</v>
      </c>
      <c r="Y283" s="101">
        <f t="shared" si="76"/>
        <v>7499.9999999999982</v>
      </c>
      <c r="Z283" s="101">
        <f t="shared" si="77"/>
        <v>3169.8729810778077</v>
      </c>
      <c r="AA283" s="101">
        <f t="shared" si="78"/>
        <v>-21750</v>
      </c>
      <c r="AB283" s="101">
        <f t="shared" si="79"/>
        <v>6968.9110867544659</v>
      </c>
      <c r="AC283" s="101">
        <f t="shared" si="80"/>
        <v>-7500.0000000000018</v>
      </c>
      <c r="AD283" s="101">
        <f t="shared" si="81"/>
        <v>-19330.12701892219</v>
      </c>
    </row>
    <row r="284" spans="1:30" x14ac:dyDescent="0.25">
      <c r="A284">
        <v>120.5</v>
      </c>
      <c r="B284" s="95">
        <f t="shared" si="82"/>
        <v>9359.8555714851391</v>
      </c>
      <c r="C284" s="95">
        <f t="shared" si="83"/>
        <v>5917.0950982764161</v>
      </c>
      <c r="D284" s="95">
        <f t="shared" si="84"/>
        <v>498.42063959253539</v>
      </c>
      <c r="E284" s="95">
        <f t="shared" si="85"/>
        <v>-611.04197587585327</v>
      </c>
      <c r="F284" s="96">
        <f t="shared" si="86"/>
        <v>-234.92604918107909</v>
      </c>
      <c r="G284" s="94">
        <f t="shared" si="87"/>
        <v>292.51086094528421</v>
      </c>
      <c r="H284" s="97">
        <f t="shared" si="88"/>
        <v>323.35717843323852</v>
      </c>
      <c r="I284" s="94">
        <f t="shared" si="89"/>
        <v>799.57528324812779</v>
      </c>
      <c r="J284" s="95">
        <f t="shared" si="90"/>
        <v>-191.860190388208</v>
      </c>
      <c r="K284" s="94">
        <f t="shared" si="91"/>
        <v>26.680884375413488</v>
      </c>
      <c r="L284" s="94">
        <f t="shared" si="92"/>
        <v>-366.42303722610961</v>
      </c>
      <c r="M284" s="94">
        <f t="shared" si="93"/>
        <v>-533.74530667825707</v>
      </c>
      <c r="N284" s="99">
        <f t="shared" si="94"/>
        <v>1556.4901321697853</v>
      </c>
      <c r="O284" s="99">
        <f t="shared" si="95"/>
        <v>29354.698026070757</v>
      </c>
      <c r="P284" s="100">
        <f t="shared" si="96"/>
        <v>25485.481022767719</v>
      </c>
      <c r="Q284" s="95">
        <f t="shared" si="97"/>
        <v>1036559140577.9047</v>
      </c>
      <c r="R284" s="95">
        <f t="shared" si="98"/>
        <v>27482851176518.223</v>
      </c>
      <c r="S284" s="95">
        <f t="shared" si="99"/>
        <v>20519459835049.566</v>
      </c>
      <c r="T284">
        <f t="shared" si="75"/>
        <v>0.5</v>
      </c>
      <c r="X284" s="101">
        <v>241</v>
      </c>
      <c r="Y284" s="101">
        <f t="shared" si="76"/>
        <v>7575.9518987683159</v>
      </c>
      <c r="Z284" s="101">
        <f t="shared" si="77"/>
        <v>3126.9014643030205</v>
      </c>
      <c r="AA284" s="101">
        <f t="shared" si="78"/>
        <v>-21696.833670862179</v>
      </c>
      <c r="AB284" s="101">
        <f t="shared" si="79"/>
        <v>6938.831025012114</v>
      </c>
      <c r="AC284" s="101">
        <f t="shared" si="80"/>
        <v>-7424.0481012316841</v>
      </c>
      <c r="AD284" s="101">
        <f t="shared" si="81"/>
        <v>-19373.09853569698</v>
      </c>
    </row>
    <row r="285" spans="1:30" x14ac:dyDescent="0.25">
      <c r="A285">
        <v>121</v>
      </c>
      <c r="B285" s="95">
        <f t="shared" si="82"/>
        <v>9550.3343789861374</v>
      </c>
      <c r="C285" s="95">
        <f t="shared" si="83"/>
        <v>5684.7018255748108</v>
      </c>
      <c r="D285" s="95">
        <f t="shared" si="84"/>
        <v>380.95761500199586</v>
      </c>
      <c r="E285" s="95">
        <f t="shared" si="85"/>
        <v>-464.78654540321116</v>
      </c>
      <c r="F285" s="96">
        <f t="shared" si="86"/>
        <v>-337.93819007325828</v>
      </c>
      <c r="G285" s="94">
        <f t="shared" si="87"/>
        <v>403.83691734565787</v>
      </c>
      <c r="H285" s="97">
        <f t="shared" si="88"/>
        <v>225.51110338233593</v>
      </c>
      <c r="I285" s="94">
        <f t="shared" si="89"/>
        <v>910.38735262784121</v>
      </c>
      <c r="J285" s="95">
        <f t="shared" si="90"/>
        <v>-187.8295892586967</v>
      </c>
      <c r="K285" s="94">
        <f t="shared" si="91"/>
        <v>27.429154378959566</v>
      </c>
      <c r="L285" s="94">
        <f t="shared" si="92"/>
        <v>-375.61970419689754</v>
      </c>
      <c r="M285" s="94">
        <f t="shared" si="93"/>
        <v>-533.97958966114288</v>
      </c>
      <c r="N285" s="99">
        <f t="shared" si="94"/>
        <v>1707.4462853217863</v>
      </c>
      <c r="O285" s="99">
        <f t="shared" si="95"/>
        <v>29642.389100998342</v>
      </c>
      <c r="P285" s="100">
        <f t="shared" si="96"/>
        <v>25371.841072028103</v>
      </c>
      <c r="Q285" s="95">
        <f t="shared" si="97"/>
        <v>1044047787715.0472</v>
      </c>
      <c r="R285" s="95">
        <f t="shared" si="98"/>
        <v>28254728147066.348</v>
      </c>
      <c r="S285" s="95">
        <f t="shared" si="99"/>
        <v>20282581505333.875</v>
      </c>
      <c r="T285">
        <f t="shared" si="75"/>
        <v>0.5</v>
      </c>
      <c r="X285" s="101">
        <v>242</v>
      </c>
      <c r="Y285" s="101">
        <f t="shared" si="76"/>
        <v>7652.6421860705468</v>
      </c>
      <c r="Z285" s="101">
        <f t="shared" si="77"/>
        <v>3085.2620357053647</v>
      </c>
      <c r="AA285" s="101">
        <f t="shared" si="78"/>
        <v>-21643.150469750617</v>
      </c>
      <c r="AB285" s="101">
        <f t="shared" si="79"/>
        <v>6909.6834249937556</v>
      </c>
      <c r="AC285" s="101">
        <f t="shared" si="80"/>
        <v>-7347.3578139294532</v>
      </c>
      <c r="AD285" s="101">
        <f t="shared" si="81"/>
        <v>-19414.737964294636</v>
      </c>
    </row>
    <row r="286" spans="1:30" x14ac:dyDescent="0.25">
      <c r="A286">
        <v>121.5</v>
      </c>
      <c r="B286" s="95">
        <f t="shared" si="82"/>
        <v>9656.3286389688219</v>
      </c>
      <c r="C286" s="95">
        <f t="shared" si="83"/>
        <v>5553.2677822096202</v>
      </c>
      <c r="D286" s="95">
        <f t="shared" si="84"/>
        <v>211.98851996536672</v>
      </c>
      <c r="E286" s="95">
        <f t="shared" si="85"/>
        <v>-262.86808673038223</v>
      </c>
      <c r="F286" s="96">
        <f t="shared" si="86"/>
        <v>-395.21003074545268</v>
      </c>
      <c r="G286" s="94">
        <f t="shared" si="87"/>
        <v>460.67937936045803</v>
      </c>
      <c r="H286" s="97">
        <f t="shared" si="88"/>
        <v>170.90199569910263</v>
      </c>
      <c r="I286" s="94">
        <f t="shared" si="89"/>
        <v>968.07723551318315</v>
      </c>
      <c r="J286" s="95">
        <f t="shared" si="90"/>
        <v>-184.55833217723406</v>
      </c>
      <c r="K286" s="94">
        <f t="shared" si="91"/>
        <v>27.673064044609315</v>
      </c>
      <c r="L286" s="94">
        <f t="shared" si="92"/>
        <v>-381.55369426732125</v>
      </c>
      <c r="M286" s="94">
        <f t="shared" si="93"/>
        <v>-535.07092019733443</v>
      </c>
      <c r="N286" s="99">
        <f t="shared" si="94"/>
        <v>1870.1621942476561</v>
      </c>
      <c r="O286" s="99">
        <f t="shared" si="95"/>
        <v>29863.758307421514</v>
      </c>
      <c r="P286" s="100">
        <f t="shared" si="96"/>
        <v>25289.703836803699</v>
      </c>
      <c r="Q286" s="95">
        <f t="shared" si="97"/>
        <v>1052918680721.2375</v>
      </c>
      <c r="R286" s="95">
        <f t="shared" si="98"/>
        <v>28858680575706.652</v>
      </c>
      <c r="S286" s="95">
        <f t="shared" si="99"/>
        <v>20112597113930.266</v>
      </c>
      <c r="T286">
        <f t="shared" si="75"/>
        <v>0.5</v>
      </c>
      <c r="X286" s="101">
        <v>243</v>
      </c>
      <c r="Y286" s="101">
        <f t="shared" si="76"/>
        <v>7730.047501302266</v>
      </c>
      <c r="Z286" s="101">
        <f t="shared" si="77"/>
        <v>3044.967379058161</v>
      </c>
      <c r="AA286" s="101">
        <f t="shared" si="78"/>
        <v>-21588.966749088413</v>
      </c>
      <c r="AB286" s="101">
        <f t="shared" si="79"/>
        <v>6881.4771653407133</v>
      </c>
      <c r="AC286" s="101">
        <f t="shared" si="80"/>
        <v>-7269.952498697734</v>
      </c>
      <c r="AD286" s="101">
        <f t="shared" si="81"/>
        <v>-19455.032620941838</v>
      </c>
    </row>
    <row r="287" spans="1:30" x14ac:dyDescent="0.25">
      <c r="A287">
        <v>122</v>
      </c>
      <c r="B287" s="95">
        <f t="shared" si="82"/>
        <v>9663.5203912651414</v>
      </c>
      <c r="C287" s="95">
        <f t="shared" si="83"/>
        <v>5537.0035836845436</v>
      </c>
      <c r="D287" s="95">
        <f t="shared" si="84"/>
        <v>14.383504592640378</v>
      </c>
      <c r="E287" s="95">
        <f t="shared" si="85"/>
        <v>-32.528397050153217</v>
      </c>
      <c r="F287" s="96">
        <f t="shared" si="86"/>
        <v>-399.65076383910662</v>
      </c>
      <c r="G287" s="94">
        <f t="shared" si="87"/>
        <v>460.65873219912953</v>
      </c>
      <c r="H287" s="97">
        <f t="shared" si="88"/>
        <v>166.335393305536</v>
      </c>
      <c r="I287" s="94">
        <f t="shared" si="89"/>
        <v>970.38801903291312</v>
      </c>
      <c r="J287" s="95">
        <f t="shared" si="90"/>
        <v>-182.4385255256322</v>
      </c>
      <c r="K287" s="94">
        <f t="shared" si="91"/>
        <v>27.448612803844153</v>
      </c>
      <c r="L287" s="94">
        <f t="shared" si="92"/>
        <v>-383.54763161901042</v>
      </c>
      <c r="M287" s="94">
        <f t="shared" si="93"/>
        <v>-537.17789963762777</v>
      </c>
      <c r="N287" s="99">
        <f t="shared" si="94"/>
        <v>1976.8349279027</v>
      </c>
      <c r="O287" s="99">
        <f t="shared" si="95"/>
        <v>29987.851803009453</v>
      </c>
      <c r="P287" s="100">
        <f t="shared" si="96"/>
        <v>25243.707843751352</v>
      </c>
      <c r="Q287" s="95">
        <f t="shared" si="97"/>
        <v>1059187149807.2982</v>
      </c>
      <c r="R287" s="95">
        <f t="shared" si="98"/>
        <v>29201077671691.996</v>
      </c>
      <c r="S287" s="95">
        <f t="shared" si="99"/>
        <v>20017856166698.25</v>
      </c>
      <c r="T287">
        <f t="shared" si="75"/>
        <v>0.5</v>
      </c>
      <c r="X287" s="101">
        <v>244</v>
      </c>
      <c r="Y287" s="101">
        <f t="shared" si="76"/>
        <v>7808.1442660546109</v>
      </c>
      <c r="Z287" s="101">
        <f t="shared" si="77"/>
        <v>3006.029768504166</v>
      </c>
      <c r="AA287" s="101">
        <f t="shared" si="78"/>
        <v>-21534.299013761771</v>
      </c>
      <c r="AB287" s="101">
        <f t="shared" si="79"/>
        <v>6854.2208379529166</v>
      </c>
      <c r="AC287" s="101">
        <f t="shared" si="80"/>
        <v>-7191.8557339453891</v>
      </c>
      <c r="AD287" s="101">
        <f t="shared" si="81"/>
        <v>-19493.970231495834</v>
      </c>
    </row>
    <row r="288" spans="1:30" x14ac:dyDescent="0.25">
      <c r="A288">
        <v>122.5</v>
      </c>
      <c r="B288" s="95">
        <f t="shared" si="82"/>
        <v>9570.7994526016846</v>
      </c>
      <c r="C288" s="95">
        <f t="shared" si="83"/>
        <v>5635.9040682092491</v>
      </c>
      <c r="D288" s="95">
        <f t="shared" si="84"/>
        <v>-185.44187732691293</v>
      </c>
      <c r="E288" s="95">
        <f t="shared" si="85"/>
        <v>197.80096904941155</v>
      </c>
      <c r="F288" s="96">
        <f t="shared" si="86"/>
        <v>-351.1899051762702</v>
      </c>
      <c r="G288" s="94">
        <f t="shared" si="87"/>
        <v>407.26581105116531</v>
      </c>
      <c r="H288" s="97">
        <f t="shared" si="88"/>
        <v>211.99142465781622</v>
      </c>
      <c r="I288" s="94">
        <f t="shared" si="89"/>
        <v>920.71726067120971</v>
      </c>
      <c r="J288" s="95">
        <f t="shared" si="90"/>
        <v>-181.70397286280226</v>
      </c>
      <c r="K288" s="94">
        <f t="shared" si="91"/>
        <v>26.816101811241538</v>
      </c>
      <c r="L288" s="94">
        <f t="shared" si="92"/>
        <v>-381.47735697128417</v>
      </c>
      <c r="M288" s="94">
        <f t="shared" si="93"/>
        <v>-540.26755143128594</v>
      </c>
      <c r="N288" s="99">
        <f t="shared" si="94"/>
        <v>1991.625832721018</v>
      </c>
      <c r="O288" s="99">
        <f t="shared" si="95"/>
        <v>29997.379535803579</v>
      </c>
      <c r="P288" s="100">
        <f t="shared" si="96"/>
        <v>25234.645756604554</v>
      </c>
      <c r="Q288" s="95">
        <f t="shared" si="97"/>
        <v>1060084772139.3513</v>
      </c>
      <c r="R288" s="95">
        <f t="shared" si="98"/>
        <v>29227480891118.488</v>
      </c>
      <c r="S288" s="95">
        <f t="shared" si="99"/>
        <v>19999228298745.133</v>
      </c>
      <c r="T288">
        <f t="shared" si="75"/>
        <v>0.5</v>
      </c>
      <c r="X288" s="101">
        <v>245</v>
      </c>
      <c r="Y288" s="101">
        <f t="shared" si="76"/>
        <v>7886.9086912965004</v>
      </c>
      <c r="Z288" s="101">
        <f t="shared" si="77"/>
        <v>2968.4610648167518</v>
      </c>
      <c r="AA288" s="101">
        <f t="shared" si="78"/>
        <v>-21479.16391609245</v>
      </c>
      <c r="AB288" s="101">
        <f t="shared" si="79"/>
        <v>6827.9227453717258</v>
      </c>
      <c r="AC288" s="101">
        <f t="shared" si="80"/>
        <v>-7113.0913087034996</v>
      </c>
      <c r="AD288" s="101">
        <f t="shared" si="81"/>
        <v>-19531.538935183249</v>
      </c>
    </row>
    <row r="289" spans="1:30" x14ac:dyDescent="0.25">
      <c r="A289">
        <v>123</v>
      </c>
      <c r="B289" s="95">
        <f t="shared" si="82"/>
        <v>9390.2810376441612</v>
      </c>
      <c r="C289" s="95">
        <f t="shared" si="83"/>
        <v>5836.621005496746</v>
      </c>
      <c r="D289" s="95">
        <f t="shared" si="84"/>
        <v>-361.03682991504803</v>
      </c>
      <c r="E289" s="95">
        <f t="shared" si="85"/>
        <v>401.43387457499421</v>
      </c>
      <c r="F289" s="96">
        <f t="shared" si="86"/>
        <v>-255.64235113779844</v>
      </c>
      <c r="G289" s="94">
        <f t="shared" si="87"/>
        <v>307.06571922215414</v>
      </c>
      <c r="H289" s="97">
        <f t="shared" si="88"/>
        <v>302.49443013429004</v>
      </c>
      <c r="I289" s="94">
        <f t="shared" si="89"/>
        <v>825.23738329456569</v>
      </c>
      <c r="J289" s="95">
        <f t="shared" si="90"/>
        <v>-182.42736510578479</v>
      </c>
      <c r="K289" s="94">
        <f t="shared" si="91"/>
        <v>25.842361253068187</v>
      </c>
      <c r="L289" s="94">
        <f t="shared" si="92"/>
        <v>-375.7094161663037</v>
      </c>
      <c r="M289" s="94">
        <f t="shared" si="93"/>
        <v>-544.01402532547968</v>
      </c>
      <c r="N289" s="99">
        <f t="shared" si="94"/>
        <v>1912.8687233591963</v>
      </c>
      <c r="O289" s="99">
        <f t="shared" si="95"/>
        <v>29891.094218309587</v>
      </c>
      <c r="P289" s="100">
        <f t="shared" si="96"/>
        <v>25261.605914911121</v>
      </c>
      <c r="Q289" s="95">
        <f t="shared" si="97"/>
        <v>1055385059509.5413</v>
      </c>
      <c r="R289" s="95">
        <f t="shared" si="98"/>
        <v>28933868001704.512</v>
      </c>
      <c r="S289" s="95">
        <f t="shared" si="99"/>
        <v>20054683773192.238</v>
      </c>
      <c r="T289">
        <f t="shared" si="75"/>
        <v>0.5</v>
      </c>
      <c r="X289" s="101">
        <v>246</v>
      </c>
      <c r="Y289" s="101">
        <f t="shared" si="76"/>
        <v>7966.3167846209999</v>
      </c>
      <c r="Z289" s="101">
        <f t="shared" si="77"/>
        <v>2932.2727117869954</v>
      </c>
      <c r="AA289" s="101">
        <f t="shared" si="78"/>
        <v>-21423.578250765298</v>
      </c>
      <c r="AB289" s="101">
        <f t="shared" si="79"/>
        <v>6802.5908982508972</v>
      </c>
      <c r="AC289" s="101">
        <f t="shared" si="80"/>
        <v>-7033.6832153790001</v>
      </c>
      <c r="AD289" s="101">
        <f t="shared" si="81"/>
        <v>-19567.727288213006</v>
      </c>
    </row>
    <row r="290" spans="1:30" x14ac:dyDescent="0.25">
      <c r="A290">
        <v>123.5</v>
      </c>
      <c r="B290" s="95">
        <f t="shared" si="82"/>
        <v>9145.8520349021874</v>
      </c>
      <c r="C290" s="95">
        <f t="shared" si="83"/>
        <v>6114.1043725897816</v>
      </c>
      <c r="D290" s="95">
        <f t="shared" si="84"/>
        <v>-488.85800548394724</v>
      </c>
      <c r="E290" s="95">
        <f t="shared" si="85"/>
        <v>554.96673418607133</v>
      </c>
      <c r="F290" s="96">
        <f t="shared" si="86"/>
        <v>-124.57029541800367</v>
      </c>
      <c r="G290" s="94">
        <f t="shared" si="87"/>
        <v>169.57708680935809</v>
      </c>
      <c r="H290" s="97">
        <f t="shared" si="88"/>
        <v>426.97256224740119</v>
      </c>
      <c r="I290" s="94">
        <f t="shared" si="89"/>
        <v>692.78325445058874</v>
      </c>
      <c r="J290" s="95">
        <f t="shared" si="90"/>
        <v>-184.52677090444533</v>
      </c>
      <c r="K290" s="94">
        <f t="shared" si="91"/>
        <v>24.602189407228209</v>
      </c>
      <c r="L290" s="94">
        <f t="shared" si="92"/>
        <v>-367.01608676095952</v>
      </c>
      <c r="M290" s="94">
        <f t="shared" si="93"/>
        <v>-547.8083570484589</v>
      </c>
      <c r="N290" s="99">
        <f t="shared" si="94"/>
        <v>1771.6057384223323</v>
      </c>
      <c r="O290" s="99">
        <f t="shared" si="95"/>
        <v>29683.705026892734</v>
      </c>
      <c r="P290" s="100">
        <f t="shared" si="96"/>
        <v>25322.815073942493</v>
      </c>
      <c r="Q290" s="95">
        <f t="shared" si="97"/>
        <v>1047446295731.4192</v>
      </c>
      <c r="R290" s="95">
        <f t="shared" si="98"/>
        <v>28366784944019.105</v>
      </c>
      <c r="S290" s="95">
        <f t="shared" si="99"/>
        <v>20180997706766.91</v>
      </c>
      <c r="T290">
        <f t="shared" si="75"/>
        <v>0.5</v>
      </c>
      <c r="X290" s="101">
        <v>247</v>
      </c>
      <c r="Y290" s="101">
        <f t="shared" si="76"/>
        <v>8046.3443575536312</v>
      </c>
      <c r="Z290" s="101">
        <f t="shared" si="77"/>
        <v>2897.4757327377984</v>
      </c>
      <c r="AA290" s="101">
        <f t="shared" si="78"/>
        <v>-21367.55894971246</v>
      </c>
      <c r="AB290" s="101">
        <f t="shared" si="79"/>
        <v>6778.2330129164593</v>
      </c>
      <c r="AC290" s="101">
        <f t="shared" si="80"/>
        <v>-6953.6556424463688</v>
      </c>
      <c r="AD290" s="101">
        <f t="shared" si="81"/>
        <v>-19602.524267262201</v>
      </c>
    </row>
    <row r="291" spans="1:30" x14ac:dyDescent="0.25">
      <c r="A291">
        <v>124</v>
      </c>
      <c r="B291" s="95">
        <f t="shared" si="82"/>
        <v>8870.2804583057132</v>
      </c>
      <c r="C291" s="95">
        <f t="shared" si="83"/>
        <v>6433.9820113851565</v>
      </c>
      <c r="D291" s="95">
        <f t="shared" si="84"/>
        <v>-551.14315319294906</v>
      </c>
      <c r="E291" s="95">
        <f t="shared" si="85"/>
        <v>639.75527759075044</v>
      </c>
      <c r="F291" s="96">
        <f t="shared" si="86"/>
        <v>24.496075669590198</v>
      </c>
      <c r="G291" s="94">
        <f t="shared" si="87"/>
        <v>8.9840615986573766</v>
      </c>
      <c r="H291" s="97">
        <f t="shared" si="88"/>
        <v>568.76005159102658</v>
      </c>
      <c r="I291" s="94">
        <f t="shared" si="89"/>
        <v>536.68934972323757</v>
      </c>
      <c r="J291" s="95">
        <f t="shared" si="90"/>
        <v>-187.76871991990694</v>
      </c>
      <c r="K291" s="94">
        <f t="shared" si="91"/>
        <v>23.192938284772932</v>
      </c>
      <c r="L291" s="94">
        <f t="shared" si="92"/>
        <v>-356.49525600152941</v>
      </c>
      <c r="M291" s="94">
        <f t="shared" si="93"/>
        <v>-550.89822640935313</v>
      </c>
      <c r="N291" s="99">
        <f t="shared" si="94"/>
        <v>1627.9666570158913</v>
      </c>
      <c r="O291" s="99">
        <f t="shared" si="95"/>
        <v>29403.756148960591</v>
      </c>
      <c r="P291" s="100">
        <f t="shared" si="96"/>
        <v>25414.769982235946</v>
      </c>
      <c r="Q291" s="95">
        <f t="shared" si="97"/>
        <v>1040016377989.1119</v>
      </c>
      <c r="R291" s="95">
        <f t="shared" si="98"/>
        <v>27613439141618.129</v>
      </c>
      <c r="S291" s="95">
        <f t="shared" si="99"/>
        <v>20371833125158.688</v>
      </c>
      <c r="T291">
        <f t="shared" si="75"/>
        <v>0.5</v>
      </c>
      <c r="X291" s="101">
        <v>248</v>
      </c>
      <c r="Y291" s="101">
        <f t="shared" si="76"/>
        <v>8126.9670329204382</v>
      </c>
      <c r="Z291" s="101">
        <f t="shared" si="77"/>
        <v>2864.0807271660633</v>
      </c>
      <c r="AA291" s="101">
        <f t="shared" si="78"/>
        <v>-21311.123076955693</v>
      </c>
      <c r="AB291" s="101">
        <f t="shared" si="79"/>
        <v>6754.8565090162447</v>
      </c>
      <c r="AC291" s="101">
        <f t="shared" si="80"/>
        <v>-6873.0329670795618</v>
      </c>
      <c r="AD291" s="101">
        <f t="shared" si="81"/>
        <v>-19635.919272833937</v>
      </c>
    </row>
    <row r="292" spans="1:30" x14ac:dyDescent="0.25">
      <c r="A292">
        <v>124.5</v>
      </c>
      <c r="B292" s="95">
        <f t="shared" si="82"/>
        <v>8600.8329006266358</v>
      </c>
      <c r="C292" s="95">
        <f t="shared" si="83"/>
        <v>6756.1056655801958</v>
      </c>
      <c r="D292" s="95">
        <f t="shared" si="84"/>
        <v>-538.89511535815393</v>
      </c>
      <c r="E292" s="95">
        <f t="shared" si="85"/>
        <v>644.24730839007907</v>
      </c>
      <c r="F292" s="96">
        <f t="shared" si="86"/>
        <v>169.62535993305175</v>
      </c>
      <c r="G292" s="94">
        <f t="shared" si="87"/>
        <v>-155.04909407087081</v>
      </c>
      <c r="H292" s="97">
        <f t="shared" si="88"/>
        <v>706.86704268160452</v>
      </c>
      <c r="I292" s="94">
        <f t="shared" si="89"/>
        <v>375.81957757184938</v>
      </c>
      <c r="J292" s="95">
        <f t="shared" si="90"/>
        <v>-191.77162255098057</v>
      </c>
      <c r="K292" s="94">
        <f t="shared" si="91"/>
        <v>21.750656075543496</v>
      </c>
      <c r="L292" s="94">
        <f t="shared" si="92"/>
        <v>-345.47006019757225</v>
      </c>
      <c r="M292" s="94">
        <f t="shared" si="93"/>
        <v>-552.61932771826366</v>
      </c>
      <c r="N292" s="99">
        <f t="shared" si="94"/>
        <v>1553.2741531797876</v>
      </c>
      <c r="O292" s="99">
        <f t="shared" si="95"/>
        <v>29089.681642059157</v>
      </c>
      <c r="P292" s="100">
        <f t="shared" si="96"/>
        <v>25530.379254065927</v>
      </c>
      <c r="Q292" s="95">
        <f t="shared" si="97"/>
        <v>1036407323943.2443</v>
      </c>
      <c r="R292" s="95">
        <f t="shared" si="98"/>
        <v>26784718118398.148</v>
      </c>
      <c r="S292" s="95">
        <f t="shared" si="99"/>
        <v>20613593692641.531</v>
      </c>
      <c r="T292">
        <f t="shared" si="75"/>
        <v>0.5</v>
      </c>
      <c r="X292" s="101">
        <v>249</v>
      </c>
      <c r="Y292" s="101">
        <f t="shared" si="76"/>
        <v>8208.1602522734956</v>
      </c>
      <c r="Z292" s="101">
        <f t="shared" si="77"/>
        <v>2832.0978675139922</v>
      </c>
      <c r="AA292" s="101">
        <f t="shared" si="78"/>
        <v>-21254.287823408551</v>
      </c>
      <c r="AB292" s="101">
        <f t="shared" si="79"/>
        <v>6732.4685072597949</v>
      </c>
      <c r="AC292" s="101">
        <f t="shared" si="80"/>
        <v>-6791.8397477265034</v>
      </c>
      <c r="AD292" s="101">
        <f t="shared" si="81"/>
        <v>-19667.902132486008</v>
      </c>
    </row>
    <row r="293" spans="1:30" x14ac:dyDescent="0.25">
      <c r="A293">
        <v>125</v>
      </c>
      <c r="B293" s="95">
        <f t="shared" si="82"/>
        <v>8373.7916829308215</v>
      </c>
      <c r="C293" s="95">
        <f t="shared" si="83"/>
        <v>7039.4670462575177</v>
      </c>
      <c r="D293" s="95">
        <f t="shared" si="84"/>
        <v>-454.08243539162805</v>
      </c>
      <c r="E293" s="95">
        <f t="shared" si="85"/>
        <v>566.72276135464369</v>
      </c>
      <c r="F293" s="96">
        <f t="shared" si="86"/>
        <v>289.02198424301878</v>
      </c>
      <c r="G293" s="94">
        <f t="shared" si="87"/>
        <v>-299.84034642049835</v>
      </c>
      <c r="H293" s="97">
        <f t="shared" si="88"/>
        <v>820.38704586535516</v>
      </c>
      <c r="I293" s="94">
        <f t="shared" si="89"/>
        <v>232.32894917507002</v>
      </c>
      <c r="J293" s="95">
        <f t="shared" si="90"/>
        <v>-196.02740616055348</v>
      </c>
      <c r="K293" s="94">
        <f t="shared" si="91"/>
        <v>20.453579213528464</v>
      </c>
      <c r="L293" s="94">
        <f t="shared" si="92"/>
        <v>-335.3376554617829</v>
      </c>
      <c r="M293" s="94">
        <f t="shared" si="93"/>
        <v>-552.62287480909686</v>
      </c>
      <c r="N293" s="99">
        <f t="shared" si="94"/>
        <v>1584.6284588984122</v>
      </c>
      <c r="O293" s="99">
        <f t="shared" si="95"/>
        <v>28784.205618054631</v>
      </c>
      <c r="P293" s="100">
        <f t="shared" si="96"/>
        <v>25657.567876216533</v>
      </c>
      <c r="Q293" s="95">
        <f t="shared" si="97"/>
        <v>1037901180883.5167</v>
      </c>
      <c r="R293" s="95">
        <f t="shared" si="98"/>
        <v>25995209681185.363</v>
      </c>
      <c r="S293" s="95">
        <f t="shared" si="99"/>
        <v>20881940444911.766</v>
      </c>
      <c r="T293">
        <f t="shared" si="75"/>
        <v>0.5</v>
      </c>
      <c r="X293" s="101">
        <v>250</v>
      </c>
      <c r="Y293" s="101">
        <f t="shared" si="76"/>
        <v>8289.8992833716529</v>
      </c>
      <c r="Z293" s="101">
        <f t="shared" si="77"/>
        <v>2801.5368960704591</v>
      </c>
      <c r="AA293" s="101">
        <f t="shared" si="78"/>
        <v>-21197.070501639842</v>
      </c>
      <c r="AB293" s="101">
        <f t="shared" si="79"/>
        <v>6711.0758272493213</v>
      </c>
      <c r="AC293" s="101">
        <f t="shared" si="80"/>
        <v>-6710.1007166283471</v>
      </c>
      <c r="AD293" s="101">
        <f t="shared" si="81"/>
        <v>-19698.463103929542</v>
      </c>
    </row>
    <row r="294" spans="1:30" x14ac:dyDescent="0.25">
      <c r="A294">
        <v>125.5</v>
      </c>
      <c r="B294" s="95">
        <f t="shared" si="82"/>
        <v>8219.0059612957612</v>
      </c>
      <c r="C294" s="95">
        <f t="shared" si="83"/>
        <v>7247.8683403297155</v>
      </c>
      <c r="D294" s="95">
        <f t="shared" si="84"/>
        <v>-309.57144327011866</v>
      </c>
      <c r="E294" s="95">
        <f t="shared" si="85"/>
        <v>416.80258814439452</v>
      </c>
      <c r="F294" s="96">
        <f t="shared" si="86"/>
        <v>366.61173989614753</v>
      </c>
      <c r="G294" s="94">
        <f t="shared" si="87"/>
        <v>-404.92755617116165</v>
      </c>
      <c r="H294" s="97">
        <f t="shared" si="88"/>
        <v>893.94862847752256</v>
      </c>
      <c r="I294" s="94">
        <f t="shared" si="89"/>
        <v>126.55446703347572</v>
      </c>
      <c r="J294" s="95">
        <f t="shared" si="90"/>
        <v>-199.95923058649038</v>
      </c>
      <c r="K294" s="94">
        <f t="shared" si="91"/>
        <v>19.501541971222629</v>
      </c>
      <c r="L294" s="94">
        <f t="shared" si="92"/>
        <v>-327.37765799488471</v>
      </c>
      <c r="M294" s="94">
        <f t="shared" si="93"/>
        <v>-550.98356517586001</v>
      </c>
      <c r="N294" s="99">
        <f t="shared" si="94"/>
        <v>1690.1609662951471</v>
      </c>
      <c r="O294" s="99">
        <f t="shared" si="95"/>
        <v>28527.825185887366</v>
      </c>
      <c r="P294" s="100">
        <f t="shared" si="96"/>
        <v>25779.767486567845</v>
      </c>
      <c r="Q294" s="95">
        <f t="shared" si="97"/>
        <v>1043154235385.5248</v>
      </c>
      <c r="R294" s="95">
        <f t="shared" si="98"/>
        <v>25345040915707.039</v>
      </c>
      <c r="S294" s="95">
        <f t="shared" si="99"/>
        <v>21142112685249.953</v>
      </c>
      <c r="T294">
        <f t="shared" si="75"/>
        <v>0.5</v>
      </c>
      <c r="X294" s="101">
        <v>251</v>
      </c>
      <c r="Y294" s="101">
        <f t="shared" si="76"/>
        <v>8372.1592277142172</v>
      </c>
      <c r="Z294" s="101">
        <f t="shared" si="77"/>
        <v>2772.4071220034157</v>
      </c>
      <c r="AA294" s="101">
        <f t="shared" si="78"/>
        <v>-21139.488540600047</v>
      </c>
      <c r="AB294" s="101">
        <f t="shared" si="79"/>
        <v>6690.6849854023912</v>
      </c>
      <c r="AC294" s="101">
        <f t="shared" si="80"/>
        <v>-6627.8407722857828</v>
      </c>
      <c r="AD294" s="101">
        <f t="shared" si="81"/>
        <v>-19727.592877996583</v>
      </c>
    </row>
    <row r="295" spans="1:30" x14ac:dyDescent="0.25">
      <c r="A295">
        <v>126</v>
      </c>
      <c r="B295" s="95">
        <f t="shared" si="82"/>
        <v>8155.8731746347385</v>
      </c>
      <c r="C295" s="95">
        <f t="shared" si="83"/>
        <v>7355.0377453591218</v>
      </c>
      <c r="D295" s="95">
        <f t="shared" si="84"/>
        <v>-126.2655733220449</v>
      </c>
      <c r="E295" s="95">
        <f t="shared" si="85"/>
        <v>214.33881005881369</v>
      </c>
      <c r="F295" s="96">
        <f t="shared" si="86"/>
        <v>394.96020988610769</v>
      </c>
      <c r="G295" s="94">
        <f t="shared" si="87"/>
        <v>-456.69698280241113</v>
      </c>
      <c r="H295" s="97">
        <f t="shared" si="88"/>
        <v>920.54653010412858</v>
      </c>
      <c r="I295" s="94">
        <f t="shared" si="89"/>
        <v>72.361888927731712</v>
      </c>
      <c r="J295" s="95">
        <f t="shared" si="90"/>
        <v>-203.01347373514889</v>
      </c>
      <c r="K295" s="94">
        <f t="shared" si="91"/>
        <v>19.071082323837825</v>
      </c>
      <c r="L295" s="94">
        <f t="shared" si="92"/>
        <v>-322.57284648287202</v>
      </c>
      <c r="M295" s="94">
        <f t="shared" si="93"/>
        <v>-548.12995405398067</v>
      </c>
      <c r="N295" s="99">
        <f t="shared" si="94"/>
        <v>1798.7523842119369</v>
      </c>
      <c r="O295" s="99">
        <f t="shared" si="95"/>
        <v>28352.892729240262</v>
      </c>
      <c r="P295" s="100">
        <f t="shared" si="96"/>
        <v>25878.751212015974</v>
      </c>
      <c r="Q295" s="95">
        <f t="shared" si="97"/>
        <v>1048923130154.0031</v>
      </c>
      <c r="R295" s="95">
        <f t="shared" si="98"/>
        <v>24907886624337.121</v>
      </c>
      <c r="S295" s="95">
        <f t="shared" si="99"/>
        <v>21354553432726.75</v>
      </c>
      <c r="T295">
        <f t="shared" si="75"/>
        <v>0.5</v>
      </c>
      <c r="X295" s="101">
        <v>252</v>
      </c>
      <c r="Y295" s="101">
        <f t="shared" si="76"/>
        <v>8454.9150281252623</v>
      </c>
      <c r="Z295" s="101">
        <f t="shared" si="77"/>
        <v>2744.717418524232</v>
      </c>
      <c r="AA295" s="101">
        <f t="shared" si="78"/>
        <v>-21081.559480312317</v>
      </c>
      <c r="AB295" s="101">
        <f t="shared" si="79"/>
        <v>6671.302192966963</v>
      </c>
      <c r="AC295" s="101">
        <f t="shared" si="80"/>
        <v>-6545.0849718747377</v>
      </c>
      <c r="AD295" s="101">
        <f t="shared" si="81"/>
        <v>-19755.282581475767</v>
      </c>
    </row>
    <row r="296" spans="1:30" x14ac:dyDescent="0.25">
      <c r="A296">
        <v>126.5</v>
      </c>
      <c r="B296" s="95">
        <f t="shared" si="82"/>
        <v>8191.4804404452425</v>
      </c>
      <c r="C296" s="95">
        <f t="shared" si="83"/>
        <v>7348.032904687926</v>
      </c>
      <c r="D296" s="95">
        <f t="shared" si="84"/>
        <v>71.214531621008945</v>
      </c>
      <c r="E296" s="95">
        <f t="shared" si="85"/>
        <v>-14.009681342391872</v>
      </c>
      <c r="F296" s="96">
        <f t="shared" si="86"/>
        <v>374.08310929830702</v>
      </c>
      <c r="G296" s="94">
        <f t="shared" si="87"/>
        <v>-449.73340018159797</v>
      </c>
      <c r="H296" s="97">
        <f t="shared" si="88"/>
        <v>900.33385695354377</v>
      </c>
      <c r="I296" s="94">
        <f t="shared" si="89"/>
        <v>75.653658446486801</v>
      </c>
      <c r="J296" s="95">
        <f t="shared" si="90"/>
        <v>-204.75838565307239</v>
      </c>
      <c r="K296" s="94">
        <f t="shared" si="91"/>
        <v>19.261581611092993</v>
      </c>
      <c r="L296" s="94">
        <f t="shared" si="92"/>
        <v>-321.49236200216433</v>
      </c>
      <c r="M296" s="94">
        <f t="shared" si="93"/>
        <v>-544.64864023917778</v>
      </c>
      <c r="N296" s="99">
        <f t="shared" si="94"/>
        <v>1849.8156133253726</v>
      </c>
      <c r="O296" s="99">
        <f t="shared" si="95"/>
        <v>28279.834150054543</v>
      </c>
      <c r="P296" s="100">
        <f t="shared" si="96"/>
        <v>25938.864886180061</v>
      </c>
      <c r="Q296" s="95">
        <f t="shared" si="97"/>
        <v>1051763875938.8638</v>
      </c>
      <c r="R296" s="95">
        <f t="shared" si="98"/>
        <v>24726857636073.418</v>
      </c>
      <c r="S296" s="95">
        <f t="shared" si="99"/>
        <v>21484314476185.09</v>
      </c>
      <c r="T296">
        <f t="shared" si="75"/>
        <v>0.5</v>
      </c>
      <c r="X296" s="101">
        <v>253</v>
      </c>
      <c r="Y296" s="101">
        <f t="shared" si="76"/>
        <v>8538.141476386314</v>
      </c>
      <c r="Z296" s="101">
        <f t="shared" si="77"/>
        <v>2718.4762201848234</v>
      </c>
      <c r="AA296" s="101">
        <f t="shared" si="78"/>
        <v>-21023.300966529579</v>
      </c>
      <c r="AB296" s="101">
        <f t="shared" si="79"/>
        <v>6652.9333541293763</v>
      </c>
      <c r="AC296" s="101">
        <f t="shared" si="80"/>
        <v>-6461.858523613686</v>
      </c>
      <c r="AD296" s="101">
        <f t="shared" si="81"/>
        <v>-19781.523779815176</v>
      </c>
    </row>
    <row r="297" spans="1:30" x14ac:dyDescent="0.25">
      <c r="A297">
        <v>127</v>
      </c>
      <c r="B297" s="95">
        <f t="shared" si="82"/>
        <v>8320.6084835803231</v>
      </c>
      <c r="C297" s="95">
        <f t="shared" si="83"/>
        <v>7228.5947139713307</v>
      </c>
      <c r="D297" s="95">
        <f t="shared" si="84"/>
        <v>258.25608627016243</v>
      </c>
      <c r="E297" s="95">
        <f t="shared" si="85"/>
        <v>-238.87638143319086</v>
      </c>
      <c r="F297" s="96">
        <f t="shared" si="86"/>
        <v>308.40285682366027</v>
      </c>
      <c r="G297" s="94">
        <f t="shared" si="87"/>
        <v>-385.65999428109183</v>
      </c>
      <c r="H297" s="97">
        <f t="shared" si="88"/>
        <v>837.60442300029149</v>
      </c>
      <c r="I297" s="94">
        <f t="shared" si="89"/>
        <v>135.36466379675525</v>
      </c>
      <c r="J297" s="95">
        <f t="shared" si="90"/>
        <v>-204.95562601127156</v>
      </c>
      <c r="K297" s="94">
        <f t="shared" si="91"/>
        <v>20.056599619258744</v>
      </c>
      <c r="L297" s="94">
        <f t="shared" si="92"/>
        <v>-324.24594016535968</v>
      </c>
      <c r="M297" s="94">
        <f t="shared" si="93"/>
        <v>-541.0812576971058</v>
      </c>
      <c r="N297" s="99">
        <f t="shared" si="94"/>
        <v>1814.8931085189902</v>
      </c>
      <c r="O297" s="99">
        <f t="shared" si="95"/>
        <v>28315.940720707564</v>
      </c>
      <c r="P297" s="100">
        <f t="shared" si="96"/>
        <v>25950.910021031319</v>
      </c>
      <c r="Q297" s="95">
        <f t="shared" si="97"/>
        <v>1049812199651.2036</v>
      </c>
      <c r="R297" s="95">
        <f t="shared" si="98"/>
        <v>24816211302281.504</v>
      </c>
      <c r="S297" s="95">
        <f t="shared" si="99"/>
        <v>21510382793598.031</v>
      </c>
      <c r="T297">
        <f t="shared" si="75"/>
        <v>0.5</v>
      </c>
      <c r="X297" s="101">
        <v>254</v>
      </c>
      <c r="Y297" s="101">
        <f t="shared" si="76"/>
        <v>8621.8132209150062</v>
      </c>
      <c r="Z297" s="101">
        <f t="shared" si="77"/>
        <v>2693.6915203084054</v>
      </c>
      <c r="AA297" s="101">
        <f t="shared" si="78"/>
        <v>-20964.730745359495</v>
      </c>
      <c r="AB297" s="101">
        <f t="shared" si="79"/>
        <v>6635.5840642158837</v>
      </c>
      <c r="AC297" s="101">
        <f t="shared" si="80"/>
        <v>-6378.1867790849947</v>
      </c>
      <c r="AD297" s="101">
        <f t="shared" si="81"/>
        <v>-19806.308479691594</v>
      </c>
    </row>
    <row r="298" spans="1:30" x14ac:dyDescent="0.25">
      <c r="A298">
        <v>127.5</v>
      </c>
      <c r="B298" s="95">
        <f t="shared" si="82"/>
        <v>8526.8372409213189</v>
      </c>
      <c r="C298" s="95">
        <f t="shared" si="83"/>
        <v>7012.7415246844621</v>
      </c>
      <c r="D298" s="95">
        <f t="shared" si="84"/>
        <v>412.45751468199256</v>
      </c>
      <c r="E298" s="95">
        <f t="shared" si="85"/>
        <v>-431.70637857373674</v>
      </c>
      <c r="F298" s="96">
        <f t="shared" si="86"/>
        <v>204.96058103819712</v>
      </c>
      <c r="G298" s="94">
        <f t="shared" si="87"/>
        <v>-272.04853530272084</v>
      </c>
      <c r="H298" s="97">
        <f t="shared" si="88"/>
        <v>739.0335797739175</v>
      </c>
      <c r="I298" s="94">
        <f t="shared" si="89"/>
        <v>244.44031935264945</v>
      </c>
      <c r="J298" s="95">
        <f t="shared" si="90"/>
        <v>-203.58964469962086</v>
      </c>
      <c r="K298" s="94">
        <f t="shared" si="91"/>
        <v>21.319394312069189</v>
      </c>
      <c r="L298" s="94">
        <f t="shared" si="92"/>
        <v>-330.48335403609951</v>
      </c>
      <c r="M298" s="94">
        <f t="shared" si="93"/>
        <v>-537.80824896743945</v>
      </c>
      <c r="N298" s="99">
        <f t="shared" si="94"/>
        <v>1701.1809705926896</v>
      </c>
      <c r="O298" s="99">
        <f t="shared" si="95"/>
        <v>28455.887829053401</v>
      </c>
      <c r="P298" s="100">
        <f t="shared" si="96"/>
        <v>25914.263125368358</v>
      </c>
      <c r="Q298" s="95">
        <f t="shared" si="97"/>
        <v>1043722826703.7291</v>
      </c>
      <c r="R298" s="95">
        <f t="shared" si="98"/>
        <v>25164637700827.512</v>
      </c>
      <c r="S298" s="95">
        <f t="shared" si="99"/>
        <v>21431141177205.008</v>
      </c>
      <c r="T298">
        <f t="shared" si="75"/>
        <v>0.5</v>
      </c>
      <c r="X298" s="101">
        <v>255</v>
      </c>
      <c r="Y298" s="101">
        <f t="shared" si="76"/>
        <v>8705.9047744873969</v>
      </c>
      <c r="Z298" s="101">
        <f t="shared" si="77"/>
        <v>2670.370868554658</v>
      </c>
      <c r="AA298" s="101">
        <f t="shared" si="78"/>
        <v>-20905.866657858824</v>
      </c>
      <c r="AB298" s="101">
        <f t="shared" si="79"/>
        <v>6619.2596079882605</v>
      </c>
      <c r="AC298" s="101">
        <f t="shared" si="80"/>
        <v>-6294.0952255126031</v>
      </c>
      <c r="AD298" s="101">
        <f t="shared" si="81"/>
        <v>-19829.629131445341</v>
      </c>
    </row>
    <row r="299" spans="1:30" x14ac:dyDescent="0.25">
      <c r="A299">
        <v>128</v>
      </c>
      <c r="B299" s="95">
        <f t="shared" si="82"/>
        <v>8784.3061435218642</v>
      </c>
      <c r="C299" s="95">
        <f t="shared" si="83"/>
        <v>6728.876201571913</v>
      </c>
      <c r="D299" s="95">
        <f t="shared" si="84"/>
        <v>514.93780520109112</v>
      </c>
      <c r="E299" s="95">
        <f t="shared" si="85"/>
        <v>-567.73064622509719</v>
      </c>
      <c r="F299" s="96">
        <f t="shared" si="86"/>
        <v>73.941622584261495</v>
      </c>
      <c r="G299" s="94">
        <f t="shared" si="87"/>
        <v>-122.61064059348064</v>
      </c>
      <c r="H299" s="97">
        <f t="shared" si="88"/>
        <v>614.2205963487163</v>
      </c>
      <c r="I299" s="94">
        <f t="shared" si="89"/>
        <v>389.60476505270987</v>
      </c>
      <c r="J299" s="95">
        <f t="shared" si="90"/>
        <v>-200.86063552328173</v>
      </c>
      <c r="K299" s="94">
        <f t="shared" si="91"/>
        <v>22.826327713147567</v>
      </c>
      <c r="L299" s="94">
        <f t="shared" si="92"/>
        <v>-339.41833824117305</v>
      </c>
      <c r="M299" s="94">
        <f t="shared" si="93"/>
        <v>-535.04173335933808</v>
      </c>
      <c r="N299" s="99">
        <f t="shared" si="94"/>
        <v>1551.6537424641926</v>
      </c>
      <c r="O299" s="99">
        <f t="shared" si="95"/>
        <v>28682.819878253948</v>
      </c>
      <c r="P299" s="100">
        <f t="shared" si="96"/>
        <v>25836.720286734217</v>
      </c>
      <c r="Q299" s="95">
        <f t="shared" si="97"/>
        <v>1036330951026.8204</v>
      </c>
      <c r="R299" s="95">
        <f t="shared" si="98"/>
        <v>25736748283097.836</v>
      </c>
      <c r="S299" s="95">
        <f t="shared" si="99"/>
        <v>21264159905502.262</v>
      </c>
      <c r="T299">
        <f t="shared" si="75"/>
        <v>0.5</v>
      </c>
      <c r="X299" s="101">
        <v>256</v>
      </c>
      <c r="Y299" s="101">
        <f t="shared" si="76"/>
        <v>8790.3905220016604</v>
      </c>
      <c r="Z299" s="101">
        <f t="shared" si="77"/>
        <v>2648.5213686200177</v>
      </c>
      <c r="AA299" s="101">
        <f t="shared" si="78"/>
        <v>-20846.726634598836</v>
      </c>
      <c r="AB299" s="101">
        <f t="shared" si="79"/>
        <v>6603.9649580340119</v>
      </c>
      <c r="AC299" s="101">
        <f t="shared" si="80"/>
        <v>-6209.6094779983387</v>
      </c>
      <c r="AD299" s="101">
        <f t="shared" si="81"/>
        <v>-19851.478631379981</v>
      </c>
    </row>
    <row r="300" spans="1:30" x14ac:dyDescent="0.25">
      <c r="A300">
        <v>128.5</v>
      </c>
      <c r="B300" s="95">
        <f t="shared" si="82"/>
        <v>9060.260451768474</v>
      </c>
      <c r="C300" s="95">
        <f t="shared" si="83"/>
        <v>6414.3582183109947</v>
      </c>
      <c r="D300" s="95">
        <f t="shared" si="84"/>
        <v>551.90861649322187</v>
      </c>
      <c r="E300" s="95">
        <f t="shared" si="85"/>
        <v>-629.03596652183751</v>
      </c>
      <c r="F300" s="96">
        <f t="shared" si="86"/>
        <v>-69.903577251903585</v>
      </c>
      <c r="G300" s="94">
        <f t="shared" si="87"/>
        <v>42.646258966285018</v>
      </c>
      <c r="H300" s="97">
        <f t="shared" si="88"/>
        <v>477.1365888650497</v>
      </c>
      <c r="I300" s="94">
        <f t="shared" si="89"/>
        <v>551.21593788329756</v>
      </c>
      <c r="J300" s="95">
        <f t="shared" si="90"/>
        <v>-197.15114270255879</v>
      </c>
      <c r="K300" s="94">
        <f t="shared" si="91"/>
        <v>24.325775598442949</v>
      </c>
      <c r="L300" s="94">
        <f t="shared" si="92"/>
        <v>-349.8890234143945</v>
      </c>
      <c r="M300" s="94">
        <f t="shared" si="93"/>
        <v>-532.89545451545553</v>
      </c>
      <c r="N300" s="99">
        <f t="shared" si="94"/>
        <v>1439.6331008909331</v>
      </c>
      <c r="O300" s="99">
        <f t="shared" si="95"/>
        <v>28969.57940786564</v>
      </c>
      <c r="P300" s="100">
        <f t="shared" si="96"/>
        <v>25732.297931618403</v>
      </c>
      <c r="Q300" s="95">
        <f t="shared" si="97"/>
        <v>1031248678718.4808</v>
      </c>
      <c r="R300" s="95">
        <f t="shared" si="98"/>
        <v>26472377424796.137</v>
      </c>
      <c r="S300" s="95">
        <f t="shared" si="99"/>
        <v>21040771971917.441</v>
      </c>
      <c r="T300">
        <f t="shared" ref="T300:T363" si="100">A301-A300</f>
        <v>0.5</v>
      </c>
      <c r="X300" s="101">
        <v>257</v>
      </c>
      <c r="Y300" s="101">
        <f t="shared" ref="Y300:Y363" si="101">$D$19*COS(X300*PI()/180)+$D$18</f>
        <v>8875.2447282806734</v>
      </c>
      <c r="Z300" s="101">
        <f t="shared" ref="Z300:Z363" si="102">$D$19*SIN(X300*PI()/180)+$E$18</f>
        <v>2628.1496760738246</v>
      </c>
      <c r="AA300" s="101">
        <f t="shared" ref="AA300:AA363" si="103">$D$27*COS(X300*PI()/180)+$D$26</f>
        <v>-20787.328690203529</v>
      </c>
      <c r="AB300" s="101">
        <f t="shared" ref="AB300:AB363" si="104">$D$27*SIN($X300*PI()/180)+$E$26</f>
        <v>6589.7047732516767</v>
      </c>
      <c r="AC300" s="101">
        <f t="shared" ref="AC300:AC363" si="105">$D$35*COS(X300*PI()/180)+$D$34</f>
        <v>-6124.7552717193266</v>
      </c>
      <c r="AD300" s="101">
        <f t="shared" ref="AD300:AD363" si="106">$D$35*SIN(X300*PI()/180)+$E$34</f>
        <v>-19871.850323926177</v>
      </c>
    </row>
    <row r="301" spans="1:30" x14ac:dyDescent="0.25">
      <c r="A301">
        <v>129</v>
      </c>
      <c r="B301" s="95">
        <f t="shared" ref="B301:B364" si="107">B300+(D300*$T300)+(F300*($T300)^2)</f>
        <v>9318.7388657021093</v>
      </c>
      <c r="C301" s="95">
        <f t="shared" ref="C301:C364" si="108">C300+(E300*$T300)+(G300*($T300)^2)</f>
        <v>6110.5017997916475</v>
      </c>
      <c r="D301" s="95">
        <f t="shared" ref="D301:D364" si="109">D300+(F300*$T300)</f>
        <v>516.95682786727002</v>
      </c>
      <c r="E301" s="95">
        <f t="shared" ref="E301:E364" si="110">E300+(G300*$T300)</f>
        <v>-607.71283703869494</v>
      </c>
      <c r="F301" s="96">
        <f t="shared" ref="F301:F364" si="111">SUM(H301,J301,L301)</f>
        <v>-207.50537642701576</v>
      </c>
      <c r="G301" s="94">
        <f t="shared" ref="G301:G364" si="112">SUM(I301,K301,M301)</f>
        <v>199.72747008551835</v>
      </c>
      <c r="H301" s="97">
        <f t="shared" ref="H301:H364" si="113">$D$22*(($D$18-$B301)/$Q301)</f>
        <v>345.95360207178578</v>
      </c>
      <c r="I301" s="94">
        <f t="shared" ref="I301:I364" si="114">$D$22*(($E$18-$C301)/$Q301)</f>
        <v>705.605946433089</v>
      </c>
      <c r="J301" s="95">
        <f t="shared" ref="J301:J364" si="115">$D$30*(($D$26-$B301)/$R301)</f>
        <v>-192.97014340458659</v>
      </c>
      <c r="K301" s="94">
        <f t="shared" ref="K301:K364" si="116">$D$30*(($E$26-$C301)/$R301)</f>
        <v>25.59990826699951</v>
      </c>
      <c r="L301" s="94">
        <f t="shared" ref="L301:L364" si="117">$D$38*(($D$34-$B301)/$S301)</f>
        <v>-360.48883509421495</v>
      </c>
      <c r="M301" s="94">
        <f t="shared" ref="M301:M364" si="118">$D$38*(($E$34-$C301)/$S301)</f>
        <v>-531.47838461457013</v>
      </c>
      <c r="N301" s="99">
        <f t="shared" ref="N301:N364" si="119">SQRT(($D$18-$B300)^2+($E$18-$C300)^2)</f>
        <v>1435.872033525018</v>
      </c>
      <c r="O301" s="99">
        <f t="shared" ref="O301:O364" si="120">SQRT(($D$26-$B300)^2+($E$26-$C300)^2)</f>
        <v>29280.634632999554</v>
      </c>
      <c r="P301" s="100">
        <f t="shared" ref="P301:P364" si="121">SQRT(($D$34-$B300)^2+($E$34-$C300)^2)</f>
        <v>25617.682601549037</v>
      </c>
      <c r="Q301" s="95">
        <f t="shared" ref="Q301:Q364" si="122">(N301^2+$D$39^2)^(3/2)</f>
        <v>1031084786066.3887</v>
      </c>
      <c r="R301" s="95">
        <f t="shared" ref="R301:R364" si="123">(O301^2+$D$31^2)^(3/2)</f>
        <v>27286504725313.023</v>
      </c>
      <c r="S301" s="95">
        <f t="shared" ref="S301:S364" si="124">(P301^2+$D$23^2)^(3/2)</f>
        <v>20797521055635.359</v>
      </c>
      <c r="T301">
        <f t="shared" si="100"/>
        <v>0.5</v>
      </c>
      <c r="X301" s="101">
        <v>258</v>
      </c>
      <c r="Y301" s="101">
        <f t="shared" si="101"/>
        <v>8960.4415459112006</v>
      </c>
      <c r="Z301" s="101">
        <f t="shared" si="102"/>
        <v>2609.2619963309717</v>
      </c>
      <c r="AA301" s="101">
        <f t="shared" si="103"/>
        <v>-20727.690917862161</v>
      </c>
      <c r="AB301" s="101">
        <f t="shared" si="104"/>
        <v>6576.4833974316807</v>
      </c>
      <c r="AC301" s="101">
        <f t="shared" si="105"/>
        <v>-6039.5584540887994</v>
      </c>
      <c r="AD301" s="101">
        <f t="shared" si="106"/>
        <v>-19890.73800366903</v>
      </c>
    </row>
    <row r="302" spans="1:30" x14ac:dyDescent="0.25">
      <c r="A302">
        <v>129.5</v>
      </c>
      <c r="B302" s="95">
        <f t="shared" si="107"/>
        <v>9525.3409355289914</v>
      </c>
      <c r="C302" s="95">
        <f t="shared" si="108"/>
        <v>5856.5772487936802</v>
      </c>
      <c r="D302" s="95">
        <f t="shared" si="109"/>
        <v>413.20413965376213</v>
      </c>
      <c r="E302" s="95">
        <f t="shared" si="110"/>
        <v>-507.84910199593577</v>
      </c>
      <c r="F302" s="96">
        <f t="shared" si="111"/>
        <v>-318.79380501723551</v>
      </c>
      <c r="G302" s="94">
        <f t="shared" si="112"/>
        <v>326.03180895893865</v>
      </c>
      <c r="H302" s="97">
        <f t="shared" si="113"/>
        <v>239.8630812623274</v>
      </c>
      <c r="I302" s="94">
        <f t="shared" si="114"/>
        <v>830.4833393633337</v>
      </c>
      <c r="J302" s="95">
        <f t="shared" si="115"/>
        <v>-188.87718843782946</v>
      </c>
      <c r="K302" s="94">
        <f t="shared" si="116"/>
        <v>26.505978083912826</v>
      </c>
      <c r="L302" s="94">
        <f t="shared" si="117"/>
        <v>-369.77969784173348</v>
      </c>
      <c r="M302" s="94">
        <f t="shared" si="118"/>
        <v>-530.95750848830789</v>
      </c>
      <c r="N302" s="99">
        <f t="shared" si="119"/>
        <v>1547.5212378145573</v>
      </c>
      <c r="O302" s="99">
        <f t="shared" si="120"/>
        <v>29575.608952727503</v>
      </c>
      <c r="P302" s="100">
        <f t="shared" si="121"/>
        <v>25508.421529823725</v>
      </c>
      <c r="Q302" s="95">
        <f t="shared" si="122"/>
        <v>1036136547882.6943</v>
      </c>
      <c r="R302" s="95">
        <f t="shared" si="123"/>
        <v>28074249433475.098</v>
      </c>
      <c r="S302" s="95">
        <f t="shared" si="124"/>
        <v>20567518372103.754</v>
      </c>
      <c r="T302">
        <f t="shared" si="100"/>
        <v>0.5</v>
      </c>
      <c r="X302" s="101">
        <v>259</v>
      </c>
      <c r="Y302" s="101">
        <f t="shared" si="101"/>
        <v>9045.9550231172725</v>
      </c>
      <c r="Z302" s="101">
        <f t="shared" si="102"/>
        <v>2591.8640827616809</v>
      </c>
      <c r="AA302" s="101">
        <f t="shared" si="103"/>
        <v>-20667.83148381791</v>
      </c>
      <c r="AB302" s="101">
        <f t="shared" si="104"/>
        <v>6564.3048579331771</v>
      </c>
      <c r="AC302" s="101">
        <f t="shared" si="105"/>
        <v>-5954.0449768827275</v>
      </c>
      <c r="AD302" s="101">
        <f t="shared" si="106"/>
        <v>-19908.13591723832</v>
      </c>
    </row>
    <row r="303" spans="1:30" x14ac:dyDescent="0.25">
      <c r="A303">
        <v>130</v>
      </c>
      <c r="B303" s="95">
        <f t="shared" si="107"/>
        <v>9652.2445541015622</v>
      </c>
      <c r="C303" s="95">
        <f t="shared" si="108"/>
        <v>5684.1606500354465</v>
      </c>
      <c r="D303" s="95">
        <f t="shared" si="109"/>
        <v>253.80723714514437</v>
      </c>
      <c r="E303" s="95">
        <f t="shared" si="110"/>
        <v>-344.83319751646644</v>
      </c>
      <c r="F303" s="96">
        <f t="shared" si="111"/>
        <v>-387.56247160365297</v>
      </c>
      <c r="G303" s="94">
        <f t="shared" si="112"/>
        <v>405.95084141713971</v>
      </c>
      <c r="H303" s="97">
        <f t="shared" si="113"/>
        <v>174.37492588652768</v>
      </c>
      <c r="I303" s="94">
        <f t="shared" si="114"/>
        <v>910.5158691443861</v>
      </c>
      <c r="J303" s="95">
        <f t="shared" si="115"/>
        <v>-185.3984033398533</v>
      </c>
      <c r="K303" s="94">
        <f t="shared" si="116"/>
        <v>26.984457216884113</v>
      </c>
      <c r="L303" s="94">
        <f t="shared" si="117"/>
        <v>-376.53899415032731</v>
      </c>
      <c r="M303" s="94">
        <f t="shared" si="118"/>
        <v>-531.54948494413054</v>
      </c>
      <c r="N303" s="99">
        <f t="shared" si="119"/>
        <v>1710.5962605673622</v>
      </c>
      <c r="O303" s="99">
        <f t="shared" si="120"/>
        <v>29814.655950630022</v>
      </c>
      <c r="P303" s="100">
        <f t="shared" si="121"/>
        <v>25416.182715511244</v>
      </c>
      <c r="Q303" s="95">
        <f t="shared" si="122"/>
        <v>1044211630510.1777</v>
      </c>
      <c r="R303" s="95">
        <f t="shared" si="123"/>
        <v>28723960839275.953</v>
      </c>
      <c r="S303" s="95">
        <f t="shared" si="124"/>
        <v>20374775063088.246</v>
      </c>
      <c r="T303">
        <f t="shared" si="100"/>
        <v>0.5</v>
      </c>
      <c r="X303" s="101">
        <v>260</v>
      </c>
      <c r="Y303" s="101">
        <f t="shared" si="101"/>
        <v>9131.7591116653475</v>
      </c>
      <c r="Z303" s="101">
        <f t="shared" si="102"/>
        <v>2575.9612349389599</v>
      </c>
      <c r="AA303" s="101">
        <f t="shared" si="103"/>
        <v>-20607.768621834257</v>
      </c>
      <c r="AB303" s="101">
        <f t="shared" si="104"/>
        <v>6553.1728644572722</v>
      </c>
      <c r="AC303" s="101">
        <f t="shared" si="105"/>
        <v>-5868.2408883346516</v>
      </c>
      <c r="AD303" s="101">
        <f t="shared" si="106"/>
        <v>-19924.038765061039</v>
      </c>
    </row>
    <row r="304" spans="1:30" x14ac:dyDescent="0.25">
      <c r="A304">
        <v>130.5</v>
      </c>
      <c r="B304" s="95">
        <f t="shared" si="107"/>
        <v>9682.2575547732213</v>
      </c>
      <c r="C304" s="95">
        <f t="shared" si="108"/>
        <v>5613.2317616314986</v>
      </c>
      <c r="D304" s="95">
        <f t="shared" si="109"/>
        <v>60.026001343317887</v>
      </c>
      <c r="E304" s="95">
        <f t="shared" si="110"/>
        <v>-141.85777680789658</v>
      </c>
      <c r="F304" s="96">
        <f t="shared" si="111"/>
        <v>-404.716197958458</v>
      </c>
      <c r="G304" s="94">
        <f t="shared" si="112"/>
        <v>432.94351965214094</v>
      </c>
      <c r="H304" s="97">
        <f t="shared" si="113"/>
        <v>158.18975504231454</v>
      </c>
      <c r="I304" s="94">
        <f t="shared" si="114"/>
        <v>939.33753558203659</v>
      </c>
      <c r="J304" s="95">
        <f t="shared" si="115"/>
        <v>-182.95565081780595</v>
      </c>
      <c r="K304" s="94">
        <f t="shared" si="116"/>
        <v>27.039184487789246</v>
      </c>
      <c r="L304" s="94">
        <f t="shared" si="117"/>
        <v>-379.9503021829666</v>
      </c>
      <c r="M304" s="94">
        <f t="shared" si="118"/>
        <v>-533.43320041768493</v>
      </c>
      <c r="N304" s="99">
        <f t="shared" si="119"/>
        <v>1848.8392020486026</v>
      </c>
      <c r="O304" s="99">
        <f t="shared" si="120"/>
        <v>29964.680482043324</v>
      </c>
      <c r="P304" s="100">
        <f t="shared" si="121"/>
        <v>25348.032907302168</v>
      </c>
      <c r="Q304" s="95">
        <f t="shared" si="122"/>
        <v>1051708786272.8423</v>
      </c>
      <c r="R304" s="95">
        <f t="shared" si="123"/>
        <v>29136933566240.508</v>
      </c>
      <c r="S304" s="95">
        <f t="shared" si="124"/>
        <v>20233204275742.703</v>
      </c>
      <c r="T304">
        <f t="shared" si="100"/>
        <v>0.5</v>
      </c>
      <c r="X304" s="101">
        <v>261</v>
      </c>
      <c r="Y304" s="101">
        <f t="shared" si="101"/>
        <v>9217.8276747988457</v>
      </c>
      <c r="Z304" s="101">
        <f t="shared" si="102"/>
        <v>2561.5582970243113</v>
      </c>
      <c r="AA304" s="101">
        <f t="shared" si="103"/>
        <v>-20547.52062764081</v>
      </c>
      <c r="AB304" s="101">
        <f t="shared" si="104"/>
        <v>6543.0908079170185</v>
      </c>
      <c r="AC304" s="101">
        <f t="shared" si="105"/>
        <v>-5782.1723252011552</v>
      </c>
      <c r="AD304" s="101">
        <f t="shared" si="106"/>
        <v>-19938.441702975688</v>
      </c>
    </row>
    <row r="305" spans="1:30" x14ac:dyDescent="0.25">
      <c r="A305">
        <v>131</v>
      </c>
      <c r="B305" s="95">
        <f t="shared" si="107"/>
        <v>9611.0915059552663</v>
      </c>
      <c r="C305" s="95">
        <f t="shared" si="108"/>
        <v>5650.5387531405859</v>
      </c>
      <c r="D305" s="95">
        <f t="shared" si="109"/>
        <v>-142.33209763591111</v>
      </c>
      <c r="E305" s="95">
        <f t="shared" si="110"/>
        <v>74.613983018173883</v>
      </c>
      <c r="F305" s="96">
        <f t="shared" si="111"/>
        <v>-368.56409058857673</v>
      </c>
      <c r="G305" s="94">
        <f t="shared" si="112"/>
        <v>407.6226280829917</v>
      </c>
      <c r="H305" s="97">
        <f t="shared" si="113"/>
        <v>192.94071037370966</v>
      </c>
      <c r="I305" s="94">
        <f t="shared" si="114"/>
        <v>917.53297303055956</v>
      </c>
      <c r="J305" s="95">
        <f t="shared" si="115"/>
        <v>-181.8258221246482</v>
      </c>
      <c r="K305" s="94">
        <f t="shared" si="116"/>
        <v>26.707707375476481</v>
      </c>
      <c r="L305" s="94">
        <f t="shared" si="117"/>
        <v>-379.67897883763823</v>
      </c>
      <c r="M305" s="94">
        <f t="shared" si="118"/>
        <v>-536.61805232304437</v>
      </c>
      <c r="N305" s="99">
        <f t="shared" si="119"/>
        <v>1913.3359994561515</v>
      </c>
      <c r="O305" s="99">
        <f t="shared" si="120"/>
        <v>30004.66878879103</v>
      </c>
      <c r="P305" s="100">
        <f t="shared" si="121"/>
        <v>25307.588003668563</v>
      </c>
      <c r="Q305" s="95">
        <f t="shared" si="122"/>
        <v>1055412364281.1466</v>
      </c>
      <c r="R305" s="95">
        <f t="shared" si="123"/>
        <v>29247691878353.637</v>
      </c>
      <c r="S305" s="95">
        <f t="shared" si="124"/>
        <v>20149521172054.125</v>
      </c>
      <c r="T305">
        <f t="shared" si="100"/>
        <v>0.5</v>
      </c>
      <c r="X305" s="101">
        <v>262</v>
      </c>
      <c r="Y305" s="101">
        <f t="shared" si="101"/>
        <v>9304.1344951996762</v>
      </c>
      <c r="Z305" s="101">
        <f t="shared" si="102"/>
        <v>2548.6596562921486</v>
      </c>
      <c r="AA305" s="101">
        <f t="shared" si="103"/>
        <v>-20487.105853360226</v>
      </c>
      <c r="AB305" s="101">
        <f t="shared" si="104"/>
        <v>6534.0617594045034</v>
      </c>
      <c r="AC305" s="101">
        <f t="shared" si="105"/>
        <v>-5695.8655048003247</v>
      </c>
      <c r="AD305" s="101">
        <f t="shared" si="106"/>
        <v>-19951.340343707852</v>
      </c>
    </row>
    <row r="306" spans="1:30" x14ac:dyDescent="0.25">
      <c r="A306">
        <v>131.5</v>
      </c>
      <c r="B306" s="95">
        <f t="shared" si="107"/>
        <v>9447.7844344901678</v>
      </c>
      <c r="C306" s="95">
        <f t="shared" si="108"/>
        <v>5789.7514016704208</v>
      </c>
      <c r="D306" s="95">
        <f t="shared" si="109"/>
        <v>-326.61414293019948</v>
      </c>
      <c r="E306" s="95">
        <f t="shared" si="110"/>
        <v>278.42529705966973</v>
      </c>
      <c r="F306" s="96">
        <f t="shared" si="111"/>
        <v>-283.66778246342056</v>
      </c>
      <c r="G306" s="94">
        <f t="shared" si="112"/>
        <v>334.77034272672392</v>
      </c>
      <c r="H306" s="97">
        <f t="shared" si="113"/>
        <v>274.3122817116859</v>
      </c>
      <c r="I306" s="94">
        <f t="shared" si="114"/>
        <v>849.56351215646112</v>
      </c>
      <c r="J306" s="95">
        <f t="shared" si="115"/>
        <v>-182.12965626576772</v>
      </c>
      <c r="K306" s="94">
        <f t="shared" si="116"/>
        <v>26.039688374962545</v>
      </c>
      <c r="L306" s="94">
        <f t="shared" si="117"/>
        <v>-375.85040790933874</v>
      </c>
      <c r="M306" s="94">
        <f t="shared" si="118"/>
        <v>-540.83285780469976</v>
      </c>
      <c r="N306" s="99">
        <f t="shared" si="119"/>
        <v>1889.9091831024371</v>
      </c>
      <c r="O306" s="99">
        <f t="shared" si="120"/>
        <v>29928.824790024548</v>
      </c>
      <c r="P306" s="100">
        <f t="shared" si="121"/>
        <v>25296.812957176233</v>
      </c>
      <c r="Q306" s="95">
        <f t="shared" si="122"/>
        <v>1054051944605.1212</v>
      </c>
      <c r="R306" s="95">
        <f t="shared" si="123"/>
        <v>29037866194939.688</v>
      </c>
      <c r="S306" s="95">
        <f t="shared" si="124"/>
        <v>20127268936826.523</v>
      </c>
      <c r="T306">
        <f t="shared" si="100"/>
        <v>0.5</v>
      </c>
      <c r="X306" s="101">
        <v>263</v>
      </c>
      <c r="Y306" s="101">
        <f t="shared" si="101"/>
        <v>9390.6532829742646</v>
      </c>
      <c r="Z306" s="101">
        <f t="shared" si="102"/>
        <v>2537.2692417933895</v>
      </c>
      <c r="AA306" s="101">
        <f t="shared" si="103"/>
        <v>-20426.542701918013</v>
      </c>
      <c r="AB306" s="101">
        <f t="shared" si="104"/>
        <v>6526.0884692553727</v>
      </c>
      <c r="AC306" s="101">
        <f t="shared" si="105"/>
        <v>-5609.3467170257354</v>
      </c>
      <c r="AD306" s="101">
        <f t="shared" si="106"/>
        <v>-19962.73075820661</v>
      </c>
    </row>
    <row r="307" spans="1:30" x14ac:dyDescent="0.25">
      <c r="A307">
        <v>132</v>
      </c>
      <c r="B307" s="95">
        <f t="shared" si="107"/>
        <v>9213.5604174092132</v>
      </c>
      <c r="C307" s="95">
        <f t="shared" si="108"/>
        <v>6012.6566358819364</v>
      </c>
      <c r="D307" s="95">
        <f t="shared" si="109"/>
        <v>-468.44803416190973</v>
      </c>
      <c r="E307" s="95">
        <f t="shared" si="110"/>
        <v>445.81046842303169</v>
      </c>
      <c r="F307" s="96">
        <f t="shared" si="111"/>
        <v>-160.22127567314246</v>
      </c>
      <c r="G307" s="94">
        <f t="shared" si="112"/>
        <v>222.10102017517522</v>
      </c>
      <c r="H307" s="97">
        <f t="shared" si="113"/>
        <v>392.60495365990937</v>
      </c>
      <c r="I307" s="94">
        <f t="shared" si="114"/>
        <v>742.50887858704141</v>
      </c>
      <c r="J307" s="95">
        <f t="shared" si="115"/>
        <v>-183.83488338984822</v>
      </c>
      <c r="K307" s="94">
        <f t="shared" si="116"/>
        <v>25.091525712870848</v>
      </c>
      <c r="L307" s="94">
        <f t="shared" si="117"/>
        <v>-368.99134594320361</v>
      </c>
      <c r="M307" s="94">
        <f t="shared" si="118"/>
        <v>-545.49938412473705</v>
      </c>
      <c r="N307" s="99">
        <f t="shared" si="119"/>
        <v>1797.1901120581635</v>
      </c>
      <c r="O307" s="99">
        <f t="shared" si="120"/>
        <v>29747.238550156846</v>
      </c>
      <c r="P307" s="100">
        <f t="shared" si="121"/>
        <v>25317.034550056484</v>
      </c>
      <c r="Q307" s="95">
        <f t="shared" si="122"/>
        <v>1048837511314.9312</v>
      </c>
      <c r="R307" s="95">
        <f t="shared" si="123"/>
        <v>28539693745249.277</v>
      </c>
      <c r="S307" s="95">
        <f t="shared" si="124"/>
        <v>20169044378058.227</v>
      </c>
      <c r="T307">
        <f t="shared" si="100"/>
        <v>0.5</v>
      </c>
      <c r="X307" s="101">
        <v>264</v>
      </c>
      <c r="Y307" s="101">
        <f t="shared" si="101"/>
        <v>9477.357683661734</v>
      </c>
      <c r="Z307" s="101">
        <f t="shared" si="102"/>
        <v>2527.3905231586332</v>
      </c>
      <c r="AA307" s="101">
        <f t="shared" si="103"/>
        <v>-20365.849621436788</v>
      </c>
      <c r="AB307" s="101">
        <f t="shared" si="104"/>
        <v>6519.1733662110437</v>
      </c>
      <c r="AC307" s="101">
        <f t="shared" si="105"/>
        <v>-5522.6423163382669</v>
      </c>
      <c r="AD307" s="101">
        <f t="shared" si="106"/>
        <v>-19972.609476841368</v>
      </c>
    </row>
    <row r="308" spans="1:30" x14ac:dyDescent="0.25">
      <c r="A308">
        <v>132.5</v>
      </c>
      <c r="B308" s="95">
        <f t="shared" si="107"/>
        <v>8939.2810814099721</v>
      </c>
      <c r="C308" s="95">
        <f t="shared" si="108"/>
        <v>6291.0871251372455</v>
      </c>
      <c r="D308" s="95">
        <f t="shared" si="109"/>
        <v>-548.55867199848092</v>
      </c>
      <c r="E308" s="95">
        <f t="shared" si="110"/>
        <v>556.86097851061936</v>
      </c>
      <c r="F308" s="96">
        <f t="shared" si="111"/>
        <v>-14.113229463515779</v>
      </c>
      <c r="G308" s="94">
        <f t="shared" si="112"/>
        <v>81.138897459346822</v>
      </c>
      <c r="H308" s="97">
        <f t="shared" si="113"/>
        <v>532.61683728643743</v>
      </c>
      <c r="I308" s="94">
        <f t="shared" si="114"/>
        <v>607.02919565170885</v>
      </c>
      <c r="J308" s="95">
        <f t="shared" si="115"/>
        <v>-186.75902551065002</v>
      </c>
      <c r="K308" s="94">
        <f t="shared" si="116"/>
        <v>23.935389143382384</v>
      </c>
      <c r="L308" s="94">
        <f t="shared" si="117"/>
        <v>-359.97104123930319</v>
      </c>
      <c r="M308" s="94">
        <f t="shared" si="118"/>
        <v>-549.82568733574442</v>
      </c>
      <c r="N308" s="99">
        <f t="shared" si="119"/>
        <v>1682.4617380052391</v>
      </c>
      <c r="O308" s="99">
        <f t="shared" si="120"/>
        <v>29484.419942827346</v>
      </c>
      <c r="P308" s="100">
        <f t="shared" si="121"/>
        <v>25368.42601811975</v>
      </c>
      <c r="Q308" s="95">
        <f t="shared" si="122"/>
        <v>1042759237310.7892</v>
      </c>
      <c r="R308" s="95">
        <f t="shared" si="123"/>
        <v>27829082049047.305</v>
      </c>
      <c r="S308" s="95">
        <f t="shared" si="124"/>
        <v>20275493500308.551</v>
      </c>
      <c r="T308">
        <f t="shared" si="100"/>
        <v>0.5</v>
      </c>
      <c r="X308" s="101">
        <v>265</v>
      </c>
      <c r="Y308" s="101">
        <f t="shared" si="101"/>
        <v>9564.2212862617089</v>
      </c>
      <c r="Z308" s="101">
        <f t="shared" si="102"/>
        <v>2519.0265095412724</v>
      </c>
      <c r="AA308" s="101">
        <f t="shared" si="103"/>
        <v>-20305.045099616804</v>
      </c>
      <c r="AB308" s="101">
        <f t="shared" si="104"/>
        <v>6513.3185566788907</v>
      </c>
      <c r="AC308" s="101">
        <f t="shared" si="105"/>
        <v>-5435.7787137382911</v>
      </c>
      <c r="AD308" s="101">
        <f t="shared" si="106"/>
        <v>-19980.973490458728</v>
      </c>
    </row>
    <row r="309" spans="1:30" x14ac:dyDescent="0.25">
      <c r="A309">
        <v>133</v>
      </c>
      <c r="B309" s="95">
        <f t="shared" si="107"/>
        <v>8661.4734380448517</v>
      </c>
      <c r="C309" s="95">
        <f t="shared" si="108"/>
        <v>6589.8023387573921</v>
      </c>
      <c r="D309" s="95">
        <f t="shared" si="109"/>
        <v>-555.61528673023884</v>
      </c>
      <c r="E309" s="95">
        <f t="shared" si="110"/>
        <v>597.43042724029283</v>
      </c>
      <c r="F309" s="96">
        <f t="shared" si="111"/>
        <v>134.0126072466611</v>
      </c>
      <c r="G309" s="94">
        <f t="shared" si="112"/>
        <v>-71.66532594764584</v>
      </c>
      <c r="H309" s="97">
        <f t="shared" si="113"/>
        <v>674.51202040932287</v>
      </c>
      <c r="I309" s="94">
        <f t="shared" si="114"/>
        <v>458.66797186290273</v>
      </c>
      <c r="J309" s="95">
        <f t="shared" si="115"/>
        <v>-190.57030378624358</v>
      </c>
      <c r="K309" s="94">
        <f t="shared" si="116"/>
        <v>22.674424107292968</v>
      </c>
      <c r="L309" s="94">
        <f t="shared" si="117"/>
        <v>-349.92910937641818</v>
      </c>
      <c r="M309" s="94">
        <f t="shared" si="118"/>
        <v>-553.00772191784154</v>
      </c>
      <c r="N309" s="99">
        <f t="shared" si="119"/>
        <v>1608.2894525749177</v>
      </c>
      <c r="O309" s="99">
        <f t="shared" si="120"/>
        <v>29175.98368902368</v>
      </c>
      <c r="P309" s="100">
        <f t="shared" si="121"/>
        <v>25448.260216304352</v>
      </c>
      <c r="Q309" s="95">
        <f t="shared" si="122"/>
        <v>1039048745966.3204</v>
      </c>
      <c r="R309" s="95">
        <f t="shared" si="123"/>
        <v>27010711798160.832</v>
      </c>
      <c r="S309" s="95">
        <f t="shared" si="124"/>
        <v>20441656819508.418</v>
      </c>
      <c r="T309">
        <f t="shared" si="100"/>
        <v>0.5</v>
      </c>
      <c r="X309" s="101">
        <v>266</v>
      </c>
      <c r="Y309" s="101">
        <f t="shared" si="101"/>
        <v>9651.2176312793727</v>
      </c>
      <c r="Z309" s="101">
        <f t="shared" si="102"/>
        <v>2512.1797487008789</v>
      </c>
      <c r="AA309" s="101">
        <f t="shared" si="103"/>
        <v>-20244.147658104441</v>
      </c>
      <c r="AB309" s="101">
        <f t="shared" si="104"/>
        <v>6508.5258240906151</v>
      </c>
      <c r="AC309" s="101">
        <f t="shared" si="105"/>
        <v>-5348.7823687206283</v>
      </c>
      <c r="AD309" s="101">
        <f t="shared" si="106"/>
        <v>-19987.820251299119</v>
      </c>
    </row>
    <row r="310" spans="1:30" x14ac:dyDescent="0.25">
      <c r="A310">
        <v>133.5</v>
      </c>
      <c r="B310" s="95">
        <f t="shared" si="107"/>
        <v>8417.1689464913979</v>
      </c>
      <c r="C310" s="95">
        <f t="shared" si="108"/>
        <v>6870.6012208906277</v>
      </c>
      <c r="D310" s="95">
        <f t="shared" si="109"/>
        <v>-488.60898310690828</v>
      </c>
      <c r="E310" s="95">
        <f t="shared" si="110"/>
        <v>561.59776426646988</v>
      </c>
      <c r="F310" s="96">
        <f t="shared" si="111"/>
        <v>262.27470200027147</v>
      </c>
      <c r="G310" s="94">
        <f t="shared" si="112"/>
        <v>-216.00641359864062</v>
      </c>
      <c r="H310" s="97">
        <f t="shared" si="113"/>
        <v>797.23150110306221</v>
      </c>
      <c r="I310" s="94">
        <f t="shared" si="114"/>
        <v>317.01206035194366</v>
      </c>
      <c r="J310" s="95">
        <f t="shared" si="115"/>
        <v>-194.80037876042815</v>
      </c>
      <c r="K310" s="94">
        <f t="shared" si="116"/>
        <v>21.452104135031863</v>
      </c>
      <c r="L310" s="94">
        <f t="shared" si="117"/>
        <v>-340.15642034236265</v>
      </c>
      <c r="M310" s="94">
        <f t="shared" si="118"/>
        <v>-554.47057808561613</v>
      </c>
      <c r="N310" s="99">
        <f t="shared" si="119"/>
        <v>1618.6763541829423</v>
      </c>
      <c r="O310" s="99">
        <f t="shared" si="120"/>
        <v>28863.636425933844</v>
      </c>
      <c r="P310" s="100">
        <f t="shared" si="121"/>
        <v>25549.078682508673</v>
      </c>
      <c r="Q310" s="95">
        <f t="shared" si="122"/>
        <v>1039558021038.271</v>
      </c>
      <c r="R310" s="95">
        <f t="shared" si="123"/>
        <v>26198942074109.48</v>
      </c>
      <c r="S310" s="95">
        <f t="shared" si="124"/>
        <v>20652890294728.625</v>
      </c>
      <c r="T310">
        <f t="shared" si="100"/>
        <v>0.5</v>
      </c>
      <c r="X310" s="101">
        <v>267</v>
      </c>
      <c r="Y310" s="101">
        <f t="shared" si="101"/>
        <v>9738.3202187852785</v>
      </c>
      <c r="Z310" s="101">
        <f t="shared" si="102"/>
        <v>2506.852326227131</v>
      </c>
      <c r="AA310" s="101">
        <f t="shared" si="103"/>
        <v>-20183.175846850307</v>
      </c>
      <c r="AB310" s="101">
        <f t="shared" si="104"/>
        <v>6504.7966283589922</v>
      </c>
      <c r="AC310" s="101">
        <f t="shared" si="105"/>
        <v>-5261.6797812147215</v>
      </c>
      <c r="AD310" s="101">
        <f t="shared" si="106"/>
        <v>-19993.14767377287</v>
      </c>
    </row>
    <row r="311" spans="1:30" x14ac:dyDescent="0.25">
      <c r="A311">
        <v>134</v>
      </c>
      <c r="B311" s="95">
        <f t="shared" si="107"/>
        <v>8238.4331304380121</v>
      </c>
      <c r="C311" s="95">
        <f t="shared" si="108"/>
        <v>7097.3984996242025</v>
      </c>
      <c r="D311" s="95">
        <f t="shared" si="109"/>
        <v>-357.47163210677252</v>
      </c>
      <c r="E311" s="95">
        <f t="shared" si="110"/>
        <v>453.59455746714957</v>
      </c>
      <c r="F311" s="96">
        <f t="shared" si="111"/>
        <v>352.8089144703381</v>
      </c>
      <c r="G311" s="94">
        <f t="shared" si="112"/>
        <v>-331.64704733743588</v>
      </c>
      <c r="H311" s="97">
        <f t="shared" si="113"/>
        <v>883.61934844946245</v>
      </c>
      <c r="I311" s="94">
        <f t="shared" si="114"/>
        <v>201.94889083903715</v>
      </c>
      <c r="J311" s="95">
        <f t="shared" si="115"/>
        <v>-198.88834730542115</v>
      </c>
      <c r="K311" s="94">
        <f t="shared" si="116"/>
        <v>20.443542764195275</v>
      </c>
      <c r="L311" s="94">
        <f t="shared" si="117"/>
        <v>-331.92208667370323</v>
      </c>
      <c r="M311" s="94">
        <f t="shared" si="118"/>
        <v>-554.03948094066834</v>
      </c>
      <c r="N311" s="99">
        <f t="shared" si="119"/>
        <v>1703.3781045603232</v>
      </c>
      <c r="O311" s="99">
        <f t="shared" si="120"/>
        <v>28588.959891051061</v>
      </c>
      <c r="P311" s="100">
        <f t="shared" si="121"/>
        <v>25658.20765957583</v>
      </c>
      <c r="Q311" s="95">
        <f t="shared" si="122"/>
        <v>1043836644880.7316</v>
      </c>
      <c r="R311" s="95">
        <f t="shared" si="123"/>
        <v>25499049893042.711</v>
      </c>
      <c r="S311" s="95">
        <f t="shared" si="124"/>
        <v>20883296581439.758</v>
      </c>
      <c r="T311">
        <f t="shared" si="100"/>
        <v>0.5</v>
      </c>
      <c r="X311" s="101">
        <v>268</v>
      </c>
      <c r="Y311" s="101">
        <f t="shared" si="101"/>
        <v>9825.5025164874914</v>
      </c>
      <c r="Z311" s="101">
        <f t="shared" si="102"/>
        <v>2503.0458649045213</v>
      </c>
      <c r="AA311" s="101">
        <f t="shared" si="103"/>
        <v>-20122.148238458754</v>
      </c>
      <c r="AB311" s="101">
        <f t="shared" si="104"/>
        <v>6502.1321054331656</v>
      </c>
      <c r="AC311" s="101">
        <f t="shared" si="105"/>
        <v>-5174.4974835125086</v>
      </c>
      <c r="AD311" s="101">
        <f t="shared" si="106"/>
        <v>-19996.954135095479</v>
      </c>
    </row>
    <row r="312" spans="1:30" x14ac:dyDescent="0.25">
      <c r="A312">
        <v>134.5</v>
      </c>
      <c r="B312" s="95">
        <f t="shared" si="107"/>
        <v>8147.8995430022105</v>
      </c>
      <c r="C312" s="95">
        <f t="shared" si="108"/>
        <v>7241.2840165234184</v>
      </c>
      <c r="D312" s="95">
        <f t="shared" si="109"/>
        <v>-181.06717487160347</v>
      </c>
      <c r="E312" s="95">
        <f t="shared" si="110"/>
        <v>287.77103379843163</v>
      </c>
      <c r="F312" s="96">
        <f t="shared" si="111"/>
        <v>395.57974644609766</v>
      </c>
      <c r="G312" s="94">
        <f t="shared" si="112"/>
        <v>-403.03914720449126</v>
      </c>
      <c r="H312" s="97">
        <f t="shared" si="113"/>
        <v>924.128020821056</v>
      </c>
      <c r="I312" s="94">
        <f t="shared" si="114"/>
        <v>129.08948262587239</v>
      </c>
      <c r="J312" s="95">
        <f t="shared" si="115"/>
        <v>-202.26274661145072</v>
      </c>
      <c r="K312" s="94">
        <f t="shared" si="116"/>
        <v>19.823343162300098</v>
      </c>
      <c r="L312" s="94">
        <f t="shared" si="117"/>
        <v>-326.28552776350767</v>
      </c>
      <c r="M312" s="94">
        <f t="shared" si="118"/>
        <v>-551.95197299266374</v>
      </c>
      <c r="N312" s="99">
        <f t="shared" si="119"/>
        <v>1806.9880475651369</v>
      </c>
      <c r="O312" s="99">
        <f t="shared" si="120"/>
        <v>28387.218974957777</v>
      </c>
      <c r="P312" s="100">
        <f t="shared" si="121"/>
        <v>25759.486256528347</v>
      </c>
      <c r="Q312" s="95">
        <f t="shared" si="122"/>
        <v>1049375746346.8059</v>
      </c>
      <c r="R312" s="95">
        <f t="shared" si="123"/>
        <v>24993255813387.172</v>
      </c>
      <c r="S312" s="95">
        <f t="shared" si="124"/>
        <v>21098772445080.949</v>
      </c>
      <c r="T312">
        <f t="shared" si="100"/>
        <v>0.5</v>
      </c>
      <c r="X312" s="101">
        <v>269</v>
      </c>
      <c r="Y312" s="101">
        <f t="shared" si="101"/>
        <v>9912.7379678135821</v>
      </c>
      <c r="Z312" s="101">
        <f t="shared" si="102"/>
        <v>2500.7615242180436</v>
      </c>
      <c r="AA312" s="101">
        <f t="shared" si="103"/>
        <v>-20061.083422530493</v>
      </c>
      <c r="AB312" s="101">
        <f t="shared" si="104"/>
        <v>6500.5330669526302</v>
      </c>
      <c r="AC312" s="101">
        <f t="shared" si="105"/>
        <v>-5087.2620321864179</v>
      </c>
      <c r="AD312" s="101">
        <f t="shared" si="106"/>
        <v>-19999.238475781956</v>
      </c>
    </row>
    <row r="313" spans="1:30" x14ac:dyDescent="0.25">
      <c r="A313">
        <v>135</v>
      </c>
      <c r="B313" s="95">
        <f t="shared" si="107"/>
        <v>8156.2608921779338</v>
      </c>
      <c r="C313" s="95">
        <f t="shared" si="108"/>
        <v>7284.4097466215117</v>
      </c>
      <c r="D313" s="95">
        <f t="shared" si="109"/>
        <v>16.722698351445359</v>
      </c>
      <c r="E313" s="95">
        <f t="shared" si="110"/>
        <v>86.251460196186002</v>
      </c>
      <c r="F313" s="96">
        <f t="shared" si="111"/>
        <v>388.47180601730628</v>
      </c>
      <c r="G313" s="94">
        <f t="shared" si="112"/>
        <v>-421.78686499508876</v>
      </c>
      <c r="H313" s="97">
        <f t="shared" si="113"/>
        <v>916.86443262962564</v>
      </c>
      <c r="I313" s="94">
        <f t="shared" si="114"/>
        <v>107.20987286419334</v>
      </c>
      <c r="J313" s="95">
        <f t="shared" si="115"/>
        <v>-204.44269347420035</v>
      </c>
      <c r="K313" s="94">
        <f t="shared" si="116"/>
        <v>19.717908848018208</v>
      </c>
      <c r="L313" s="94">
        <f t="shared" si="117"/>
        <v>-323.94993313811898</v>
      </c>
      <c r="M313" s="94">
        <f t="shared" si="118"/>
        <v>-548.71464670730029</v>
      </c>
      <c r="N313" s="99">
        <f t="shared" si="119"/>
        <v>1870.0829026857809</v>
      </c>
      <c r="O313" s="99">
        <f t="shared" si="120"/>
        <v>28282.764408035386</v>
      </c>
      <c r="P313" s="100">
        <f t="shared" si="121"/>
        <v>25836.833728159065</v>
      </c>
      <c r="Q313" s="95">
        <f t="shared" si="122"/>
        <v>1052914155050.7784</v>
      </c>
      <c r="R313" s="95">
        <f t="shared" si="123"/>
        <v>24734100950092.688</v>
      </c>
      <c r="S313" s="95">
        <f t="shared" si="124"/>
        <v>21264403507869.008</v>
      </c>
      <c r="T313">
        <f t="shared" si="100"/>
        <v>0.5</v>
      </c>
      <c r="X313" s="101">
        <v>270</v>
      </c>
      <c r="Y313" s="101">
        <f t="shared" si="101"/>
        <v>9999.9999999999982</v>
      </c>
      <c r="Z313" s="101">
        <f t="shared" si="102"/>
        <v>2500</v>
      </c>
      <c r="AA313" s="101">
        <f t="shared" si="103"/>
        <v>-20000</v>
      </c>
      <c r="AB313" s="101">
        <f t="shared" si="104"/>
        <v>6500</v>
      </c>
      <c r="AC313" s="101">
        <f t="shared" si="105"/>
        <v>-5000.0000000000009</v>
      </c>
      <c r="AD313" s="101">
        <f t="shared" si="106"/>
        <v>-20000</v>
      </c>
    </row>
    <row r="314" spans="1:30" x14ac:dyDescent="0.25">
      <c r="A314">
        <v>135.5</v>
      </c>
      <c r="B314" s="95">
        <f t="shared" si="107"/>
        <v>8261.740192857982</v>
      </c>
      <c r="C314" s="95">
        <f t="shared" si="108"/>
        <v>7222.0887604708332</v>
      </c>
      <c r="D314" s="95">
        <f t="shared" si="109"/>
        <v>210.9586013600985</v>
      </c>
      <c r="E314" s="95">
        <f t="shared" si="110"/>
        <v>-124.64197230135838</v>
      </c>
      <c r="F314" s="96">
        <f t="shared" si="111"/>
        <v>334.74526379371468</v>
      </c>
      <c r="G314" s="94">
        <f t="shared" si="112"/>
        <v>-386.43331812135523</v>
      </c>
      <c r="H314" s="97">
        <f t="shared" si="113"/>
        <v>865.05492423966291</v>
      </c>
      <c r="I314" s="94">
        <f t="shared" si="114"/>
        <v>138.30411614448178</v>
      </c>
      <c r="J314" s="95">
        <f t="shared" si="115"/>
        <v>-205.12350887627997</v>
      </c>
      <c r="K314" s="94">
        <f t="shared" si="116"/>
        <v>20.162059976160872</v>
      </c>
      <c r="L314" s="94">
        <f t="shared" si="117"/>
        <v>-325.18615156966825</v>
      </c>
      <c r="M314" s="94">
        <f t="shared" si="118"/>
        <v>-544.8994942419979</v>
      </c>
      <c r="N314" s="99">
        <f t="shared" si="119"/>
        <v>1856.3009063899929</v>
      </c>
      <c r="O314" s="99">
        <f t="shared" si="120"/>
        <v>28286.913190601634</v>
      </c>
      <c r="P314" s="100">
        <f t="shared" si="121"/>
        <v>25878.217064132728</v>
      </c>
      <c r="Q314" s="95">
        <f t="shared" si="122"/>
        <v>1052130542452.2837</v>
      </c>
      <c r="R314" s="95">
        <f t="shared" si="123"/>
        <v>24744358831989.141</v>
      </c>
      <c r="S314" s="95">
        <f t="shared" si="124"/>
        <v>21353402947097.926</v>
      </c>
      <c r="T314">
        <f t="shared" si="100"/>
        <v>0.5</v>
      </c>
      <c r="X314" s="101">
        <v>271</v>
      </c>
      <c r="Y314" s="101">
        <f t="shared" si="101"/>
        <v>10087.262032186416</v>
      </c>
      <c r="Z314" s="101">
        <f t="shared" si="102"/>
        <v>2500.7615242180436</v>
      </c>
      <c r="AA314" s="101">
        <f t="shared" si="103"/>
        <v>-19938.91657746951</v>
      </c>
      <c r="AB314" s="101">
        <f t="shared" si="104"/>
        <v>6500.5330669526302</v>
      </c>
      <c r="AC314" s="101">
        <f t="shared" si="105"/>
        <v>-4912.737967813584</v>
      </c>
      <c r="AD314" s="101">
        <f t="shared" si="106"/>
        <v>-19999.238475781956</v>
      </c>
    </row>
    <row r="315" spans="1:30" x14ac:dyDescent="0.25">
      <c r="A315">
        <v>136</v>
      </c>
      <c r="B315" s="95">
        <f t="shared" si="107"/>
        <v>8450.9058094864613</v>
      </c>
      <c r="C315" s="95">
        <f t="shared" si="108"/>
        <v>7063.1594447898151</v>
      </c>
      <c r="D315" s="95">
        <f t="shared" si="109"/>
        <v>378.33123325695584</v>
      </c>
      <c r="E315" s="95">
        <f t="shared" si="110"/>
        <v>-317.85863136203602</v>
      </c>
      <c r="F315" s="96">
        <f t="shared" si="111"/>
        <v>240.77336741701072</v>
      </c>
      <c r="G315" s="94">
        <f t="shared" si="112"/>
        <v>-301.41322186069709</v>
      </c>
      <c r="H315" s="97">
        <f t="shared" si="113"/>
        <v>774.81165840719109</v>
      </c>
      <c r="I315" s="94">
        <f t="shared" si="114"/>
        <v>218.49488372925595</v>
      </c>
      <c r="J315" s="95">
        <f t="shared" si="115"/>
        <v>-204.22194854169953</v>
      </c>
      <c r="K315" s="94">
        <f t="shared" si="116"/>
        <v>21.080780512138514</v>
      </c>
      <c r="L315" s="94">
        <f t="shared" si="117"/>
        <v>-329.8163424484809</v>
      </c>
      <c r="M315" s="94">
        <f t="shared" si="118"/>
        <v>-540.98888610209156</v>
      </c>
      <c r="N315" s="99">
        <f t="shared" si="119"/>
        <v>1760.3357106478422</v>
      </c>
      <c r="O315" s="99">
        <f t="shared" si="120"/>
        <v>28397.935657073856</v>
      </c>
      <c r="P315" s="100">
        <f t="shared" si="121"/>
        <v>25878.465600207233</v>
      </c>
      <c r="Q315" s="95">
        <f t="shared" si="122"/>
        <v>1046839980578.9484</v>
      </c>
      <c r="R315" s="95">
        <f t="shared" si="123"/>
        <v>25019949259320.117</v>
      </c>
      <c r="S315" s="95">
        <f t="shared" si="124"/>
        <v>21353938256213.887</v>
      </c>
      <c r="T315">
        <f t="shared" si="100"/>
        <v>0.5</v>
      </c>
      <c r="X315" s="101">
        <v>272</v>
      </c>
      <c r="Y315" s="101">
        <f t="shared" si="101"/>
        <v>10174.497483512507</v>
      </c>
      <c r="Z315" s="101">
        <f t="shared" si="102"/>
        <v>2503.0458649045213</v>
      </c>
      <c r="AA315" s="101">
        <f t="shared" si="103"/>
        <v>-19877.851761541246</v>
      </c>
      <c r="AB315" s="101">
        <f t="shared" si="104"/>
        <v>6502.1321054331647</v>
      </c>
      <c r="AC315" s="101">
        <f t="shared" si="105"/>
        <v>-4825.5025164874933</v>
      </c>
      <c r="AD315" s="101">
        <f t="shared" si="106"/>
        <v>-19996.954135095479</v>
      </c>
    </row>
    <row r="316" spans="1:30" x14ac:dyDescent="0.25">
      <c r="A316">
        <v>136.5</v>
      </c>
      <c r="B316" s="95">
        <f t="shared" si="107"/>
        <v>8700.2647679691909</v>
      </c>
      <c r="C316" s="95">
        <f t="shared" si="108"/>
        <v>6828.8768236436226</v>
      </c>
      <c r="D316" s="95">
        <f t="shared" si="109"/>
        <v>498.7179169654612</v>
      </c>
      <c r="E316" s="95">
        <f t="shared" si="110"/>
        <v>-468.5652422923846</v>
      </c>
      <c r="F316" s="96">
        <f t="shared" si="111"/>
        <v>115.81347128519781</v>
      </c>
      <c r="G316" s="94">
        <f t="shared" si="112"/>
        <v>-176.84200155564753</v>
      </c>
      <c r="H316" s="97">
        <f t="shared" si="113"/>
        <v>654.92663265295209</v>
      </c>
      <c r="I316" s="94">
        <f t="shared" si="114"/>
        <v>338.17383044981329</v>
      </c>
      <c r="J316" s="95">
        <f t="shared" si="115"/>
        <v>-201.87874118593447</v>
      </c>
      <c r="K316" s="94">
        <f t="shared" si="116"/>
        <v>22.305799621153334</v>
      </c>
      <c r="L316" s="94">
        <f t="shared" si="117"/>
        <v>-337.23442018181981</v>
      </c>
      <c r="M316" s="94">
        <f t="shared" si="118"/>
        <v>-537.32163162661413</v>
      </c>
      <c r="N316" s="99">
        <f t="shared" si="119"/>
        <v>1609.5100129415594</v>
      </c>
      <c r="O316" s="99">
        <f t="shared" si="120"/>
        <v>28602.081634506914</v>
      </c>
      <c r="P316" s="100">
        <f t="shared" si="121"/>
        <v>25840.082658186191</v>
      </c>
      <c r="Q316" s="95">
        <f t="shared" si="122"/>
        <v>1039108416368.1016</v>
      </c>
      <c r="R316" s="95">
        <f t="shared" si="123"/>
        <v>25532189409479.121</v>
      </c>
      <c r="S316" s="95">
        <f t="shared" si="124"/>
        <v>21271381058948.91</v>
      </c>
      <c r="T316">
        <f t="shared" si="100"/>
        <v>0.5</v>
      </c>
      <c r="X316" s="101">
        <v>273</v>
      </c>
      <c r="Y316" s="101">
        <f t="shared" si="101"/>
        <v>10261.67978121472</v>
      </c>
      <c r="Z316" s="101">
        <f t="shared" si="102"/>
        <v>2506.852326227131</v>
      </c>
      <c r="AA316" s="101">
        <f t="shared" si="103"/>
        <v>-19816.824153149697</v>
      </c>
      <c r="AB316" s="101">
        <f t="shared" si="104"/>
        <v>6504.7966283589922</v>
      </c>
      <c r="AC316" s="101">
        <f t="shared" si="105"/>
        <v>-4738.3202187852803</v>
      </c>
      <c r="AD316" s="101">
        <f t="shared" si="106"/>
        <v>-19993.14767377287</v>
      </c>
    </row>
    <row r="317" spans="1:30" x14ac:dyDescent="0.25">
      <c r="A317">
        <v>137</v>
      </c>
      <c r="B317" s="95">
        <f t="shared" si="107"/>
        <v>8978.5770942732215</v>
      </c>
      <c r="C317" s="95">
        <f t="shared" si="108"/>
        <v>6550.3837021085183</v>
      </c>
      <c r="D317" s="95">
        <f t="shared" si="109"/>
        <v>556.62465260806016</v>
      </c>
      <c r="E317" s="95">
        <f t="shared" si="110"/>
        <v>-556.98624307020839</v>
      </c>
      <c r="F317" s="96">
        <f t="shared" si="111"/>
        <v>-26.790837619277625</v>
      </c>
      <c r="G317" s="94">
        <f t="shared" si="112"/>
        <v>-28.831443991488129</v>
      </c>
      <c r="H317" s="97">
        <f t="shared" si="113"/>
        <v>518.09837899151546</v>
      </c>
      <c r="I317" s="94">
        <f t="shared" si="114"/>
        <v>481.6757699901288</v>
      </c>
      <c r="J317" s="95">
        <f t="shared" si="115"/>
        <v>-198.42890235846608</v>
      </c>
      <c r="K317" s="94">
        <f t="shared" si="116"/>
        <v>23.621020912160471</v>
      </c>
      <c r="L317" s="94">
        <f t="shared" si="117"/>
        <v>-346.46031425232701</v>
      </c>
      <c r="M317" s="94">
        <f t="shared" si="118"/>
        <v>-534.1282348937774</v>
      </c>
      <c r="N317" s="99">
        <f t="shared" si="119"/>
        <v>1462.7774920420584</v>
      </c>
      <c r="O317" s="99">
        <f t="shared" si="120"/>
        <v>28874.923721997227</v>
      </c>
      <c r="P317" s="100">
        <f t="shared" si="121"/>
        <v>25772.022002440233</v>
      </c>
      <c r="Q317" s="95">
        <f t="shared" si="122"/>
        <v>1032266852190.5492</v>
      </c>
      <c r="R317" s="95">
        <f t="shared" si="123"/>
        <v>26227981536691.617</v>
      </c>
      <c r="S317" s="95">
        <f t="shared" si="124"/>
        <v>21125553346457.273</v>
      </c>
      <c r="T317">
        <f t="shared" si="100"/>
        <v>0.5</v>
      </c>
      <c r="X317" s="101">
        <v>274</v>
      </c>
      <c r="Y317" s="101">
        <f t="shared" si="101"/>
        <v>10348.782368720626</v>
      </c>
      <c r="Z317" s="101">
        <f t="shared" si="102"/>
        <v>2512.179748700878</v>
      </c>
      <c r="AA317" s="101">
        <f t="shared" si="103"/>
        <v>-19755.852341895563</v>
      </c>
      <c r="AB317" s="101">
        <f t="shared" si="104"/>
        <v>6508.5258240906151</v>
      </c>
      <c r="AC317" s="101">
        <f t="shared" si="105"/>
        <v>-4651.2176312793736</v>
      </c>
      <c r="AD317" s="101">
        <f t="shared" si="106"/>
        <v>-19987.820251299123</v>
      </c>
    </row>
    <row r="318" spans="1:30" x14ac:dyDescent="0.25">
      <c r="A318">
        <v>137.5</v>
      </c>
      <c r="B318" s="95">
        <f t="shared" si="107"/>
        <v>9250.1917111724324</v>
      </c>
      <c r="C318" s="95">
        <f t="shared" si="108"/>
        <v>6264.6827195755423</v>
      </c>
      <c r="D318" s="95">
        <f t="shared" si="109"/>
        <v>543.22923379842132</v>
      </c>
      <c r="E318" s="95">
        <f t="shared" si="110"/>
        <v>-571.40196506595248</v>
      </c>
      <c r="F318" s="96">
        <f t="shared" si="111"/>
        <v>-169.18115625779518</v>
      </c>
      <c r="G318" s="94">
        <f t="shared" si="112"/>
        <v>121.59831751113927</v>
      </c>
      <c r="H318" s="97">
        <f t="shared" si="113"/>
        <v>381.41650234156748</v>
      </c>
      <c r="I318" s="94">
        <f t="shared" si="114"/>
        <v>628.38782046319625</v>
      </c>
      <c r="J318" s="95">
        <f t="shared" si="115"/>
        <v>-194.348749125317</v>
      </c>
      <c r="K318" s="94">
        <f t="shared" si="116"/>
        <v>24.818785743526874</v>
      </c>
      <c r="L318" s="94">
        <f t="shared" si="117"/>
        <v>-356.24890947404566</v>
      </c>
      <c r="M318" s="94">
        <f t="shared" si="118"/>
        <v>-531.60828869558384</v>
      </c>
      <c r="N318" s="99">
        <f t="shared" si="119"/>
        <v>1394.6597669555319</v>
      </c>
      <c r="O318" s="99">
        <f t="shared" si="120"/>
        <v>29183.176369466964</v>
      </c>
      <c r="P318" s="100">
        <f t="shared" si="121"/>
        <v>25686.954963339747</v>
      </c>
      <c r="Q318" s="95">
        <f t="shared" si="122"/>
        <v>1029317555882.7516</v>
      </c>
      <c r="R318" s="95">
        <f t="shared" si="123"/>
        <v>27029605643336.156</v>
      </c>
      <c r="S318" s="95">
        <f t="shared" si="124"/>
        <v>20944296904730.617</v>
      </c>
      <c r="T318">
        <f t="shared" si="100"/>
        <v>0.5</v>
      </c>
      <c r="X318" s="101">
        <v>275</v>
      </c>
      <c r="Y318" s="101">
        <f t="shared" si="101"/>
        <v>10435.778713738289</v>
      </c>
      <c r="Z318" s="101">
        <f t="shared" si="102"/>
        <v>2519.0265095412724</v>
      </c>
      <c r="AA318" s="101">
        <f t="shared" si="103"/>
        <v>-19694.954900383196</v>
      </c>
      <c r="AB318" s="101">
        <f t="shared" si="104"/>
        <v>6513.3185566788907</v>
      </c>
      <c r="AC318" s="101">
        <f t="shared" si="105"/>
        <v>-4564.2212862617107</v>
      </c>
      <c r="AD318" s="101">
        <f t="shared" si="106"/>
        <v>-19980.973490458728</v>
      </c>
    </row>
    <row r="319" spans="1:30" x14ac:dyDescent="0.25">
      <c r="A319">
        <v>138</v>
      </c>
      <c r="B319" s="95">
        <f t="shared" si="107"/>
        <v>9479.511039007195</v>
      </c>
      <c r="C319" s="95">
        <f t="shared" si="108"/>
        <v>6009.3813164203511</v>
      </c>
      <c r="D319" s="95">
        <f t="shared" si="109"/>
        <v>458.6386556695237</v>
      </c>
      <c r="E319" s="95">
        <f t="shared" si="110"/>
        <v>-510.60280631038285</v>
      </c>
      <c r="F319" s="96">
        <f t="shared" si="111"/>
        <v>-291.24489967822387</v>
      </c>
      <c r="G319" s="94">
        <f t="shared" si="112"/>
        <v>252.41186152113085</v>
      </c>
      <c r="H319" s="97">
        <f t="shared" si="113"/>
        <v>264.20844193615522</v>
      </c>
      <c r="I319" s="94">
        <f t="shared" si="114"/>
        <v>756.66165745049477</v>
      </c>
      <c r="J319" s="95">
        <f t="shared" si="115"/>
        <v>-190.18471803537011</v>
      </c>
      <c r="K319" s="94">
        <f t="shared" si="116"/>
        <v>25.745158666947667</v>
      </c>
      <c r="L319" s="94">
        <f t="shared" si="117"/>
        <v>-365.26862357900899</v>
      </c>
      <c r="M319" s="94">
        <f t="shared" si="118"/>
        <v>-529.99495459631157</v>
      </c>
      <c r="N319" s="99">
        <f t="shared" si="119"/>
        <v>1445.0679061240699</v>
      </c>
      <c r="O319" s="99">
        <f t="shared" si="120"/>
        <v>29487.731522207298</v>
      </c>
      <c r="P319" s="100">
        <f t="shared" si="121"/>
        <v>25597.943178493508</v>
      </c>
      <c r="Q319" s="95">
        <f t="shared" si="122"/>
        <v>1031486279133.0432</v>
      </c>
      <c r="R319" s="95">
        <f t="shared" si="123"/>
        <v>27837959660143.613</v>
      </c>
      <c r="S319" s="95">
        <f t="shared" si="124"/>
        <v>20755832179071.141</v>
      </c>
      <c r="T319">
        <f t="shared" si="100"/>
        <v>0.5</v>
      </c>
      <c r="X319" s="101">
        <v>276</v>
      </c>
      <c r="Y319" s="101">
        <f t="shared" si="101"/>
        <v>10522.642316338264</v>
      </c>
      <c r="Z319" s="101">
        <f t="shared" si="102"/>
        <v>2527.3905231586332</v>
      </c>
      <c r="AA319" s="101">
        <f t="shared" si="103"/>
        <v>-19634.150378563216</v>
      </c>
      <c r="AB319" s="101">
        <f t="shared" si="104"/>
        <v>6519.1733662110437</v>
      </c>
      <c r="AC319" s="101">
        <f t="shared" si="105"/>
        <v>-4477.3576836617349</v>
      </c>
      <c r="AD319" s="101">
        <f t="shared" si="106"/>
        <v>-19972.609476841368</v>
      </c>
    </row>
    <row r="320" spans="1:30" x14ac:dyDescent="0.25">
      <c r="A320">
        <v>138.5</v>
      </c>
      <c r="B320" s="95">
        <f t="shared" si="107"/>
        <v>9636.0191419224011</v>
      </c>
      <c r="C320" s="95">
        <f t="shared" si="108"/>
        <v>5817.1828786454425</v>
      </c>
      <c r="D320" s="95">
        <f t="shared" si="109"/>
        <v>313.01620583041176</v>
      </c>
      <c r="E320" s="95">
        <f t="shared" si="110"/>
        <v>-384.39687554981742</v>
      </c>
      <c r="F320" s="96">
        <f t="shared" si="111"/>
        <v>-375.12486130168725</v>
      </c>
      <c r="G320" s="94">
        <f t="shared" si="112"/>
        <v>345.92750945010835</v>
      </c>
      <c r="H320" s="97">
        <f t="shared" si="113"/>
        <v>183.66939456944664</v>
      </c>
      <c r="I320" s="94">
        <f t="shared" si="114"/>
        <v>849.17103466027834</v>
      </c>
      <c r="J320" s="95">
        <f t="shared" si="115"/>
        <v>-186.47283978944628</v>
      </c>
      <c r="K320" s="94">
        <f t="shared" si="116"/>
        <v>26.318709783648298</v>
      </c>
      <c r="L320" s="94">
        <f t="shared" si="117"/>
        <v>-372.32141608168757</v>
      </c>
      <c r="M320" s="94">
        <f t="shared" si="118"/>
        <v>-529.56223499381827</v>
      </c>
      <c r="N320" s="99">
        <f t="shared" si="119"/>
        <v>1578.8770751239929</v>
      </c>
      <c r="O320" s="99">
        <f t="shared" si="120"/>
        <v>29748.388335785214</v>
      </c>
      <c r="P320" s="100">
        <f t="shared" si="121"/>
        <v>25515.688178598746</v>
      </c>
      <c r="Q320" s="95">
        <f t="shared" si="122"/>
        <v>1037624869823.314</v>
      </c>
      <c r="R320" s="95">
        <f t="shared" si="123"/>
        <v>28542829563635.012</v>
      </c>
      <c r="S320" s="95">
        <f t="shared" si="124"/>
        <v>20582758260305.063</v>
      </c>
      <c r="T320">
        <f t="shared" si="100"/>
        <v>0.5</v>
      </c>
      <c r="X320" s="101">
        <v>277</v>
      </c>
      <c r="Y320" s="101">
        <f t="shared" si="101"/>
        <v>10609.346717025739</v>
      </c>
      <c r="Z320" s="101">
        <f t="shared" si="102"/>
        <v>2537.2692417933904</v>
      </c>
      <c r="AA320" s="101">
        <f t="shared" si="103"/>
        <v>-19573.457298081983</v>
      </c>
      <c r="AB320" s="101">
        <f t="shared" si="104"/>
        <v>6526.0884692553736</v>
      </c>
      <c r="AC320" s="101">
        <f t="shared" si="105"/>
        <v>-4390.6532829742619</v>
      </c>
      <c r="AD320" s="101">
        <f t="shared" si="106"/>
        <v>-19962.73075820661</v>
      </c>
    </row>
    <row r="321" spans="1:30" x14ac:dyDescent="0.25">
      <c r="A321">
        <v>139</v>
      </c>
      <c r="B321" s="95">
        <f t="shared" si="107"/>
        <v>9698.7460295121855</v>
      </c>
      <c r="C321" s="95">
        <f t="shared" si="108"/>
        <v>5711.4663182330614</v>
      </c>
      <c r="D321" s="95">
        <f t="shared" si="109"/>
        <v>125.45377517956814</v>
      </c>
      <c r="E321" s="95">
        <f t="shared" si="110"/>
        <v>-211.43312082476325</v>
      </c>
      <c r="F321" s="96">
        <f t="shared" si="111"/>
        <v>-409.22486551334327</v>
      </c>
      <c r="G321" s="94">
        <f t="shared" si="112"/>
        <v>392.28779898652567</v>
      </c>
      <c r="H321" s="97">
        <f t="shared" si="113"/>
        <v>150.97361132387857</v>
      </c>
      <c r="I321" s="94">
        <f t="shared" si="114"/>
        <v>896.32474710128167</v>
      </c>
      <c r="J321" s="95">
        <f t="shared" si="115"/>
        <v>-183.66576240461447</v>
      </c>
      <c r="K321" s="94">
        <f t="shared" si="116"/>
        <v>26.52155102699906</v>
      </c>
      <c r="L321" s="94">
        <f t="shared" si="117"/>
        <v>-376.53271443260735</v>
      </c>
      <c r="M321" s="94">
        <f t="shared" si="118"/>
        <v>-530.55849914175508</v>
      </c>
      <c r="N321" s="99">
        <f t="shared" si="119"/>
        <v>1721.7303880024144</v>
      </c>
      <c r="O321" s="99">
        <f t="shared" si="120"/>
        <v>29929.744229630291</v>
      </c>
      <c r="P321" s="100">
        <f t="shared" si="121"/>
        <v>25447.360557151853</v>
      </c>
      <c r="Q321" s="95">
        <f t="shared" si="122"/>
        <v>1044793250345.9799</v>
      </c>
      <c r="R321" s="95">
        <f t="shared" si="123"/>
        <v>29040403671398.09</v>
      </c>
      <c r="S321" s="95">
        <f t="shared" si="124"/>
        <v>20439778879453.586</v>
      </c>
      <c r="T321">
        <f t="shared" si="100"/>
        <v>0.5</v>
      </c>
      <c r="X321" s="101">
        <v>278</v>
      </c>
      <c r="Y321" s="101">
        <f t="shared" si="101"/>
        <v>10695.865504800327</v>
      </c>
      <c r="Z321" s="101">
        <f t="shared" si="102"/>
        <v>2548.6596562921486</v>
      </c>
      <c r="AA321" s="101">
        <f t="shared" si="103"/>
        <v>-19512.89414663977</v>
      </c>
      <c r="AB321" s="101">
        <f t="shared" si="104"/>
        <v>6534.0617594045034</v>
      </c>
      <c r="AC321" s="101">
        <f t="shared" si="105"/>
        <v>-4304.1344951996725</v>
      </c>
      <c r="AD321" s="101">
        <f t="shared" si="106"/>
        <v>-19951.340343707852</v>
      </c>
    </row>
    <row r="322" spans="1:30" x14ac:dyDescent="0.25">
      <c r="A322">
        <v>139.5</v>
      </c>
      <c r="B322" s="95">
        <f t="shared" si="107"/>
        <v>9659.1667007236338</v>
      </c>
      <c r="C322" s="95">
        <f t="shared" si="108"/>
        <v>5703.821707567311</v>
      </c>
      <c r="D322" s="95">
        <f t="shared" si="109"/>
        <v>-79.158657577103497</v>
      </c>
      <c r="E322" s="95">
        <f t="shared" si="110"/>
        <v>-15.289221331500414</v>
      </c>
      <c r="F322" s="96">
        <f t="shared" si="111"/>
        <v>-389.53042917335125</v>
      </c>
      <c r="G322" s="94">
        <f t="shared" si="112"/>
        <v>389.19451401795163</v>
      </c>
      <c r="H322" s="97">
        <f t="shared" si="113"/>
        <v>170.00265553312252</v>
      </c>
      <c r="I322" s="94">
        <f t="shared" si="114"/>
        <v>895.90741330971912</v>
      </c>
      <c r="J322" s="95">
        <f t="shared" si="115"/>
        <v>-182.08451675022425</v>
      </c>
      <c r="K322" s="94">
        <f t="shared" si="116"/>
        <v>26.375236908841536</v>
      </c>
      <c r="L322" s="94">
        <f t="shared" si="117"/>
        <v>-377.44856795624952</v>
      </c>
      <c r="M322" s="94">
        <f t="shared" si="118"/>
        <v>-533.08813620060903</v>
      </c>
      <c r="N322" s="99">
        <f t="shared" si="119"/>
        <v>1813.7272908432165</v>
      </c>
      <c r="O322" s="99">
        <f t="shared" si="120"/>
        <v>30006.783180892871</v>
      </c>
      <c r="P322" s="100">
        <f t="shared" si="121"/>
        <v>25397.204017202421</v>
      </c>
      <c r="Q322" s="95">
        <f t="shared" si="122"/>
        <v>1049747709084.8362</v>
      </c>
      <c r="R322" s="95">
        <f t="shared" si="123"/>
        <v>29253556265501.32</v>
      </c>
      <c r="S322" s="95">
        <f t="shared" si="124"/>
        <v>20335278465488.645</v>
      </c>
      <c r="T322">
        <f t="shared" si="100"/>
        <v>0.5</v>
      </c>
      <c r="X322" s="101">
        <v>279</v>
      </c>
      <c r="Y322" s="101">
        <f t="shared" si="101"/>
        <v>10782.172325201154</v>
      </c>
      <c r="Z322" s="101">
        <f t="shared" si="102"/>
        <v>2561.5582970243113</v>
      </c>
      <c r="AA322" s="101">
        <f t="shared" si="103"/>
        <v>-19452.479372359194</v>
      </c>
      <c r="AB322" s="101">
        <f t="shared" si="104"/>
        <v>6543.0908079170176</v>
      </c>
      <c r="AC322" s="101">
        <f t="shared" si="105"/>
        <v>-4217.8276747988466</v>
      </c>
      <c r="AD322" s="101">
        <f t="shared" si="106"/>
        <v>-19938.441702975688</v>
      </c>
    </row>
    <row r="323" spans="1:30" x14ac:dyDescent="0.25">
      <c r="A323">
        <v>140</v>
      </c>
      <c r="B323" s="95">
        <f t="shared" si="107"/>
        <v>9522.204764641745</v>
      </c>
      <c r="C323" s="95">
        <f t="shared" si="108"/>
        <v>5793.4757254060487</v>
      </c>
      <c r="D323" s="95">
        <f t="shared" si="109"/>
        <v>-273.92387216377915</v>
      </c>
      <c r="E323" s="95">
        <f t="shared" si="110"/>
        <v>179.3080356774754</v>
      </c>
      <c r="F323" s="96">
        <f t="shared" si="111"/>
        <v>-318.80294676539859</v>
      </c>
      <c r="G323" s="94">
        <f t="shared" si="112"/>
        <v>339.46075935633166</v>
      </c>
      <c r="H323" s="97">
        <f t="shared" si="113"/>
        <v>238.13458395715745</v>
      </c>
      <c r="I323" s="94">
        <f t="shared" si="114"/>
        <v>850.53683684918178</v>
      </c>
      <c r="J323" s="95">
        <f t="shared" si="115"/>
        <v>-181.89959725927923</v>
      </c>
      <c r="K323" s="94">
        <f t="shared" si="116"/>
        <v>25.918290233067111</v>
      </c>
      <c r="L323" s="94">
        <f t="shared" si="117"/>
        <v>-375.03793346327677</v>
      </c>
      <c r="M323" s="94">
        <f t="shared" si="118"/>
        <v>-536.99436772591719</v>
      </c>
      <c r="N323" s="99">
        <f t="shared" si="119"/>
        <v>1828.2296890987259</v>
      </c>
      <c r="O323" s="99">
        <f t="shared" si="120"/>
        <v>29968.705632737685</v>
      </c>
      <c r="P323" s="100">
        <f t="shared" si="121"/>
        <v>25368.078399010439</v>
      </c>
      <c r="Q323" s="95">
        <f t="shared" si="122"/>
        <v>1050552994290.3702</v>
      </c>
      <c r="R323" s="95">
        <f t="shared" si="123"/>
        <v>29148069274026.207</v>
      </c>
      <c r="S323" s="95">
        <f t="shared" si="124"/>
        <v>20274772110482.402</v>
      </c>
      <c r="T323">
        <f t="shared" si="100"/>
        <v>0.5</v>
      </c>
      <c r="X323" s="101">
        <v>280</v>
      </c>
      <c r="Y323" s="101">
        <f t="shared" si="101"/>
        <v>10868.240888334651</v>
      </c>
      <c r="Z323" s="101">
        <f t="shared" si="102"/>
        <v>2575.961234938959</v>
      </c>
      <c r="AA323" s="101">
        <f t="shared" si="103"/>
        <v>-19392.231378165747</v>
      </c>
      <c r="AB323" s="101">
        <f t="shared" si="104"/>
        <v>6553.1728644572713</v>
      </c>
      <c r="AC323" s="101">
        <f t="shared" si="105"/>
        <v>-4131.7591116653502</v>
      </c>
      <c r="AD323" s="101">
        <f t="shared" si="106"/>
        <v>-19924.038765061043</v>
      </c>
    </row>
    <row r="324" spans="1:30" x14ac:dyDescent="0.25">
      <c r="A324">
        <v>140.5</v>
      </c>
      <c r="B324" s="95">
        <f t="shared" si="107"/>
        <v>9305.5420918685068</v>
      </c>
      <c r="C324" s="95">
        <f t="shared" si="108"/>
        <v>5967.994933083869</v>
      </c>
      <c r="D324" s="95">
        <f t="shared" si="109"/>
        <v>-433.32534554647845</v>
      </c>
      <c r="E324" s="95">
        <f t="shared" si="110"/>
        <v>349.03841535564123</v>
      </c>
      <c r="F324" s="96">
        <f t="shared" si="111"/>
        <v>-205.64245604071368</v>
      </c>
      <c r="G324" s="94">
        <f t="shared" si="112"/>
        <v>249.19183783547373</v>
      </c>
      <c r="H324" s="97">
        <f t="shared" si="113"/>
        <v>347.13676899341863</v>
      </c>
      <c r="I324" s="94">
        <f t="shared" si="114"/>
        <v>765.79916908385826</v>
      </c>
      <c r="J324" s="95">
        <f t="shared" si="115"/>
        <v>-183.13058318944525</v>
      </c>
      <c r="K324" s="94">
        <f t="shared" si="116"/>
        <v>25.196034149869238</v>
      </c>
      <c r="L324" s="94">
        <f t="shared" si="117"/>
        <v>-369.64864184468706</v>
      </c>
      <c r="M324" s="94">
        <f t="shared" si="118"/>
        <v>-541.80336539825373</v>
      </c>
      <c r="N324" s="99">
        <f t="shared" si="119"/>
        <v>1772.1493691868816</v>
      </c>
      <c r="O324" s="99">
        <f t="shared" si="120"/>
        <v>29820.385990764506</v>
      </c>
      <c r="P324" s="100">
        <f t="shared" si="121"/>
        <v>25362.631250902064</v>
      </c>
      <c r="Q324" s="95">
        <f t="shared" si="122"/>
        <v>1047475643264.6855</v>
      </c>
      <c r="R324" s="95">
        <f t="shared" si="123"/>
        <v>28739659819648.73</v>
      </c>
      <c r="S324" s="95">
        <f t="shared" si="124"/>
        <v>20263470430169.891</v>
      </c>
      <c r="T324">
        <f t="shared" si="100"/>
        <v>0.5</v>
      </c>
      <c r="X324" s="101">
        <v>281</v>
      </c>
      <c r="Y324" s="101">
        <f t="shared" si="101"/>
        <v>10954.044976882722</v>
      </c>
      <c r="Z324" s="101">
        <f t="shared" si="102"/>
        <v>2591.8640827616791</v>
      </c>
      <c r="AA324" s="101">
        <f t="shared" si="103"/>
        <v>-19332.168516182093</v>
      </c>
      <c r="AB324" s="101">
        <f t="shared" si="104"/>
        <v>6564.3048579331753</v>
      </c>
      <c r="AC324" s="101">
        <f t="shared" si="105"/>
        <v>-4045.9550231172789</v>
      </c>
      <c r="AD324" s="101">
        <f t="shared" si="106"/>
        <v>-19908.13591723832</v>
      </c>
    </row>
    <row r="325" spans="1:30" x14ac:dyDescent="0.25">
      <c r="A325">
        <v>141</v>
      </c>
      <c r="B325" s="95">
        <f t="shared" si="107"/>
        <v>9037.4688050850891</v>
      </c>
      <c r="C325" s="95">
        <f t="shared" si="108"/>
        <v>6204.812100220558</v>
      </c>
      <c r="D325" s="95">
        <f t="shared" si="109"/>
        <v>-536.14657356683529</v>
      </c>
      <c r="E325" s="95">
        <f t="shared" si="110"/>
        <v>473.6343342733781</v>
      </c>
      <c r="F325" s="96">
        <f t="shared" si="111"/>
        <v>-64.285581036204917</v>
      </c>
      <c r="G325" s="94">
        <f t="shared" si="112"/>
        <v>127.85545902237129</v>
      </c>
      <c r="H325" s="97">
        <f t="shared" si="113"/>
        <v>483.32364839506909</v>
      </c>
      <c r="I325" s="94">
        <f t="shared" si="114"/>
        <v>650.36327589765619</v>
      </c>
      <c r="J325" s="95">
        <f t="shared" si="115"/>
        <v>-185.64911327667289</v>
      </c>
      <c r="K325" s="94">
        <f t="shared" si="116"/>
        <v>24.264279818667454</v>
      </c>
      <c r="L325" s="94">
        <f t="shared" si="117"/>
        <v>-361.96011615460111</v>
      </c>
      <c r="M325" s="94">
        <f t="shared" si="118"/>
        <v>-546.77209669395234</v>
      </c>
      <c r="N325" s="99">
        <f t="shared" si="119"/>
        <v>1682.0556801791872</v>
      </c>
      <c r="O325" s="99">
        <f t="shared" si="120"/>
        <v>29581.613582729289</v>
      </c>
      <c r="P325" s="100">
        <f t="shared" si="121"/>
        <v>25383.17052804973</v>
      </c>
      <c r="Q325" s="95">
        <f t="shared" si="122"/>
        <v>1042738456531.432</v>
      </c>
      <c r="R325" s="95">
        <f t="shared" si="123"/>
        <v>28090445010228.215</v>
      </c>
      <c r="S325" s="95">
        <f t="shared" si="124"/>
        <v>20306108741833.094</v>
      </c>
      <c r="T325">
        <f t="shared" si="100"/>
        <v>0.5</v>
      </c>
      <c r="X325" s="101">
        <v>282</v>
      </c>
      <c r="Y325" s="101">
        <f t="shared" si="101"/>
        <v>11039.558454088792</v>
      </c>
      <c r="Z325" s="101">
        <f t="shared" si="102"/>
        <v>2609.2619963309708</v>
      </c>
      <c r="AA325" s="101">
        <f t="shared" si="103"/>
        <v>-19272.309082137846</v>
      </c>
      <c r="AB325" s="101">
        <f t="shared" si="104"/>
        <v>6576.4833974316798</v>
      </c>
      <c r="AC325" s="101">
        <f t="shared" si="105"/>
        <v>-3960.441545911207</v>
      </c>
      <c r="AD325" s="101">
        <f t="shared" si="106"/>
        <v>-19890.73800366903</v>
      </c>
    </row>
    <row r="326" spans="1:30" x14ac:dyDescent="0.25">
      <c r="A326">
        <v>141.5</v>
      </c>
      <c r="B326" s="95">
        <f t="shared" si="107"/>
        <v>8753.3241230426211</v>
      </c>
      <c r="C326" s="95">
        <f t="shared" si="108"/>
        <v>6473.5931321128401</v>
      </c>
      <c r="D326" s="95">
        <f t="shared" si="109"/>
        <v>-568.28936408493769</v>
      </c>
      <c r="E326" s="95">
        <f t="shared" si="110"/>
        <v>537.56206378456375</v>
      </c>
      <c r="F326" s="96">
        <f t="shared" si="111"/>
        <v>85.955210552555911</v>
      </c>
      <c r="G326" s="94">
        <f t="shared" si="112"/>
        <v>-10.748851445282753</v>
      </c>
      <c r="H326" s="97">
        <f t="shared" si="113"/>
        <v>628.06686229479271</v>
      </c>
      <c r="I326" s="94">
        <f t="shared" si="114"/>
        <v>517.09682754513869</v>
      </c>
      <c r="J326" s="95">
        <f t="shared" si="115"/>
        <v>-189.17903496708311</v>
      </c>
      <c r="K326" s="94">
        <f t="shared" si="116"/>
        <v>23.201569505960602</v>
      </c>
      <c r="L326" s="94">
        <f t="shared" si="117"/>
        <v>-352.93261677515369</v>
      </c>
      <c r="M326" s="94">
        <f t="shared" si="118"/>
        <v>-551.04724849638205</v>
      </c>
      <c r="N326" s="99">
        <f t="shared" si="119"/>
        <v>1613.6846026777996</v>
      </c>
      <c r="O326" s="99">
        <f t="shared" si="120"/>
        <v>29284.433506573452</v>
      </c>
      <c r="P326" s="100">
        <f t="shared" si="121"/>
        <v>25430.190456608798</v>
      </c>
      <c r="Q326" s="95">
        <f t="shared" si="122"/>
        <v>1039312853344.6447</v>
      </c>
      <c r="R326" s="95">
        <f t="shared" si="123"/>
        <v>27296552287541.938</v>
      </c>
      <c r="S326" s="95">
        <f t="shared" si="124"/>
        <v>20403961914972.055</v>
      </c>
      <c r="T326">
        <f t="shared" si="100"/>
        <v>0.5</v>
      </c>
      <c r="X326" s="101">
        <v>283</v>
      </c>
      <c r="Y326" s="101">
        <f t="shared" si="101"/>
        <v>11124.755271719325</v>
      </c>
      <c r="Z326" s="101">
        <f t="shared" si="102"/>
        <v>2628.1496760738237</v>
      </c>
      <c r="AA326" s="101">
        <f t="shared" si="103"/>
        <v>-19212.671309796471</v>
      </c>
      <c r="AB326" s="101">
        <f t="shared" si="104"/>
        <v>6589.7047732516767</v>
      </c>
      <c r="AC326" s="101">
        <f t="shared" si="105"/>
        <v>-3875.2447282806752</v>
      </c>
      <c r="AD326" s="101">
        <f t="shared" si="106"/>
        <v>-19871.850323926177</v>
      </c>
    </row>
    <row r="327" spans="1:30" x14ac:dyDescent="0.25">
      <c r="A327">
        <v>142</v>
      </c>
      <c r="B327" s="95">
        <f t="shared" si="107"/>
        <v>8490.6682436382926</v>
      </c>
      <c r="C327" s="95">
        <f t="shared" si="108"/>
        <v>6739.6869511438017</v>
      </c>
      <c r="D327" s="95">
        <f t="shared" si="109"/>
        <v>-525.31175880865976</v>
      </c>
      <c r="E327" s="95">
        <f t="shared" si="110"/>
        <v>532.18763806192237</v>
      </c>
      <c r="F327" s="96">
        <f t="shared" si="111"/>
        <v>223.3259328198709</v>
      </c>
      <c r="G327" s="94">
        <f t="shared" si="112"/>
        <v>-148.75343423057683</v>
      </c>
      <c r="H327" s="97">
        <f t="shared" si="113"/>
        <v>760.34961064516801</v>
      </c>
      <c r="I327" s="94">
        <f t="shared" si="114"/>
        <v>383.01965636752288</v>
      </c>
      <c r="J327" s="95">
        <f t="shared" si="115"/>
        <v>-193.30235751343812</v>
      </c>
      <c r="K327" s="94">
        <f t="shared" si="116"/>
        <v>22.120442847684068</v>
      </c>
      <c r="L327" s="94">
        <f t="shared" si="117"/>
        <v>-343.72132031185902</v>
      </c>
      <c r="M327" s="94">
        <f t="shared" si="118"/>
        <v>-553.89353344578376</v>
      </c>
      <c r="N327" s="99">
        <f t="shared" si="119"/>
        <v>1614.8411069307654</v>
      </c>
      <c r="O327" s="99">
        <f t="shared" si="120"/>
        <v>28968.762374713671</v>
      </c>
      <c r="P327" s="100">
        <f t="shared" si="121"/>
        <v>25500.375025418543</v>
      </c>
      <c r="Q327" s="95">
        <f t="shared" si="122"/>
        <v>1039369585435.9049</v>
      </c>
      <c r="R327" s="95">
        <f t="shared" si="123"/>
        <v>26470261230554.762</v>
      </c>
      <c r="S327" s="95">
        <f t="shared" si="124"/>
        <v>20550652394686.941</v>
      </c>
      <c r="T327">
        <f t="shared" si="100"/>
        <v>0.5</v>
      </c>
      <c r="X327" s="101">
        <v>284</v>
      </c>
      <c r="Y327" s="101">
        <f t="shared" si="101"/>
        <v>11209.609477998338</v>
      </c>
      <c r="Z327" s="101">
        <f t="shared" si="102"/>
        <v>2648.5213686200168</v>
      </c>
      <c r="AA327" s="101">
        <f t="shared" si="103"/>
        <v>-19153.273365401164</v>
      </c>
      <c r="AB327" s="101">
        <f t="shared" si="104"/>
        <v>6603.9649580340119</v>
      </c>
      <c r="AC327" s="101">
        <f t="shared" si="105"/>
        <v>-3790.3905220016627</v>
      </c>
      <c r="AD327" s="101">
        <f t="shared" si="106"/>
        <v>-19851.478631379985</v>
      </c>
    </row>
    <row r="328" spans="1:30" x14ac:dyDescent="0.25">
      <c r="A328">
        <v>142.5</v>
      </c>
      <c r="B328" s="95">
        <f t="shared" si="107"/>
        <v>8283.8438474389295</v>
      </c>
      <c r="C328" s="95">
        <f t="shared" si="108"/>
        <v>6968.5924116171182</v>
      </c>
      <c r="D328" s="95">
        <f t="shared" si="109"/>
        <v>-413.64879239872431</v>
      </c>
      <c r="E328" s="95">
        <f t="shared" si="110"/>
        <v>457.81092094663393</v>
      </c>
      <c r="F328" s="96">
        <f t="shared" si="111"/>
        <v>328.38655884800755</v>
      </c>
      <c r="G328" s="94">
        <f t="shared" si="112"/>
        <v>-266.99849646046084</v>
      </c>
      <c r="H328" s="97">
        <f t="shared" si="113"/>
        <v>861.41013089573073</v>
      </c>
      <c r="I328" s="94">
        <f t="shared" si="114"/>
        <v>266.73556458411684</v>
      </c>
      <c r="J328" s="95">
        <f t="shared" si="115"/>
        <v>-197.48942763590156</v>
      </c>
      <c r="K328" s="94">
        <f t="shared" si="116"/>
        <v>21.166534251498955</v>
      </c>
      <c r="L328" s="94">
        <f t="shared" si="117"/>
        <v>-335.53414441182167</v>
      </c>
      <c r="M328" s="94">
        <f t="shared" si="118"/>
        <v>-554.90059529607663</v>
      </c>
      <c r="N328" s="99">
        <f t="shared" si="119"/>
        <v>1690.0172434099377</v>
      </c>
      <c r="O328" s="99">
        <f t="shared" si="120"/>
        <v>28676.607507611519</v>
      </c>
      <c r="P328" s="100">
        <f t="shared" si="121"/>
        <v>25585.388767686192</v>
      </c>
      <c r="Q328" s="95">
        <f t="shared" si="122"/>
        <v>1043146844908.9229</v>
      </c>
      <c r="R328" s="95">
        <f t="shared" si="123"/>
        <v>25720968770121.773</v>
      </c>
      <c r="S328" s="95">
        <f t="shared" si="124"/>
        <v>20729348978628.012</v>
      </c>
      <c r="T328">
        <f t="shared" si="100"/>
        <v>0.5</v>
      </c>
      <c r="X328" s="101">
        <v>285</v>
      </c>
      <c r="Y328" s="101">
        <f t="shared" si="101"/>
        <v>11294.095225512605</v>
      </c>
      <c r="Z328" s="101">
        <f t="shared" si="102"/>
        <v>2670.370868554659</v>
      </c>
      <c r="AA328" s="101">
        <f t="shared" si="103"/>
        <v>-19094.133342141176</v>
      </c>
      <c r="AB328" s="101">
        <f t="shared" si="104"/>
        <v>6619.2596079882615</v>
      </c>
      <c r="AC328" s="101">
        <f t="shared" si="105"/>
        <v>-3705.9047744873942</v>
      </c>
      <c r="AD328" s="101">
        <f t="shared" si="106"/>
        <v>-19829.629131445341</v>
      </c>
    </row>
    <row r="329" spans="1:30" x14ac:dyDescent="0.25">
      <c r="A329">
        <v>143</v>
      </c>
      <c r="B329" s="95">
        <f t="shared" si="107"/>
        <v>8159.1160909515693</v>
      </c>
      <c r="C329" s="95">
        <f t="shared" si="108"/>
        <v>7130.7482479753207</v>
      </c>
      <c r="D329" s="95">
        <f t="shared" si="109"/>
        <v>-249.45551297472053</v>
      </c>
      <c r="E329" s="95">
        <f t="shared" si="110"/>
        <v>324.31167271640351</v>
      </c>
      <c r="F329" s="96">
        <f t="shared" si="111"/>
        <v>388.41348237429526</v>
      </c>
      <c r="G329" s="94">
        <f t="shared" si="112"/>
        <v>-349.22783352562675</v>
      </c>
      <c r="H329" s="97">
        <f t="shared" si="113"/>
        <v>919.03355244838565</v>
      </c>
      <c r="I329" s="94">
        <f t="shared" si="114"/>
        <v>184.3433731714494</v>
      </c>
      <c r="J329" s="95">
        <f t="shared" si="115"/>
        <v>-201.16636583364351</v>
      </c>
      <c r="K329" s="94">
        <f t="shared" si="116"/>
        <v>20.497694094953896</v>
      </c>
      <c r="L329" s="94">
        <f t="shared" si="117"/>
        <v>-329.45370424044694</v>
      </c>
      <c r="M329" s="94">
        <f t="shared" si="118"/>
        <v>-554.06890079203004</v>
      </c>
      <c r="N329" s="99">
        <f t="shared" si="119"/>
        <v>1796.5483475164608</v>
      </c>
      <c r="O329" s="99">
        <f t="shared" si="120"/>
        <v>28445.830182176338</v>
      </c>
      <c r="P329" s="100">
        <f t="shared" si="121"/>
        <v>25672.544866274991</v>
      </c>
      <c r="Q329" s="95">
        <f t="shared" si="122"/>
        <v>1048802362251.6238</v>
      </c>
      <c r="R329" s="95">
        <f t="shared" si="123"/>
        <v>25139485796226.281</v>
      </c>
      <c r="S329" s="95">
        <f t="shared" si="124"/>
        <v>20913703456645.543</v>
      </c>
      <c r="T329">
        <f t="shared" si="100"/>
        <v>0.5</v>
      </c>
      <c r="X329" s="101">
        <v>286</v>
      </c>
      <c r="Y329" s="101">
        <f t="shared" si="101"/>
        <v>11378.186779084997</v>
      </c>
      <c r="Z329" s="101">
        <f t="shared" si="102"/>
        <v>2693.6915203084063</v>
      </c>
      <c r="AA329" s="101">
        <f t="shared" si="103"/>
        <v>-19035.269254640501</v>
      </c>
      <c r="AB329" s="101">
        <f t="shared" si="104"/>
        <v>6635.5840642158837</v>
      </c>
      <c r="AC329" s="101">
        <f t="shared" si="105"/>
        <v>-3621.8132209150031</v>
      </c>
      <c r="AD329" s="101">
        <f t="shared" si="106"/>
        <v>-19806.308479691594</v>
      </c>
    </row>
    <row r="330" spans="1:30" x14ac:dyDescent="0.25">
      <c r="A330">
        <v>143.5</v>
      </c>
      <c r="B330" s="95">
        <f t="shared" si="107"/>
        <v>8131.4917050577833</v>
      </c>
      <c r="C330" s="95">
        <f t="shared" si="108"/>
        <v>7205.5971259521157</v>
      </c>
      <c r="D330" s="95">
        <f t="shared" si="109"/>
        <v>-55.248771787572906</v>
      </c>
      <c r="E330" s="95">
        <f t="shared" si="110"/>
        <v>149.69775595359013</v>
      </c>
      <c r="F330" s="96">
        <f t="shared" si="111"/>
        <v>398.71889481983465</v>
      </c>
      <c r="G330" s="94">
        <f t="shared" si="112"/>
        <v>-385.14873131058312</v>
      </c>
      <c r="H330" s="97">
        <f t="shared" si="113"/>
        <v>928.80497408151166</v>
      </c>
      <c r="I330" s="94">
        <f t="shared" si="114"/>
        <v>146.34286320255481</v>
      </c>
      <c r="J330" s="95">
        <f t="shared" si="115"/>
        <v>-203.81120060839413</v>
      </c>
      <c r="K330" s="94">
        <f t="shared" si="116"/>
        <v>20.245304113782566</v>
      </c>
      <c r="L330" s="94">
        <f t="shared" si="117"/>
        <v>-326.27487865328283</v>
      </c>
      <c r="M330" s="94">
        <f t="shared" si="118"/>
        <v>-551.73689862692049</v>
      </c>
      <c r="N330" s="99">
        <f t="shared" si="119"/>
        <v>1877.551709798355</v>
      </c>
      <c r="O330" s="99">
        <f t="shared" si="120"/>
        <v>28304.918735798979</v>
      </c>
      <c r="P330" s="100">
        <f t="shared" si="121"/>
        <v>25747.47277521433</v>
      </c>
      <c r="Q330" s="95">
        <f t="shared" si="122"/>
        <v>1053341317852.5356</v>
      </c>
      <c r="R330" s="95">
        <f t="shared" si="123"/>
        <v>24788911487757.313</v>
      </c>
      <c r="S330" s="95">
        <f t="shared" si="124"/>
        <v>21073130137775.297</v>
      </c>
      <c r="T330">
        <f t="shared" si="100"/>
        <v>0.5</v>
      </c>
      <c r="X330" s="101">
        <v>287</v>
      </c>
      <c r="Y330" s="101">
        <f t="shared" si="101"/>
        <v>11461.858523613684</v>
      </c>
      <c r="Z330" s="101">
        <f t="shared" si="102"/>
        <v>2718.4762201848225</v>
      </c>
      <c r="AA330" s="101">
        <f t="shared" si="103"/>
        <v>-18976.699033470421</v>
      </c>
      <c r="AB330" s="101">
        <f t="shared" si="104"/>
        <v>6652.9333541293763</v>
      </c>
      <c r="AC330" s="101">
        <f t="shared" si="105"/>
        <v>-3538.1414763863168</v>
      </c>
      <c r="AD330" s="101">
        <f t="shared" si="106"/>
        <v>-19781.523779815179</v>
      </c>
    </row>
    <row r="331" spans="1:30" x14ac:dyDescent="0.25">
      <c r="A331">
        <v>144</v>
      </c>
      <c r="B331" s="95">
        <f t="shared" si="107"/>
        <v>8203.547042868955</v>
      </c>
      <c r="C331" s="95">
        <f t="shared" si="108"/>
        <v>7184.1588211012649</v>
      </c>
      <c r="D331" s="95">
        <f t="shared" si="109"/>
        <v>144.11067562234442</v>
      </c>
      <c r="E331" s="95">
        <f t="shared" si="110"/>
        <v>-42.876609701701426</v>
      </c>
      <c r="F331" s="96">
        <f t="shared" si="111"/>
        <v>360.85575650126782</v>
      </c>
      <c r="G331" s="94">
        <f t="shared" si="112"/>
        <v>-371.05528723371003</v>
      </c>
      <c r="H331" s="97">
        <f t="shared" si="113"/>
        <v>892.30476716619182</v>
      </c>
      <c r="I331" s="94">
        <f t="shared" si="114"/>
        <v>156.87947100424577</v>
      </c>
      <c r="J331" s="95">
        <f t="shared" si="115"/>
        <v>-205.04874980801844</v>
      </c>
      <c r="K331" s="94">
        <f t="shared" si="116"/>
        <v>20.472060216876503</v>
      </c>
      <c r="L331" s="94">
        <f t="shared" si="117"/>
        <v>-326.40026085690556</v>
      </c>
      <c r="M331" s="94">
        <f t="shared" si="118"/>
        <v>-548.40681845483232</v>
      </c>
      <c r="N331" s="99">
        <f t="shared" si="119"/>
        <v>1891.5592246915041</v>
      </c>
      <c r="O331" s="99">
        <f t="shared" si="120"/>
        <v>28269.940094988207</v>
      </c>
      <c r="P331" s="100">
        <f t="shared" si="121"/>
        <v>25797.763820147171</v>
      </c>
      <c r="Q331" s="95">
        <f t="shared" si="122"/>
        <v>1054147196546.9929</v>
      </c>
      <c r="R331" s="95">
        <f t="shared" si="123"/>
        <v>24702411258588.523</v>
      </c>
      <c r="S331" s="95">
        <f t="shared" si="124"/>
        <v>21180623590958.324</v>
      </c>
      <c r="T331">
        <f t="shared" si="100"/>
        <v>0.5</v>
      </c>
      <c r="X331" s="101">
        <v>288</v>
      </c>
      <c r="Y331" s="101">
        <f t="shared" si="101"/>
        <v>11545.084971874736</v>
      </c>
      <c r="Z331" s="101">
        <f t="shared" si="102"/>
        <v>2744.717418524232</v>
      </c>
      <c r="AA331" s="101">
        <f t="shared" si="103"/>
        <v>-18918.440519687683</v>
      </c>
      <c r="AB331" s="101">
        <f t="shared" si="104"/>
        <v>6671.3021929669621</v>
      </c>
      <c r="AC331" s="101">
        <f t="shared" si="105"/>
        <v>-3454.9150281252641</v>
      </c>
      <c r="AD331" s="101">
        <f t="shared" si="106"/>
        <v>-19755.282581475767</v>
      </c>
    </row>
    <row r="332" spans="1:30" x14ac:dyDescent="0.25">
      <c r="A332">
        <v>144.5</v>
      </c>
      <c r="B332" s="95">
        <f t="shared" si="107"/>
        <v>8365.8163198054444</v>
      </c>
      <c r="C332" s="95">
        <f t="shared" si="108"/>
        <v>7069.9566944419867</v>
      </c>
      <c r="D332" s="95">
        <f t="shared" si="109"/>
        <v>324.53855387297835</v>
      </c>
      <c r="E332" s="95">
        <f t="shared" si="110"/>
        <v>-228.40425331855644</v>
      </c>
      <c r="F332" s="96">
        <f t="shared" si="111"/>
        <v>280.15074409447828</v>
      </c>
      <c r="G332" s="94">
        <f t="shared" si="112"/>
        <v>-309.04525009048291</v>
      </c>
      <c r="H332" s="97">
        <f t="shared" si="113"/>
        <v>814.66445553612903</v>
      </c>
      <c r="I332" s="94">
        <f t="shared" si="114"/>
        <v>214.38287484162535</v>
      </c>
      <c r="J332" s="95">
        <f t="shared" si="115"/>
        <v>-204.71352579007197</v>
      </c>
      <c r="K332" s="94">
        <f t="shared" si="116"/>
        <v>21.14585700745636</v>
      </c>
      <c r="L332" s="94">
        <f t="shared" si="117"/>
        <v>-329.80018565157872</v>
      </c>
      <c r="M332" s="94">
        <f t="shared" si="118"/>
        <v>-544.57398193956465</v>
      </c>
      <c r="N332" s="99">
        <f t="shared" si="119"/>
        <v>1824.0062712263405</v>
      </c>
      <c r="O332" s="99">
        <f t="shared" si="120"/>
        <v>28343.765228778338</v>
      </c>
      <c r="P332" s="100">
        <f t="shared" si="121"/>
        <v>25816.091050217085</v>
      </c>
      <c r="Q332" s="95">
        <f t="shared" si="122"/>
        <v>1050317794323.6586</v>
      </c>
      <c r="R332" s="95">
        <f t="shared" si="123"/>
        <v>24885220340694.844</v>
      </c>
      <c r="S332" s="95">
        <f t="shared" si="124"/>
        <v>21219894240191.102</v>
      </c>
      <c r="T332">
        <f t="shared" si="100"/>
        <v>0.5</v>
      </c>
      <c r="X332" s="101">
        <v>289</v>
      </c>
      <c r="Y332" s="101">
        <f t="shared" si="101"/>
        <v>11627.840772285781</v>
      </c>
      <c r="Z332" s="101">
        <f t="shared" si="102"/>
        <v>2772.4071220034148</v>
      </c>
      <c r="AA332" s="101">
        <f t="shared" si="103"/>
        <v>-18860.511459399953</v>
      </c>
      <c r="AB332" s="101">
        <f t="shared" si="104"/>
        <v>6690.6849854023912</v>
      </c>
      <c r="AC332" s="101">
        <f t="shared" si="105"/>
        <v>-3372.1592277142181</v>
      </c>
      <c r="AD332" s="101">
        <f t="shared" si="106"/>
        <v>-19727.592877996583</v>
      </c>
    </row>
    <row r="333" spans="1:30" x14ac:dyDescent="0.25">
      <c r="A333">
        <v>145</v>
      </c>
      <c r="B333" s="95">
        <f t="shared" si="107"/>
        <v>8598.1232827655531</v>
      </c>
      <c r="C333" s="95">
        <f t="shared" si="108"/>
        <v>6878.4932552600876</v>
      </c>
      <c r="D333" s="95">
        <f t="shared" si="109"/>
        <v>464.61392592021753</v>
      </c>
      <c r="E333" s="95">
        <f t="shared" si="110"/>
        <v>-382.92687836379787</v>
      </c>
      <c r="F333" s="96">
        <f t="shared" si="111"/>
        <v>164.7779939174751</v>
      </c>
      <c r="G333" s="94">
        <f t="shared" si="112"/>
        <v>-206.52870922058798</v>
      </c>
      <c r="H333" s="97">
        <f t="shared" si="113"/>
        <v>703.66703600587687</v>
      </c>
      <c r="I333" s="94">
        <f t="shared" si="114"/>
        <v>311.96310171378389</v>
      </c>
      <c r="J333" s="95">
        <f t="shared" si="115"/>
        <v>-202.86854088773822</v>
      </c>
      <c r="K333" s="94">
        <f t="shared" si="116"/>
        <v>22.143254381249776</v>
      </c>
      <c r="L333" s="94">
        <f t="shared" si="117"/>
        <v>-336.02050120066355</v>
      </c>
      <c r="M333" s="94">
        <f t="shared" si="118"/>
        <v>-540.63506531562166</v>
      </c>
      <c r="N333" s="99">
        <f t="shared" si="119"/>
        <v>1689.8205659979062</v>
      </c>
      <c r="O333" s="99">
        <f t="shared" si="120"/>
        <v>28516.744015777578</v>
      </c>
      <c r="P333" s="100">
        <f t="shared" si="121"/>
        <v>25801.706036410116</v>
      </c>
      <c r="Q333" s="95">
        <f t="shared" si="122"/>
        <v>1043136732466.7297</v>
      </c>
      <c r="R333" s="95">
        <f t="shared" si="123"/>
        <v>25317194073171.422</v>
      </c>
      <c r="S333" s="95">
        <f t="shared" si="124"/>
        <v>21189066369015.652</v>
      </c>
      <c r="T333">
        <f t="shared" si="100"/>
        <v>0.5</v>
      </c>
      <c r="X333" s="101">
        <v>290</v>
      </c>
      <c r="Y333" s="101">
        <f t="shared" si="101"/>
        <v>11710.100716628342</v>
      </c>
      <c r="Z333" s="101">
        <f t="shared" si="102"/>
        <v>2801.5368960704573</v>
      </c>
      <c r="AA333" s="101">
        <f t="shared" si="103"/>
        <v>-18802.929498360161</v>
      </c>
      <c r="AB333" s="101">
        <f t="shared" si="104"/>
        <v>6711.0758272493204</v>
      </c>
      <c r="AC333" s="101">
        <f t="shared" si="105"/>
        <v>-3289.8992833716593</v>
      </c>
      <c r="AD333" s="101">
        <f t="shared" si="106"/>
        <v>-19698.463103929542</v>
      </c>
    </row>
    <row r="334" spans="1:30" x14ac:dyDescent="0.25">
      <c r="A334">
        <v>145.5</v>
      </c>
      <c r="B334" s="95">
        <f t="shared" si="107"/>
        <v>8871.6247442050299</v>
      </c>
      <c r="C334" s="95">
        <f t="shared" si="108"/>
        <v>6635.3976387730418</v>
      </c>
      <c r="D334" s="95">
        <f t="shared" si="109"/>
        <v>547.00292287895513</v>
      </c>
      <c r="E334" s="95">
        <f t="shared" si="110"/>
        <v>-486.19123297409186</v>
      </c>
      <c r="F334" s="96">
        <f t="shared" si="111"/>
        <v>26.55847602067962</v>
      </c>
      <c r="G334" s="94">
        <f t="shared" si="112"/>
        <v>-76.412536075830133</v>
      </c>
      <c r="H334" s="97">
        <f t="shared" si="113"/>
        <v>570.57228735331057</v>
      </c>
      <c r="I334" s="94">
        <f t="shared" si="114"/>
        <v>437.19334003720525</v>
      </c>
      <c r="J334" s="95">
        <f t="shared" si="115"/>
        <v>-199.78569936956976</v>
      </c>
      <c r="K334" s="94">
        <f t="shared" si="116"/>
        <v>23.282355662133433</v>
      </c>
      <c r="L334" s="94">
        <f t="shared" si="117"/>
        <v>-344.22811196306117</v>
      </c>
      <c r="M334" s="94">
        <f t="shared" si="118"/>
        <v>-536.88823177516883</v>
      </c>
      <c r="N334" s="99">
        <f t="shared" si="119"/>
        <v>1533.4695836831038</v>
      </c>
      <c r="O334" s="99">
        <f t="shared" si="120"/>
        <v>28767.976287075082</v>
      </c>
      <c r="P334" s="100">
        <f t="shared" si="121"/>
        <v>25759.996582564832</v>
      </c>
      <c r="Q334" s="95">
        <f t="shared" si="122"/>
        <v>1035479492160.8552</v>
      </c>
      <c r="R334" s="95">
        <f t="shared" si="123"/>
        <v>25953717221816.02</v>
      </c>
      <c r="S334" s="95">
        <f t="shared" si="124"/>
        <v>21099862211149.746</v>
      </c>
      <c r="T334">
        <f t="shared" si="100"/>
        <v>0.5</v>
      </c>
      <c r="X334" s="101">
        <v>291</v>
      </c>
      <c r="Y334" s="101">
        <f t="shared" si="101"/>
        <v>11791.839747726497</v>
      </c>
      <c r="Z334" s="101">
        <f t="shared" si="102"/>
        <v>2832.0978675139895</v>
      </c>
      <c r="AA334" s="101">
        <f t="shared" si="103"/>
        <v>-18745.712176591453</v>
      </c>
      <c r="AB334" s="101">
        <f t="shared" si="104"/>
        <v>6732.4685072597931</v>
      </c>
      <c r="AC334" s="101">
        <f t="shared" si="105"/>
        <v>-3208.160252273502</v>
      </c>
      <c r="AD334" s="101">
        <f t="shared" si="106"/>
        <v>-19667.902132486011</v>
      </c>
    </row>
    <row r="335" spans="1:30" x14ac:dyDescent="0.25">
      <c r="A335">
        <v>146</v>
      </c>
      <c r="B335" s="95">
        <f t="shared" si="107"/>
        <v>9151.7658246496758</v>
      </c>
      <c r="C335" s="95">
        <f t="shared" si="108"/>
        <v>6373.1988882670385</v>
      </c>
      <c r="D335" s="95">
        <f t="shared" si="109"/>
        <v>560.28216088929491</v>
      </c>
      <c r="E335" s="95">
        <f t="shared" si="110"/>
        <v>-524.39750101200696</v>
      </c>
      <c r="F335" s="96">
        <f t="shared" si="111"/>
        <v>-118.19906791636686</v>
      </c>
      <c r="G335" s="94">
        <f t="shared" si="112"/>
        <v>63.330112576371675</v>
      </c>
      <c r="H335" s="97">
        <f t="shared" si="113"/>
        <v>431.00420370042764</v>
      </c>
      <c r="I335" s="94">
        <f t="shared" si="114"/>
        <v>572.54945627561369</v>
      </c>
      <c r="J335" s="95">
        <f t="shared" si="115"/>
        <v>-195.89825582009234</v>
      </c>
      <c r="K335" s="94">
        <f t="shared" si="116"/>
        <v>24.371903104205767</v>
      </c>
      <c r="L335" s="94">
        <f t="shared" si="117"/>
        <v>-353.30501579670215</v>
      </c>
      <c r="M335" s="94">
        <f t="shared" si="118"/>
        <v>-533.5912468034478</v>
      </c>
      <c r="N335" s="99">
        <f t="shared" si="119"/>
        <v>1421.5371823943249</v>
      </c>
      <c r="O335" s="99">
        <f t="shared" si="120"/>
        <v>29067.013338479861</v>
      </c>
      <c r="P335" s="100">
        <f t="shared" si="121"/>
        <v>25700.435872410169</v>
      </c>
      <c r="Q335" s="95">
        <f t="shared" si="122"/>
        <v>1030464138913.0419</v>
      </c>
      <c r="R335" s="95">
        <f t="shared" si="123"/>
        <v>26725573886028.609</v>
      </c>
      <c r="S335" s="95">
        <f t="shared" si="124"/>
        <v>20972946680734.855</v>
      </c>
      <c r="T335">
        <f t="shared" si="100"/>
        <v>0.5</v>
      </c>
      <c r="X335" s="101">
        <v>292</v>
      </c>
      <c r="Y335" s="101">
        <f t="shared" si="101"/>
        <v>11873.03296707956</v>
      </c>
      <c r="Z335" s="101">
        <f t="shared" si="102"/>
        <v>2864.0807271660633</v>
      </c>
      <c r="AA335" s="101">
        <f t="shared" si="103"/>
        <v>-18688.876923044307</v>
      </c>
      <c r="AB335" s="101">
        <f t="shared" si="104"/>
        <v>6754.8565090162447</v>
      </c>
      <c r="AC335" s="101">
        <f t="shared" si="105"/>
        <v>-3126.96703292044</v>
      </c>
      <c r="AD335" s="101">
        <f t="shared" si="106"/>
        <v>-19635.919272833937</v>
      </c>
    </row>
    <row r="336" spans="1:30" x14ac:dyDescent="0.25">
      <c r="A336">
        <v>146.5</v>
      </c>
      <c r="B336" s="95">
        <f t="shared" si="107"/>
        <v>9402.3571381152324</v>
      </c>
      <c r="C336" s="95">
        <f t="shared" si="108"/>
        <v>6126.8326659051281</v>
      </c>
      <c r="D336" s="95">
        <f t="shared" si="109"/>
        <v>501.18262693111149</v>
      </c>
      <c r="E336" s="95">
        <f t="shared" si="110"/>
        <v>-492.73244472382112</v>
      </c>
      <c r="F336" s="96">
        <f t="shared" si="111"/>
        <v>-249.92306804554974</v>
      </c>
      <c r="G336" s="94">
        <f t="shared" si="112"/>
        <v>192.28889040147465</v>
      </c>
      <c r="H336" s="97">
        <f t="shared" si="113"/>
        <v>303.8149890617284</v>
      </c>
      <c r="I336" s="94">
        <f t="shared" si="114"/>
        <v>698.05705914780083</v>
      </c>
      <c r="J336" s="95">
        <f t="shared" si="115"/>
        <v>-191.73329505459114</v>
      </c>
      <c r="K336" s="94">
        <f t="shared" si="116"/>
        <v>25.256993232734391</v>
      </c>
      <c r="L336" s="94">
        <f t="shared" si="117"/>
        <v>-362.004762052687</v>
      </c>
      <c r="M336" s="94">
        <f t="shared" si="118"/>
        <v>-531.02516197906061</v>
      </c>
      <c r="N336" s="99">
        <f t="shared" si="119"/>
        <v>1410.3836221521019</v>
      </c>
      <c r="O336" s="99">
        <f t="shared" si="120"/>
        <v>29376.506548588794</v>
      </c>
      <c r="P336" s="100">
        <f t="shared" si="121"/>
        <v>25633.690851555923</v>
      </c>
      <c r="Q336" s="95">
        <f t="shared" si="122"/>
        <v>1029985622810.5592</v>
      </c>
      <c r="R336" s="95">
        <f t="shared" si="123"/>
        <v>27540850952065.109</v>
      </c>
      <c r="S336" s="95">
        <f t="shared" si="124"/>
        <v>20831373931343.512</v>
      </c>
      <c r="T336">
        <f t="shared" si="100"/>
        <v>0.5</v>
      </c>
      <c r="X336" s="101">
        <v>293</v>
      </c>
      <c r="Y336" s="101">
        <f t="shared" si="101"/>
        <v>11953.655642446367</v>
      </c>
      <c r="Z336" s="101">
        <f t="shared" si="102"/>
        <v>2897.4757327377974</v>
      </c>
      <c r="AA336" s="101">
        <f t="shared" si="103"/>
        <v>-18632.441050287543</v>
      </c>
      <c r="AB336" s="101">
        <f t="shared" si="104"/>
        <v>6778.2330129164584</v>
      </c>
      <c r="AC336" s="101">
        <f t="shared" si="105"/>
        <v>-3046.3443575536326</v>
      </c>
      <c r="AD336" s="101">
        <f t="shared" si="106"/>
        <v>-19602.524267262204</v>
      </c>
    </row>
    <row r="337" spans="1:30" x14ac:dyDescent="0.25">
      <c r="A337">
        <v>147</v>
      </c>
      <c r="B337" s="95">
        <f t="shared" si="107"/>
        <v>9590.4676845694012</v>
      </c>
      <c r="C337" s="95">
        <f t="shared" si="108"/>
        <v>5928.5386661435869</v>
      </c>
      <c r="D337" s="95">
        <f t="shared" si="109"/>
        <v>376.22109290833663</v>
      </c>
      <c r="E337" s="95">
        <f t="shared" si="110"/>
        <v>-396.58799952308379</v>
      </c>
      <c r="F337" s="96">
        <f t="shared" si="111"/>
        <v>-349.57397087067659</v>
      </c>
      <c r="G337" s="94">
        <f t="shared" si="112"/>
        <v>292.22013665013878</v>
      </c>
      <c r="H337" s="97">
        <f t="shared" si="113"/>
        <v>207.4139284233359</v>
      </c>
      <c r="I337" s="94">
        <f t="shared" si="114"/>
        <v>795.89071811787164</v>
      </c>
      <c r="J337" s="95">
        <f t="shared" si="115"/>
        <v>-187.83291058050466</v>
      </c>
      <c r="K337" s="94">
        <f t="shared" si="116"/>
        <v>25.844621342468063</v>
      </c>
      <c r="L337" s="94">
        <f t="shared" si="117"/>
        <v>-369.15498871350786</v>
      </c>
      <c r="M337" s="94">
        <f t="shared" si="118"/>
        <v>-529.51520281020089</v>
      </c>
      <c r="N337" s="99">
        <f t="shared" si="119"/>
        <v>1497.5865643718339</v>
      </c>
      <c r="O337" s="99">
        <f t="shared" si="120"/>
        <v>29656.365766478793</v>
      </c>
      <c r="P337" s="100">
        <f t="shared" si="121"/>
        <v>25568.945023738754</v>
      </c>
      <c r="Q337" s="95">
        <f t="shared" si="122"/>
        <v>1033829408455.8331</v>
      </c>
      <c r="R337" s="95">
        <f t="shared" si="123"/>
        <v>28292601558429.836</v>
      </c>
      <c r="S337" s="95">
        <f t="shared" si="124"/>
        <v>20694698022829.52</v>
      </c>
      <c r="T337">
        <f t="shared" si="100"/>
        <v>0.5</v>
      </c>
      <c r="X337" s="101">
        <v>294</v>
      </c>
      <c r="Y337" s="101">
        <f t="shared" si="101"/>
        <v>12033.683215379002</v>
      </c>
      <c r="Z337" s="101">
        <f t="shared" si="102"/>
        <v>2932.2727117869963</v>
      </c>
      <c r="AA337" s="101">
        <f t="shared" si="103"/>
        <v>-18576.421749234698</v>
      </c>
      <c r="AB337" s="101">
        <f t="shared" si="104"/>
        <v>6802.5908982508972</v>
      </c>
      <c r="AC337" s="101">
        <f t="shared" si="105"/>
        <v>-2966.3167846209972</v>
      </c>
      <c r="AD337" s="101">
        <f t="shared" si="106"/>
        <v>-19567.727288213006</v>
      </c>
    </row>
    <row r="338" spans="1:30" x14ac:dyDescent="0.25">
      <c r="A338">
        <v>147.5</v>
      </c>
      <c r="B338" s="95">
        <f t="shared" si="107"/>
        <v>9691.1847383059012</v>
      </c>
      <c r="C338" s="95">
        <f t="shared" si="108"/>
        <v>5803.2997005445795</v>
      </c>
      <c r="D338" s="95">
        <f t="shared" si="109"/>
        <v>201.43410747299833</v>
      </c>
      <c r="E338" s="95">
        <f t="shared" si="110"/>
        <v>-250.4779311980144</v>
      </c>
      <c r="F338" s="96">
        <f t="shared" si="111"/>
        <v>-403.02287391620723</v>
      </c>
      <c r="G338" s="94">
        <f t="shared" si="112"/>
        <v>351.09105639693303</v>
      </c>
      <c r="H338" s="97">
        <f t="shared" si="113"/>
        <v>155.50348861394363</v>
      </c>
      <c r="I338" s="94">
        <f t="shared" si="114"/>
        <v>854.37103804472542</v>
      </c>
      <c r="J338" s="95">
        <f t="shared" si="115"/>
        <v>-184.67851504730885</v>
      </c>
      <c r="K338" s="94">
        <f t="shared" si="116"/>
        <v>26.103383419460183</v>
      </c>
      <c r="L338" s="94">
        <f t="shared" si="117"/>
        <v>-373.84784748284204</v>
      </c>
      <c r="M338" s="94">
        <f t="shared" si="118"/>
        <v>-529.38336506725261</v>
      </c>
      <c r="N338" s="99">
        <f t="shared" si="119"/>
        <v>1623.9481029847366</v>
      </c>
      <c r="O338" s="99">
        <f t="shared" si="120"/>
        <v>29869.258028692875</v>
      </c>
      <c r="P338" s="100">
        <f t="shared" si="121"/>
        <v>25512.457309219182</v>
      </c>
      <c r="Q338" s="95">
        <f t="shared" si="122"/>
        <v>1039817783834.5907</v>
      </c>
      <c r="R338" s="95">
        <f t="shared" si="123"/>
        <v>28873796792619.262</v>
      </c>
      <c r="S338" s="95">
        <f t="shared" si="124"/>
        <v>20575981359417.688</v>
      </c>
      <c r="T338">
        <f t="shared" si="100"/>
        <v>0.5</v>
      </c>
      <c r="X338" s="101">
        <v>295</v>
      </c>
      <c r="Y338" s="101">
        <f t="shared" si="101"/>
        <v>12113.091308703497</v>
      </c>
      <c r="Z338" s="101">
        <f t="shared" si="102"/>
        <v>2968.46106481675</v>
      </c>
      <c r="AA338" s="101">
        <f t="shared" si="103"/>
        <v>-18520.83608390755</v>
      </c>
      <c r="AB338" s="101">
        <f t="shared" si="104"/>
        <v>6827.9227453717249</v>
      </c>
      <c r="AC338" s="101">
        <f t="shared" si="105"/>
        <v>-2886.9086912965022</v>
      </c>
      <c r="AD338" s="101">
        <f t="shared" si="106"/>
        <v>-19531.538935183249</v>
      </c>
    </row>
    <row r="339" spans="1:30" x14ac:dyDescent="0.25">
      <c r="A339">
        <v>148</v>
      </c>
      <c r="B339" s="95">
        <f t="shared" si="107"/>
        <v>9691.14607356335</v>
      </c>
      <c r="C339" s="95">
        <f t="shared" si="108"/>
        <v>5765.8334990448056</v>
      </c>
      <c r="D339" s="95">
        <f t="shared" si="109"/>
        <v>-7.7329485105281037E-2</v>
      </c>
      <c r="E339" s="95">
        <f t="shared" si="110"/>
        <v>-74.93240299954789</v>
      </c>
      <c r="F339" s="96">
        <f t="shared" si="111"/>
        <v>-403.4289668707849</v>
      </c>
      <c r="G339" s="94">
        <f t="shared" si="112"/>
        <v>364.15651378771759</v>
      </c>
      <c r="H339" s="97">
        <f t="shared" si="113"/>
        <v>154.76023126613106</v>
      </c>
      <c r="I339" s="94">
        <f t="shared" si="114"/>
        <v>868.9544984523659</v>
      </c>
      <c r="J339" s="95">
        <f t="shared" si="115"/>
        <v>-182.63515636107283</v>
      </c>
      <c r="K339" s="94">
        <f t="shared" si="116"/>
        <v>26.045059326602168</v>
      </c>
      <c r="L339" s="94">
        <f t="shared" si="117"/>
        <v>-375.55404177584313</v>
      </c>
      <c r="M339" s="94">
        <f t="shared" si="118"/>
        <v>-530.84304399125051</v>
      </c>
      <c r="N339" s="99">
        <f t="shared" si="119"/>
        <v>1724.5749540183251</v>
      </c>
      <c r="O339" s="99">
        <f t="shared" si="120"/>
        <v>29986.309285533262</v>
      </c>
      <c r="P339" s="100">
        <f t="shared" si="121"/>
        <v>25467.787250676301</v>
      </c>
      <c r="Q339" s="95">
        <f t="shared" si="122"/>
        <v>1044942466148.5894</v>
      </c>
      <c r="R339" s="95">
        <f t="shared" si="123"/>
        <v>29196804589616.008</v>
      </c>
      <c r="S339" s="95">
        <f t="shared" si="124"/>
        <v>20482447905180.066</v>
      </c>
      <c r="T339">
        <f t="shared" si="100"/>
        <v>0.5</v>
      </c>
      <c r="X339" s="101">
        <v>296</v>
      </c>
      <c r="Y339" s="101">
        <f t="shared" si="101"/>
        <v>12191.855733945387</v>
      </c>
      <c r="Z339" s="101">
        <f t="shared" si="102"/>
        <v>3006.0297685041651</v>
      </c>
      <c r="AA339" s="101">
        <f t="shared" si="103"/>
        <v>-18465.700986238229</v>
      </c>
      <c r="AB339" s="101">
        <f t="shared" si="104"/>
        <v>6854.2208379529147</v>
      </c>
      <c r="AC339" s="101">
        <f t="shared" si="105"/>
        <v>-2808.1442660546131</v>
      </c>
      <c r="AD339" s="101">
        <f t="shared" si="106"/>
        <v>-19493.970231495834</v>
      </c>
    </row>
    <row r="340" spans="1:30" x14ac:dyDescent="0.25">
      <c r="A340">
        <v>148.5</v>
      </c>
      <c r="B340" s="95">
        <f t="shared" si="107"/>
        <v>9590.2501671031005</v>
      </c>
      <c r="C340" s="95">
        <f t="shared" si="108"/>
        <v>5819.4064259919614</v>
      </c>
      <c r="D340" s="95">
        <f t="shared" si="109"/>
        <v>-201.79181292049773</v>
      </c>
      <c r="E340" s="95">
        <f t="shared" si="110"/>
        <v>107.1458538943109</v>
      </c>
      <c r="F340" s="96">
        <f t="shared" si="111"/>
        <v>-351.13376076709062</v>
      </c>
      <c r="G340" s="94">
        <f t="shared" si="112"/>
        <v>332.35941854067778</v>
      </c>
      <c r="H340" s="97">
        <f t="shared" si="113"/>
        <v>204.93314111706485</v>
      </c>
      <c r="I340" s="94">
        <f t="shared" si="114"/>
        <v>840.53559614088078</v>
      </c>
      <c r="J340" s="95">
        <f t="shared" si="115"/>
        <v>-181.92427395136914</v>
      </c>
      <c r="K340" s="94">
        <f t="shared" si="116"/>
        <v>25.702771904331968</v>
      </c>
      <c r="L340" s="94">
        <f t="shared" si="117"/>
        <v>-374.1426279327863</v>
      </c>
      <c r="M340" s="94">
        <f t="shared" si="118"/>
        <v>-533.87894950453494</v>
      </c>
      <c r="N340" s="99">
        <f t="shared" si="119"/>
        <v>1761.4551373539202</v>
      </c>
      <c r="O340" s="99">
        <f t="shared" si="120"/>
        <v>29991.537491757364</v>
      </c>
      <c r="P340" s="100">
        <f t="shared" si="121"/>
        <v>25437.169926405477</v>
      </c>
      <c r="Q340" s="95">
        <f t="shared" si="122"/>
        <v>1046900026208.3961</v>
      </c>
      <c r="R340" s="95">
        <f t="shared" si="123"/>
        <v>29211289501259.527</v>
      </c>
      <c r="S340" s="95">
        <f t="shared" si="124"/>
        <v>20418515701826.051</v>
      </c>
      <c r="T340">
        <f t="shared" si="100"/>
        <v>0.5</v>
      </c>
      <c r="X340" s="101">
        <v>297</v>
      </c>
      <c r="Y340" s="101">
        <f t="shared" si="101"/>
        <v>12269.952498697734</v>
      </c>
      <c r="Z340" s="101">
        <f t="shared" si="102"/>
        <v>3044.9673790581601</v>
      </c>
      <c r="AA340" s="101">
        <f t="shared" si="103"/>
        <v>-18411.033250911587</v>
      </c>
      <c r="AB340" s="101">
        <f t="shared" si="104"/>
        <v>6881.4771653407124</v>
      </c>
      <c r="AC340" s="101">
        <f t="shared" si="105"/>
        <v>-2730.0475013022669</v>
      </c>
      <c r="AD340" s="101">
        <f t="shared" si="106"/>
        <v>-19455.032620941842</v>
      </c>
    </row>
    <row r="341" spans="1:30" x14ac:dyDescent="0.25">
      <c r="A341">
        <v>149</v>
      </c>
      <c r="B341" s="95">
        <f t="shared" si="107"/>
        <v>9401.5708204510775</v>
      </c>
      <c r="C341" s="95">
        <f t="shared" si="108"/>
        <v>5956.0692075742863</v>
      </c>
      <c r="D341" s="95">
        <f t="shared" si="109"/>
        <v>-377.35869330404307</v>
      </c>
      <c r="E341" s="95">
        <f t="shared" si="110"/>
        <v>273.32556316464979</v>
      </c>
      <c r="F341" s="96">
        <f t="shared" si="111"/>
        <v>-252.68121137989959</v>
      </c>
      <c r="G341" s="94">
        <f t="shared" si="112"/>
        <v>260.37638262899929</v>
      </c>
      <c r="H341" s="97">
        <f t="shared" si="113"/>
        <v>299.78114497119066</v>
      </c>
      <c r="I341" s="94">
        <f t="shared" si="114"/>
        <v>773.427093007954</v>
      </c>
      <c r="J341" s="95">
        <f t="shared" si="115"/>
        <v>-182.61869929045923</v>
      </c>
      <c r="K341" s="94">
        <f t="shared" si="116"/>
        <v>25.117616532914546</v>
      </c>
      <c r="L341" s="94">
        <f t="shared" si="117"/>
        <v>-369.84365706063102</v>
      </c>
      <c r="M341" s="94">
        <f t="shared" si="118"/>
        <v>-538.16832691186926</v>
      </c>
      <c r="N341" s="99">
        <f t="shared" si="119"/>
        <v>1729.8235998378993</v>
      </c>
      <c r="O341" s="99">
        <f t="shared" si="120"/>
        <v>29884.113966834993</v>
      </c>
      <c r="P341" s="100">
        <f t="shared" si="121"/>
        <v>25422.885042207297</v>
      </c>
      <c r="Q341" s="95">
        <f t="shared" si="122"/>
        <v>1045218456698.5441</v>
      </c>
      <c r="R341" s="95">
        <f t="shared" si="123"/>
        <v>28914656078099.031</v>
      </c>
      <c r="S341" s="95">
        <f t="shared" si="124"/>
        <v>20388736441258.426</v>
      </c>
      <c r="T341">
        <f t="shared" si="100"/>
        <v>0.5</v>
      </c>
      <c r="X341" s="101">
        <v>298</v>
      </c>
      <c r="Y341" s="101">
        <f t="shared" si="101"/>
        <v>12347.357813929451</v>
      </c>
      <c r="Z341" s="101">
        <f t="shared" si="102"/>
        <v>3085.2620357053647</v>
      </c>
      <c r="AA341" s="101">
        <f t="shared" si="103"/>
        <v>-18356.849530249383</v>
      </c>
      <c r="AB341" s="101">
        <f t="shared" si="104"/>
        <v>6909.6834249937547</v>
      </c>
      <c r="AC341" s="101">
        <f t="shared" si="105"/>
        <v>-2652.6421860705477</v>
      </c>
      <c r="AD341" s="101">
        <f t="shared" si="106"/>
        <v>-19414.737964294636</v>
      </c>
    </row>
    <row r="342" spans="1:30" x14ac:dyDescent="0.25">
      <c r="A342">
        <v>149.5</v>
      </c>
      <c r="B342" s="95">
        <f t="shared" si="107"/>
        <v>9149.7211709540807</v>
      </c>
      <c r="C342" s="95">
        <f t="shared" si="108"/>
        <v>6157.8260848138607</v>
      </c>
      <c r="D342" s="95">
        <f t="shared" si="109"/>
        <v>-503.6992989939929</v>
      </c>
      <c r="E342" s="95">
        <f t="shared" si="110"/>
        <v>403.51375447914944</v>
      </c>
      <c r="F342" s="96">
        <f t="shared" si="111"/>
        <v>-120.34420267035074</v>
      </c>
      <c r="G342" s="94">
        <f t="shared" si="112"/>
        <v>156.06670716270116</v>
      </c>
      <c r="H342" s="97">
        <f t="shared" si="113"/>
        <v>427.50281686387456</v>
      </c>
      <c r="I342" s="94">
        <f t="shared" si="114"/>
        <v>674.817612602586</v>
      </c>
      <c r="J342" s="95">
        <f t="shared" si="115"/>
        <v>-184.64553525558972</v>
      </c>
      <c r="K342" s="94">
        <f t="shared" si="116"/>
        <v>24.337806010354694</v>
      </c>
      <c r="L342" s="94">
        <f t="shared" si="117"/>
        <v>-363.20148427863558</v>
      </c>
      <c r="M342" s="94">
        <f t="shared" si="118"/>
        <v>-543.08871145023954</v>
      </c>
      <c r="N342" s="99">
        <f t="shared" si="119"/>
        <v>1655.8501667529852</v>
      </c>
      <c r="O342" s="99">
        <f t="shared" si="120"/>
        <v>29678.37163598989</v>
      </c>
      <c r="P342" s="100">
        <f t="shared" si="121"/>
        <v>25427.58499600603</v>
      </c>
      <c r="Q342" s="95">
        <f t="shared" si="122"/>
        <v>1041408234620.7341</v>
      </c>
      <c r="R342" s="95">
        <f t="shared" si="123"/>
        <v>28352302667403.344</v>
      </c>
      <c r="S342" s="95">
        <f t="shared" si="124"/>
        <v>20398530845444.254</v>
      </c>
      <c r="T342">
        <f t="shared" si="100"/>
        <v>0.5</v>
      </c>
      <c r="X342" s="101">
        <v>299</v>
      </c>
      <c r="Y342" s="101">
        <f t="shared" si="101"/>
        <v>12424.048101231683</v>
      </c>
      <c r="Z342" s="101">
        <f t="shared" si="102"/>
        <v>3126.9014643030196</v>
      </c>
      <c r="AA342" s="101">
        <f t="shared" si="103"/>
        <v>-18303.166329137821</v>
      </c>
      <c r="AB342" s="101">
        <f t="shared" si="104"/>
        <v>6938.831025012114</v>
      </c>
      <c r="AC342" s="101">
        <f t="shared" si="105"/>
        <v>-2575.9518987683173</v>
      </c>
      <c r="AD342" s="101">
        <f t="shared" si="106"/>
        <v>-19373.09853569698</v>
      </c>
    </row>
    <row r="343" spans="1:30" x14ac:dyDescent="0.25">
      <c r="A343">
        <v>150</v>
      </c>
      <c r="B343" s="95">
        <f t="shared" si="107"/>
        <v>8867.7854707894967</v>
      </c>
      <c r="C343" s="95">
        <f t="shared" si="108"/>
        <v>6398.5996388441099</v>
      </c>
      <c r="D343" s="95">
        <f t="shared" si="109"/>
        <v>-563.8714003291683</v>
      </c>
      <c r="E343" s="95">
        <f t="shared" si="110"/>
        <v>481.54710806050002</v>
      </c>
      <c r="F343" s="96">
        <f t="shared" si="111"/>
        <v>28.246567945588311</v>
      </c>
      <c r="G343" s="94">
        <f t="shared" si="112"/>
        <v>31.120845237585058</v>
      </c>
      <c r="H343" s="97">
        <f t="shared" si="113"/>
        <v>571.0662055054546</v>
      </c>
      <c r="I343" s="94">
        <f t="shared" si="114"/>
        <v>555.52415974224948</v>
      </c>
      <c r="J343" s="95">
        <f t="shared" si="115"/>
        <v>-187.78712630623687</v>
      </c>
      <c r="K343" s="94">
        <f t="shared" si="116"/>
        <v>23.427381542101102</v>
      </c>
      <c r="L343" s="94">
        <f t="shared" si="117"/>
        <v>-355.03251125362942</v>
      </c>
      <c r="M343" s="94">
        <f t="shared" si="118"/>
        <v>-547.83069604676552</v>
      </c>
      <c r="N343" s="99">
        <f t="shared" si="119"/>
        <v>1588.8375957692433</v>
      </c>
      <c r="O343" s="99">
        <f t="shared" si="120"/>
        <v>29401.845941010324</v>
      </c>
      <c r="P343" s="100">
        <f t="shared" si="121"/>
        <v>25453.255466658404</v>
      </c>
      <c r="Q343" s="95">
        <f t="shared" si="122"/>
        <v>1038104050798.2948</v>
      </c>
      <c r="R343" s="95">
        <f t="shared" si="123"/>
        <v>27608346410376.602</v>
      </c>
      <c r="S343" s="95">
        <f t="shared" si="124"/>
        <v>20452086112130.75</v>
      </c>
      <c r="T343">
        <f t="shared" si="100"/>
        <v>0.5</v>
      </c>
      <c r="X343" s="101">
        <v>300</v>
      </c>
      <c r="Y343" s="101">
        <f t="shared" si="101"/>
        <v>12500</v>
      </c>
      <c r="Z343" s="101">
        <f t="shared" si="102"/>
        <v>3169.8729810778068</v>
      </c>
      <c r="AA343" s="101">
        <f t="shared" si="103"/>
        <v>-18250</v>
      </c>
      <c r="AB343" s="101">
        <f t="shared" si="104"/>
        <v>6968.911086754465</v>
      </c>
      <c r="AC343" s="101">
        <f t="shared" si="105"/>
        <v>-2499.9999999999995</v>
      </c>
      <c r="AD343" s="101">
        <f t="shared" si="106"/>
        <v>-19330.127018922194</v>
      </c>
    </row>
    <row r="344" spans="1:30" x14ac:dyDescent="0.25">
      <c r="A344">
        <v>150.5</v>
      </c>
      <c r="B344" s="95">
        <f t="shared" si="107"/>
        <v>8592.9114126113091</v>
      </c>
      <c r="C344" s="95">
        <f t="shared" si="108"/>
        <v>6647.1534041837567</v>
      </c>
      <c r="D344" s="95">
        <f t="shared" si="109"/>
        <v>-549.74811635637411</v>
      </c>
      <c r="E344" s="95">
        <f t="shared" si="110"/>
        <v>497.10753067929255</v>
      </c>
      <c r="F344" s="96">
        <f t="shared" si="111"/>
        <v>171.96590963364366</v>
      </c>
      <c r="G344" s="94">
        <f t="shared" si="112"/>
        <v>-98.774128671110986</v>
      </c>
      <c r="H344" s="97">
        <f t="shared" si="113"/>
        <v>710.01265733265313</v>
      </c>
      <c r="I344" s="94">
        <f t="shared" si="114"/>
        <v>430.34382001232689</v>
      </c>
      <c r="J344" s="95">
        <f t="shared" si="115"/>
        <v>-191.68332335713086</v>
      </c>
      <c r="K344" s="94">
        <f t="shared" si="116"/>
        <v>22.477066742816373</v>
      </c>
      <c r="L344" s="94">
        <f t="shared" si="117"/>
        <v>-346.36342434187867</v>
      </c>
      <c r="M344" s="94">
        <f t="shared" si="118"/>
        <v>-551.59501542625424</v>
      </c>
      <c r="N344" s="99">
        <f t="shared" si="119"/>
        <v>1579.5545244497534</v>
      </c>
      <c r="O344" s="99">
        <f t="shared" si="120"/>
        <v>29091.564456880948</v>
      </c>
      <c r="P344" s="100">
        <f t="shared" si="121"/>
        <v>25499.324311976965</v>
      </c>
      <c r="Q344" s="95">
        <f t="shared" si="122"/>
        <v>1037657362733.2935</v>
      </c>
      <c r="R344" s="95">
        <f t="shared" si="123"/>
        <v>26789634635243.805</v>
      </c>
      <c r="S344" s="95">
        <f t="shared" si="124"/>
        <v>20548450766655.855</v>
      </c>
      <c r="T344">
        <f t="shared" si="100"/>
        <v>0.5</v>
      </c>
      <c r="X344" s="101">
        <v>301</v>
      </c>
      <c r="Y344" s="101">
        <f t="shared" si="101"/>
        <v>12575.190374550271</v>
      </c>
      <c r="Z344" s="101">
        <f t="shared" si="102"/>
        <v>3214.1634964894383</v>
      </c>
      <c r="AA344" s="101">
        <f t="shared" si="103"/>
        <v>-18197.366737814809</v>
      </c>
      <c r="AB344" s="101">
        <f t="shared" si="104"/>
        <v>6999.9144475426074</v>
      </c>
      <c r="AC344" s="101">
        <f t="shared" si="105"/>
        <v>-2424.8096254497291</v>
      </c>
      <c r="AD344" s="101">
        <f t="shared" si="106"/>
        <v>-19285.83650351056</v>
      </c>
    </row>
    <row r="345" spans="1:30" x14ac:dyDescent="0.25">
      <c r="A345">
        <v>151</v>
      </c>
      <c r="B345" s="95">
        <f t="shared" si="107"/>
        <v>8361.0288318415332</v>
      </c>
      <c r="C345" s="95">
        <f t="shared" si="108"/>
        <v>6871.0136373556252</v>
      </c>
      <c r="D345" s="95">
        <f t="shared" si="109"/>
        <v>-463.76516153955231</v>
      </c>
      <c r="E345" s="95">
        <f t="shared" si="110"/>
        <v>447.72046634373703</v>
      </c>
      <c r="F345" s="96">
        <f t="shared" si="111"/>
        <v>290.28619783716579</v>
      </c>
      <c r="G345" s="94">
        <f t="shared" si="112"/>
        <v>-215.79770016679777</v>
      </c>
      <c r="H345" s="97">
        <f t="shared" si="113"/>
        <v>824.4575744645249</v>
      </c>
      <c r="I345" s="94">
        <f t="shared" si="114"/>
        <v>316.40127721081802</v>
      </c>
      <c r="J345" s="95">
        <f t="shared" si="115"/>
        <v>-195.85028427826578</v>
      </c>
      <c r="K345" s="94">
        <f t="shared" si="116"/>
        <v>21.60756833823671</v>
      </c>
      <c r="L345" s="94">
        <f t="shared" si="117"/>
        <v>-338.32109234909331</v>
      </c>
      <c r="M345" s="94">
        <f t="shared" si="118"/>
        <v>-553.80654571585251</v>
      </c>
      <c r="N345" s="99">
        <f t="shared" si="119"/>
        <v>1645.3709638725416</v>
      </c>
      <c r="O345" s="99">
        <f t="shared" si="120"/>
        <v>28788.820110322595</v>
      </c>
      <c r="P345" s="100">
        <f t="shared" si="121"/>
        <v>25561.034626465404</v>
      </c>
      <c r="Q345" s="95">
        <f t="shared" si="122"/>
        <v>1040882300639.9733</v>
      </c>
      <c r="R345" s="95">
        <f t="shared" si="123"/>
        <v>26007015557030.359</v>
      </c>
      <c r="S345" s="95">
        <f t="shared" si="124"/>
        <v>20678043714363.598</v>
      </c>
      <c r="T345">
        <f t="shared" si="100"/>
        <v>0.5</v>
      </c>
      <c r="X345" s="101">
        <v>302</v>
      </c>
      <c r="Y345" s="101">
        <f t="shared" si="101"/>
        <v>12649.596321166024</v>
      </c>
      <c r="Z345" s="101">
        <f t="shared" si="102"/>
        <v>3259.7595192178687</v>
      </c>
      <c r="AA345" s="101">
        <f t="shared" si="103"/>
        <v>-18145.282575183785</v>
      </c>
      <c r="AB345" s="101">
        <f t="shared" si="104"/>
        <v>7031.831663452509</v>
      </c>
      <c r="AC345" s="101">
        <f t="shared" si="105"/>
        <v>-2350.4036788339768</v>
      </c>
      <c r="AD345" s="101">
        <f t="shared" si="106"/>
        <v>-19240.240480782129</v>
      </c>
    </row>
    <row r="346" spans="1:30" x14ac:dyDescent="0.25">
      <c r="A346">
        <v>151.5</v>
      </c>
      <c r="B346" s="95">
        <f t="shared" si="107"/>
        <v>8201.7178005310489</v>
      </c>
      <c r="C346" s="95">
        <f t="shared" si="108"/>
        <v>7040.9244454857944</v>
      </c>
      <c r="D346" s="95">
        <f t="shared" si="109"/>
        <v>-318.62206262096942</v>
      </c>
      <c r="E346" s="95">
        <f t="shared" si="110"/>
        <v>339.82161626033815</v>
      </c>
      <c r="F346" s="96">
        <f t="shared" si="111"/>
        <v>367.96150263515017</v>
      </c>
      <c r="G346" s="94">
        <f t="shared" si="112"/>
        <v>-303.62136036722882</v>
      </c>
      <c r="H346" s="97">
        <f t="shared" si="113"/>
        <v>899.66983503161862</v>
      </c>
      <c r="I346" s="94">
        <f t="shared" si="114"/>
        <v>229.6727557659257</v>
      </c>
      <c r="J346" s="95">
        <f t="shared" si="115"/>
        <v>-199.73195956395816</v>
      </c>
      <c r="K346" s="94">
        <f t="shared" si="116"/>
        <v>20.95694890577904</v>
      </c>
      <c r="L346" s="94">
        <f t="shared" si="117"/>
        <v>-331.97637283251026</v>
      </c>
      <c r="M346" s="94">
        <f t="shared" si="118"/>
        <v>-554.25106503893358</v>
      </c>
      <c r="N346" s="99">
        <f t="shared" si="119"/>
        <v>1755.5199612785182</v>
      </c>
      <c r="O346" s="99">
        <f t="shared" si="120"/>
        <v>28533.112554682168</v>
      </c>
      <c r="P346" s="100">
        <f t="shared" si="121"/>
        <v>25629.247530325512</v>
      </c>
      <c r="Q346" s="95">
        <f t="shared" si="122"/>
        <v>1046582113969.6956</v>
      </c>
      <c r="R346" s="95">
        <f t="shared" si="123"/>
        <v>25358335417280.191</v>
      </c>
      <c r="S346" s="95">
        <f t="shared" si="124"/>
        <v>20821973615694.004</v>
      </c>
      <c r="T346">
        <f t="shared" si="100"/>
        <v>0.5</v>
      </c>
      <c r="X346" s="101">
        <v>303</v>
      </c>
      <c r="Y346" s="101">
        <f t="shared" si="101"/>
        <v>12723.195175075132</v>
      </c>
      <c r="Z346" s="101">
        <f t="shared" si="102"/>
        <v>3306.6471602728789</v>
      </c>
      <c r="AA346" s="101">
        <f t="shared" si="103"/>
        <v>-18093.763377447405</v>
      </c>
      <c r="AB346" s="101">
        <f t="shared" si="104"/>
        <v>7064.6530121910146</v>
      </c>
      <c r="AC346" s="101">
        <f t="shared" si="105"/>
        <v>-2276.8048249248668</v>
      </c>
      <c r="AD346" s="101">
        <f t="shared" si="106"/>
        <v>-19193.352839727122</v>
      </c>
    </row>
    <row r="347" spans="1:30" x14ac:dyDescent="0.25">
      <c r="A347">
        <v>152</v>
      </c>
      <c r="B347" s="95">
        <f t="shared" si="107"/>
        <v>8134.3971448793518</v>
      </c>
      <c r="C347" s="95">
        <f t="shared" si="108"/>
        <v>7134.9299135241563</v>
      </c>
      <c r="D347" s="95">
        <f t="shared" si="109"/>
        <v>-134.64131130339433</v>
      </c>
      <c r="E347" s="95">
        <f t="shared" si="110"/>
        <v>188.01093607672374</v>
      </c>
      <c r="F347" s="96">
        <f t="shared" si="111"/>
        <v>397.47939880180098</v>
      </c>
      <c r="G347" s="94">
        <f t="shared" si="112"/>
        <v>-350.73818432234009</v>
      </c>
      <c r="H347" s="97">
        <f t="shared" si="113"/>
        <v>928.4452033557767</v>
      </c>
      <c r="I347" s="94">
        <f t="shared" si="114"/>
        <v>181.6825964576775</v>
      </c>
      <c r="J347" s="95">
        <f t="shared" si="115"/>
        <v>-202.784976578401</v>
      </c>
      <c r="K347" s="94">
        <f t="shared" si="116"/>
        <v>20.650635142087129</v>
      </c>
      <c r="L347" s="94">
        <f t="shared" si="117"/>
        <v>-328.18082797557469</v>
      </c>
      <c r="M347" s="94">
        <f t="shared" si="118"/>
        <v>-553.07141592210473</v>
      </c>
      <c r="N347" s="99">
        <f t="shared" si="119"/>
        <v>1855.9550731845354</v>
      </c>
      <c r="O347" s="99">
        <f t="shared" si="120"/>
        <v>28356.533903813302</v>
      </c>
      <c r="P347" s="100">
        <f t="shared" si="121"/>
        <v>25692.172023720992</v>
      </c>
      <c r="Q347" s="95">
        <f t="shared" si="122"/>
        <v>1052110956212.8303</v>
      </c>
      <c r="R347" s="95">
        <f t="shared" si="123"/>
        <v>24916932694000.574</v>
      </c>
      <c r="S347" s="95">
        <f t="shared" si="124"/>
        <v>20955380927347.965</v>
      </c>
      <c r="T347">
        <f t="shared" si="100"/>
        <v>0.5</v>
      </c>
      <c r="X347" s="101">
        <v>304</v>
      </c>
      <c r="Y347" s="101">
        <f t="shared" si="101"/>
        <v>12795.964517353732</v>
      </c>
      <c r="Z347" s="101">
        <f t="shared" si="102"/>
        <v>3354.8121372247897</v>
      </c>
      <c r="AA347" s="101">
        <f t="shared" si="103"/>
        <v>-18042.824837852389</v>
      </c>
      <c r="AB347" s="101">
        <f t="shared" si="104"/>
        <v>7098.3684960573528</v>
      </c>
      <c r="AC347" s="101">
        <f t="shared" si="105"/>
        <v>-2204.035482646269</v>
      </c>
      <c r="AD347" s="101">
        <f t="shared" si="106"/>
        <v>-19145.187862775208</v>
      </c>
    </row>
    <row r="348" spans="1:30" x14ac:dyDescent="0.25">
      <c r="A348">
        <v>152.5</v>
      </c>
      <c r="B348" s="95">
        <f t="shared" si="107"/>
        <v>8166.4463389281054</v>
      </c>
      <c r="C348" s="95">
        <f t="shared" si="108"/>
        <v>7141.2508354819329</v>
      </c>
      <c r="D348" s="95">
        <f t="shared" si="109"/>
        <v>64.09838809750616</v>
      </c>
      <c r="E348" s="95">
        <f t="shared" si="110"/>
        <v>12.641843915553693</v>
      </c>
      <c r="F348" s="96">
        <f t="shared" si="111"/>
        <v>378.24371779481947</v>
      </c>
      <c r="G348" s="94">
        <f t="shared" si="112"/>
        <v>-351.7781494488375</v>
      </c>
      <c r="H348" s="97">
        <f t="shared" si="113"/>
        <v>910.26146511254956</v>
      </c>
      <c r="I348" s="94">
        <f t="shared" si="114"/>
        <v>178.09979987780378</v>
      </c>
      <c r="J348" s="95">
        <f t="shared" si="115"/>
        <v>-204.57514615994739</v>
      </c>
      <c r="K348" s="94">
        <f t="shared" si="116"/>
        <v>20.763323179950973</v>
      </c>
      <c r="L348" s="94">
        <f t="shared" si="117"/>
        <v>-327.44260115778269</v>
      </c>
      <c r="M348" s="94">
        <f t="shared" si="118"/>
        <v>-550.64127250659226</v>
      </c>
      <c r="N348" s="99">
        <f t="shared" si="119"/>
        <v>1900.9866335863053</v>
      </c>
      <c r="O348" s="99">
        <f t="shared" si="120"/>
        <v>28279.903276111363</v>
      </c>
      <c r="P348" s="100">
        <f t="shared" si="121"/>
        <v>25738.444215531781</v>
      </c>
      <c r="Q348" s="95">
        <f t="shared" si="122"/>
        <v>1054693062077.847</v>
      </c>
      <c r="R348" s="95">
        <f t="shared" si="123"/>
        <v>24727028492205.648</v>
      </c>
      <c r="S348" s="95">
        <f t="shared" si="124"/>
        <v>21053873740520.168</v>
      </c>
      <c r="T348">
        <f t="shared" si="100"/>
        <v>0.5</v>
      </c>
      <c r="X348" s="101">
        <v>305</v>
      </c>
      <c r="Y348" s="101">
        <f t="shared" si="101"/>
        <v>12867.882181755231</v>
      </c>
      <c r="Z348" s="101">
        <f t="shared" si="102"/>
        <v>3404.2397785550411</v>
      </c>
      <c r="AA348" s="101">
        <f t="shared" si="103"/>
        <v>-17992.482472771339</v>
      </c>
      <c r="AB348" s="101">
        <f t="shared" si="104"/>
        <v>7132.9678449885287</v>
      </c>
      <c r="AC348" s="101">
        <f t="shared" si="105"/>
        <v>-2132.1178182447698</v>
      </c>
      <c r="AD348" s="101">
        <f t="shared" si="106"/>
        <v>-19095.760221444958</v>
      </c>
    </row>
    <row r="349" spans="1:30" x14ac:dyDescent="0.25">
      <c r="A349">
        <v>153</v>
      </c>
      <c r="B349" s="95">
        <f t="shared" si="107"/>
        <v>8293.0564624255621</v>
      </c>
      <c r="C349" s="95">
        <f t="shared" si="108"/>
        <v>7059.6272200775002</v>
      </c>
      <c r="D349" s="95">
        <f t="shared" si="109"/>
        <v>253.2202469949159</v>
      </c>
      <c r="E349" s="95">
        <f t="shared" si="110"/>
        <v>-163.24723080886505</v>
      </c>
      <c r="F349" s="96">
        <f t="shared" si="111"/>
        <v>314.20240922000443</v>
      </c>
      <c r="G349" s="94">
        <f t="shared" si="112"/>
        <v>-307.10031540679995</v>
      </c>
      <c r="H349" s="97">
        <f t="shared" si="113"/>
        <v>848.91908040960152</v>
      </c>
      <c r="I349" s="94">
        <f t="shared" si="114"/>
        <v>219.01184610971677</v>
      </c>
      <c r="J349" s="95">
        <f t="shared" si="115"/>
        <v>-204.85422948952404</v>
      </c>
      <c r="K349" s="94">
        <f t="shared" si="116"/>
        <v>21.289598069510031</v>
      </c>
      <c r="L349" s="94">
        <f t="shared" si="117"/>
        <v>-329.86244170007302</v>
      </c>
      <c r="M349" s="94">
        <f t="shared" si="118"/>
        <v>-547.40175958602674</v>
      </c>
      <c r="N349" s="99">
        <f t="shared" si="119"/>
        <v>1868.3200986641875</v>
      </c>
      <c r="O349" s="99">
        <f t="shared" si="120"/>
        <v>28311.148796001711</v>
      </c>
      <c r="P349" s="100">
        <f t="shared" si="121"/>
        <v>25760.246461468545</v>
      </c>
      <c r="Q349" s="95">
        <f t="shared" si="122"/>
        <v>1052813591912.8717</v>
      </c>
      <c r="R349" s="95">
        <f t="shared" si="123"/>
        <v>24804339882028.547</v>
      </c>
      <c r="S349" s="95">
        <f t="shared" si="124"/>
        <v>21100395825038.051</v>
      </c>
      <c r="T349">
        <f t="shared" si="100"/>
        <v>0.5</v>
      </c>
      <c r="X349" s="101">
        <v>306</v>
      </c>
      <c r="Y349" s="101">
        <f t="shared" si="101"/>
        <v>12938.926261462364</v>
      </c>
      <c r="Z349" s="101">
        <f t="shared" si="102"/>
        <v>3454.9150281252623</v>
      </c>
      <c r="AA349" s="101">
        <f t="shared" si="103"/>
        <v>-17942.751616976344</v>
      </c>
      <c r="AB349" s="101">
        <f t="shared" si="104"/>
        <v>7168.4405196876833</v>
      </c>
      <c r="AC349" s="101">
        <f t="shared" si="105"/>
        <v>-2061.0737385376356</v>
      </c>
      <c r="AD349" s="101">
        <f t="shared" si="106"/>
        <v>-19045.084971874738</v>
      </c>
    </row>
    <row r="350" spans="1:30" x14ac:dyDescent="0.25">
      <c r="A350">
        <v>153.5</v>
      </c>
      <c r="B350" s="95">
        <f t="shared" si="107"/>
        <v>8498.2171882280199</v>
      </c>
      <c r="C350" s="95">
        <f t="shared" si="108"/>
        <v>6901.2285258213678</v>
      </c>
      <c r="D350" s="95">
        <f t="shared" si="109"/>
        <v>410.32145160491814</v>
      </c>
      <c r="E350" s="95">
        <f t="shared" si="110"/>
        <v>-316.797388512265</v>
      </c>
      <c r="F350" s="96">
        <f t="shared" si="111"/>
        <v>212.33171751213928</v>
      </c>
      <c r="G350" s="94">
        <f t="shared" si="112"/>
        <v>-222.15861106931573</v>
      </c>
      <c r="H350" s="97">
        <f t="shared" si="113"/>
        <v>751.05169927403745</v>
      </c>
      <c r="I350" s="94">
        <f t="shared" si="114"/>
        <v>299.44964720169042</v>
      </c>
      <c r="J350" s="95">
        <f t="shared" si="115"/>
        <v>-203.59685374315427</v>
      </c>
      <c r="K350" s="94">
        <f t="shared" si="116"/>
        <v>22.138231260038832</v>
      </c>
      <c r="L350" s="94">
        <f t="shared" si="117"/>
        <v>-335.1231280187439</v>
      </c>
      <c r="M350" s="94">
        <f t="shared" si="118"/>
        <v>-543.74648953104497</v>
      </c>
      <c r="N350" s="99">
        <f t="shared" si="119"/>
        <v>1762.8342025737436</v>
      </c>
      <c r="O350" s="99">
        <f t="shared" si="120"/>
        <v>28445.436120244496</v>
      </c>
      <c r="P350" s="100">
        <f t="shared" si="121"/>
        <v>25755.242247007078</v>
      </c>
      <c r="Q350" s="95">
        <f t="shared" si="122"/>
        <v>1046974052809.4713</v>
      </c>
      <c r="R350" s="95">
        <f t="shared" si="123"/>
        <v>25138500687947.703</v>
      </c>
      <c r="S350" s="95">
        <f t="shared" si="124"/>
        <v>21089711218381.801</v>
      </c>
      <c r="T350">
        <f t="shared" si="100"/>
        <v>0.5</v>
      </c>
      <c r="X350" s="101">
        <v>307</v>
      </c>
      <c r="Y350" s="101">
        <f t="shared" si="101"/>
        <v>13009.075115760239</v>
      </c>
      <c r="Z350" s="101">
        <f t="shared" si="102"/>
        <v>3506.8224497635347</v>
      </c>
      <c r="AA350" s="101">
        <f t="shared" si="103"/>
        <v>-17893.647418967834</v>
      </c>
      <c r="AB350" s="101">
        <f t="shared" si="104"/>
        <v>7204.7757148344745</v>
      </c>
      <c r="AC350" s="101">
        <f t="shared" si="105"/>
        <v>-1990.9248842397601</v>
      </c>
      <c r="AD350" s="101">
        <f t="shared" si="106"/>
        <v>-18993.177550236465</v>
      </c>
    </row>
    <row r="351" spans="1:30" x14ac:dyDescent="0.25">
      <c r="A351">
        <v>154</v>
      </c>
      <c r="B351" s="95">
        <f t="shared" si="107"/>
        <v>8756.4608434085148</v>
      </c>
      <c r="C351" s="95">
        <f t="shared" si="108"/>
        <v>6687.2901787979063</v>
      </c>
      <c r="D351" s="95">
        <f t="shared" si="109"/>
        <v>516.48731036098775</v>
      </c>
      <c r="E351" s="95">
        <f t="shared" si="110"/>
        <v>-427.87669404692286</v>
      </c>
      <c r="F351" s="96">
        <f t="shared" si="111"/>
        <v>82.878539862287539</v>
      </c>
      <c r="G351" s="94">
        <f t="shared" si="112"/>
        <v>-107.45778061823466</v>
      </c>
      <c r="H351" s="97">
        <f t="shared" si="113"/>
        <v>626.39593438287443</v>
      </c>
      <c r="I351" s="94">
        <f t="shared" si="114"/>
        <v>409.37844629629262</v>
      </c>
      <c r="J351" s="95">
        <f t="shared" si="115"/>
        <v>-200.99598317428521</v>
      </c>
      <c r="K351" s="94">
        <f t="shared" si="116"/>
        <v>23.154496344644851</v>
      </c>
      <c r="L351" s="94">
        <f t="shared" si="117"/>
        <v>-342.52141134630165</v>
      </c>
      <c r="M351" s="94">
        <f t="shared" si="118"/>
        <v>-539.99072325917211</v>
      </c>
      <c r="N351" s="99">
        <f t="shared" si="119"/>
        <v>1616.7494833844255</v>
      </c>
      <c r="O351" s="99">
        <f t="shared" si="120"/>
        <v>28666.195554286554</v>
      </c>
      <c r="P351" s="100">
        <f t="shared" si="121"/>
        <v>25726.750245626165</v>
      </c>
      <c r="Q351" s="95">
        <f t="shared" si="122"/>
        <v>1039463291602.1752</v>
      </c>
      <c r="R351" s="95">
        <f t="shared" si="123"/>
        <v>25694537151804.531</v>
      </c>
      <c r="S351" s="95">
        <f t="shared" si="124"/>
        <v>21028951229248.203</v>
      </c>
      <c r="T351">
        <f t="shared" si="100"/>
        <v>0.5</v>
      </c>
      <c r="X351" s="101">
        <v>308</v>
      </c>
      <c r="Y351" s="101">
        <f t="shared" si="101"/>
        <v>13078.307376628292</v>
      </c>
      <c r="Z351" s="101">
        <f t="shared" si="102"/>
        <v>3559.9462319663912</v>
      </c>
      <c r="AA351" s="101">
        <f t="shared" si="103"/>
        <v>-17845.184836360197</v>
      </c>
      <c r="AB351" s="101">
        <f t="shared" si="104"/>
        <v>7241.9623623764737</v>
      </c>
      <c r="AC351" s="101">
        <f t="shared" si="105"/>
        <v>-1921.6926233717072</v>
      </c>
      <c r="AD351" s="101">
        <f t="shared" si="106"/>
        <v>-18940.053768033609</v>
      </c>
    </row>
    <row r="352" spans="1:30" x14ac:dyDescent="0.25">
      <c r="A352">
        <v>154.5</v>
      </c>
      <c r="B352" s="95">
        <f t="shared" si="107"/>
        <v>9035.4241335545794</v>
      </c>
      <c r="C352" s="95">
        <f t="shared" si="108"/>
        <v>6446.4873866198859</v>
      </c>
      <c r="D352" s="95">
        <f t="shared" si="109"/>
        <v>557.92658029213158</v>
      </c>
      <c r="E352" s="95">
        <f t="shared" si="110"/>
        <v>-481.6055843560402</v>
      </c>
      <c r="F352" s="96">
        <f t="shared" si="111"/>
        <v>-59.690603658780105</v>
      </c>
      <c r="G352" s="94">
        <f t="shared" si="112"/>
        <v>21.602209502165692</v>
      </c>
      <c r="H352" s="97">
        <f t="shared" si="113"/>
        <v>488.7815154107368</v>
      </c>
      <c r="I352" s="94">
        <f t="shared" si="114"/>
        <v>533.84861635597929</v>
      </c>
      <c r="J352" s="95">
        <f t="shared" si="115"/>
        <v>-197.42538547685524</v>
      </c>
      <c r="K352" s="94">
        <f t="shared" si="116"/>
        <v>24.16198896446258</v>
      </c>
      <c r="L352" s="94">
        <f t="shared" si="117"/>
        <v>-351.04673359266167</v>
      </c>
      <c r="M352" s="94">
        <f t="shared" si="118"/>
        <v>-536.40839581827618</v>
      </c>
      <c r="N352" s="99">
        <f t="shared" si="119"/>
        <v>1485.5594526825917</v>
      </c>
      <c r="O352" s="99">
        <f t="shared" si="120"/>
        <v>28946.642060832826</v>
      </c>
      <c r="P352" s="100">
        <f t="shared" si="121"/>
        <v>25682.265675668412</v>
      </c>
      <c r="Q352" s="95">
        <f t="shared" si="122"/>
        <v>1033285275156.2878</v>
      </c>
      <c r="R352" s="95">
        <f t="shared" si="123"/>
        <v>26413011597191.207</v>
      </c>
      <c r="S352" s="95">
        <f t="shared" si="124"/>
        <v>20934337762160.609</v>
      </c>
      <c r="T352">
        <f t="shared" si="100"/>
        <v>0.5</v>
      </c>
      <c r="X352" s="101">
        <v>309</v>
      </c>
      <c r="Y352" s="101">
        <f t="shared" si="101"/>
        <v>13146.601955249187</v>
      </c>
      <c r="Z352" s="101">
        <f t="shared" si="102"/>
        <v>3614.2701927151461</v>
      </c>
      <c r="AA352" s="101">
        <f t="shared" si="103"/>
        <v>-17797.37863132557</v>
      </c>
      <c r="AB352" s="101">
        <f t="shared" si="104"/>
        <v>7279.989134900602</v>
      </c>
      <c r="AC352" s="101">
        <f t="shared" si="105"/>
        <v>-1853.3980447508125</v>
      </c>
      <c r="AD352" s="101">
        <f t="shared" si="106"/>
        <v>-18885.729807284853</v>
      </c>
    </row>
    <row r="353" spans="1:30" x14ac:dyDescent="0.25">
      <c r="A353">
        <v>155</v>
      </c>
      <c r="B353" s="95">
        <f t="shared" si="107"/>
        <v>9299.4647727859501</v>
      </c>
      <c r="C353" s="95">
        <f t="shared" si="108"/>
        <v>6211.0851468174069</v>
      </c>
      <c r="D353" s="95">
        <f t="shared" si="109"/>
        <v>528.08127846274147</v>
      </c>
      <c r="E353" s="95">
        <f t="shared" si="110"/>
        <v>-470.80447960495735</v>
      </c>
      <c r="F353" s="96">
        <f t="shared" si="111"/>
        <v>-197.0439802061824</v>
      </c>
      <c r="G353" s="94">
        <f t="shared" si="112"/>
        <v>146.44966701230317</v>
      </c>
      <c r="H353" s="97">
        <f t="shared" si="113"/>
        <v>355.85333514907762</v>
      </c>
      <c r="I353" s="94">
        <f t="shared" si="114"/>
        <v>654.73459636322286</v>
      </c>
      <c r="J353" s="95">
        <f t="shared" si="115"/>
        <v>-193.37822266853382</v>
      </c>
      <c r="K353" s="94">
        <f t="shared" si="116"/>
        <v>25.007065003842737</v>
      </c>
      <c r="L353" s="94">
        <f t="shared" si="117"/>
        <v>-359.5190926867262</v>
      </c>
      <c r="M353" s="94">
        <f t="shared" si="118"/>
        <v>-533.29199435476244</v>
      </c>
      <c r="N353" s="99">
        <f t="shared" si="119"/>
        <v>1428.3891026887356</v>
      </c>
      <c r="O353" s="99">
        <f t="shared" si="120"/>
        <v>29252.064995635013</v>
      </c>
      <c r="P353" s="100">
        <f t="shared" si="121"/>
        <v>25630.93739669332</v>
      </c>
      <c r="Q353" s="95">
        <f t="shared" si="122"/>
        <v>1030760009820.0269</v>
      </c>
      <c r="R353" s="95">
        <f t="shared" si="123"/>
        <v>27211022722580.273</v>
      </c>
      <c r="S353" s="95">
        <f t="shared" si="124"/>
        <v>20825548347903.262</v>
      </c>
      <c r="T353">
        <f t="shared" si="100"/>
        <v>0.5</v>
      </c>
      <c r="X353" s="101">
        <v>310</v>
      </c>
      <c r="Y353" s="101">
        <f t="shared" si="101"/>
        <v>13213.938048432696</v>
      </c>
      <c r="Z353" s="101">
        <f t="shared" si="102"/>
        <v>3669.7777844051093</v>
      </c>
      <c r="AA353" s="101">
        <f t="shared" si="103"/>
        <v>-17750.243366097115</v>
      </c>
      <c r="AB353" s="101">
        <f t="shared" si="104"/>
        <v>7318.8444490835764</v>
      </c>
      <c r="AC353" s="101">
        <f t="shared" si="105"/>
        <v>-1786.0619515673038</v>
      </c>
      <c r="AD353" s="101">
        <f t="shared" si="106"/>
        <v>-18830.222215594891</v>
      </c>
    </row>
    <row r="354" spans="1:30" x14ac:dyDescent="0.25">
      <c r="A354">
        <v>155.5</v>
      </c>
      <c r="B354" s="95">
        <f t="shared" si="107"/>
        <v>9514.2444169657756</v>
      </c>
      <c r="C354" s="95">
        <f t="shared" si="108"/>
        <v>6012.295323768004</v>
      </c>
      <c r="D354" s="95">
        <f t="shared" si="109"/>
        <v>429.55928835965028</v>
      </c>
      <c r="E354" s="95">
        <f t="shared" si="110"/>
        <v>-397.57964609880577</v>
      </c>
      <c r="F354" s="96">
        <f t="shared" si="111"/>
        <v>-309.82304715631233</v>
      </c>
      <c r="G354" s="94">
        <f t="shared" si="112"/>
        <v>249.07803643649277</v>
      </c>
      <c r="H354" s="97">
        <f t="shared" si="113"/>
        <v>246.34615397872545</v>
      </c>
      <c r="I354" s="94">
        <f t="shared" si="114"/>
        <v>754.47475653634581</v>
      </c>
      <c r="J354" s="95">
        <f t="shared" si="115"/>
        <v>-189.39089688455334</v>
      </c>
      <c r="K354" s="94">
        <f t="shared" si="116"/>
        <v>25.588829396160001</v>
      </c>
      <c r="L354" s="94">
        <f t="shared" si="117"/>
        <v>-366.77830425048444</v>
      </c>
      <c r="M354" s="94">
        <f t="shared" si="118"/>
        <v>-530.98554949601305</v>
      </c>
      <c r="N354" s="99">
        <f t="shared" si="119"/>
        <v>1466.9870835568206</v>
      </c>
      <c r="O354" s="99">
        <f t="shared" si="120"/>
        <v>29543.434325352096</v>
      </c>
      <c r="P354" s="100">
        <f t="shared" si="121"/>
        <v>25580.946540221776</v>
      </c>
      <c r="Q354" s="95">
        <f t="shared" si="122"/>
        <v>1032453823243.8679</v>
      </c>
      <c r="R354" s="95">
        <f t="shared" si="123"/>
        <v>27987577625530.336</v>
      </c>
      <c r="S354" s="95">
        <f t="shared" si="124"/>
        <v>20719984026829.711</v>
      </c>
      <c r="T354">
        <f t="shared" si="100"/>
        <v>0.5</v>
      </c>
      <c r="X354" s="101">
        <v>311</v>
      </c>
      <c r="Y354" s="101">
        <f t="shared" si="101"/>
        <v>13280.295144952535</v>
      </c>
      <c r="Z354" s="101">
        <f t="shared" si="102"/>
        <v>3726.4520988861386</v>
      </c>
      <c r="AA354" s="101">
        <f t="shared" si="103"/>
        <v>-17703.793398533224</v>
      </c>
      <c r="AB354" s="101">
        <f t="shared" si="104"/>
        <v>7358.516469220297</v>
      </c>
      <c r="AC354" s="101">
        <f t="shared" si="105"/>
        <v>-1719.7048550474647</v>
      </c>
      <c r="AD354" s="101">
        <f t="shared" si="106"/>
        <v>-18773.54790111386</v>
      </c>
    </row>
    <row r="355" spans="1:30" x14ac:dyDescent="0.25">
      <c r="A355">
        <v>156</v>
      </c>
      <c r="B355" s="95">
        <f t="shared" si="107"/>
        <v>9651.5682993565224</v>
      </c>
      <c r="C355" s="95">
        <f t="shared" si="108"/>
        <v>5875.7750098277247</v>
      </c>
      <c r="D355" s="95">
        <f t="shared" si="109"/>
        <v>274.64776478149412</v>
      </c>
      <c r="E355" s="95">
        <f t="shared" si="110"/>
        <v>-273.04062788055938</v>
      </c>
      <c r="F355" s="96">
        <f t="shared" si="111"/>
        <v>-381.90763680307043</v>
      </c>
      <c r="G355" s="94">
        <f t="shared" si="112"/>
        <v>316.13713110626907</v>
      </c>
      <c r="H355" s="97">
        <f t="shared" si="113"/>
        <v>175.93541717953178</v>
      </c>
      <c r="I355" s="94">
        <f t="shared" si="114"/>
        <v>820.12830839342678</v>
      </c>
      <c r="J355" s="95">
        <f t="shared" si="115"/>
        <v>-185.96530164214354</v>
      </c>
      <c r="K355" s="94">
        <f t="shared" si="116"/>
        <v>25.865840774233103</v>
      </c>
      <c r="L355" s="94">
        <f t="shared" si="117"/>
        <v>-371.87775234045864</v>
      </c>
      <c r="M355" s="94">
        <f t="shared" si="118"/>
        <v>-529.85701806139082</v>
      </c>
      <c r="N355" s="99">
        <f t="shared" si="119"/>
        <v>1564.9995815115949</v>
      </c>
      <c r="O355" s="99">
        <f t="shared" si="120"/>
        <v>29782.417834844069</v>
      </c>
      <c r="P355" s="100">
        <f t="shared" si="121"/>
        <v>25537.812078732684</v>
      </c>
      <c r="Q355" s="95">
        <f t="shared" si="122"/>
        <v>1036962396550.2645</v>
      </c>
      <c r="R355" s="95">
        <f t="shared" si="123"/>
        <v>28635745370897.43</v>
      </c>
      <c r="S355" s="95">
        <f t="shared" si="124"/>
        <v>20629207243122.555</v>
      </c>
      <c r="T355">
        <f t="shared" si="100"/>
        <v>0.5</v>
      </c>
      <c r="X355" s="101">
        <v>312</v>
      </c>
      <c r="Y355" s="101">
        <f t="shared" si="101"/>
        <v>13345.653031794289</v>
      </c>
      <c r="Z355" s="101">
        <f t="shared" si="102"/>
        <v>3784.2758726130273</v>
      </c>
      <c r="AA355" s="101">
        <f t="shared" si="103"/>
        <v>-17658.042877743999</v>
      </c>
      <c r="AB355" s="101">
        <f t="shared" si="104"/>
        <v>7398.9931108291185</v>
      </c>
      <c r="AC355" s="101">
        <f t="shared" si="105"/>
        <v>-1654.3469682057112</v>
      </c>
      <c r="AD355" s="101">
        <f t="shared" si="106"/>
        <v>-18715.724127386973</v>
      </c>
    </row>
    <row r="356" spans="1:30" x14ac:dyDescent="0.25">
      <c r="A356">
        <v>156.5</v>
      </c>
      <c r="B356" s="95">
        <f t="shared" si="107"/>
        <v>9693.415272546501</v>
      </c>
      <c r="C356" s="95">
        <f t="shared" si="108"/>
        <v>5818.2889786640126</v>
      </c>
      <c r="D356" s="95">
        <f t="shared" si="109"/>
        <v>83.693946379958902</v>
      </c>
      <c r="E356" s="95">
        <f t="shared" si="110"/>
        <v>-114.97206232742485</v>
      </c>
      <c r="F356" s="96">
        <f t="shared" si="111"/>
        <v>-403.61905059014362</v>
      </c>
      <c r="G356" s="94">
        <f t="shared" si="112"/>
        <v>340.94632930272701</v>
      </c>
      <c r="H356" s="97">
        <f t="shared" si="113"/>
        <v>154.1047738866109</v>
      </c>
      <c r="I356" s="94">
        <f t="shared" si="114"/>
        <v>845.31182892961192</v>
      </c>
      <c r="J356" s="95">
        <f t="shared" si="115"/>
        <v>-183.50600393145345</v>
      </c>
      <c r="K356" s="94">
        <f t="shared" si="116"/>
        <v>25.843072347119552</v>
      </c>
      <c r="L356" s="94">
        <f t="shared" si="117"/>
        <v>-374.21782054530109</v>
      </c>
      <c r="M356" s="94">
        <f t="shared" si="118"/>
        <v>-530.20857197400449</v>
      </c>
      <c r="N356" s="99">
        <f t="shared" si="119"/>
        <v>1661.1777354375522</v>
      </c>
      <c r="O356" s="99">
        <f t="shared" si="120"/>
        <v>29937.012783191414</v>
      </c>
      <c r="P356" s="100">
        <f t="shared" si="121"/>
        <v>25504.243487930726</v>
      </c>
      <c r="Q356" s="95">
        <f t="shared" si="122"/>
        <v>1041676930981.4181</v>
      </c>
      <c r="R356" s="95">
        <f t="shared" si="123"/>
        <v>29060468827192.961</v>
      </c>
      <c r="S356" s="95">
        <f t="shared" si="124"/>
        <v>20558759694693.262</v>
      </c>
      <c r="T356">
        <f t="shared" si="100"/>
        <v>0.5</v>
      </c>
      <c r="X356" s="101">
        <v>313</v>
      </c>
      <c r="Y356" s="101">
        <f t="shared" si="101"/>
        <v>13409.991800312491</v>
      </c>
      <c r="Z356" s="101">
        <f t="shared" si="102"/>
        <v>3843.2314919041451</v>
      </c>
      <c r="AA356" s="101">
        <f t="shared" si="103"/>
        <v>-17613.005739781256</v>
      </c>
      <c r="AB356" s="101">
        <f t="shared" si="104"/>
        <v>7440.2620443329015</v>
      </c>
      <c r="AC356" s="101">
        <f t="shared" si="105"/>
        <v>-1590.0081996875097</v>
      </c>
      <c r="AD356" s="101">
        <f t="shared" si="106"/>
        <v>-18656.768508095854</v>
      </c>
    </row>
    <row r="357" spans="1:30" x14ac:dyDescent="0.25">
      <c r="A357">
        <v>157</v>
      </c>
      <c r="B357" s="95">
        <f t="shared" si="107"/>
        <v>9634.3574830889429</v>
      </c>
      <c r="C357" s="95">
        <f t="shared" si="108"/>
        <v>5846.0395298259818</v>
      </c>
      <c r="D357" s="95">
        <f t="shared" si="109"/>
        <v>-118.11557891511291</v>
      </c>
      <c r="E357" s="95">
        <f t="shared" si="110"/>
        <v>55.501102323938653</v>
      </c>
      <c r="F357" s="96">
        <f t="shared" si="111"/>
        <v>-372.51529792814677</v>
      </c>
      <c r="G357" s="94">
        <f t="shared" si="112"/>
        <v>322.78659395639454</v>
      </c>
      <c r="H357" s="97">
        <f t="shared" si="113"/>
        <v>183.35470622601355</v>
      </c>
      <c r="I357" s="94">
        <f t="shared" si="114"/>
        <v>829.39325185742825</v>
      </c>
      <c r="J357" s="95">
        <f t="shared" si="115"/>
        <v>-182.28385835667959</v>
      </c>
      <c r="K357" s="94">
        <f t="shared" si="116"/>
        <v>25.551420927433586</v>
      </c>
      <c r="L357" s="94">
        <f t="shared" si="117"/>
        <v>-373.58614579748075</v>
      </c>
      <c r="M357" s="94">
        <f t="shared" si="118"/>
        <v>-532.1580788284673</v>
      </c>
      <c r="N357" s="99">
        <f t="shared" si="119"/>
        <v>1709.4286046485433</v>
      </c>
      <c r="O357" s="99">
        <f t="shared" si="120"/>
        <v>29986.423888384237</v>
      </c>
      <c r="P357" s="100">
        <f t="shared" si="121"/>
        <v>25481.318811448247</v>
      </c>
      <c r="Q357" s="95">
        <f t="shared" si="122"/>
        <v>1044150859838.4026</v>
      </c>
      <c r="R357" s="95">
        <f t="shared" si="123"/>
        <v>29197122047719.379</v>
      </c>
      <c r="S357" s="95">
        <f t="shared" si="124"/>
        <v>20510748982557.277</v>
      </c>
      <c r="T357">
        <f t="shared" si="100"/>
        <v>0.5</v>
      </c>
      <c r="X357" s="101">
        <v>314</v>
      </c>
      <c r="Y357" s="101">
        <f t="shared" si="101"/>
        <v>13473.291852294984</v>
      </c>
      <c r="Z357" s="101">
        <f t="shared" si="102"/>
        <v>3903.3009983067413</v>
      </c>
      <c r="AA357" s="101">
        <f t="shared" si="103"/>
        <v>-17568.69570339351</v>
      </c>
      <c r="AB357" s="101">
        <f t="shared" si="104"/>
        <v>7482.3106988147192</v>
      </c>
      <c r="AC357" s="101">
        <f t="shared" si="105"/>
        <v>-1526.7081477050169</v>
      </c>
      <c r="AD357" s="101">
        <f t="shared" si="106"/>
        <v>-18596.699001693258</v>
      </c>
    </row>
    <row r="358" spans="1:30" x14ac:dyDescent="0.25">
      <c r="A358">
        <v>157.5</v>
      </c>
      <c r="B358" s="95">
        <f t="shared" si="107"/>
        <v>9482.1708691493495</v>
      </c>
      <c r="C358" s="95">
        <f t="shared" si="108"/>
        <v>5954.4867294770502</v>
      </c>
      <c r="D358" s="95">
        <f t="shared" si="109"/>
        <v>-304.37322787918629</v>
      </c>
      <c r="E358" s="95">
        <f t="shared" si="110"/>
        <v>216.89439930213592</v>
      </c>
      <c r="F358" s="96">
        <f t="shared" si="111"/>
        <v>-292.68204549239817</v>
      </c>
      <c r="G358" s="94">
        <f t="shared" si="112"/>
        <v>265.09732665104445</v>
      </c>
      <c r="H358" s="97">
        <f t="shared" si="113"/>
        <v>259.87024293246225</v>
      </c>
      <c r="I358" s="94">
        <f t="shared" si="114"/>
        <v>775.60895117347116</v>
      </c>
      <c r="J358" s="95">
        <f t="shared" si="115"/>
        <v>-182.42458987905127</v>
      </c>
      <c r="K358" s="94">
        <f t="shared" si="116"/>
        <v>25.032115257077816</v>
      </c>
      <c r="L358" s="94">
        <f t="shared" si="117"/>
        <v>-370.12769854580915</v>
      </c>
      <c r="M358" s="94">
        <f t="shared" si="118"/>
        <v>-535.54373977950456</v>
      </c>
      <c r="N358" s="99">
        <f t="shared" si="119"/>
        <v>1693.894827629895</v>
      </c>
      <c r="O358" s="99">
        <f t="shared" si="120"/>
        <v>29924.079451560039</v>
      </c>
      <c r="P358" s="100">
        <f t="shared" si="121"/>
        <v>25470.017334542761</v>
      </c>
      <c r="Q358" s="95">
        <f t="shared" si="122"/>
        <v>1043346463307.833</v>
      </c>
      <c r="R358" s="95">
        <f t="shared" si="123"/>
        <v>29024772387868.855</v>
      </c>
      <c r="S358" s="95">
        <f t="shared" si="124"/>
        <v>20487110164638.094</v>
      </c>
      <c r="T358">
        <f t="shared" si="100"/>
        <v>0.5</v>
      </c>
      <c r="X358" s="101">
        <v>315</v>
      </c>
      <c r="Y358" s="101">
        <f t="shared" si="101"/>
        <v>13535.533905932736</v>
      </c>
      <c r="Z358" s="101">
        <f t="shared" si="102"/>
        <v>3964.4660940672616</v>
      </c>
      <c r="AA358" s="101">
        <f t="shared" si="103"/>
        <v>-17525.126265847084</v>
      </c>
      <c r="AB358" s="101">
        <f t="shared" si="104"/>
        <v>7525.1262658470832</v>
      </c>
      <c r="AC358" s="101">
        <f t="shared" si="105"/>
        <v>-1464.4660940672634</v>
      </c>
      <c r="AD358" s="101">
        <f t="shared" si="106"/>
        <v>-18535.533905932738</v>
      </c>
    </row>
    <row r="359" spans="1:30" x14ac:dyDescent="0.25">
      <c r="A359">
        <v>158</v>
      </c>
      <c r="B359" s="95">
        <f t="shared" si="107"/>
        <v>9256.8137438366575</v>
      </c>
      <c r="C359" s="95">
        <f t="shared" si="108"/>
        <v>6129.2082607908796</v>
      </c>
      <c r="D359" s="95">
        <f t="shared" si="109"/>
        <v>-450.71425062538538</v>
      </c>
      <c r="E359" s="95">
        <f t="shared" si="110"/>
        <v>349.44306262765815</v>
      </c>
      <c r="F359" s="96">
        <f t="shared" si="111"/>
        <v>-174.08039587456199</v>
      </c>
      <c r="G359" s="94">
        <f t="shared" si="112"/>
        <v>174.49626173584568</v>
      </c>
      <c r="H359" s="97">
        <f t="shared" si="113"/>
        <v>374.12348663781034</v>
      </c>
      <c r="I359" s="94">
        <f t="shared" si="114"/>
        <v>690.06306383376864</v>
      </c>
      <c r="J359" s="95">
        <f t="shared" si="115"/>
        <v>-183.91019108463496</v>
      </c>
      <c r="K359" s="94">
        <f t="shared" si="116"/>
        <v>24.3320429435602</v>
      </c>
      <c r="L359" s="94">
        <f t="shared" si="117"/>
        <v>-364.29369142773737</v>
      </c>
      <c r="M359" s="94">
        <f t="shared" si="118"/>
        <v>-539.89884504148313</v>
      </c>
      <c r="N359" s="99">
        <f t="shared" si="119"/>
        <v>1629.9565264509617</v>
      </c>
      <c r="O359" s="99">
        <f t="shared" si="120"/>
        <v>29758.437068833031</v>
      </c>
      <c r="P359" s="100">
        <f t="shared" si="121"/>
        <v>25472.01969179256</v>
      </c>
      <c r="Q359" s="95">
        <f t="shared" si="122"/>
        <v>1040114902343.27</v>
      </c>
      <c r="R359" s="95">
        <f t="shared" si="123"/>
        <v>28570245591044.059</v>
      </c>
      <c r="S359" s="95">
        <f t="shared" si="124"/>
        <v>20491296983347.918</v>
      </c>
      <c r="T359">
        <f t="shared" si="100"/>
        <v>0.5</v>
      </c>
      <c r="X359" s="101">
        <v>316</v>
      </c>
      <c r="Y359" s="101">
        <f t="shared" si="101"/>
        <v>13596.699001693254</v>
      </c>
      <c r="Z359" s="101">
        <f t="shared" si="102"/>
        <v>4026.7081477050119</v>
      </c>
      <c r="AA359" s="101">
        <f t="shared" si="103"/>
        <v>-17482.310698814723</v>
      </c>
      <c r="AB359" s="101">
        <f t="shared" si="104"/>
        <v>7568.6957033935087</v>
      </c>
      <c r="AC359" s="101">
        <f t="shared" si="105"/>
        <v>-1403.3009983067459</v>
      </c>
      <c r="AD359" s="101">
        <f t="shared" si="106"/>
        <v>-18473.291852294988</v>
      </c>
    </row>
    <row r="360" spans="1:30" x14ac:dyDescent="0.25">
      <c r="A360">
        <v>158.5</v>
      </c>
      <c r="B360" s="95">
        <f t="shared" si="107"/>
        <v>8987.9365195553255</v>
      </c>
      <c r="C360" s="95">
        <f t="shared" si="108"/>
        <v>6347.5538575386709</v>
      </c>
      <c r="D360" s="95">
        <f t="shared" si="109"/>
        <v>-537.75444856266631</v>
      </c>
      <c r="E360" s="95">
        <f t="shared" si="110"/>
        <v>436.69119349558099</v>
      </c>
      <c r="F360" s="96">
        <f t="shared" si="111"/>
        <v>-32.218039966468723</v>
      </c>
      <c r="G360" s="94">
        <f t="shared" si="112"/>
        <v>61.049658467881954</v>
      </c>
      <c r="H360" s="97">
        <f t="shared" si="113"/>
        <v>511.15985716551438</v>
      </c>
      <c r="I360" s="94">
        <f t="shared" si="114"/>
        <v>582.06250591381149</v>
      </c>
      <c r="J360" s="95">
        <f t="shared" si="115"/>
        <v>-186.5811778047144</v>
      </c>
      <c r="K360" s="94">
        <f t="shared" si="116"/>
        <v>23.509010469544606</v>
      </c>
      <c r="L360" s="94">
        <f t="shared" si="117"/>
        <v>-356.7967193272687</v>
      </c>
      <c r="M360" s="94">
        <f t="shared" si="118"/>
        <v>-544.52185791547413</v>
      </c>
      <c r="N360" s="99">
        <f t="shared" si="119"/>
        <v>1559.2933667639488</v>
      </c>
      <c r="O360" s="99">
        <f t="shared" si="120"/>
        <v>29511.76340258032</v>
      </c>
      <c r="P360" s="100">
        <f t="shared" si="121"/>
        <v>25489.216932937023</v>
      </c>
      <c r="Q360" s="95">
        <f t="shared" si="122"/>
        <v>1036691735002.5729</v>
      </c>
      <c r="R360" s="95">
        <f t="shared" si="123"/>
        <v>27902441976402.121</v>
      </c>
      <c r="S360" s="95">
        <f t="shared" si="124"/>
        <v>20527280768150.68</v>
      </c>
      <c r="T360">
        <f t="shared" si="100"/>
        <v>0.5</v>
      </c>
      <c r="X360" s="101">
        <v>317</v>
      </c>
      <c r="Y360" s="101">
        <f t="shared" si="101"/>
        <v>13656.768508095854</v>
      </c>
      <c r="Z360" s="101">
        <f t="shared" si="102"/>
        <v>4090.0081996875087</v>
      </c>
      <c r="AA360" s="101">
        <f t="shared" si="103"/>
        <v>-17440.262044332903</v>
      </c>
      <c r="AB360" s="101">
        <f t="shared" si="104"/>
        <v>7613.0057397812561</v>
      </c>
      <c r="AC360" s="101">
        <f t="shared" si="105"/>
        <v>-1343.2314919041464</v>
      </c>
      <c r="AD360" s="101">
        <f t="shared" si="106"/>
        <v>-18409.991800312491</v>
      </c>
    </row>
    <row r="361" spans="1:30" x14ac:dyDescent="0.25">
      <c r="A361">
        <v>159</v>
      </c>
      <c r="B361" s="95">
        <f t="shared" si="107"/>
        <v>8711.0047852823736</v>
      </c>
      <c r="C361" s="95">
        <f t="shared" si="108"/>
        <v>6581.1618689034312</v>
      </c>
      <c r="D361" s="95">
        <f t="shared" si="109"/>
        <v>-553.86346854590067</v>
      </c>
      <c r="E361" s="95">
        <f t="shared" si="110"/>
        <v>467.21602272952197</v>
      </c>
      <c r="F361" s="96">
        <f t="shared" si="111"/>
        <v>113.08440623010011</v>
      </c>
      <c r="G361" s="94">
        <f t="shared" si="112"/>
        <v>-61.38184114891061</v>
      </c>
      <c r="H361" s="97">
        <f t="shared" si="113"/>
        <v>651.78273479629047</v>
      </c>
      <c r="I361" s="94">
        <f t="shared" si="114"/>
        <v>464.61214369397669</v>
      </c>
      <c r="J361" s="95">
        <f t="shared" si="115"/>
        <v>-190.13789200811993</v>
      </c>
      <c r="K361" s="94">
        <f t="shared" si="116"/>
        <v>22.641167741259483</v>
      </c>
      <c r="L361" s="94">
        <f t="shared" si="117"/>
        <v>-348.56043655807042</v>
      </c>
      <c r="M361" s="94">
        <f t="shared" si="118"/>
        <v>-548.63515258414679</v>
      </c>
      <c r="N361" s="99">
        <f t="shared" si="119"/>
        <v>1533.7550651012652</v>
      </c>
      <c r="O361" s="99">
        <f t="shared" si="120"/>
        <v>29217.132413797044</v>
      </c>
      <c r="P361" s="100">
        <f t="shared" si="121"/>
        <v>25522.15554720298</v>
      </c>
      <c r="Q361" s="95">
        <f t="shared" si="122"/>
        <v>1035492780257.7574</v>
      </c>
      <c r="R361" s="95">
        <f t="shared" si="123"/>
        <v>27118924323812.129</v>
      </c>
      <c r="S361" s="95">
        <f t="shared" si="124"/>
        <v>20596328684595.934</v>
      </c>
      <c r="T361">
        <f t="shared" si="100"/>
        <v>0.5</v>
      </c>
      <c r="X361" s="101">
        <v>318</v>
      </c>
      <c r="Y361" s="101">
        <f t="shared" si="101"/>
        <v>13715.724127386971</v>
      </c>
      <c r="Z361" s="101">
        <f t="shared" si="102"/>
        <v>4154.3469682057093</v>
      </c>
      <c r="AA361" s="101">
        <f t="shared" si="103"/>
        <v>-17398.99311082912</v>
      </c>
      <c r="AB361" s="101">
        <f t="shared" si="104"/>
        <v>7658.0428777439965</v>
      </c>
      <c r="AC361" s="101">
        <f t="shared" si="105"/>
        <v>-1284.2758726130287</v>
      </c>
      <c r="AD361" s="101">
        <f t="shared" si="106"/>
        <v>-18345.653031794289</v>
      </c>
    </row>
    <row r="362" spans="1:30" x14ac:dyDescent="0.25">
      <c r="A362">
        <v>159.5</v>
      </c>
      <c r="B362" s="95">
        <f t="shared" si="107"/>
        <v>8462.3441525669477</v>
      </c>
      <c r="C362" s="95">
        <f t="shared" si="108"/>
        <v>6799.4244199809646</v>
      </c>
      <c r="D362" s="95">
        <f t="shared" si="109"/>
        <v>-497.32126543085064</v>
      </c>
      <c r="E362" s="95">
        <f t="shared" si="110"/>
        <v>436.52510215506663</v>
      </c>
      <c r="F362" s="96">
        <f t="shared" si="111"/>
        <v>240.98810811886648</v>
      </c>
      <c r="G362" s="94">
        <f t="shared" si="112"/>
        <v>-176.30071723015465</v>
      </c>
      <c r="H362" s="97">
        <f t="shared" si="113"/>
        <v>775.77411430275674</v>
      </c>
      <c r="I362" s="94">
        <f t="shared" si="114"/>
        <v>353.45256287270104</v>
      </c>
      <c r="J362" s="95">
        <f t="shared" si="115"/>
        <v>-194.15159246907993</v>
      </c>
      <c r="K362" s="94">
        <f t="shared" si="116"/>
        <v>21.832244116909909</v>
      </c>
      <c r="L362" s="94">
        <f t="shared" si="117"/>
        <v>-340.63441371481036</v>
      </c>
      <c r="M362" s="94">
        <f t="shared" si="118"/>
        <v>-551.5855242197656</v>
      </c>
      <c r="N362" s="99">
        <f t="shared" si="119"/>
        <v>1582.9630996084447</v>
      </c>
      <c r="O362" s="99">
        <f t="shared" si="120"/>
        <v>28913.841839976008</v>
      </c>
      <c r="P362" s="100">
        <f t="shared" si="121"/>
        <v>25568.304594435813</v>
      </c>
      <c r="Q362" s="95">
        <f t="shared" si="122"/>
        <v>1037821066936.636</v>
      </c>
      <c r="R362" s="95">
        <f t="shared" si="123"/>
        <v>26328277750804.398</v>
      </c>
      <c r="S362" s="95">
        <f t="shared" si="124"/>
        <v>20693349324559.145</v>
      </c>
      <c r="T362">
        <f t="shared" si="100"/>
        <v>0.5</v>
      </c>
      <c r="X362" s="101">
        <v>319</v>
      </c>
      <c r="Y362" s="101">
        <f t="shared" si="101"/>
        <v>13773.54790111386</v>
      </c>
      <c r="Z362" s="101">
        <f t="shared" si="102"/>
        <v>4219.7048550474628</v>
      </c>
      <c r="AA362" s="101">
        <f t="shared" si="103"/>
        <v>-17358.5164692203</v>
      </c>
      <c r="AB362" s="101">
        <f t="shared" si="104"/>
        <v>7703.7933985332238</v>
      </c>
      <c r="AC362" s="101">
        <f t="shared" si="105"/>
        <v>-1226.4520988861404</v>
      </c>
      <c r="AD362" s="101">
        <f t="shared" si="106"/>
        <v>-18280.295144952535</v>
      </c>
    </row>
    <row r="363" spans="1:30" x14ac:dyDescent="0.25">
      <c r="A363">
        <v>160</v>
      </c>
      <c r="B363" s="95">
        <f t="shared" si="107"/>
        <v>8273.9305468812381</v>
      </c>
      <c r="C363" s="95">
        <f t="shared" si="108"/>
        <v>6973.6117917509591</v>
      </c>
      <c r="D363" s="95">
        <f t="shared" si="109"/>
        <v>-376.82721137141743</v>
      </c>
      <c r="E363" s="95">
        <f t="shared" si="110"/>
        <v>348.37474353998931</v>
      </c>
      <c r="F363" s="96">
        <f t="shared" si="111"/>
        <v>334.23385088114873</v>
      </c>
      <c r="G363" s="94">
        <f t="shared" si="112"/>
        <v>-267.58200514840928</v>
      </c>
      <c r="H363" s="97">
        <f t="shared" si="113"/>
        <v>866.39824213263955</v>
      </c>
      <c r="I363" s="94">
        <f t="shared" si="114"/>
        <v>264.21985365784673</v>
      </c>
      <c r="J363" s="95">
        <f t="shared" si="115"/>
        <v>-198.10156279770962</v>
      </c>
      <c r="K363" s="94">
        <f t="shared" si="116"/>
        <v>21.204417712373097</v>
      </c>
      <c r="L363" s="94">
        <f t="shared" si="117"/>
        <v>-334.06282845378115</v>
      </c>
      <c r="M363" s="94">
        <f t="shared" si="118"/>
        <v>-553.00627651862908</v>
      </c>
      <c r="N363" s="99">
        <f t="shared" si="119"/>
        <v>1689.7312355709312</v>
      </c>
      <c r="O363" s="99">
        <f t="shared" si="120"/>
        <v>28641.730372003996</v>
      </c>
      <c r="P363" s="100">
        <f t="shared" si="121"/>
        <v>25621.272706963951</v>
      </c>
      <c r="Q363" s="95">
        <f t="shared" si="122"/>
        <v>1043132139818.2712</v>
      </c>
      <c r="R363" s="95">
        <f t="shared" si="123"/>
        <v>25632503630320.906</v>
      </c>
      <c r="S363" s="95">
        <f t="shared" si="124"/>
        <v>20805109667223.758</v>
      </c>
      <c r="T363">
        <f t="shared" si="100"/>
        <v>0.5</v>
      </c>
      <c r="X363" s="101">
        <v>320</v>
      </c>
      <c r="Y363" s="101">
        <f t="shared" si="101"/>
        <v>13830.222215594889</v>
      </c>
      <c r="Z363" s="101">
        <f t="shared" si="102"/>
        <v>4286.0619515673025</v>
      </c>
      <c r="AA363" s="101">
        <f t="shared" si="103"/>
        <v>-17318.844449083579</v>
      </c>
      <c r="AB363" s="101">
        <f t="shared" si="104"/>
        <v>7750.243366097111</v>
      </c>
      <c r="AC363" s="101">
        <f t="shared" si="105"/>
        <v>-1169.7777844051111</v>
      </c>
      <c r="AD363" s="101">
        <f t="shared" si="106"/>
        <v>-18213.938048432698</v>
      </c>
    </row>
    <row r="364" spans="1:30" x14ac:dyDescent="0.25">
      <c r="A364">
        <v>160.5</v>
      </c>
      <c r="B364" s="95">
        <f t="shared" si="107"/>
        <v>8169.0754039158164</v>
      </c>
      <c r="C364" s="95">
        <f t="shared" si="108"/>
        <v>7080.9036622338517</v>
      </c>
      <c r="D364" s="95">
        <f t="shared" si="109"/>
        <v>-209.71028593084307</v>
      </c>
      <c r="E364" s="95">
        <f t="shared" si="110"/>
        <v>214.58374096578467</v>
      </c>
      <c r="F364" s="96">
        <f t="shared" si="111"/>
        <v>382.50244949234161</v>
      </c>
      <c r="G364" s="94">
        <f t="shared" si="112"/>
        <v>-322.85234536857428</v>
      </c>
      <c r="H364" s="97">
        <f t="shared" si="113"/>
        <v>913.67893042763808</v>
      </c>
      <c r="I364" s="94">
        <f t="shared" si="114"/>
        <v>209.13995827860319</v>
      </c>
      <c r="J364" s="95">
        <f t="shared" si="115"/>
        <v>-201.44560376614086</v>
      </c>
      <c r="K364" s="94">
        <f t="shared" si="116"/>
        <v>20.875343467293511</v>
      </c>
      <c r="L364" s="94">
        <f t="shared" si="117"/>
        <v>-329.73087716915563</v>
      </c>
      <c r="M364" s="94">
        <f t="shared" si="118"/>
        <v>-552.86764711447097</v>
      </c>
      <c r="N364" s="99">
        <f t="shared" si="119"/>
        <v>1804.5498892447772</v>
      </c>
      <c r="O364" s="99">
        <f t="shared" si="120"/>
        <v>28435.438701678104</v>
      </c>
      <c r="P364" s="100">
        <f t="shared" si="121"/>
        <v>25671.712980204567</v>
      </c>
      <c r="Q364" s="95">
        <f t="shared" si="122"/>
        <v>1049241527626.9889</v>
      </c>
      <c r="R364" s="95">
        <f t="shared" si="123"/>
        <v>25113517190793.141</v>
      </c>
      <c r="S364" s="95">
        <f t="shared" si="124"/>
        <v>20911938294801.012</v>
      </c>
      <c r="T364">
        <f t="shared" ref="T364:T427" si="125">A365-A364</f>
        <v>0.5</v>
      </c>
      <c r="X364" s="101">
        <v>321</v>
      </c>
      <c r="Y364" s="101">
        <f t="shared" ref="Y364:Y403" si="126">$D$19*COS(X364*PI()/180)+$D$18</f>
        <v>13885.729807284853</v>
      </c>
      <c r="Z364" s="101">
        <f t="shared" ref="Z364:Z403" si="127">$D$19*SIN(X364*PI()/180)+$E$18</f>
        <v>4353.3980447508111</v>
      </c>
      <c r="AA364" s="101">
        <f t="shared" ref="AA364:AA403" si="128">$D$27*COS(X364*PI()/180)+$D$26</f>
        <v>-17279.989134900603</v>
      </c>
      <c r="AB364" s="101">
        <f t="shared" ref="AB364:AB403" si="129">$D$27*SIN($X364*PI()/180)+$E$26</f>
        <v>7797.3786313255678</v>
      </c>
      <c r="AC364" s="101">
        <f t="shared" ref="AC364:AC403" si="130">$D$35*COS(X364*PI()/180)+$D$34</f>
        <v>-1114.270192715147</v>
      </c>
      <c r="AD364" s="101">
        <f t="shared" ref="AD364:AD403" si="131">$D$35*SIN(X364*PI()/180)+$E$34</f>
        <v>-18146.601955249189</v>
      </c>
    </row>
    <row r="365" spans="1:30" x14ac:dyDescent="0.25">
      <c r="A365">
        <v>161</v>
      </c>
      <c r="B365" s="95">
        <f t="shared" ref="B365:B428" si="132">B364+(D364*$T364)+(F364*($T364)^2)</f>
        <v>8159.8458733234802</v>
      </c>
      <c r="C365" s="95">
        <f t="shared" ref="C365:C428" si="133">C364+(E364*$T364)+(G364*($T364)^2)</f>
        <v>7107.4824463746008</v>
      </c>
      <c r="D365" s="95">
        <f t="shared" ref="D365:D428" si="134">D364+(F364*$T364)</f>
        <v>-18.459061184672265</v>
      </c>
      <c r="E365" s="95">
        <f t="shared" ref="E365:E428" si="135">E364+(G364*$T364)</f>
        <v>53.157568281497532</v>
      </c>
      <c r="F365" s="96">
        <f t="shared" ref="F365:F428" si="136">SUM(H365,J365,L365)</f>
        <v>382.73172085797972</v>
      </c>
      <c r="G365" s="94">
        <f t="shared" ref="G365:G428" si="137">SUM(I365,K365,M365)</f>
        <v>-335.37140027804014</v>
      </c>
      <c r="H365" s="97">
        <f t="shared" ref="H365:H428" si="138">$D$22*(($D$18-$B365)/$Q365)</f>
        <v>914.67444957662224</v>
      </c>
      <c r="I365" s="94">
        <f t="shared" ref="I365:I428" si="139">$D$22*(($E$18-$C365)/$Q365)</f>
        <v>195.10636207408689</v>
      </c>
      <c r="J365" s="95">
        <f t="shared" ref="J365:J428" si="140">$D$30*(($D$26-$B365)/$R365)</f>
        <v>-203.71121940474092</v>
      </c>
      <c r="K365" s="94">
        <f t="shared" ref="K365:K428" si="141">$D$30*(($E$26-$C365)/$R365)</f>
        <v>20.924769284935898</v>
      </c>
      <c r="L365" s="94">
        <f t="shared" ref="L365:L428" si="142">$D$38*(($D$34-$B365)/$S365)</f>
        <v>-328.23150931390165</v>
      </c>
      <c r="M365" s="94">
        <f t="shared" ref="M365:M428" si="143">$D$38*(($E$34-$C365)/$S365)</f>
        <v>-551.40253163706291</v>
      </c>
      <c r="N365" s="99">
        <f t="shared" ref="N365:N428" si="144">SQRT(($D$18-$B364)^2+($E$18-$C364)^2)</f>
        <v>1878.277566515404</v>
      </c>
      <c r="O365" s="99">
        <f t="shared" ref="O365:O428" si="145">SQRT(($D$26-$B364)^2+($E$26-$C364)^2)</f>
        <v>28319.92112525483</v>
      </c>
      <c r="P365" s="100">
        <f t="shared" ref="P365:P428" si="146">SQRT(($D$34-$B364)^2+($E$34-$C364)^2)</f>
        <v>25709.742385618589</v>
      </c>
      <c r="Q365" s="95">
        <f t="shared" ref="Q365:Q428" si="147">(N365^2+$D$39^2)^(3/2)</f>
        <v>1053382925570.9084</v>
      </c>
      <c r="R365" s="95">
        <f t="shared" ref="R365:R428" si="148">(O365^2+$D$31^2)^(3/2)</f>
        <v>24826075245850.125</v>
      </c>
      <c r="S365" s="95">
        <f t="shared" ref="S365:S428" si="149">(P365^2+$D$23^2)^(3/2)</f>
        <v>20992741375554.059</v>
      </c>
      <c r="T365">
        <f t="shared" si="125"/>
        <v>0.5</v>
      </c>
      <c r="X365" s="101">
        <v>322</v>
      </c>
      <c r="Y365" s="101">
        <f t="shared" si="126"/>
        <v>13940.053768033607</v>
      </c>
      <c r="Z365" s="101">
        <f t="shared" si="127"/>
        <v>4421.6926233717058</v>
      </c>
      <c r="AA365" s="101">
        <f t="shared" si="128"/>
        <v>-17241.962362376475</v>
      </c>
      <c r="AB365" s="101">
        <f t="shared" si="129"/>
        <v>7845.1848363601939</v>
      </c>
      <c r="AC365" s="101">
        <f t="shared" si="130"/>
        <v>-1059.9462319663921</v>
      </c>
      <c r="AD365" s="101">
        <f t="shared" si="131"/>
        <v>-18078.307376628294</v>
      </c>
    </row>
    <row r="366" spans="1:30" x14ac:dyDescent="0.25">
      <c r="A366">
        <v>161.5</v>
      </c>
      <c r="B366" s="95">
        <f t="shared" si="132"/>
        <v>8246.2992729456382</v>
      </c>
      <c r="C366" s="95">
        <f t="shared" si="133"/>
        <v>7050.21838044584</v>
      </c>
      <c r="D366" s="95">
        <f t="shared" si="134"/>
        <v>172.9067992443176</v>
      </c>
      <c r="E366" s="95">
        <f t="shared" si="135"/>
        <v>-114.52813185752254</v>
      </c>
      <c r="F366" s="96">
        <f t="shared" si="136"/>
        <v>337.18421865785092</v>
      </c>
      <c r="G366" s="94">
        <f t="shared" si="137"/>
        <v>-304.07121757703709</v>
      </c>
      <c r="H366" s="97">
        <f t="shared" si="138"/>
        <v>871.54611382304449</v>
      </c>
      <c r="I366" s="94">
        <f t="shared" si="139"/>
        <v>223.53039862730907</v>
      </c>
      <c r="J366" s="95">
        <f t="shared" si="140"/>
        <v>-204.579750570333</v>
      </c>
      <c r="K366" s="94">
        <f t="shared" si="141"/>
        <v>21.364412453965024</v>
      </c>
      <c r="L366" s="94">
        <f t="shared" si="142"/>
        <v>-329.7821445948606</v>
      </c>
      <c r="M366" s="94">
        <f t="shared" si="143"/>
        <v>-548.96602865831119</v>
      </c>
      <c r="N366" s="99">
        <f t="shared" si="144"/>
        <v>1881.5518169395955</v>
      </c>
      <c r="O366" s="99">
        <f t="shared" si="145"/>
        <v>28308.012600805527</v>
      </c>
      <c r="P366" s="100">
        <f t="shared" si="146"/>
        <v>25727.851125315345</v>
      </c>
      <c r="Q366" s="95">
        <f t="shared" si="147"/>
        <v>1053570819590.5575</v>
      </c>
      <c r="R366" s="95">
        <f t="shared" si="148"/>
        <v>24796572446345.859</v>
      </c>
      <c r="S366" s="95">
        <f t="shared" si="149"/>
        <v>21031296551981.551</v>
      </c>
      <c r="T366">
        <f t="shared" si="125"/>
        <v>0.5</v>
      </c>
      <c r="X366" s="101">
        <v>323</v>
      </c>
      <c r="Y366" s="101">
        <f t="shared" si="126"/>
        <v>13993.177550236464</v>
      </c>
      <c r="Z366" s="101">
        <f t="shared" si="127"/>
        <v>4490.9248842397592</v>
      </c>
      <c r="AA366" s="101">
        <f t="shared" si="128"/>
        <v>-17204.775714834475</v>
      </c>
      <c r="AB366" s="101">
        <f t="shared" si="129"/>
        <v>7893.6474189678311</v>
      </c>
      <c r="AC366" s="101">
        <f t="shared" si="130"/>
        <v>-1006.822449763536</v>
      </c>
      <c r="AD366" s="101">
        <f t="shared" si="131"/>
        <v>-18009.075115760243</v>
      </c>
    </row>
    <row r="367" spans="1:30" x14ac:dyDescent="0.25">
      <c r="A367">
        <v>162</v>
      </c>
      <c r="B367" s="95">
        <f t="shared" si="132"/>
        <v>8417.0487272322589</v>
      </c>
      <c r="C367" s="95">
        <f t="shared" si="133"/>
        <v>6916.9365101228195</v>
      </c>
      <c r="D367" s="95">
        <f t="shared" si="134"/>
        <v>341.49890857324306</v>
      </c>
      <c r="E367" s="95">
        <f t="shared" si="135"/>
        <v>-266.56374064604108</v>
      </c>
      <c r="F367" s="96">
        <f t="shared" si="136"/>
        <v>251.55490916469853</v>
      </c>
      <c r="G367" s="94">
        <f t="shared" si="137"/>
        <v>-232.91235508392981</v>
      </c>
      <c r="H367" s="97">
        <f t="shared" si="138"/>
        <v>789.68864329321752</v>
      </c>
      <c r="I367" s="94">
        <f t="shared" si="139"/>
        <v>290.87352478630419</v>
      </c>
      <c r="J367" s="95">
        <f t="shared" si="140"/>
        <v>-203.93890928211846</v>
      </c>
      <c r="K367" s="94">
        <f t="shared" si="141"/>
        <v>22.126034670536775</v>
      </c>
      <c r="L367" s="94">
        <f t="shared" si="142"/>
        <v>-334.19482484640048</v>
      </c>
      <c r="M367" s="94">
        <f t="shared" si="143"/>
        <v>-545.91191454077079</v>
      </c>
      <c r="N367" s="99">
        <f t="shared" si="144"/>
        <v>1810.4611968666327</v>
      </c>
      <c r="O367" s="99">
        <f t="shared" si="145"/>
        <v>28399.905531882825</v>
      </c>
      <c r="P367" s="100">
        <f t="shared" si="146"/>
        <v>25723.07475893564</v>
      </c>
      <c r="Q367" s="95">
        <f t="shared" si="147"/>
        <v>1049567263366.6158</v>
      </c>
      <c r="R367" s="95">
        <f t="shared" si="148"/>
        <v>25024858014689.859</v>
      </c>
      <c r="S367" s="95">
        <f t="shared" si="149"/>
        <v>21021122301790.156</v>
      </c>
      <c r="T367">
        <f t="shared" si="125"/>
        <v>0.5</v>
      </c>
      <c r="X367" s="101">
        <v>324</v>
      </c>
      <c r="Y367" s="101">
        <f t="shared" si="126"/>
        <v>14045.084971874738</v>
      </c>
      <c r="Z367" s="101">
        <f t="shared" si="127"/>
        <v>4561.0737385376333</v>
      </c>
      <c r="AA367" s="101">
        <f t="shared" si="128"/>
        <v>-17168.440519687683</v>
      </c>
      <c r="AB367" s="101">
        <f t="shared" si="129"/>
        <v>7942.751616976343</v>
      </c>
      <c r="AC367" s="101">
        <f t="shared" si="130"/>
        <v>-954.91502812526323</v>
      </c>
      <c r="AD367" s="101">
        <f t="shared" si="131"/>
        <v>-17938.926261462366</v>
      </c>
    </row>
    <row r="368" spans="1:30" x14ac:dyDescent="0.25">
      <c r="A368">
        <v>162.5</v>
      </c>
      <c r="B368" s="95">
        <f t="shared" si="132"/>
        <v>8650.6869088100539</v>
      </c>
      <c r="C368" s="95">
        <f t="shared" si="133"/>
        <v>6725.4265510288169</v>
      </c>
      <c r="D368" s="95">
        <f t="shared" si="134"/>
        <v>467.27636315559232</v>
      </c>
      <c r="E368" s="95">
        <f t="shared" si="135"/>
        <v>-383.01991818800599</v>
      </c>
      <c r="F368" s="96">
        <f t="shared" si="136"/>
        <v>134.59317415612986</v>
      </c>
      <c r="G368" s="94">
        <f t="shared" si="137"/>
        <v>-130.6127672929818</v>
      </c>
      <c r="H368" s="97">
        <f t="shared" si="138"/>
        <v>677.37967712863258</v>
      </c>
      <c r="I368" s="94">
        <f t="shared" si="139"/>
        <v>388.84993868532092</v>
      </c>
      <c r="J368" s="95">
        <f t="shared" si="140"/>
        <v>-201.89493014720733</v>
      </c>
      <c r="K368" s="94">
        <f t="shared" si="141"/>
        <v>23.075180704956963</v>
      </c>
      <c r="L368" s="94">
        <f t="shared" si="142"/>
        <v>-340.89157282529538</v>
      </c>
      <c r="M368" s="94">
        <f t="shared" si="143"/>
        <v>-542.53788668325967</v>
      </c>
      <c r="N368" s="99">
        <f t="shared" si="144"/>
        <v>1686.9196083941786</v>
      </c>
      <c r="O368" s="99">
        <f t="shared" si="145"/>
        <v>28583.805534751773</v>
      </c>
      <c r="P368" s="100">
        <f t="shared" si="146"/>
        <v>25697.65169305708</v>
      </c>
      <c r="Q368" s="95">
        <f t="shared" si="147"/>
        <v>1042987716195.7566</v>
      </c>
      <c r="R368" s="95">
        <f t="shared" si="148"/>
        <v>25486040432396.445</v>
      </c>
      <c r="S368" s="95">
        <f t="shared" si="149"/>
        <v>20967027410770.602</v>
      </c>
      <c r="T368">
        <f t="shared" si="125"/>
        <v>0.5</v>
      </c>
      <c r="X368" s="101">
        <v>325</v>
      </c>
      <c r="Y368" s="101">
        <f t="shared" si="126"/>
        <v>14095.760221444958</v>
      </c>
      <c r="Z368" s="101">
        <f t="shared" si="127"/>
        <v>4632.1178182447675</v>
      </c>
      <c r="AA368" s="101">
        <f t="shared" si="128"/>
        <v>-17132.967844988529</v>
      </c>
      <c r="AB368" s="101">
        <f t="shared" si="129"/>
        <v>7992.4824727713376</v>
      </c>
      <c r="AC368" s="101">
        <f t="shared" si="130"/>
        <v>-904.23977855504199</v>
      </c>
      <c r="AD368" s="101">
        <f t="shared" si="131"/>
        <v>-17867.882181755231</v>
      </c>
    </row>
    <row r="369" spans="1:30" x14ac:dyDescent="0.25">
      <c r="A369">
        <v>163</v>
      </c>
      <c r="B369" s="95">
        <f t="shared" si="132"/>
        <v>8917.9733839268829</v>
      </c>
      <c r="C369" s="95">
        <f t="shared" si="133"/>
        <v>6501.2634001115684</v>
      </c>
      <c r="D369" s="95">
        <f t="shared" si="134"/>
        <v>534.57295023365725</v>
      </c>
      <c r="E369" s="95">
        <f t="shared" si="135"/>
        <v>-448.32630183449692</v>
      </c>
      <c r="F369" s="96">
        <f t="shared" si="136"/>
        <v>-1.1318617263033843</v>
      </c>
      <c r="G369" s="94">
        <f t="shared" si="137"/>
        <v>-10.5467496321412</v>
      </c>
      <c r="H369" s="97">
        <f t="shared" si="138"/>
        <v>546.58225743424327</v>
      </c>
      <c r="I369" s="94">
        <f t="shared" si="139"/>
        <v>504.50857422561887</v>
      </c>
      <c r="J369" s="95">
        <f t="shared" si="140"/>
        <v>-198.74851807346002</v>
      </c>
      <c r="K369" s="94">
        <f t="shared" si="141"/>
        <v>24.046246433842427</v>
      </c>
      <c r="L369" s="94">
        <f t="shared" si="142"/>
        <v>-348.96560108708667</v>
      </c>
      <c r="M369" s="94">
        <f t="shared" si="143"/>
        <v>-539.10157029160246</v>
      </c>
      <c r="N369" s="99">
        <f t="shared" si="144"/>
        <v>1555.8309181616366</v>
      </c>
      <c r="O369" s="99">
        <f t="shared" si="145"/>
        <v>28837.210191337283</v>
      </c>
      <c r="P369" s="100">
        <f t="shared" si="146"/>
        <v>25658.047702553406</v>
      </c>
      <c r="Q369" s="95">
        <f t="shared" si="147"/>
        <v>1036527994889.7965</v>
      </c>
      <c r="R369" s="95">
        <f t="shared" si="148"/>
        <v>26131040130307.105</v>
      </c>
      <c r="S369" s="95">
        <f t="shared" si="149"/>
        <v>20882957517681.523</v>
      </c>
      <c r="T369">
        <f t="shared" si="125"/>
        <v>0.5</v>
      </c>
      <c r="X369" s="101">
        <v>326</v>
      </c>
      <c r="Y369" s="101">
        <f t="shared" si="126"/>
        <v>14145.187862775207</v>
      </c>
      <c r="Z369" s="101">
        <f t="shared" si="127"/>
        <v>4704.0354826462626</v>
      </c>
      <c r="AA369" s="101">
        <f t="shared" si="128"/>
        <v>-17098.368496057356</v>
      </c>
      <c r="AB369" s="101">
        <f t="shared" si="129"/>
        <v>8042.824837852384</v>
      </c>
      <c r="AC369" s="101">
        <f t="shared" si="130"/>
        <v>-854.81213722479333</v>
      </c>
      <c r="AD369" s="101">
        <f t="shared" si="131"/>
        <v>-17795.964517353736</v>
      </c>
    </row>
    <row r="370" spans="1:30" x14ac:dyDescent="0.25">
      <c r="A370">
        <v>163.5</v>
      </c>
      <c r="B370" s="95">
        <f t="shared" si="132"/>
        <v>9184.9768936121363</v>
      </c>
      <c r="C370" s="95">
        <f t="shared" si="133"/>
        <v>6274.463561786285</v>
      </c>
      <c r="D370" s="95">
        <f t="shared" si="134"/>
        <v>534.00701937050553</v>
      </c>
      <c r="E370" s="95">
        <f t="shared" si="135"/>
        <v>-453.59967665056752</v>
      </c>
      <c r="F370" s="96">
        <f t="shared" si="136"/>
        <v>-139.00965682223304</v>
      </c>
      <c r="G370" s="94">
        <f t="shared" si="137"/>
        <v>110.38239031113926</v>
      </c>
      <c r="H370" s="97">
        <f t="shared" si="138"/>
        <v>413.23259553837966</v>
      </c>
      <c r="I370" s="94">
        <f t="shared" si="139"/>
        <v>621.37085356314708</v>
      </c>
      <c r="J370" s="95">
        <f t="shared" si="140"/>
        <v>-194.94289899865916</v>
      </c>
      <c r="K370" s="94">
        <f t="shared" si="141"/>
        <v>24.884956264929656</v>
      </c>
      <c r="L370" s="94">
        <f t="shared" si="142"/>
        <v>-357.29935336195354</v>
      </c>
      <c r="M370" s="94">
        <f t="shared" si="143"/>
        <v>-535.87341951693747</v>
      </c>
      <c r="N370" s="99">
        <f t="shared" si="144"/>
        <v>1472.5000488445987</v>
      </c>
      <c r="O370" s="99">
        <f t="shared" si="145"/>
        <v>29128.857554475122</v>
      </c>
      <c r="P370" s="100">
        <f t="shared" si="146"/>
        <v>25612.776321919388</v>
      </c>
      <c r="Q370" s="95">
        <f t="shared" si="147"/>
        <v>1032699514018.3051</v>
      </c>
      <c r="R370" s="95">
        <f t="shared" si="148"/>
        <v>26887144175692.789</v>
      </c>
      <c r="S370" s="95">
        <f t="shared" si="149"/>
        <v>20787153582843.156</v>
      </c>
      <c r="T370">
        <f t="shared" si="125"/>
        <v>0.5</v>
      </c>
      <c r="X370" s="101">
        <v>327</v>
      </c>
      <c r="Y370" s="101">
        <f t="shared" si="126"/>
        <v>14193.35283972712</v>
      </c>
      <c r="Z370" s="101">
        <f t="shared" si="127"/>
        <v>4776.804824924865</v>
      </c>
      <c r="AA370" s="101">
        <f t="shared" si="128"/>
        <v>-17064.653012191015</v>
      </c>
      <c r="AB370" s="101">
        <f t="shared" si="129"/>
        <v>8093.7633774474052</v>
      </c>
      <c r="AC370" s="101">
        <f t="shared" si="130"/>
        <v>-806.64716027287977</v>
      </c>
      <c r="AD370" s="101">
        <f t="shared" si="131"/>
        <v>-17723.195175075136</v>
      </c>
    </row>
    <row r="371" spans="1:30" x14ac:dyDescent="0.25">
      <c r="A371">
        <v>164</v>
      </c>
      <c r="B371" s="95">
        <f t="shared" si="132"/>
        <v>9417.2279890918308</v>
      </c>
      <c r="C371" s="95">
        <f t="shared" si="133"/>
        <v>6075.2593210387868</v>
      </c>
      <c r="D371" s="95">
        <f t="shared" si="134"/>
        <v>464.502190959389</v>
      </c>
      <c r="E371" s="95">
        <f t="shared" si="135"/>
        <v>-398.40848149499789</v>
      </c>
      <c r="F371" s="96">
        <f t="shared" si="136"/>
        <v>-260.24617735241702</v>
      </c>
      <c r="G371" s="94">
        <f t="shared" si="137"/>
        <v>214.69546266352995</v>
      </c>
      <c r="H371" s="97">
        <f t="shared" si="138"/>
        <v>295.48567614630196</v>
      </c>
      <c r="I371" s="94">
        <f t="shared" si="139"/>
        <v>722.3930713486742</v>
      </c>
      <c r="J371" s="95">
        <f t="shared" si="140"/>
        <v>-190.9929883038487</v>
      </c>
      <c r="K371" s="94">
        <f t="shared" si="141"/>
        <v>25.481597071975507</v>
      </c>
      <c r="L371" s="94">
        <f t="shared" si="142"/>
        <v>-364.73886519487024</v>
      </c>
      <c r="M371" s="94">
        <f t="shared" si="143"/>
        <v>-533.1792057571198</v>
      </c>
      <c r="N371" s="99">
        <f t="shared" si="144"/>
        <v>1471.8023730568184</v>
      </c>
      <c r="O371" s="99">
        <f t="shared" si="145"/>
        <v>29421.803106423176</v>
      </c>
      <c r="P371" s="100">
        <f t="shared" si="146"/>
        <v>25569.833189015575</v>
      </c>
      <c r="Q371" s="95">
        <f t="shared" si="147"/>
        <v>1032668369391.261</v>
      </c>
      <c r="R371" s="95">
        <f t="shared" si="148"/>
        <v>27661585222717.93</v>
      </c>
      <c r="S371" s="95">
        <f t="shared" si="149"/>
        <v>20696568539732.832</v>
      </c>
      <c r="T371">
        <f t="shared" si="125"/>
        <v>0.5</v>
      </c>
      <c r="X371" s="101">
        <v>328</v>
      </c>
      <c r="Y371" s="101">
        <f t="shared" si="126"/>
        <v>14240.240480782126</v>
      </c>
      <c r="Z371" s="101">
        <f t="shared" si="127"/>
        <v>4850.4036788339708</v>
      </c>
      <c r="AA371" s="101">
        <f t="shared" si="128"/>
        <v>-17031.831663452511</v>
      </c>
      <c r="AB371" s="101">
        <f t="shared" si="129"/>
        <v>8145.28257518378</v>
      </c>
      <c r="AC371" s="101">
        <f t="shared" si="130"/>
        <v>-759.75951921787328</v>
      </c>
      <c r="AD371" s="101">
        <f t="shared" si="131"/>
        <v>-17649.596321166027</v>
      </c>
    </row>
    <row r="372" spans="1:30" x14ac:dyDescent="0.25">
      <c r="A372">
        <v>164.5</v>
      </c>
      <c r="B372" s="95">
        <f t="shared" si="132"/>
        <v>9584.4175402334204</v>
      </c>
      <c r="C372" s="95">
        <f t="shared" si="133"/>
        <v>5929.7289459571703</v>
      </c>
      <c r="D372" s="95">
        <f t="shared" si="134"/>
        <v>334.37910228318049</v>
      </c>
      <c r="E372" s="95">
        <f t="shared" si="135"/>
        <v>-291.06075016323291</v>
      </c>
      <c r="F372" s="96">
        <f t="shared" si="136"/>
        <v>-347.60961365121932</v>
      </c>
      <c r="G372" s="94">
        <f t="shared" si="137"/>
        <v>288.20260356545225</v>
      </c>
      <c r="H372" s="97">
        <f t="shared" si="138"/>
        <v>210.08734844982322</v>
      </c>
      <c r="I372" s="94">
        <f t="shared" si="139"/>
        <v>793.81137085684259</v>
      </c>
      <c r="J372" s="95">
        <f t="shared" si="140"/>
        <v>-187.40779166501176</v>
      </c>
      <c r="K372" s="94">
        <f t="shared" si="141"/>
        <v>25.783861003138345</v>
      </c>
      <c r="L372" s="94">
        <f t="shared" si="142"/>
        <v>-370.28917043603082</v>
      </c>
      <c r="M372" s="94">
        <f t="shared" si="143"/>
        <v>-531.39262829452866</v>
      </c>
      <c r="N372" s="99">
        <f t="shared" si="144"/>
        <v>1539.3210253175944</v>
      </c>
      <c r="O372" s="99">
        <f t="shared" si="145"/>
        <v>29677.885570897746</v>
      </c>
      <c r="P372" s="100">
        <f t="shared" si="146"/>
        <v>25534.741399483275</v>
      </c>
      <c r="Q372" s="95">
        <f t="shared" si="147"/>
        <v>1035752360622.901</v>
      </c>
      <c r="R372" s="95">
        <f t="shared" si="148"/>
        <v>28350983059394.512</v>
      </c>
      <c r="S372" s="95">
        <f t="shared" si="149"/>
        <v>20622755879920.59</v>
      </c>
      <c r="T372">
        <f t="shared" si="125"/>
        <v>0.5</v>
      </c>
      <c r="X372" s="101">
        <v>329</v>
      </c>
      <c r="Y372" s="101">
        <f t="shared" si="126"/>
        <v>14285.83650351056</v>
      </c>
      <c r="Z372" s="101">
        <f t="shared" si="127"/>
        <v>4924.8096254497277</v>
      </c>
      <c r="AA372" s="101">
        <f t="shared" si="128"/>
        <v>-16999.914447542607</v>
      </c>
      <c r="AB372" s="101">
        <f t="shared" si="129"/>
        <v>8197.3667378148093</v>
      </c>
      <c r="AC372" s="101">
        <f t="shared" si="130"/>
        <v>-714.16349648943924</v>
      </c>
      <c r="AD372" s="101">
        <f t="shared" si="131"/>
        <v>-17575.190374550271</v>
      </c>
    </row>
    <row r="373" spans="1:30" x14ac:dyDescent="0.25">
      <c r="A373">
        <v>165</v>
      </c>
      <c r="B373" s="95">
        <f t="shared" si="132"/>
        <v>9664.7046879622048</v>
      </c>
      <c r="C373" s="95">
        <f t="shared" si="133"/>
        <v>5856.2492217669169</v>
      </c>
      <c r="D373" s="95">
        <f t="shared" si="134"/>
        <v>160.57429545757083</v>
      </c>
      <c r="E373" s="95">
        <f t="shared" si="135"/>
        <v>-146.95944838050679</v>
      </c>
      <c r="F373" s="96">
        <f t="shared" si="136"/>
        <v>-389.05607435541782</v>
      </c>
      <c r="G373" s="94">
        <f t="shared" si="137"/>
        <v>322.6172592800159</v>
      </c>
      <c r="H373" s="97">
        <f t="shared" si="138"/>
        <v>168.83439000369935</v>
      </c>
      <c r="I373" s="94">
        <f t="shared" si="139"/>
        <v>827.69323040760514</v>
      </c>
      <c r="J373" s="95">
        <f t="shared" si="140"/>
        <v>-184.6219943416674</v>
      </c>
      <c r="K373" s="94">
        <f t="shared" si="141"/>
        <v>25.789150466165694</v>
      </c>
      <c r="L373" s="94">
        <f t="shared" si="142"/>
        <v>-373.26847001744977</v>
      </c>
      <c r="M373" s="94">
        <f t="shared" si="143"/>
        <v>-530.86512159375491</v>
      </c>
      <c r="N373" s="99">
        <f t="shared" si="144"/>
        <v>1624.3336984839109</v>
      </c>
      <c r="O373" s="99">
        <f t="shared" si="145"/>
        <v>29863.102110267275</v>
      </c>
      <c r="P373" s="100">
        <f t="shared" si="146"/>
        <v>25509.974299067919</v>
      </c>
      <c r="Q373" s="95">
        <f t="shared" si="147"/>
        <v>1039836817860.3445</v>
      </c>
      <c r="R373" s="95">
        <f t="shared" si="148"/>
        <v>28856877352080.684</v>
      </c>
      <c r="S373" s="95">
        <f t="shared" si="149"/>
        <v>20570774217197.313</v>
      </c>
      <c r="T373">
        <f t="shared" si="125"/>
        <v>0.5</v>
      </c>
      <c r="X373" s="101">
        <v>330</v>
      </c>
      <c r="Y373" s="101">
        <f t="shared" si="126"/>
        <v>14330.127018922192</v>
      </c>
      <c r="Z373" s="101">
        <f t="shared" si="127"/>
        <v>4999.9999999999982</v>
      </c>
      <c r="AA373" s="101">
        <f t="shared" si="128"/>
        <v>-16968.911086754466</v>
      </c>
      <c r="AB373" s="101">
        <f t="shared" si="129"/>
        <v>8249.9999999999982</v>
      </c>
      <c r="AC373" s="101">
        <f t="shared" si="130"/>
        <v>-669.87298107780771</v>
      </c>
      <c r="AD373" s="101">
        <f t="shared" si="131"/>
        <v>-17500.000000000004</v>
      </c>
    </row>
    <row r="374" spans="1:30" x14ac:dyDescent="0.25">
      <c r="A374">
        <v>165.5</v>
      </c>
      <c r="B374" s="95">
        <f t="shared" si="132"/>
        <v>9647.7278171021371</v>
      </c>
      <c r="C374" s="95">
        <f t="shared" si="133"/>
        <v>5863.4238123966679</v>
      </c>
      <c r="D374" s="95">
        <f t="shared" si="134"/>
        <v>-33.953741720138083</v>
      </c>
      <c r="E374" s="95">
        <f t="shared" si="135"/>
        <v>14.349181259501165</v>
      </c>
      <c r="F374" s="96">
        <f t="shared" si="136"/>
        <v>-379.39744233832232</v>
      </c>
      <c r="G374" s="94">
        <f t="shared" si="137"/>
        <v>315.67807867305089</v>
      </c>
      <c r="H374" s="97">
        <f t="shared" si="138"/>
        <v>176.92794678777614</v>
      </c>
      <c r="I374" s="94">
        <f t="shared" si="139"/>
        <v>821.96687303685621</v>
      </c>
      <c r="J374" s="95">
        <f t="shared" si="140"/>
        <v>-182.95049169093105</v>
      </c>
      <c r="K374" s="94">
        <f t="shared" si="141"/>
        <v>25.526025201920433</v>
      </c>
      <c r="L374" s="94">
        <f t="shared" si="142"/>
        <v>-373.37489743516744</v>
      </c>
      <c r="M374" s="94">
        <f t="shared" si="143"/>
        <v>-531.81481956572577</v>
      </c>
      <c r="N374" s="99">
        <f t="shared" si="144"/>
        <v>1677.5993464520629</v>
      </c>
      <c r="O374" s="99">
        <f t="shared" si="145"/>
        <v>29952.718987365974</v>
      </c>
      <c r="P374" s="100">
        <f t="shared" si="146"/>
        <v>25495.817209605066</v>
      </c>
      <c r="Q374" s="95">
        <f t="shared" si="147"/>
        <v>1042510733840.7462</v>
      </c>
      <c r="R374" s="95">
        <f t="shared" si="148"/>
        <v>29103858904146.387</v>
      </c>
      <c r="S374" s="95">
        <f t="shared" si="149"/>
        <v>20541103333449.336</v>
      </c>
      <c r="T374">
        <f t="shared" si="125"/>
        <v>0.5</v>
      </c>
      <c r="X374" s="101">
        <v>331</v>
      </c>
      <c r="Y374" s="101">
        <f t="shared" si="126"/>
        <v>14373.09853569698</v>
      </c>
      <c r="Z374" s="101">
        <f t="shared" si="127"/>
        <v>5075.951898768315</v>
      </c>
      <c r="AA374" s="101">
        <f t="shared" si="128"/>
        <v>-16938.831025012114</v>
      </c>
      <c r="AB374" s="101">
        <f t="shared" si="129"/>
        <v>8303.1663291378209</v>
      </c>
      <c r="AC374" s="101">
        <f t="shared" si="130"/>
        <v>-626.90146430302048</v>
      </c>
      <c r="AD374" s="101">
        <f t="shared" si="131"/>
        <v>-17424.048101231685</v>
      </c>
    </row>
    <row r="375" spans="1:30" x14ac:dyDescent="0.25">
      <c r="A375">
        <v>166</v>
      </c>
      <c r="B375" s="95">
        <f t="shared" si="132"/>
        <v>9535.9015856574879</v>
      </c>
      <c r="C375" s="95">
        <f t="shared" si="133"/>
        <v>5949.5179226946821</v>
      </c>
      <c r="D375" s="95">
        <f t="shared" si="134"/>
        <v>-223.65246288929924</v>
      </c>
      <c r="E375" s="95">
        <f t="shared" si="135"/>
        <v>172.18822059602661</v>
      </c>
      <c r="F375" s="96">
        <f t="shared" si="136"/>
        <v>-320.10762190303814</v>
      </c>
      <c r="G375" s="94">
        <f t="shared" si="137"/>
        <v>269.67690415940831</v>
      </c>
      <c r="H375" s="97">
        <f t="shared" si="138"/>
        <v>233.13277676511893</v>
      </c>
      <c r="I375" s="94">
        <f t="shared" si="139"/>
        <v>778.86107953811961</v>
      </c>
      <c r="J375" s="95">
        <f t="shared" si="140"/>
        <v>-182.56898469325739</v>
      </c>
      <c r="K375" s="94">
        <f t="shared" si="141"/>
        <v>25.037068810215786</v>
      </c>
      <c r="L375" s="94">
        <f t="shared" si="142"/>
        <v>-370.67141397489968</v>
      </c>
      <c r="M375" s="94">
        <f t="shared" si="143"/>
        <v>-534.22124418892713</v>
      </c>
      <c r="N375" s="99">
        <f t="shared" si="144"/>
        <v>1674.0601269589699</v>
      </c>
      <c r="O375" s="99">
        <f t="shared" si="145"/>
        <v>29934.913182984496</v>
      </c>
      <c r="P375" s="100">
        <f t="shared" si="146"/>
        <v>25491.927808221724</v>
      </c>
      <c r="Q375" s="95">
        <f t="shared" si="147"/>
        <v>1042330318707.9309</v>
      </c>
      <c r="R375" s="95">
        <f t="shared" si="148"/>
        <v>29054671815270</v>
      </c>
      <c r="S375" s="95">
        <f t="shared" si="149"/>
        <v>20532957183968.371</v>
      </c>
      <c r="T375">
        <f t="shared" si="125"/>
        <v>0.5</v>
      </c>
      <c r="X375" s="101">
        <v>332</v>
      </c>
      <c r="Y375" s="101">
        <f t="shared" si="126"/>
        <v>14414.737964294634</v>
      </c>
      <c r="Z375" s="101">
        <f t="shared" si="127"/>
        <v>5152.6421860705459</v>
      </c>
      <c r="AA375" s="101">
        <f t="shared" si="128"/>
        <v>-16909.683424993756</v>
      </c>
      <c r="AB375" s="101">
        <f t="shared" si="129"/>
        <v>8356.849530249383</v>
      </c>
      <c r="AC375" s="101">
        <f t="shared" si="130"/>
        <v>-585.26203570536563</v>
      </c>
      <c r="AD375" s="101">
        <f t="shared" si="131"/>
        <v>-17347.357813929455</v>
      </c>
    </row>
    <row r="376" spans="1:30" x14ac:dyDescent="0.25">
      <c r="A376">
        <v>166.5</v>
      </c>
      <c r="B376" s="95">
        <f t="shared" si="132"/>
        <v>9344.0484487370795</v>
      </c>
      <c r="C376" s="95">
        <f t="shared" si="133"/>
        <v>6103.0312590325475</v>
      </c>
      <c r="D376" s="95">
        <f t="shared" si="134"/>
        <v>-383.70627384081831</v>
      </c>
      <c r="E376" s="95">
        <f t="shared" si="135"/>
        <v>307.02667267573077</v>
      </c>
      <c r="F376" s="96">
        <f t="shared" si="136"/>
        <v>-218.65543943628796</v>
      </c>
      <c r="G376" s="94">
        <f t="shared" si="137"/>
        <v>190.22178699484823</v>
      </c>
      <c r="H376" s="97">
        <f t="shared" si="138"/>
        <v>330.38954311280798</v>
      </c>
      <c r="I376" s="94">
        <f t="shared" si="139"/>
        <v>703.62492958891391</v>
      </c>
      <c r="J376" s="95">
        <f t="shared" si="140"/>
        <v>-183.5118784351609</v>
      </c>
      <c r="K376" s="94">
        <f t="shared" si="141"/>
        <v>24.370872175574657</v>
      </c>
      <c r="L376" s="94">
        <f t="shared" si="142"/>
        <v>-365.53310411393505</v>
      </c>
      <c r="M376" s="94">
        <f t="shared" si="143"/>
        <v>-537.7740147696403</v>
      </c>
      <c r="N376" s="99">
        <f t="shared" si="144"/>
        <v>1618.4504966912791</v>
      </c>
      <c r="O376" s="99">
        <f t="shared" si="145"/>
        <v>29812.344549468366</v>
      </c>
      <c r="P376" s="100">
        <f t="shared" si="146"/>
        <v>25498.524194573019</v>
      </c>
      <c r="Q376" s="95">
        <f t="shared" si="147"/>
        <v>1039546911373.6469</v>
      </c>
      <c r="R376" s="95">
        <f t="shared" si="148"/>
        <v>28717629799585.961</v>
      </c>
      <c r="S376" s="95">
        <f t="shared" si="149"/>
        <v>20546774342332.656</v>
      </c>
      <c r="T376">
        <f t="shared" si="125"/>
        <v>0.5</v>
      </c>
      <c r="X376" s="101">
        <v>333</v>
      </c>
      <c r="Y376" s="101">
        <f t="shared" si="126"/>
        <v>14455.032620941838</v>
      </c>
      <c r="Z376" s="101">
        <f t="shared" si="127"/>
        <v>5230.0475013022651</v>
      </c>
      <c r="AA376" s="101">
        <f t="shared" si="128"/>
        <v>-16881.477165340712</v>
      </c>
      <c r="AB376" s="101">
        <f t="shared" si="129"/>
        <v>8411.0332509115851</v>
      </c>
      <c r="AC376" s="101">
        <f t="shared" si="130"/>
        <v>-544.96737905816099</v>
      </c>
      <c r="AD376" s="101">
        <f t="shared" si="131"/>
        <v>-17269.952498697734</v>
      </c>
    </row>
    <row r="377" spans="1:30" x14ac:dyDescent="0.25">
      <c r="A377">
        <v>167</v>
      </c>
      <c r="B377" s="95">
        <f t="shared" si="132"/>
        <v>9097.5314519575986</v>
      </c>
      <c r="C377" s="95">
        <f t="shared" si="133"/>
        <v>6304.1000421191247</v>
      </c>
      <c r="D377" s="95">
        <f t="shared" si="134"/>
        <v>-493.03399355896227</v>
      </c>
      <c r="E377" s="95">
        <f t="shared" si="135"/>
        <v>402.13756617315488</v>
      </c>
      <c r="F377" s="96">
        <f t="shared" si="136"/>
        <v>-88.131514283960769</v>
      </c>
      <c r="G377" s="94">
        <f t="shared" si="137"/>
        <v>86.12636558694237</v>
      </c>
      <c r="H377" s="97">
        <f t="shared" si="138"/>
        <v>456.13835709106053</v>
      </c>
      <c r="I377" s="94">
        <f t="shared" si="139"/>
        <v>604.44859071966403</v>
      </c>
      <c r="J377" s="95">
        <f t="shared" si="140"/>
        <v>-185.67504073445207</v>
      </c>
      <c r="K377" s="94">
        <f t="shared" si="141"/>
        <v>23.584006648915334</v>
      </c>
      <c r="L377" s="94">
        <f t="shared" si="142"/>
        <v>-358.59483064056923</v>
      </c>
      <c r="M377" s="94">
        <f t="shared" si="143"/>
        <v>-541.90623178163696</v>
      </c>
      <c r="N377" s="99">
        <f t="shared" si="144"/>
        <v>1543.3062239375636</v>
      </c>
      <c r="O377" s="99">
        <f t="shared" si="145"/>
        <v>29601.681451057917</v>
      </c>
      <c r="P377" s="100">
        <f t="shared" si="146"/>
        <v>25516.458496809886</v>
      </c>
      <c r="Q377" s="95">
        <f t="shared" si="147"/>
        <v>1035938809848.0891</v>
      </c>
      <c r="R377" s="95">
        <f t="shared" si="148"/>
        <v>28144618150361.938</v>
      </c>
      <c r="S377" s="95">
        <f t="shared" si="149"/>
        <v>20584374275607.348</v>
      </c>
      <c r="T377">
        <f t="shared" si="125"/>
        <v>0.5</v>
      </c>
      <c r="X377" s="101">
        <v>334</v>
      </c>
      <c r="Y377" s="101">
        <f t="shared" si="126"/>
        <v>14493.970231495836</v>
      </c>
      <c r="Z377" s="101">
        <f t="shared" si="127"/>
        <v>5308.1442660546145</v>
      </c>
      <c r="AA377" s="101">
        <f t="shared" si="128"/>
        <v>-16854.220837952915</v>
      </c>
      <c r="AB377" s="101">
        <f t="shared" si="129"/>
        <v>8465.7009862382311</v>
      </c>
      <c r="AC377" s="101">
        <f t="shared" si="130"/>
        <v>-506.02976850416417</v>
      </c>
      <c r="AD377" s="101">
        <f t="shared" si="131"/>
        <v>-17191.855733945384</v>
      </c>
    </row>
    <row r="378" spans="1:30" x14ac:dyDescent="0.25">
      <c r="A378">
        <v>167.5</v>
      </c>
      <c r="B378" s="95">
        <f t="shared" si="132"/>
        <v>8828.9815766071279</v>
      </c>
      <c r="C378" s="95">
        <f t="shared" si="133"/>
        <v>6526.7004166024371</v>
      </c>
      <c r="D378" s="95">
        <f t="shared" si="134"/>
        <v>-537.09975070094265</v>
      </c>
      <c r="E378" s="95">
        <f t="shared" si="135"/>
        <v>445.20074896662607</v>
      </c>
      <c r="F378" s="96">
        <f t="shared" si="136"/>
        <v>53.54451250947028</v>
      </c>
      <c r="G378" s="94">
        <f t="shared" si="137"/>
        <v>-30.23773385158529</v>
      </c>
      <c r="H378" s="97">
        <f t="shared" si="138"/>
        <v>593.06406893687904</v>
      </c>
      <c r="I378" s="94">
        <f t="shared" si="139"/>
        <v>492.92906045993925</v>
      </c>
      <c r="J378" s="95">
        <f t="shared" si="140"/>
        <v>-188.81766396018833</v>
      </c>
      <c r="K378" s="94">
        <f t="shared" si="141"/>
        <v>22.748646594688569</v>
      </c>
      <c r="L378" s="94">
        <f t="shared" si="142"/>
        <v>-350.70189246722043</v>
      </c>
      <c r="M378" s="94">
        <f t="shared" si="143"/>
        <v>-545.91544090621312</v>
      </c>
      <c r="N378" s="99">
        <f t="shared" si="144"/>
        <v>1498.2076589929848</v>
      </c>
      <c r="O378" s="99">
        <f t="shared" si="145"/>
        <v>29331.314547703547</v>
      </c>
      <c r="P378" s="100">
        <f t="shared" si="146"/>
        <v>25546.136139219834</v>
      </c>
      <c r="Q378" s="95">
        <f t="shared" si="147"/>
        <v>1033857629902.7421</v>
      </c>
      <c r="R378" s="95">
        <f t="shared" si="148"/>
        <v>27420755900491.16</v>
      </c>
      <c r="S378" s="95">
        <f t="shared" si="149"/>
        <v>20646703017035.227</v>
      </c>
      <c r="T378">
        <f t="shared" si="125"/>
        <v>0.5</v>
      </c>
      <c r="X378" s="101">
        <v>335</v>
      </c>
      <c r="Y378" s="101">
        <f t="shared" si="126"/>
        <v>14531.538935183249</v>
      </c>
      <c r="Z378" s="101">
        <f t="shared" si="127"/>
        <v>5386.9086912964995</v>
      </c>
      <c r="AA378" s="101">
        <f t="shared" si="128"/>
        <v>-16827.922745371725</v>
      </c>
      <c r="AB378" s="101">
        <f t="shared" si="129"/>
        <v>8520.8360839075503</v>
      </c>
      <c r="AC378" s="101">
        <f t="shared" si="130"/>
        <v>-468.46106481675179</v>
      </c>
      <c r="AD378" s="101">
        <f t="shared" si="131"/>
        <v>-17113.091308703501</v>
      </c>
    </row>
    <row r="379" spans="1:30" x14ac:dyDescent="0.25">
      <c r="A379">
        <v>168</v>
      </c>
      <c r="B379" s="95">
        <f t="shared" si="132"/>
        <v>8573.8178293840247</v>
      </c>
      <c r="C379" s="95">
        <f t="shared" si="133"/>
        <v>6741.7413576228537</v>
      </c>
      <c r="D379" s="95">
        <f t="shared" si="134"/>
        <v>-510.32749444620754</v>
      </c>
      <c r="E379" s="95">
        <f t="shared" si="135"/>
        <v>430.08188204083342</v>
      </c>
      <c r="F379" s="96">
        <f t="shared" si="136"/>
        <v>186.1000461576615</v>
      </c>
      <c r="G379" s="94">
        <f t="shared" si="137"/>
        <v>-143.57719695221311</v>
      </c>
      <c r="H379" s="97">
        <f t="shared" si="138"/>
        <v>721.50902095566914</v>
      </c>
      <c r="I379" s="94">
        <f t="shared" si="139"/>
        <v>383.60488720485023</v>
      </c>
      <c r="J379" s="95">
        <f t="shared" si="140"/>
        <v>-192.56913430369917</v>
      </c>
      <c r="K379" s="94">
        <f t="shared" si="141"/>
        <v>21.95856534981063</v>
      </c>
      <c r="L379" s="94">
        <f t="shared" si="142"/>
        <v>-342.83984049430853</v>
      </c>
      <c r="M379" s="94">
        <f t="shared" si="143"/>
        <v>-549.14064950687396</v>
      </c>
      <c r="N379" s="99">
        <f t="shared" si="144"/>
        <v>1522.6937403717784</v>
      </c>
      <c r="O379" s="99">
        <f t="shared" si="145"/>
        <v>29037.458372598365</v>
      </c>
      <c r="P379" s="100">
        <f t="shared" si="146"/>
        <v>25585.925081424961</v>
      </c>
      <c r="Q379" s="95">
        <f t="shared" si="147"/>
        <v>1034979766885.7288</v>
      </c>
      <c r="R379" s="95">
        <f t="shared" si="148"/>
        <v>26648596187130.457</v>
      </c>
      <c r="S379" s="95">
        <f t="shared" si="149"/>
        <v>20730479822335.063</v>
      </c>
      <c r="T379">
        <f t="shared" si="125"/>
        <v>0.5</v>
      </c>
      <c r="X379" s="101">
        <v>336</v>
      </c>
      <c r="Y379" s="101">
        <f t="shared" si="126"/>
        <v>14567.727288213006</v>
      </c>
      <c r="Z379" s="101">
        <f t="shared" si="127"/>
        <v>5466.316784620999</v>
      </c>
      <c r="AA379" s="101">
        <f t="shared" si="128"/>
        <v>-16802.590898250895</v>
      </c>
      <c r="AB379" s="101">
        <f t="shared" si="129"/>
        <v>8576.4217492346997</v>
      </c>
      <c r="AC379" s="101">
        <f t="shared" si="130"/>
        <v>-432.27271178699539</v>
      </c>
      <c r="AD379" s="101">
        <f t="shared" si="131"/>
        <v>-17033.683215379002</v>
      </c>
    </row>
    <row r="380" spans="1:30" x14ac:dyDescent="0.25">
      <c r="A380">
        <v>168.5</v>
      </c>
      <c r="B380" s="95">
        <f t="shared" si="132"/>
        <v>8365.179093700337</v>
      </c>
      <c r="C380" s="95">
        <f t="shared" si="133"/>
        <v>6920.8879994052168</v>
      </c>
      <c r="D380" s="95">
        <f t="shared" si="134"/>
        <v>-417.27747136737679</v>
      </c>
      <c r="E380" s="95">
        <f t="shared" si="135"/>
        <v>358.29328356472683</v>
      </c>
      <c r="F380" s="96">
        <f t="shared" si="136"/>
        <v>291.07223146199897</v>
      </c>
      <c r="G380" s="94">
        <f t="shared" si="137"/>
        <v>-238.07324289844485</v>
      </c>
      <c r="H380" s="97">
        <f t="shared" si="138"/>
        <v>823.55181535669283</v>
      </c>
      <c r="I380" s="94">
        <f t="shared" si="139"/>
        <v>291.73149030995984</v>
      </c>
      <c r="J380" s="95">
        <f t="shared" si="140"/>
        <v>-196.45502098727229</v>
      </c>
      <c r="K380" s="94">
        <f t="shared" si="141"/>
        <v>21.325689878452231</v>
      </c>
      <c r="L380" s="94">
        <f t="shared" si="142"/>
        <v>-336.02456290742157</v>
      </c>
      <c r="M380" s="94">
        <f t="shared" si="143"/>
        <v>-551.13042308685692</v>
      </c>
      <c r="N380" s="99">
        <f t="shared" si="144"/>
        <v>1615.2249851096683</v>
      </c>
      <c r="O380" s="99">
        <f t="shared" si="145"/>
        <v>28758.986677688241</v>
      </c>
      <c r="P380" s="100">
        <f t="shared" si="146"/>
        <v>25631.071919197442</v>
      </c>
      <c r="Q380" s="95">
        <f t="shared" si="147"/>
        <v>1039388425718.2559</v>
      </c>
      <c r="R380" s="95">
        <f t="shared" si="148"/>
        <v>25930753656376.184</v>
      </c>
      <c r="S380" s="95">
        <f t="shared" si="149"/>
        <v>20825832934842.625</v>
      </c>
      <c r="T380">
        <f t="shared" si="125"/>
        <v>0.5</v>
      </c>
      <c r="X380" s="101">
        <v>337</v>
      </c>
      <c r="Y380" s="101">
        <f t="shared" si="126"/>
        <v>14602.524267262201</v>
      </c>
      <c r="Z380" s="101">
        <f t="shared" si="127"/>
        <v>5546.3443575536267</v>
      </c>
      <c r="AA380" s="101">
        <f t="shared" si="128"/>
        <v>-16778.233012916462</v>
      </c>
      <c r="AB380" s="101">
        <f t="shared" si="129"/>
        <v>8632.441050287538</v>
      </c>
      <c r="AC380" s="101">
        <f t="shared" si="130"/>
        <v>-397.47573273780017</v>
      </c>
      <c r="AD380" s="101">
        <f t="shared" si="131"/>
        <v>-16953.655642446374</v>
      </c>
    </row>
    <row r="381" spans="1:30" x14ac:dyDescent="0.25">
      <c r="A381">
        <v>169</v>
      </c>
      <c r="B381" s="95">
        <f t="shared" si="132"/>
        <v>8229.3084158821475</v>
      </c>
      <c r="C381" s="95">
        <f t="shared" si="133"/>
        <v>7040.5163304629687</v>
      </c>
      <c r="D381" s="95">
        <f t="shared" si="134"/>
        <v>-271.74135563637731</v>
      </c>
      <c r="E381" s="95">
        <f t="shared" si="135"/>
        <v>239.25666211550441</v>
      </c>
      <c r="F381" s="96">
        <f t="shared" si="136"/>
        <v>355.70321146215338</v>
      </c>
      <c r="G381" s="94">
        <f t="shared" si="137"/>
        <v>-300.64269860325999</v>
      </c>
      <c r="H381" s="97">
        <f t="shared" si="138"/>
        <v>886.81912208317306</v>
      </c>
      <c r="I381" s="94">
        <f t="shared" si="139"/>
        <v>230.12415492638624</v>
      </c>
      <c r="J381" s="95">
        <f t="shared" si="140"/>
        <v>-199.95314526747853</v>
      </c>
      <c r="K381" s="94">
        <f t="shared" si="141"/>
        <v>20.96254216978048</v>
      </c>
      <c r="L381" s="94">
        <f t="shared" si="142"/>
        <v>-331.16276535354109</v>
      </c>
      <c r="M381" s="94">
        <f t="shared" si="143"/>
        <v>-551.72939569942673</v>
      </c>
      <c r="N381" s="99">
        <f t="shared" si="144"/>
        <v>1734.3615842457257</v>
      </c>
      <c r="O381" s="99">
        <f t="shared" si="145"/>
        <v>28531.812345694088</v>
      </c>
      <c r="P381" s="100">
        <f t="shared" si="146"/>
        <v>25673.981827701606</v>
      </c>
      <c r="Q381" s="95">
        <f t="shared" si="147"/>
        <v>1045457774104.431</v>
      </c>
      <c r="R381" s="95">
        <f t="shared" si="148"/>
        <v>25355065742277.734</v>
      </c>
      <c r="S381" s="95">
        <f t="shared" si="149"/>
        <v>20916752767096.965</v>
      </c>
      <c r="T381">
        <f t="shared" si="125"/>
        <v>0.5</v>
      </c>
      <c r="X381" s="101">
        <v>338</v>
      </c>
      <c r="Y381" s="101">
        <f t="shared" si="126"/>
        <v>14635.919272833937</v>
      </c>
      <c r="Z381" s="101">
        <f t="shared" si="127"/>
        <v>5626.9670329204382</v>
      </c>
      <c r="AA381" s="101">
        <f t="shared" si="128"/>
        <v>-16754.856509016245</v>
      </c>
      <c r="AB381" s="101">
        <f t="shared" si="129"/>
        <v>8688.8769230443067</v>
      </c>
      <c r="AC381" s="101">
        <f t="shared" si="130"/>
        <v>-364.0807271660633</v>
      </c>
      <c r="AD381" s="101">
        <f t="shared" si="131"/>
        <v>-16873.032967079562</v>
      </c>
    </row>
    <row r="382" spans="1:30" x14ac:dyDescent="0.25">
      <c r="A382">
        <v>169.5</v>
      </c>
      <c r="B382" s="95">
        <f t="shared" si="132"/>
        <v>8182.3635409294975</v>
      </c>
      <c r="C382" s="95">
        <f t="shared" si="133"/>
        <v>7084.9839868699055</v>
      </c>
      <c r="D382" s="95">
        <f t="shared" si="134"/>
        <v>-93.889749905300619</v>
      </c>
      <c r="E382" s="95">
        <f t="shared" si="135"/>
        <v>88.935312813874418</v>
      </c>
      <c r="F382" s="96">
        <f t="shared" si="136"/>
        <v>374.36966926558642</v>
      </c>
      <c r="G382" s="94">
        <f t="shared" si="137"/>
        <v>-323.26356840656831</v>
      </c>
      <c r="H382" s="97">
        <f t="shared" si="138"/>
        <v>905.86223064162607</v>
      </c>
      <c r="I382" s="94">
        <f t="shared" si="139"/>
        <v>206.83307133829862</v>
      </c>
      <c r="J382" s="95">
        <f t="shared" si="140"/>
        <v>-202.57501628366094</v>
      </c>
      <c r="K382" s="94">
        <f t="shared" si="141"/>
        <v>20.953154460212652</v>
      </c>
      <c r="L382" s="94">
        <f t="shared" si="142"/>
        <v>-328.9175450923787</v>
      </c>
      <c r="M382" s="94">
        <f t="shared" si="143"/>
        <v>-551.04979420507959</v>
      </c>
      <c r="N382" s="99">
        <f t="shared" si="144"/>
        <v>1829.337018877879</v>
      </c>
      <c r="O382" s="99">
        <f t="shared" si="145"/>
        <v>28384.016580273677</v>
      </c>
      <c r="P382" s="100">
        <f t="shared" si="146"/>
        <v>25706.010216988845</v>
      </c>
      <c r="Q382" s="95">
        <f t="shared" si="147"/>
        <v>1050614753832.9761</v>
      </c>
      <c r="R382" s="95">
        <f t="shared" si="148"/>
        <v>24985282986881.57</v>
      </c>
      <c r="S382" s="95">
        <f t="shared" si="149"/>
        <v>20984801548314.461</v>
      </c>
      <c r="T382">
        <f t="shared" si="125"/>
        <v>0.5</v>
      </c>
      <c r="X382" s="101">
        <v>339</v>
      </c>
      <c r="Y382" s="101">
        <f t="shared" si="126"/>
        <v>14667.902132486008</v>
      </c>
      <c r="Z382" s="101">
        <f t="shared" si="127"/>
        <v>5708.1602522734956</v>
      </c>
      <c r="AA382" s="101">
        <f t="shared" si="128"/>
        <v>-16732.468507259793</v>
      </c>
      <c r="AB382" s="101">
        <f t="shared" si="129"/>
        <v>8745.7121765914471</v>
      </c>
      <c r="AC382" s="101">
        <f t="shared" si="130"/>
        <v>-332.09786751399224</v>
      </c>
      <c r="AD382" s="101">
        <f t="shared" si="131"/>
        <v>-16791.839747726503</v>
      </c>
    </row>
    <row r="383" spans="1:30" x14ac:dyDescent="0.25">
      <c r="A383">
        <v>170</v>
      </c>
      <c r="B383" s="95">
        <f t="shared" si="132"/>
        <v>8229.0110832932442</v>
      </c>
      <c r="C383" s="95">
        <f t="shared" si="133"/>
        <v>7048.6357511752003</v>
      </c>
      <c r="D383" s="95">
        <f t="shared" si="134"/>
        <v>93.295084727492593</v>
      </c>
      <c r="E383" s="95">
        <f t="shared" si="135"/>
        <v>-72.696471389409737</v>
      </c>
      <c r="F383" s="96">
        <f t="shared" si="136"/>
        <v>347.39424059241378</v>
      </c>
      <c r="G383" s="94">
        <f t="shared" si="137"/>
        <v>-303.51144175559432</v>
      </c>
      <c r="H383" s="97">
        <f t="shared" si="138"/>
        <v>880.95710357383598</v>
      </c>
      <c r="I383" s="94">
        <f t="shared" si="139"/>
        <v>224.5257085182067</v>
      </c>
      <c r="J383" s="95">
        <f t="shared" si="140"/>
        <v>-203.95088688987485</v>
      </c>
      <c r="K383" s="94">
        <f t="shared" si="141"/>
        <v>21.323217958532346</v>
      </c>
      <c r="L383" s="94">
        <f t="shared" si="142"/>
        <v>-329.61197609154738</v>
      </c>
      <c r="M383" s="94">
        <f t="shared" si="143"/>
        <v>-549.36036823233337</v>
      </c>
      <c r="N383" s="99">
        <f t="shared" si="144"/>
        <v>1864.4142749122989</v>
      </c>
      <c r="O383" s="99">
        <f t="shared" si="145"/>
        <v>28332.718420757246</v>
      </c>
      <c r="P383" s="100">
        <f t="shared" si="146"/>
        <v>25720.054942117204</v>
      </c>
      <c r="Q383" s="95">
        <f t="shared" si="147"/>
        <v>1052591124612.1145</v>
      </c>
      <c r="R383" s="95">
        <f t="shared" si="148"/>
        <v>24857806806732.008</v>
      </c>
      <c r="S383" s="95">
        <f t="shared" si="149"/>
        <v>21014691540409.406</v>
      </c>
      <c r="T383">
        <f t="shared" si="125"/>
        <v>0.5</v>
      </c>
      <c r="X383" s="101">
        <v>340</v>
      </c>
      <c r="Y383" s="101">
        <f t="shared" si="126"/>
        <v>14698.463103929542</v>
      </c>
      <c r="Z383" s="101">
        <f t="shared" si="127"/>
        <v>5789.8992833716566</v>
      </c>
      <c r="AA383" s="101">
        <f t="shared" si="128"/>
        <v>-16711.075827249319</v>
      </c>
      <c r="AB383" s="101">
        <f t="shared" si="129"/>
        <v>8802.9294983601594</v>
      </c>
      <c r="AC383" s="101">
        <f t="shared" si="130"/>
        <v>-301.53689607045817</v>
      </c>
      <c r="AD383" s="101">
        <f t="shared" si="131"/>
        <v>-16710.100716628342</v>
      </c>
    </row>
    <row r="384" spans="1:30" x14ac:dyDescent="0.25">
      <c r="A384">
        <v>170.5</v>
      </c>
      <c r="B384" s="95">
        <f t="shared" si="132"/>
        <v>8362.5071858050942</v>
      </c>
      <c r="C384" s="95">
        <f t="shared" si="133"/>
        <v>6936.4096550415961</v>
      </c>
      <c r="D384" s="95">
        <f t="shared" si="134"/>
        <v>266.99220502369951</v>
      </c>
      <c r="E384" s="95">
        <f t="shared" si="135"/>
        <v>-224.4521922672069</v>
      </c>
      <c r="F384" s="96">
        <f t="shared" si="136"/>
        <v>279.08308186804658</v>
      </c>
      <c r="G384" s="94">
        <f t="shared" si="137"/>
        <v>-244.03697883855665</v>
      </c>
      <c r="H384" s="97">
        <f t="shared" si="138"/>
        <v>816.15850533289301</v>
      </c>
      <c r="I384" s="94">
        <f t="shared" si="139"/>
        <v>280.90447150295131</v>
      </c>
      <c r="J384" s="95">
        <f t="shared" si="140"/>
        <v>-203.89307109559959</v>
      </c>
      <c r="K384" s="94">
        <f t="shared" si="141"/>
        <v>22.023611661701732</v>
      </c>
      <c r="L384" s="94">
        <f t="shared" si="142"/>
        <v>-333.18235236924687</v>
      </c>
      <c r="M384" s="94">
        <f t="shared" si="143"/>
        <v>-546.96506200320971</v>
      </c>
      <c r="N384" s="99">
        <f t="shared" si="144"/>
        <v>1827.6026450559061</v>
      </c>
      <c r="O384" s="99">
        <f t="shared" si="145"/>
        <v>28382.875429912558</v>
      </c>
      <c r="P384" s="100">
        <f t="shared" si="146"/>
        <v>25712.819229518507</v>
      </c>
      <c r="Q384" s="95">
        <f t="shared" si="147"/>
        <v>1050518039034.2869</v>
      </c>
      <c r="R384" s="95">
        <f t="shared" si="148"/>
        <v>24982442349641.77</v>
      </c>
      <c r="S384" s="95">
        <f t="shared" si="149"/>
        <v>20999288682784.422</v>
      </c>
      <c r="T384">
        <f t="shared" si="125"/>
        <v>0.5</v>
      </c>
      <c r="X384" s="101">
        <v>341</v>
      </c>
      <c r="Y384" s="101">
        <f t="shared" si="126"/>
        <v>14727.592877996583</v>
      </c>
      <c r="Z384" s="101">
        <f t="shared" si="127"/>
        <v>5872.1592277142126</v>
      </c>
      <c r="AA384" s="101">
        <f t="shared" si="128"/>
        <v>-16690.684985402393</v>
      </c>
      <c r="AB384" s="101">
        <f t="shared" si="129"/>
        <v>8860.5114593999479</v>
      </c>
      <c r="AC384" s="101">
        <f t="shared" si="130"/>
        <v>-272.4071220034175</v>
      </c>
      <c r="AD384" s="101">
        <f t="shared" si="131"/>
        <v>-16627.840772285788</v>
      </c>
    </row>
    <row r="385" spans="1:30" x14ac:dyDescent="0.25">
      <c r="A385">
        <v>171</v>
      </c>
      <c r="B385" s="95">
        <f t="shared" si="132"/>
        <v>8565.7740587839562</v>
      </c>
      <c r="C385" s="95">
        <f t="shared" si="133"/>
        <v>6763.1743141983534</v>
      </c>
      <c r="D385" s="95">
        <f t="shared" si="134"/>
        <v>406.53374595772277</v>
      </c>
      <c r="E385" s="95">
        <f t="shared" si="135"/>
        <v>-346.47068168648525</v>
      </c>
      <c r="F385" s="96">
        <f t="shared" si="136"/>
        <v>176.80025878003738</v>
      </c>
      <c r="G385" s="94">
        <f t="shared" si="137"/>
        <v>-152.12047919088207</v>
      </c>
      <c r="H385" s="97">
        <f t="shared" si="138"/>
        <v>718.40041936764021</v>
      </c>
      <c r="I385" s="94">
        <f t="shared" si="139"/>
        <v>369.07426261718683</v>
      </c>
      <c r="J385" s="95">
        <f t="shared" si="140"/>
        <v>-202.42325185017341</v>
      </c>
      <c r="K385" s="94">
        <f t="shared" si="141"/>
        <v>22.93684671886777</v>
      </c>
      <c r="L385" s="94">
        <f t="shared" si="142"/>
        <v>-339.17690873742941</v>
      </c>
      <c r="M385" s="94">
        <f t="shared" si="143"/>
        <v>-544.13158852693664</v>
      </c>
      <c r="N385" s="99">
        <f t="shared" si="144"/>
        <v>1731.7669570326964</v>
      </c>
      <c r="O385" s="99">
        <f t="shared" si="145"/>
        <v>28527.484986703053</v>
      </c>
      <c r="P385" s="100">
        <f t="shared" si="146"/>
        <v>25685.84565172996</v>
      </c>
      <c r="Q385" s="95">
        <f t="shared" si="147"/>
        <v>1045320863555.5322</v>
      </c>
      <c r="R385" s="95">
        <f t="shared" si="148"/>
        <v>25344185686572.113</v>
      </c>
      <c r="S385" s="95">
        <f t="shared" si="149"/>
        <v>20941940634057.672</v>
      </c>
      <c r="T385">
        <f t="shared" si="125"/>
        <v>0.5</v>
      </c>
      <c r="X385" s="101">
        <v>342</v>
      </c>
      <c r="Y385" s="101">
        <f t="shared" si="126"/>
        <v>14755.282581475767</v>
      </c>
      <c r="Z385" s="101">
        <f t="shared" si="127"/>
        <v>5954.9150281252623</v>
      </c>
      <c r="AA385" s="101">
        <f t="shared" si="128"/>
        <v>-16671.302192966963</v>
      </c>
      <c r="AB385" s="101">
        <f t="shared" si="129"/>
        <v>8918.4405196876833</v>
      </c>
      <c r="AC385" s="101">
        <f t="shared" si="130"/>
        <v>-244.71741852423202</v>
      </c>
      <c r="AD385" s="101">
        <f t="shared" si="131"/>
        <v>-16545.084971874738</v>
      </c>
    </row>
    <row r="386" spans="1:30" x14ac:dyDescent="0.25">
      <c r="A386">
        <v>171.5</v>
      </c>
      <c r="B386" s="95">
        <f t="shared" si="132"/>
        <v>8813.2409964578274</v>
      </c>
      <c r="C386" s="95">
        <f t="shared" si="133"/>
        <v>6551.9088535573901</v>
      </c>
      <c r="D386" s="95">
        <f t="shared" si="134"/>
        <v>494.93387534774149</v>
      </c>
      <c r="E386" s="95">
        <f t="shared" si="135"/>
        <v>-422.53092128192628</v>
      </c>
      <c r="F386" s="96">
        <f t="shared" si="136"/>
        <v>51.354854340738143</v>
      </c>
      <c r="G386" s="94">
        <f t="shared" si="137"/>
        <v>-39.511745229513167</v>
      </c>
      <c r="H386" s="97">
        <f t="shared" si="138"/>
        <v>597.91665218632204</v>
      </c>
      <c r="I386" s="94">
        <f t="shared" si="139"/>
        <v>477.67026208056291</v>
      </c>
      <c r="J386" s="95">
        <f t="shared" si="140"/>
        <v>-199.76304391845267</v>
      </c>
      <c r="K386" s="94">
        <f t="shared" si="141"/>
        <v>23.905716930848598</v>
      </c>
      <c r="L386" s="94">
        <f t="shared" si="142"/>
        <v>-346.7987539271312</v>
      </c>
      <c r="M386" s="94">
        <f t="shared" si="143"/>
        <v>-541.08772424092467</v>
      </c>
      <c r="N386" s="99">
        <f t="shared" si="144"/>
        <v>1612.4255460994511</v>
      </c>
      <c r="O386" s="99">
        <f t="shared" si="145"/>
        <v>28748.573670666861</v>
      </c>
      <c r="P386" s="100">
        <f t="shared" si="146"/>
        <v>25644.999162490894</v>
      </c>
      <c r="Q386" s="95">
        <f t="shared" si="147"/>
        <v>1039251137951.7549</v>
      </c>
      <c r="R386" s="95">
        <f t="shared" si="148"/>
        <v>25904171521998.223</v>
      </c>
      <c r="S386" s="95">
        <f t="shared" si="149"/>
        <v>20855311591774.766</v>
      </c>
      <c r="T386">
        <f t="shared" si="125"/>
        <v>0.5</v>
      </c>
      <c r="X386" s="101">
        <v>343</v>
      </c>
      <c r="Y386" s="101">
        <f t="shared" si="126"/>
        <v>14781.523779815179</v>
      </c>
      <c r="Z386" s="101">
        <f t="shared" si="127"/>
        <v>6038.1414763863186</v>
      </c>
      <c r="AA386" s="101">
        <f t="shared" si="128"/>
        <v>-16652.933354129374</v>
      </c>
      <c r="AB386" s="101">
        <f t="shared" si="129"/>
        <v>8976.6990334704224</v>
      </c>
      <c r="AC386" s="101">
        <f t="shared" si="130"/>
        <v>-218.47622018482161</v>
      </c>
      <c r="AD386" s="101">
        <f t="shared" si="131"/>
        <v>-16461.858523613682</v>
      </c>
    </row>
    <row r="387" spans="1:30" x14ac:dyDescent="0.25">
      <c r="A387">
        <v>172</v>
      </c>
      <c r="B387" s="95">
        <f t="shared" si="132"/>
        <v>9073.5466477168829</v>
      </c>
      <c r="C387" s="95">
        <f t="shared" si="133"/>
        <v>6330.7654566090487</v>
      </c>
      <c r="D387" s="95">
        <f t="shared" si="134"/>
        <v>520.61130251811051</v>
      </c>
      <c r="E387" s="95">
        <f t="shared" si="135"/>
        <v>-442.28679389668287</v>
      </c>
      <c r="F387" s="96">
        <f t="shared" si="136"/>
        <v>-82.52344296686357</v>
      </c>
      <c r="G387" s="94">
        <f t="shared" si="137"/>
        <v>78.325893833987038</v>
      </c>
      <c r="H387" s="97">
        <f t="shared" si="138"/>
        <v>468.77280783102918</v>
      </c>
      <c r="I387" s="94">
        <f t="shared" si="139"/>
        <v>591.61679167944851</v>
      </c>
      <c r="J387" s="95">
        <f t="shared" si="140"/>
        <v>-196.29389876604006</v>
      </c>
      <c r="K387" s="94">
        <f t="shared" si="141"/>
        <v>24.77332272998764</v>
      </c>
      <c r="L387" s="94">
        <f t="shared" si="142"/>
        <v>-355.00235203185269</v>
      </c>
      <c r="M387" s="94">
        <f t="shared" si="143"/>
        <v>-538.0642205754491</v>
      </c>
      <c r="N387" s="99">
        <f t="shared" si="144"/>
        <v>1518.9712816413853</v>
      </c>
      <c r="O387" s="99">
        <f t="shared" si="145"/>
        <v>29018.824739712218</v>
      </c>
      <c r="P387" s="100">
        <f t="shared" si="146"/>
        <v>25598.640629108973</v>
      </c>
      <c r="Q387" s="95">
        <f t="shared" si="147"/>
        <v>1034807976914.9746</v>
      </c>
      <c r="R387" s="95">
        <f t="shared" si="148"/>
        <v>26600142023261.055</v>
      </c>
      <c r="S387" s="95">
        <f t="shared" si="149"/>
        <v>20757304144308.672</v>
      </c>
      <c r="T387">
        <f t="shared" si="125"/>
        <v>0.5</v>
      </c>
      <c r="X387" s="101">
        <v>344</v>
      </c>
      <c r="Y387" s="101">
        <f t="shared" si="126"/>
        <v>14806.308479691594</v>
      </c>
      <c r="Z387" s="101">
        <f t="shared" si="127"/>
        <v>6121.8132209150008</v>
      </c>
      <c r="AA387" s="101">
        <f t="shared" si="128"/>
        <v>-16635.584064215884</v>
      </c>
      <c r="AB387" s="101">
        <f t="shared" si="129"/>
        <v>9035.2692546405015</v>
      </c>
      <c r="AC387" s="101">
        <f t="shared" si="130"/>
        <v>-193.69152030840633</v>
      </c>
      <c r="AD387" s="101">
        <f t="shared" si="131"/>
        <v>-16378.186779084999</v>
      </c>
    </row>
    <row r="388" spans="1:30" x14ac:dyDescent="0.25">
      <c r="A388">
        <v>172.5</v>
      </c>
      <c r="B388" s="95">
        <f t="shared" si="132"/>
        <v>9313.2214382342227</v>
      </c>
      <c r="C388" s="95">
        <f t="shared" si="133"/>
        <v>6129.2035331192037</v>
      </c>
      <c r="D388" s="95">
        <f t="shared" si="134"/>
        <v>479.34958103467875</v>
      </c>
      <c r="E388" s="95">
        <f t="shared" si="135"/>
        <v>-403.12384697968935</v>
      </c>
      <c r="F388" s="96">
        <f t="shared" si="136"/>
        <v>-207.22512693742021</v>
      </c>
      <c r="G388" s="94">
        <f t="shared" si="137"/>
        <v>184.51357687218172</v>
      </c>
      <c r="H388" s="97">
        <f t="shared" si="138"/>
        <v>347.91805241175837</v>
      </c>
      <c r="I388" s="94">
        <f t="shared" si="139"/>
        <v>694.43757211038144</v>
      </c>
      <c r="J388" s="95">
        <f t="shared" si="140"/>
        <v>-192.49440121546758</v>
      </c>
      <c r="K388" s="94">
        <f t="shared" si="141"/>
        <v>25.418790960562895</v>
      </c>
      <c r="L388" s="94">
        <f t="shared" si="142"/>
        <v>-362.64877813371101</v>
      </c>
      <c r="M388" s="94">
        <f t="shared" si="143"/>
        <v>-535.34278619876261</v>
      </c>
      <c r="N388" s="99">
        <f t="shared" si="144"/>
        <v>1491.785920102235</v>
      </c>
      <c r="O388" s="99">
        <f t="shared" si="145"/>
        <v>29304.170297269684</v>
      </c>
      <c r="P388" s="100">
        <f t="shared" si="146"/>
        <v>25555.161322330347</v>
      </c>
      <c r="Q388" s="95">
        <f t="shared" si="147"/>
        <v>1033566414720.3895</v>
      </c>
      <c r="R388" s="95">
        <f t="shared" si="148"/>
        <v>27348794550109.266</v>
      </c>
      <c r="S388" s="95">
        <f t="shared" si="149"/>
        <v>20665684463339.156</v>
      </c>
      <c r="T388">
        <f t="shared" si="125"/>
        <v>0.5</v>
      </c>
      <c r="X388" s="101">
        <v>345</v>
      </c>
      <c r="Y388" s="101">
        <f t="shared" si="126"/>
        <v>14829.629131445341</v>
      </c>
      <c r="Z388" s="101">
        <f t="shared" si="127"/>
        <v>6205.9047744873969</v>
      </c>
      <c r="AA388" s="101">
        <f t="shared" si="128"/>
        <v>-16619.259607988261</v>
      </c>
      <c r="AB388" s="101">
        <f t="shared" si="129"/>
        <v>9094.1333421411782</v>
      </c>
      <c r="AC388" s="101">
        <f t="shared" si="130"/>
        <v>-170.37086855465805</v>
      </c>
      <c r="AD388" s="101">
        <f t="shared" si="131"/>
        <v>-16294.095225512603</v>
      </c>
    </row>
    <row r="389" spans="1:30" x14ac:dyDescent="0.25">
      <c r="A389">
        <v>173</v>
      </c>
      <c r="B389" s="95">
        <f t="shared" si="132"/>
        <v>9501.089947017208</v>
      </c>
      <c r="C389" s="95">
        <f t="shared" si="133"/>
        <v>5973.770003847404</v>
      </c>
      <c r="D389" s="95">
        <f t="shared" si="134"/>
        <v>375.73701756596864</v>
      </c>
      <c r="E389" s="95">
        <f t="shared" si="135"/>
        <v>-310.86705854359849</v>
      </c>
      <c r="F389" s="96">
        <f t="shared" si="136"/>
        <v>-305.28150571586548</v>
      </c>
      <c r="G389" s="94">
        <f t="shared" si="137"/>
        <v>264.26817169500566</v>
      </c>
      <c r="H389" s="97">
        <f t="shared" si="138"/>
        <v>252.280886003452</v>
      </c>
      <c r="I389" s="94">
        <f t="shared" si="139"/>
        <v>771.75966563997565</v>
      </c>
      <c r="J389" s="95">
        <f t="shared" si="140"/>
        <v>-188.86575940092175</v>
      </c>
      <c r="K389" s="94">
        <f t="shared" si="141"/>
        <v>25.775894623276947</v>
      </c>
      <c r="L389" s="94">
        <f t="shared" si="142"/>
        <v>-368.69663231839576</v>
      </c>
      <c r="M389" s="94">
        <f t="shared" si="143"/>
        <v>-533.26738856824693</v>
      </c>
      <c r="N389" s="99">
        <f t="shared" si="144"/>
        <v>1533.2148402992791</v>
      </c>
      <c r="O389" s="99">
        <f t="shared" si="145"/>
        <v>29567.685340164371</v>
      </c>
      <c r="P389" s="100">
        <f t="shared" si="146"/>
        <v>25520.806215398148</v>
      </c>
      <c r="Q389" s="95">
        <f t="shared" si="147"/>
        <v>1035467636941.3805</v>
      </c>
      <c r="R389" s="95">
        <f t="shared" si="148"/>
        <v>28052887808018.156</v>
      </c>
      <c r="S389" s="95">
        <f t="shared" si="149"/>
        <v>20593496863139.578</v>
      </c>
      <c r="T389">
        <f t="shared" si="125"/>
        <v>0.5</v>
      </c>
      <c r="X389" s="101">
        <v>346</v>
      </c>
      <c r="Y389" s="101">
        <f t="shared" si="126"/>
        <v>14851.478631379981</v>
      </c>
      <c r="Z389" s="101">
        <f t="shared" si="127"/>
        <v>6290.3905220016604</v>
      </c>
      <c r="AA389" s="101">
        <f t="shared" si="128"/>
        <v>-16603.964958034012</v>
      </c>
      <c r="AB389" s="101">
        <f t="shared" si="129"/>
        <v>9153.2733654011627</v>
      </c>
      <c r="AC389" s="101">
        <f t="shared" si="130"/>
        <v>-148.52136862001771</v>
      </c>
      <c r="AD389" s="101">
        <f t="shared" si="131"/>
        <v>-16209.60947799834</v>
      </c>
    </row>
    <row r="390" spans="1:30" x14ac:dyDescent="0.25">
      <c r="A390">
        <v>173.5</v>
      </c>
      <c r="B390" s="95">
        <f t="shared" si="132"/>
        <v>9612.6380793712251</v>
      </c>
      <c r="C390" s="95">
        <f t="shared" si="133"/>
        <v>5884.403517499356</v>
      </c>
      <c r="D390" s="95">
        <f t="shared" si="134"/>
        <v>223.0962647080359</v>
      </c>
      <c r="E390" s="95">
        <f t="shared" si="135"/>
        <v>-178.73297269609566</v>
      </c>
      <c r="F390" s="96">
        <f t="shared" si="136"/>
        <v>-363.01002151394579</v>
      </c>
      <c r="G390" s="94">
        <f t="shared" si="137"/>
        <v>307.86702382158421</v>
      </c>
      <c r="H390" s="97">
        <f t="shared" si="138"/>
        <v>195.22362380688105</v>
      </c>
      <c r="I390" s="94">
        <f t="shared" si="139"/>
        <v>814.23233190153837</v>
      </c>
      <c r="J390" s="95">
        <f t="shared" si="140"/>
        <v>-185.86039631359415</v>
      </c>
      <c r="K390" s="94">
        <f t="shared" si="141"/>
        <v>25.831078989118065</v>
      </c>
      <c r="L390" s="94">
        <f t="shared" si="142"/>
        <v>-372.37324900723269</v>
      </c>
      <c r="M390" s="94">
        <f t="shared" si="143"/>
        <v>-532.19638706907222</v>
      </c>
      <c r="N390" s="99">
        <f t="shared" si="144"/>
        <v>1605.7052164464203</v>
      </c>
      <c r="O390" s="99">
        <f t="shared" si="145"/>
        <v>29774.566932936552</v>
      </c>
      <c r="P390" s="100">
        <f t="shared" si="146"/>
        <v>25498.639921097216</v>
      </c>
      <c r="Q390" s="95">
        <f t="shared" si="147"/>
        <v>1038922561724.7407</v>
      </c>
      <c r="R390" s="95">
        <f t="shared" si="148"/>
        <v>28614290523466.781</v>
      </c>
      <c r="S390" s="95">
        <f t="shared" si="149"/>
        <v>20547016809124.332</v>
      </c>
      <c r="T390">
        <f t="shared" si="125"/>
        <v>0.5</v>
      </c>
      <c r="X390" s="101">
        <v>347</v>
      </c>
      <c r="Y390" s="101">
        <f t="shared" si="126"/>
        <v>14871.850323926175</v>
      </c>
      <c r="Z390" s="101">
        <f t="shared" si="127"/>
        <v>6375.2447282806734</v>
      </c>
      <c r="AA390" s="101">
        <f t="shared" si="128"/>
        <v>-16589.704773251677</v>
      </c>
      <c r="AB390" s="101">
        <f t="shared" si="129"/>
        <v>9212.6713097964712</v>
      </c>
      <c r="AC390" s="101">
        <f t="shared" si="130"/>
        <v>-128.14967607382459</v>
      </c>
      <c r="AD390" s="101">
        <f t="shared" si="131"/>
        <v>-16124.755271719327</v>
      </c>
    </row>
    <row r="391" spans="1:30" x14ac:dyDescent="0.25">
      <c r="A391">
        <v>174</v>
      </c>
      <c r="B391" s="95">
        <f t="shared" si="132"/>
        <v>9633.4337063467556</v>
      </c>
      <c r="C391" s="95">
        <f t="shared" si="133"/>
        <v>5872.0037871067043</v>
      </c>
      <c r="D391" s="95">
        <f t="shared" si="134"/>
        <v>41.59125395106301</v>
      </c>
      <c r="E391" s="95">
        <f t="shared" si="135"/>
        <v>-24.799460785303552</v>
      </c>
      <c r="F391" s="96">
        <f t="shared" si="136"/>
        <v>-372.84720834831398</v>
      </c>
      <c r="G391" s="94">
        <f t="shared" si="137"/>
        <v>311.50625855407566</v>
      </c>
      <c r="H391" s="97">
        <f t="shared" si="138"/>
        <v>184.25264521128062</v>
      </c>
      <c r="I391" s="94">
        <f t="shared" si="139"/>
        <v>818.30384793449764</v>
      </c>
      <c r="J391" s="95">
        <f t="shared" si="140"/>
        <v>-183.82867275079053</v>
      </c>
      <c r="K391" s="94">
        <f t="shared" si="141"/>
        <v>25.607699480804296</v>
      </c>
      <c r="L391" s="94">
        <f t="shared" si="142"/>
        <v>-373.27118080880405</v>
      </c>
      <c r="M391" s="94">
        <f t="shared" si="143"/>
        <v>-532.40528886122627</v>
      </c>
      <c r="N391" s="99">
        <f t="shared" si="144"/>
        <v>1661.3853411601015</v>
      </c>
      <c r="O391" s="99">
        <f t="shared" si="145"/>
        <v>29897.265233238279</v>
      </c>
      <c r="P391" s="100">
        <f t="shared" si="146"/>
        <v>25488.968239621419</v>
      </c>
      <c r="Q391" s="95">
        <f t="shared" si="147"/>
        <v>1041687419533.9603</v>
      </c>
      <c r="R391" s="95">
        <f t="shared" si="148"/>
        <v>28950859923101.848</v>
      </c>
      <c r="S391" s="95">
        <f t="shared" si="149"/>
        <v>20526760075181.563</v>
      </c>
      <c r="T391">
        <f t="shared" si="125"/>
        <v>0.5</v>
      </c>
      <c r="X391" s="101">
        <v>348</v>
      </c>
      <c r="Y391" s="101">
        <f t="shared" si="126"/>
        <v>14890.738003669028</v>
      </c>
      <c r="Z391" s="101">
        <f t="shared" si="127"/>
        <v>6460.4415459112006</v>
      </c>
      <c r="AA391" s="101">
        <f t="shared" si="128"/>
        <v>-16576.483397431679</v>
      </c>
      <c r="AB391" s="101">
        <f t="shared" si="129"/>
        <v>9272.309082137841</v>
      </c>
      <c r="AC391" s="101">
        <f t="shared" si="130"/>
        <v>-109.26199633097167</v>
      </c>
      <c r="AD391" s="101">
        <f t="shared" si="131"/>
        <v>-16039.558454088799</v>
      </c>
    </row>
    <row r="392" spans="1:30" x14ac:dyDescent="0.25">
      <c r="A392">
        <v>174.5</v>
      </c>
      <c r="B392" s="95">
        <f t="shared" si="132"/>
        <v>9561.0175312352094</v>
      </c>
      <c r="C392" s="95">
        <f t="shared" si="133"/>
        <v>5937.4806213525717</v>
      </c>
      <c r="D392" s="95">
        <f t="shared" si="134"/>
        <v>-144.83235022309398</v>
      </c>
      <c r="E392" s="95">
        <f t="shared" si="135"/>
        <v>130.95366849173428</v>
      </c>
      <c r="F392" s="96">
        <f t="shared" si="136"/>
        <v>-333.77442018032156</v>
      </c>
      <c r="G392" s="94">
        <f t="shared" si="137"/>
        <v>276.28023774682083</v>
      </c>
      <c r="H392" s="97">
        <f t="shared" si="138"/>
        <v>220.57323892147343</v>
      </c>
      <c r="I392" s="94">
        <f t="shared" si="139"/>
        <v>785.11098904611811</v>
      </c>
      <c r="J392" s="95">
        <f t="shared" si="140"/>
        <v>-182.99086559829107</v>
      </c>
      <c r="K392" s="94">
        <f t="shared" si="141"/>
        <v>25.148117341462207</v>
      </c>
      <c r="L392" s="94">
        <f t="shared" si="142"/>
        <v>-371.35679350350392</v>
      </c>
      <c r="M392" s="94">
        <f t="shared" si="143"/>
        <v>-533.97886864075952</v>
      </c>
      <c r="N392" s="99">
        <f t="shared" si="144"/>
        <v>1668.7547803190225</v>
      </c>
      <c r="O392" s="99">
        <f t="shared" si="145"/>
        <v>29919.571286402304</v>
      </c>
      <c r="P392" s="100">
        <f t="shared" si="146"/>
        <v>25490.74192970934</v>
      </c>
      <c r="Q392" s="95">
        <f t="shared" si="147"/>
        <v>1042060606618.7035</v>
      </c>
      <c r="R392" s="95">
        <f t="shared" si="148"/>
        <v>29012336759142.195</v>
      </c>
      <c r="S392" s="95">
        <f t="shared" si="149"/>
        <v>20530473884405.141</v>
      </c>
      <c r="T392">
        <f t="shared" si="125"/>
        <v>0.5</v>
      </c>
      <c r="X392" s="101">
        <v>349</v>
      </c>
      <c r="Y392" s="101">
        <f t="shared" si="126"/>
        <v>14908.13591723832</v>
      </c>
      <c r="Z392" s="101">
        <f t="shared" si="127"/>
        <v>6545.9550231172771</v>
      </c>
      <c r="AA392" s="101">
        <f t="shared" si="128"/>
        <v>-16564.304857933177</v>
      </c>
      <c r="AB392" s="101">
        <f t="shared" si="129"/>
        <v>9332.1685161820933</v>
      </c>
      <c r="AC392" s="101">
        <f t="shared" si="130"/>
        <v>-91.864082761680038</v>
      </c>
      <c r="AD392" s="101">
        <f t="shared" si="131"/>
        <v>-15954.044976882724</v>
      </c>
    </row>
    <row r="393" spans="1:30" x14ac:dyDescent="0.25">
      <c r="A393">
        <v>175</v>
      </c>
      <c r="B393" s="95">
        <f t="shared" si="132"/>
        <v>9405.1577510785828</v>
      </c>
      <c r="C393" s="95">
        <f t="shared" si="133"/>
        <v>6072.0275150351445</v>
      </c>
      <c r="D393" s="95">
        <f t="shared" si="134"/>
        <v>-311.71956031325476</v>
      </c>
      <c r="E393" s="95">
        <f t="shared" si="135"/>
        <v>269.09378736514469</v>
      </c>
      <c r="F393" s="96">
        <f t="shared" si="136"/>
        <v>-250.80855844884266</v>
      </c>
      <c r="G393" s="94">
        <f t="shared" si="137"/>
        <v>206.84742267939305</v>
      </c>
      <c r="H393" s="97">
        <f t="shared" si="138"/>
        <v>299.54526024166722</v>
      </c>
      <c r="I393" s="94">
        <f t="shared" si="139"/>
        <v>719.08542206329662</v>
      </c>
      <c r="J393" s="95">
        <f t="shared" si="140"/>
        <v>-183.42970703400684</v>
      </c>
      <c r="K393" s="94">
        <f t="shared" si="141"/>
        <v>24.502736841407188</v>
      </c>
      <c r="L393" s="94">
        <f t="shared" si="142"/>
        <v>-366.92411165650304</v>
      </c>
      <c r="M393" s="94">
        <f t="shared" si="143"/>
        <v>-536.7407362253108</v>
      </c>
      <c r="N393" s="99">
        <f t="shared" si="144"/>
        <v>1623.0133753397031</v>
      </c>
      <c r="O393" s="99">
        <f t="shared" si="145"/>
        <v>29838.864274363415</v>
      </c>
      <c r="P393" s="100">
        <f t="shared" si="146"/>
        <v>25502.96701002559</v>
      </c>
      <c r="Q393" s="95">
        <f t="shared" si="147"/>
        <v>1039771662412.9316</v>
      </c>
      <c r="R393" s="95">
        <f t="shared" si="148"/>
        <v>28790326067612.406</v>
      </c>
      <c r="S393" s="95">
        <f t="shared" si="149"/>
        <v>20556084272341.422</v>
      </c>
      <c r="T393">
        <f t="shared" si="125"/>
        <v>0.5</v>
      </c>
      <c r="X393" s="101">
        <v>350</v>
      </c>
      <c r="Y393" s="101">
        <f t="shared" si="126"/>
        <v>14924.038765061039</v>
      </c>
      <c r="Z393" s="101">
        <f t="shared" si="127"/>
        <v>6631.7591116653439</v>
      </c>
      <c r="AA393" s="101">
        <f t="shared" si="128"/>
        <v>-16553.172864457272</v>
      </c>
      <c r="AB393" s="101">
        <f t="shared" si="129"/>
        <v>9392.2313781657413</v>
      </c>
      <c r="AC393" s="101">
        <f t="shared" si="130"/>
        <v>-75.961234938960843</v>
      </c>
      <c r="AD393" s="101">
        <f t="shared" si="131"/>
        <v>-15868.240888334656</v>
      </c>
    </row>
    <row r="394" spans="1:30" x14ac:dyDescent="0.25">
      <c r="A394">
        <v>175.5</v>
      </c>
      <c r="B394" s="95">
        <f t="shared" si="132"/>
        <v>9186.5958313097453</v>
      </c>
      <c r="C394" s="95">
        <f t="shared" si="133"/>
        <v>6258.2862643875651</v>
      </c>
      <c r="D394" s="95">
        <f t="shared" si="134"/>
        <v>-437.12383953767608</v>
      </c>
      <c r="E394" s="95">
        <f t="shared" si="135"/>
        <v>372.51749870484122</v>
      </c>
      <c r="F394" s="96">
        <f t="shared" si="136"/>
        <v>-134.57388068792878</v>
      </c>
      <c r="G394" s="94">
        <f t="shared" si="137"/>
        <v>110.9746144697184</v>
      </c>
      <c r="H394" s="97">
        <f t="shared" si="138"/>
        <v>411.05504167398715</v>
      </c>
      <c r="I394" s="94">
        <f t="shared" si="139"/>
        <v>627.50193690450283</v>
      </c>
      <c r="J394" s="95">
        <f t="shared" si="140"/>
        <v>-185.09211421582521</v>
      </c>
      <c r="K394" s="94">
        <f t="shared" si="141"/>
        <v>23.72875926050812</v>
      </c>
      <c r="L394" s="94">
        <f t="shared" si="142"/>
        <v>-360.53680814609072</v>
      </c>
      <c r="M394" s="94">
        <f t="shared" si="143"/>
        <v>-540.25608169529255</v>
      </c>
      <c r="N394" s="99">
        <f t="shared" si="144"/>
        <v>1546.9139339079577</v>
      </c>
      <c r="O394" s="99">
        <f t="shared" si="145"/>
        <v>29666.349121664058</v>
      </c>
      <c r="P394" s="100">
        <f t="shared" si="146"/>
        <v>25525.26030088347</v>
      </c>
      <c r="Q394" s="95">
        <f t="shared" si="147"/>
        <v>1036108023534.6049</v>
      </c>
      <c r="R394" s="95">
        <f t="shared" si="148"/>
        <v>28319675345025.645</v>
      </c>
      <c r="S394" s="95">
        <f t="shared" si="149"/>
        <v>20602845643909.48</v>
      </c>
      <c r="T394">
        <f t="shared" si="125"/>
        <v>0.5</v>
      </c>
      <c r="X394" s="101">
        <v>351</v>
      </c>
      <c r="Y394" s="101">
        <f t="shared" si="126"/>
        <v>14938.441702975688</v>
      </c>
      <c r="Z394" s="101">
        <f t="shared" si="127"/>
        <v>6717.8276747988448</v>
      </c>
      <c r="AA394" s="101">
        <f t="shared" si="128"/>
        <v>-16543.090807917019</v>
      </c>
      <c r="AB394" s="101">
        <f t="shared" si="129"/>
        <v>9452.4793723591902</v>
      </c>
      <c r="AC394" s="101">
        <f t="shared" si="130"/>
        <v>-61.558297024311287</v>
      </c>
      <c r="AD394" s="101">
        <f t="shared" si="131"/>
        <v>-15782.172325201156</v>
      </c>
    </row>
    <row r="395" spans="1:30" x14ac:dyDescent="0.25">
      <c r="A395">
        <v>176</v>
      </c>
      <c r="B395" s="95">
        <f t="shared" si="132"/>
        <v>8934.3904413689252</v>
      </c>
      <c r="C395" s="95">
        <f t="shared" si="133"/>
        <v>6472.2886673574158</v>
      </c>
      <c r="D395" s="95">
        <f t="shared" si="134"/>
        <v>-504.41077988164045</v>
      </c>
      <c r="E395" s="95">
        <f t="shared" si="135"/>
        <v>428.00480593970042</v>
      </c>
      <c r="F395" s="96">
        <f t="shared" si="136"/>
        <v>-0.76086303995651861</v>
      </c>
      <c r="G395" s="94">
        <f t="shared" si="137"/>
        <v>-0.22232931211988216</v>
      </c>
      <c r="H395" s="97">
        <f t="shared" si="138"/>
        <v>540.00553152741179</v>
      </c>
      <c r="I395" s="94">
        <f t="shared" si="139"/>
        <v>520.80032498332696</v>
      </c>
      <c r="J395" s="95">
        <f t="shared" si="140"/>
        <v>-187.79182763242744</v>
      </c>
      <c r="K395" s="94">
        <f t="shared" si="141"/>
        <v>22.895777253679533</v>
      </c>
      <c r="L395" s="94">
        <f t="shared" si="142"/>
        <v>-352.97456693494087</v>
      </c>
      <c r="M395" s="94">
        <f t="shared" si="143"/>
        <v>-543.91843154912635</v>
      </c>
      <c r="N395" s="99">
        <f t="shared" si="144"/>
        <v>1484.4121202857621</v>
      </c>
      <c r="O395" s="99">
        <f t="shared" si="145"/>
        <v>29425.46172788964</v>
      </c>
      <c r="P395" s="100">
        <f t="shared" si="146"/>
        <v>25557.27364527727</v>
      </c>
      <c r="Q395" s="95">
        <f t="shared" si="147"/>
        <v>1033233601490.8981</v>
      </c>
      <c r="R395" s="95">
        <f t="shared" si="148"/>
        <v>27671352786667.078</v>
      </c>
      <c r="S395" s="95">
        <f t="shared" si="149"/>
        <v>20670128834393.297</v>
      </c>
      <c r="T395">
        <f t="shared" si="125"/>
        <v>0.5</v>
      </c>
      <c r="X395" s="101">
        <v>352</v>
      </c>
      <c r="Y395" s="101">
        <f t="shared" si="126"/>
        <v>14951.340343707852</v>
      </c>
      <c r="Z395" s="101">
        <f t="shared" si="127"/>
        <v>6804.1344951996707</v>
      </c>
      <c r="AA395" s="101">
        <f t="shared" si="128"/>
        <v>-16534.061759404503</v>
      </c>
      <c r="AB395" s="101">
        <f t="shared" si="129"/>
        <v>9512.89414663977</v>
      </c>
      <c r="AC395" s="101">
        <f t="shared" si="130"/>
        <v>-48.659656292148611</v>
      </c>
      <c r="AD395" s="101">
        <f t="shared" si="131"/>
        <v>-15695.865504800329</v>
      </c>
    </row>
    <row r="396" spans="1:30" x14ac:dyDescent="0.25">
      <c r="A396">
        <v>176.5</v>
      </c>
      <c r="B396" s="95">
        <f t="shared" si="132"/>
        <v>8681.9948356681161</v>
      </c>
      <c r="C396" s="95">
        <f t="shared" si="133"/>
        <v>6686.2354879992363</v>
      </c>
      <c r="D396" s="95">
        <f t="shared" si="134"/>
        <v>-504.79121140161874</v>
      </c>
      <c r="E396" s="95">
        <f t="shared" si="135"/>
        <v>427.89364128364048</v>
      </c>
      <c r="F396" s="96">
        <f t="shared" si="136"/>
        <v>131.6403313162657</v>
      </c>
      <c r="G396" s="94">
        <f t="shared" si="137"/>
        <v>-112.55609258663424</v>
      </c>
      <c r="H396" s="97">
        <f t="shared" si="138"/>
        <v>668.0242178232786</v>
      </c>
      <c r="I396" s="94">
        <f t="shared" si="139"/>
        <v>412.45240635852764</v>
      </c>
      <c r="J396" s="95">
        <f t="shared" si="140"/>
        <v>-191.21448866343277</v>
      </c>
      <c r="K396" s="94">
        <f t="shared" si="141"/>
        <v>22.091900871737113</v>
      </c>
      <c r="L396" s="94">
        <f t="shared" si="142"/>
        <v>-345.1693978435801</v>
      </c>
      <c r="M396" s="94">
        <f t="shared" si="143"/>
        <v>-547.10039981689897</v>
      </c>
      <c r="N396" s="99">
        <f t="shared" si="144"/>
        <v>1480.4439586448082</v>
      </c>
      <c r="O396" s="99">
        <f t="shared" si="145"/>
        <v>29148.648295590592</v>
      </c>
      <c r="P396" s="100">
        <f t="shared" si="146"/>
        <v>25597.390835529302</v>
      </c>
      <c r="Q396" s="95">
        <f t="shared" si="147"/>
        <v>1033055197497.304</v>
      </c>
      <c r="R396" s="95">
        <f t="shared" si="148"/>
        <v>26938989385937.527</v>
      </c>
      <c r="S396" s="95">
        <f t="shared" si="149"/>
        <v>20754666515785.723</v>
      </c>
      <c r="T396">
        <f t="shared" si="125"/>
        <v>0.5</v>
      </c>
      <c r="X396" s="101">
        <v>353</v>
      </c>
      <c r="Y396" s="101">
        <f t="shared" si="126"/>
        <v>14962.73075820661</v>
      </c>
      <c r="Z396" s="101">
        <f t="shared" si="127"/>
        <v>6890.6532829742591</v>
      </c>
      <c r="AA396" s="101">
        <f t="shared" si="128"/>
        <v>-16526.088469255374</v>
      </c>
      <c r="AB396" s="101">
        <f t="shared" si="129"/>
        <v>9573.4572980819812</v>
      </c>
      <c r="AC396" s="101">
        <f t="shared" si="130"/>
        <v>-37.269241793390393</v>
      </c>
      <c r="AD396" s="101">
        <f t="shared" si="131"/>
        <v>-15609.346717025741</v>
      </c>
    </row>
    <row r="397" spans="1:30" x14ac:dyDescent="0.25">
      <c r="A397">
        <v>177</v>
      </c>
      <c r="B397" s="95">
        <f t="shared" si="132"/>
        <v>8462.5093127963737</v>
      </c>
      <c r="C397" s="95">
        <f t="shared" si="133"/>
        <v>6872.0432854943983</v>
      </c>
      <c r="D397" s="95">
        <f t="shared" si="134"/>
        <v>-438.97104574348589</v>
      </c>
      <c r="E397" s="95">
        <f t="shared" si="135"/>
        <v>371.61559499032336</v>
      </c>
      <c r="F397" s="96">
        <f t="shared" si="136"/>
        <v>243.85319828233577</v>
      </c>
      <c r="G397" s="94">
        <f t="shared" si="137"/>
        <v>-210.58462951504578</v>
      </c>
      <c r="H397" s="97">
        <f t="shared" si="138"/>
        <v>776.90034533448045</v>
      </c>
      <c r="I397" s="94">
        <f t="shared" si="139"/>
        <v>317.30910139158146</v>
      </c>
      <c r="J397" s="95">
        <f t="shared" si="140"/>
        <v>-194.9360212177296</v>
      </c>
      <c r="K397" s="94">
        <f t="shared" si="141"/>
        <v>21.422968360448369</v>
      </c>
      <c r="L397" s="94">
        <f t="shared" si="142"/>
        <v>-338.11112583441508</v>
      </c>
      <c r="M397" s="94">
        <f t="shared" si="143"/>
        <v>-549.31669926707559</v>
      </c>
      <c r="N397" s="99">
        <f t="shared" si="144"/>
        <v>1548.983632643469</v>
      </c>
      <c r="O397" s="99">
        <f t="shared" si="145"/>
        <v>28872.787586138755</v>
      </c>
      <c r="P397" s="100">
        <f t="shared" si="146"/>
        <v>25641.563765188082</v>
      </c>
      <c r="Q397" s="95">
        <f t="shared" si="147"/>
        <v>1036205281858.9176</v>
      </c>
      <c r="R397" s="95">
        <f t="shared" si="148"/>
        <v>26222484085824.844</v>
      </c>
      <c r="S397" s="95">
        <f t="shared" si="149"/>
        <v>20848037387900.086</v>
      </c>
      <c r="T397">
        <f t="shared" si="125"/>
        <v>0.5</v>
      </c>
      <c r="X397" s="101">
        <v>354</v>
      </c>
      <c r="Y397" s="101">
        <f t="shared" si="126"/>
        <v>14972.609476841368</v>
      </c>
      <c r="Z397" s="101">
        <f t="shared" si="127"/>
        <v>6977.3576836617331</v>
      </c>
      <c r="AA397" s="101">
        <f t="shared" si="128"/>
        <v>-16519.173366211042</v>
      </c>
      <c r="AB397" s="101">
        <f t="shared" si="129"/>
        <v>9634.1503785632121</v>
      </c>
      <c r="AC397" s="101">
        <f t="shared" si="130"/>
        <v>-27.390523158633187</v>
      </c>
      <c r="AD397" s="101">
        <f t="shared" si="131"/>
        <v>-15522.642316338268</v>
      </c>
    </row>
    <row r="398" spans="1:30" x14ac:dyDescent="0.25">
      <c r="A398">
        <v>177.5</v>
      </c>
      <c r="B398" s="95">
        <f t="shared" si="132"/>
        <v>8303.9870894952146</v>
      </c>
      <c r="C398" s="95">
        <f t="shared" si="133"/>
        <v>7005.2049256107994</v>
      </c>
      <c r="D398" s="95">
        <f t="shared" si="134"/>
        <v>-317.04444660231798</v>
      </c>
      <c r="E398" s="95">
        <f t="shared" si="135"/>
        <v>266.32328023280047</v>
      </c>
      <c r="F398" s="96">
        <f t="shared" si="136"/>
        <v>321.32886267007888</v>
      </c>
      <c r="G398" s="94">
        <f t="shared" si="137"/>
        <v>-280.61924924089453</v>
      </c>
      <c r="H398" s="97">
        <f t="shared" si="138"/>
        <v>852.51690180510025</v>
      </c>
      <c r="I398" s="94">
        <f t="shared" si="139"/>
        <v>248.71341558429441</v>
      </c>
      <c r="J398" s="95">
        <f t="shared" si="140"/>
        <v>-198.46629002594099</v>
      </c>
      <c r="K398" s="94">
        <f t="shared" si="141"/>
        <v>20.999368955428206</v>
      </c>
      <c r="L398" s="94">
        <f t="shared" si="142"/>
        <v>-332.72174910908035</v>
      </c>
      <c r="M398" s="94">
        <f t="shared" si="143"/>
        <v>-550.33203378061717</v>
      </c>
      <c r="N398" s="99">
        <f t="shared" si="144"/>
        <v>1660.7851301509625</v>
      </c>
      <c r="O398" s="99">
        <f t="shared" si="145"/>
        <v>28633.870670743083</v>
      </c>
      <c r="P398" s="100">
        <f t="shared" si="146"/>
        <v>25683.17415117667</v>
      </c>
      <c r="Q398" s="95">
        <f t="shared" si="147"/>
        <v>1041657099652.7076</v>
      </c>
      <c r="R398" s="95">
        <f t="shared" si="148"/>
        <v>25612596542499.633</v>
      </c>
      <c r="S398" s="95">
        <f t="shared" si="149"/>
        <v>20936266923601.484</v>
      </c>
      <c r="T398">
        <f t="shared" si="125"/>
        <v>0.5</v>
      </c>
      <c r="X398" s="101">
        <v>355</v>
      </c>
      <c r="Y398" s="101">
        <f t="shared" si="126"/>
        <v>14980.973490458728</v>
      </c>
      <c r="Z398" s="101">
        <f t="shared" si="127"/>
        <v>7064.2212862617089</v>
      </c>
      <c r="AA398" s="101">
        <f t="shared" si="128"/>
        <v>-16513.318556678889</v>
      </c>
      <c r="AB398" s="101">
        <f t="shared" si="129"/>
        <v>9694.9549003831962</v>
      </c>
      <c r="AC398" s="101">
        <f t="shared" si="130"/>
        <v>-19.026509541272389</v>
      </c>
      <c r="AD398" s="101">
        <f t="shared" si="131"/>
        <v>-15435.778713738291</v>
      </c>
    </row>
    <row r="399" spans="1:30" x14ac:dyDescent="0.25">
      <c r="A399">
        <v>178</v>
      </c>
      <c r="B399" s="95">
        <f t="shared" si="132"/>
        <v>8225.7970818615759</v>
      </c>
      <c r="C399" s="95">
        <f t="shared" si="133"/>
        <v>7068.2117534169756</v>
      </c>
      <c r="D399" s="95">
        <f t="shared" si="134"/>
        <v>-156.38001526727854</v>
      </c>
      <c r="E399" s="95">
        <f t="shared" si="135"/>
        <v>126.0136556123532</v>
      </c>
      <c r="F399" s="96">
        <f t="shared" si="136"/>
        <v>356.07067842876802</v>
      </c>
      <c r="G399" s="94">
        <f t="shared" si="137"/>
        <v>-313.360951767637</v>
      </c>
      <c r="H399" s="97">
        <f t="shared" si="138"/>
        <v>887.11404780556416</v>
      </c>
      <c r="I399" s="94">
        <f t="shared" si="139"/>
        <v>215.89718701570104</v>
      </c>
      <c r="J399" s="95">
        <f t="shared" si="140"/>
        <v>-201.31917659630722</v>
      </c>
      <c r="K399" s="94">
        <f t="shared" si="141"/>
        <v>20.910842448311779</v>
      </c>
      <c r="L399" s="94">
        <f t="shared" si="142"/>
        <v>-329.72419278048892</v>
      </c>
      <c r="M399" s="94">
        <f t="shared" si="143"/>
        <v>-550.16898123164981</v>
      </c>
      <c r="N399" s="99">
        <f t="shared" si="144"/>
        <v>1766.7150189656304</v>
      </c>
      <c r="O399" s="99">
        <f t="shared" si="145"/>
        <v>28461.98311256434</v>
      </c>
      <c r="P399" s="100">
        <f t="shared" si="146"/>
        <v>25714.297896220716</v>
      </c>
      <c r="Q399" s="95">
        <f t="shared" si="147"/>
        <v>1047182690769.2228</v>
      </c>
      <c r="R399" s="95">
        <f t="shared" si="148"/>
        <v>25179889037300.027</v>
      </c>
      <c r="S399" s="95">
        <f t="shared" si="149"/>
        <v>21002435702328.164</v>
      </c>
      <c r="T399">
        <f t="shared" si="125"/>
        <v>0.5</v>
      </c>
      <c r="X399" s="101">
        <v>356</v>
      </c>
      <c r="Y399" s="101">
        <f t="shared" si="126"/>
        <v>14987.820251299123</v>
      </c>
      <c r="Z399" s="101">
        <f t="shared" si="127"/>
        <v>7151.2176312793763</v>
      </c>
      <c r="AA399" s="101">
        <f t="shared" si="128"/>
        <v>-16508.525824090615</v>
      </c>
      <c r="AB399" s="101">
        <f t="shared" si="129"/>
        <v>9755.8523418955629</v>
      </c>
      <c r="AC399" s="101">
        <f t="shared" si="130"/>
        <v>-12.179748700878008</v>
      </c>
      <c r="AD399" s="101">
        <f t="shared" si="131"/>
        <v>-15348.782368720624</v>
      </c>
    </row>
    <row r="400" spans="1:30" x14ac:dyDescent="0.25">
      <c r="A400">
        <v>178.5</v>
      </c>
      <c r="B400" s="95">
        <f t="shared" si="132"/>
        <v>8236.6247438351274</v>
      </c>
      <c r="C400" s="95">
        <f t="shared" si="133"/>
        <v>7052.8783432812425</v>
      </c>
      <c r="D400" s="95">
        <f t="shared" si="134"/>
        <v>21.655323947105472</v>
      </c>
      <c r="E400" s="95">
        <f t="shared" si="135"/>
        <v>-30.666820271465298</v>
      </c>
      <c r="F400" s="96">
        <f t="shared" si="136"/>
        <v>346.34431973917862</v>
      </c>
      <c r="G400" s="94">
        <f t="shared" si="137"/>
        <v>-304.9558265594934</v>
      </c>
      <c r="H400" s="97">
        <f t="shared" si="138"/>
        <v>878.97598293038959</v>
      </c>
      <c r="I400" s="94">
        <f t="shared" si="139"/>
        <v>222.87326326591514</v>
      </c>
      <c r="J400" s="95">
        <f t="shared" si="140"/>
        <v>-203.09385141335895</v>
      </c>
      <c r="K400" s="94">
        <f t="shared" si="141"/>
        <v>21.197373739841574</v>
      </c>
      <c r="L400" s="94">
        <f t="shared" si="142"/>
        <v>-329.53781177785203</v>
      </c>
      <c r="M400" s="94">
        <f t="shared" si="143"/>
        <v>-549.02646356525008</v>
      </c>
      <c r="N400" s="99">
        <f t="shared" si="144"/>
        <v>1825.9893440593082</v>
      </c>
      <c r="O400" s="99">
        <f t="shared" si="145"/>
        <v>28377.649712920691</v>
      </c>
      <c r="P400" s="100">
        <f t="shared" si="146"/>
        <v>25727.955193606609</v>
      </c>
      <c r="Q400" s="95">
        <f t="shared" si="147"/>
        <v>1050428160699.1127</v>
      </c>
      <c r="R400" s="95">
        <f t="shared" si="148"/>
        <v>24969436936294.055</v>
      </c>
      <c r="S400" s="95">
        <f t="shared" si="149"/>
        <v>21031518269588.824</v>
      </c>
      <c r="T400">
        <f t="shared" si="125"/>
        <v>0.5</v>
      </c>
      <c r="X400" s="101">
        <v>357</v>
      </c>
      <c r="Y400" s="101">
        <f t="shared" si="126"/>
        <v>14993.14767377287</v>
      </c>
      <c r="Z400" s="101">
        <f t="shared" si="127"/>
        <v>7238.3202187852785</v>
      </c>
      <c r="AA400" s="101">
        <f t="shared" si="128"/>
        <v>-16504.796628358992</v>
      </c>
      <c r="AB400" s="101">
        <f t="shared" si="129"/>
        <v>9816.8241531496951</v>
      </c>
      <c r="AC400" s="101">
        <f t="shared" si="130"/>
        <v>-6.8523262271310159</v>
      </c>
      <c r="AD400" s="101">
        <f t="shared" si="131"/>
        <v>-15261.679781214722</v>
      </c>
    </row>
    <row r="401" spans="1:30" x14ac:dyDescent="0.25">
      <c r="A401">
        <v>179</v>
      </c>
      <c r="B401" s="95">
        <f t="shared" si="132"/>
        <v>8334.0384857434747</v>
      </c>
      <c r="C401" s="95">
        <f t="shared" si="133"/>
        <v>6961.3059765056369</v>
      </c>
      <c r="D401" s="95">
        <f t="shared" si="134"/>
        <v>194.82748381669478</v>
      </c>
      <c r="E401" s="95">
        <f t="shared" si="135"/>
        <v>-183.144733551212</v>
      </c>
      <c r="F401" s="96">
        <f t="shared" si="136"/>
        <v>294.9564722896007</v>
      </c>
      <c r="G401" s="94">
        <f t="shared" si="137"/>
        <v>-256.72218992875673</v>
      </c>
      <c r="H401" s="97">
        <f t="shared" si="138"/>
        <v>830.71827452041487</v>
      </c>
      <c r="I401" s="94">
        <f t="shared" si="139"/>
        <v>268.61543070603642</v>
      </c>
      <c r="J401" s="95">
        <f t="shared" si="140"/>
        <v>-203.54374548860125</v>
      </c>
      <c r="K401" s="94">
        <f t="shared" si="141"/>
        <v>21.829121296883876</v>
      </c>
      <c r="L401" s="94">
        <f t="shared" si="142"/>
        <v>-332.21805674221287</v>
      </c>
      <c r="M401" s="94">
        <f t="shared" si="143"/>
        <v>-547.16674193167705</v>
      </c>
      <c r="N401" s="99">
        <f t="shared" si="144"/>
        <v>1819.178405204244</v>
      </c>
      <c r="O401" s="99">
        <f t="shared" si="145"/>
        <v>28390.007097280952</v>
      </c>
      <c r="P401" s="100">
        <f t="shared" si="146"/>
        <v>25720.374760735333</v>
      </c>
      <c r="Q401" s="95">
        <f t="shared" si="147"/>
        <v>1050049620687.8231</v>
      </c>
      <c r="R401" s="95">
        <f t="shared" si="148"/>
        <v>25000198671711.902</v>
      </c>
      <c r="S401" s="95">
        <f t="shared" si="149"/>
        <v>21015372533869.734</v>
      </c>
      <c r="T401">
        <f t="shared" si="125"/>
        <v>0.5</v>
      </c>
      <c r="X401" s="101">
        <v>358</v>
      </c>
      <c r="Y401" s="101">
        <f t="shared" si="126"/>
        <v>14996.954135095479</v>
      </c>
      <c r="Z401" s="101">
        <f t="shared" si="127"/>
        <v>7325.502516487496</v>
      </c>
      <c r="AA401" s="101">
        <f t="shared" si="128"/>
        <v>-16502.132105433164</v>
      </c>
      <c r="AB401" s="101">
        <f t="shared" si="129"/>
        <v>9877.8517615412475</v>
      </c>
      <c r="AC401" s="101">
        <f t="shared" si="130"/>
        <v>-3.0458649045212951</v>
      </c>
      <c r="AD401" s="101">
        <f t="shared" si="131"/>
        <v>-15174.497483512505</v>
      </c>
    </row>
    <row r="402" spans="1:30" x14ac:dyDescent="0.25">
      <c r="A402">
        <v>179.5</v>
      </c>
      <c r="B402" s="95">
        <f t="shared" si="132"/>
        <v>8505.1913457242226</v>
      </c>
      <c r="C402" s="95">
        <f t="shared" si="133"/>
        <v>6805.5530622478418</v>
      </c>
      <c r="D402" s="95">
        <f t="shared" si="134"/>
        <v>342.30571996149513</v>
      </c>
      <c r="E402" s="95">
        <f t="shared" si="135"/>
        <v>-311.50582851559034</v>
      </c>
      <c r="F402" s="96">
        <f t="shared" si="136"/>
        <v>207.96439917425158</v>
      </c>
      <c r="G402" s="94">
        <f t="shared" si="137"/>
        <v>-174.61711186395615</v>
      </c>
      <c r="H402" s="97">
        <f t="shared" si="138"/>
        <v>748.02050294063031</v>
      </c>
      <c r="I402" s="94">
        <f t="shared" si="139"/>
        <v>347.5097271862025</v>
      </c>
      <c r="J402" s="95">
        <f t="shared" si="140"/>
        <v>-202.61569726845067</v>
      </c>
      <c r="K402" s="94">
        <f t="shared" si="141"/>
        <v>22.70621817021436</v>
      </c>
      <c r="L402" s="94">
        <f t="shared" si="142"/>
        <v>-337.44040649792811</v>
      </c>
      <c r="M402" s="94">
        <f t="shared" si="143"/>
        <v>-544.83305722037301</v>
      </c>
      <c r="N402" s="99">
        <f t="shared" si="144"/>
        <v>1750.8909211976743</v>
      </c>
      <c r="O402" s="99">
        <f t="shared" si="145"/>
        <v>28496.515546291143</v>
      </c>
      <c r="P402" s="100">
        <f t="shared" si="146"/>
        <v>25692.324584065773</v>
      </c>
      <c r="Q402" s="95">
        <f t="shared" si="147"/>
        <v>1046334930734.7241</v>
      </c>
      <c r="R402" s="95">
        <f t="shared" si="148"/>
        <v>25266414381484.223</v>
      </c>
      <c r="S402" s="95">
        <f t="shared" si="149"/>
        <v>20955705116142.82</v>
      </c>
      <c r="T402">
        <f t="shared" si="125"/>
        <v>0.5</v>
      </c>
      <c r="X402" s="101">
        <v>359</v>
      </c>
      <c r="Y402" s="101">
        <f t="shared" si="126"/>
        <v>14999.238475781956</v>
      </c>
      <c r="Z402" s="101">
        <f t="shared" si="127"/>
        <v>7412.7379678135776</v>
      </c>
      <c r="AA402" s="101">
        <f t="shared" si="128"/>
        <v>-16500.53306695263</v>
      </c>
      <c r="AB402" s="101">
        <f t="shared" si="129"/>
        <v>9938.9165774695048</v>
      </c>
      <c r="AC402" s="101">
        <f t="shared" si="130"/>
        <v>-0.76152421804363257</v>
      </c>
      <c r="AD402" s="101">
        <f t="shared" si="131"/>
        <v>-15087.262032186421</v>
      </c>
    </row>
    <row r="403" spans="1:30" x14ac:dyDescent="0.25">
      <c r="A403">
        <v>180</v>
      </c>
      <c r="B403" s="95">
        <f t="shared" si="132"/>
        <v>8728.3353054985328</v>
      </c>
      <c r="C403" s="95">
        <f t="shared" si="133"/>
        <v>6606.1458700240573</v>
      </c>
      <c r="D403" s="95">
        <f t="shared" si="134"/>
        <v>446.28791954862095</v>
      </c>
      <c r="E403" s="95">
        <f t="shared" si="135"/>
        <v>-398.81438444756839</v>
      </c>
      <c r="F403" s="96">
        <f t="shared" si="136"/>
        <v>94.621236844395185</v>
      </c>
      <c r="G403" s="94">
        <f t="shared" si="137"/>
        <v>-68.970482884301759</v>
      </c>
      <c r="H403" s="97">
        <f t="shared" si="138"/>
        <v>639.60166985469721</v>
      </c>
      <c r="I403" s="94">
        <f t="shared" si="139"/>
        <v>449.576524858433</v>
      </c>
      <c r="J403" s="95">
        <f t="shared" si="140"/>
        <v>-200.45410382046606</v>
      </c>
      <c r="K403" s="94">
        <f t="shared" si="141"/>
        <v>23.680870502493232</v>
      </c>
      <c r="L403" s="94">
        <f t="shared" si="142"/>
        <v>-344.52632918983596</v>
      </c>
      <c r="M403" s="94">
        <f t="shared" si="143"/>
        <v>-542.227878245228</v>
      </c>
      <c r="N403" s="99">
        <f t="shared" si="144"/>
        <v>1648.2443575668963</v>
      </c>
      <c r="O403" s="99">
        <f t="shared" si="145"/>
        <v>28683.626425095994</v>
      </c>
      <c r="P403" s="100">
        <f t="shared" si="146"/>
        <v>25649.022157484495</v>
      </c>
      <c r="Q403" s="95">
        <f t="shared" si="147"/>
        <v>1041026170497.3612</v>
      </c>
      <c r="R403" s="95">
        <f t="shared" si="148"/>
        <v>25738797411262.668</v>
      </c>
      <c r="S403" s="95">
        <f t="shared" si="149"/>
        <v>20863832305255.32</v>
      </c>
      <c r="T403">
        <f t="shared" si="125"/>
        <v>0.5</v>
      </c>
      <c r="X403" s="101">
        <v>360</v>
      </c>
      <c r="Y403" s="101">
        <f t="shared" si="126"/>
        <v>15000</v>
      </c>
      <c r="Z403" s="101">
        <f t="shared" si="127"/>
        <v>7499.9999999999991</v>
      </c>
      <c r="AA403" s="101">
        <f t="shared" si="128"/>
        <v>-16500</v>
      </c>
      <c r="AB403" s="101">
        <f t="shared" si="129"/>
        <v>10000</v>
      </c>
      <c r="AC403" s="101">
        <f t="shared" si="130"/>
        <v>0</v>
      </c>
      <c r="AD403" s="101">
        <f t="shared" si="131"/>
        <v>-15000.000000000002</v>
      </c>
    </row>
    <row r="404" spans="1:30" x14ac:dyDescent="0.25">
      <c r="A404">
        <v>180.5</v>
      </c>
      <c r="B404" s="95">
        <f t="shared" si="132"/>
        <v>8975.1345744839418</v>
      </c>
      <c r="C404" s="95">
        <f t="shared" si="133"/>
        <v>6389.4960570791973</v>
      </c>
      <c r="D404" s="95">
        <f t="shared" si="134"/>
        <v>493.59853797081854</v>
      </c>
      <c r="E404" s="95">
        <f t="shared" si="135"/>
        <v>-433.29962588971927</v>
      </c>
      <c r="F404" s="96">
        <f t="shared" si="136"/>
        <v>-32.150067242491673</v>
      </c>
      <c r="G404" s="94">
        <f t="shared" si="137"/>
        <v>46.055395655129814</v>
      </c>
      <c r="H404" s="97">
        <f t="shared" si="138"/>
        <v>517.74161438364092</v>
      </c>
      <c r="I404" s="94">
        <f t="shared" si="139"/>
        <v>561.00448885540663</v>
      </c>
      <c r="J404" s="95">
        <f t="shared" si="140"/>
        <v>-197.37338364827036</v>
      </c>
      <c r="K404" s="94">
        <f t="shared" si="141"/>
        <v>24.594100781752534</v>
      </c>
      <c r="L404" s="94">
        <f t="shared" si="142"/>
        <v>-352.51829797786223</v>
      </c>
      <c r="M404" s="94">
        <f t="shared" si="143"/>
        <v>-539.54319398202938</v>
      </c>
      <c r="N404" s="99">
        <f t="shared" si="144"/>
        <v>1554.3829325222789</v>
      </c>
      <c r="O404" s="99">
        <f t="shared" si="145"/>
        <v>28928.109085813205</v>
      </c>
      <c r="P404" s="100">
        <f t="shared" si="146"/>
        <v>25598.686091613279</v>
      </c>
      <c r="Q404" s="95">
        <f t="shared" si="147"/>
        <v>1036459629755.798</v>
      </c>
      <c r="R404" s="95">
        <f t="shared" si="148"/>
        <v>26365111820091.844</v>
      </c>
      <c r="S404" s="95">
        <f t="shared" si="149"/>
        <v>20757400095244.891</v>
      </c>
      <c r="T404">
        <f t="shared" si="125"/>
        <v>0.5</v>
      </c>
    </row>
    <row r="405" spans="1:30" x14ac:dyDescent="0.25">
      <c r="A405">
        <v>181</v>
      </c>
      <c r="B405" s="95">
        <f t="shared" si="132"/>
        <v>9213.8963266587289</v>
      </c>
      <c r="C405" s="95">
        <f t="shared" si="133"/>
        <v>6184.3600930481198</v>
      </c>
      <c r="D405" s="95">
        <f t="shared" si="134"/>
        <v>477.5235043495727</v>
      </c>
      <c r="E405" s="95">
        <f t="shared" si="135"/>
        <v>-410.27192806215436</v>
      </c>
      <c r="F405" s="96">
        <f t="shared" si="136"/>
        <v>-156.2217948831063</v>
      </c>
      <c r="G405" s="94">
        <f t="shared" si="137"/>
        <v>154.23125614064713</v>
      </c>
      <c r="H405" s="97">
        <f t="shared" si="138"/>
        <v>397.89606399034369</v>
      </c>
      <c r="I405" s="94">
        <f t="shared" si="139"/>
        <v>665.92735584065065</v>
      </c>
      <c r="J405" s="95">
        <f t="shared" si="140"/>
        <v>-193.80527319618446</v>
      </c>
      <c r="K405" s="94">
        <f t="shared" si="141"/>
        <v>25.312992362140367</v>
      </c>
      <c r="L405" s="94">
        <f t="shared" si="142"/>
        <v>-360.31258567726553</v>
      </c>
      <c r="M405" s="94">
        <f t="shared" si="143"/>
        <v>-537.00909206214385</v>
      </c>
      <c r="N405" s="99">
        <f t="shared" si="144"/>
        <v>1511.1479569058949</v>
      </c>
      <c r="O405" s="99">
        <f t="shared" si="145"/>
        <v>29199.215097863529</v>
      </c>
      <c r="P405" s="100">
        <f t="shared" si="146"/>
        <v>25550.243207271884</v>
      </c>
      <c r="Q405" s="95">
        <f t="shared" si="147"/>
        <v>1034448334891.8062</v>
      </c>
      <c r="R405" s="95">
        <f t="shared" si="148"/>
        <v>27071769062455.973</v>
      </c>
      <c r="S405" s="95">
        <f t="shared" si="149"/>
        <v>20655339305260.508</v>
      </c>
      <c r="T405">
        <f t="shared" si="125"/>
        <v>0.5</v>
      </c>
    </row>
    <row r="406" spans="1:30" x14ac:dyDescent="0.25">
      <c r="A406">
        <v>181.5</v>
      </c>
      <c r="B406" s="95">
        <f t="shared" si="132"/>
        <v>9413.6026301127386</v>
      </c>
      <c r="C406" s="95">
        <f t="shared" si="133"/>
        <v>6017.781943052204</v>
      </c>
      <c r="D406" s="95">
        <f t="shared" si="134"/>
        <v>399.41260690801954</v>
      </c>
      <c r="E406" s="95">
        <f t="shared" si="135"/>
        <v>-333.15629999183079</v>
      </c>
      <c r="F406" s="96">
        <f t="shared" si="136"/>
        <v>-260.53992190360901</v>
      </c>
      <c r="G406" s="94">
        <f t="shared" si="137"/>
        <v>240.35987018097819</v>
      </c>
      <c r="H406" s="97">
        <f t="shared" si="138"/>
        <v>296.52825012572663</v>
      </c>
      <c r="I406" s="94">
        <f t="shared" si="139"/>
        <v>749.52506491627844</v>
      </c>
      <c r="J406" s="95">
        <f t="shared" si="140"/>
        <v>-190.23010797578127</v>
      </c>
      <c r="K406" s="94">
        <f t="shared" si="141"/>
        <v>25.754674817723327</v>
      </c>
      <c r="L406" s="94">
        <f t="shared" si="142"/>
        <v>-366.83806405355438</v>
      </c>
      <c r="M406" s="94">
        <f t="shared" si="143"/>
        <v>-534.91986955302355</v>
      </c>
      <c r="N406" s="99">
        <f t="shared" si="144"/>
        <v>1532.6014974562017</v>
      </c>
      <c r="O406" s="99">
        <f t="shared" si="145"/>
        <v>29462.023801570187</v>
      </c>
      <c r="P406" s="100">
        <f t="shared" si="146"/>
        <v>25511.016470084687</v>
      </c>
      <c r="Q406" s="95">
        <f t="shared" si="147"/>
        <v>1035439101525.2361</v>
      </c>
      <c r="R406" s="95">
        <f t="shared" si="148"/>
        <v>27769093888559.301</v>
      </c>
      <c r="S406" s="95">
        <f t="shared" si="149"/>
        <v>20572959647899.781</v>
      </c>
      <c r="T406">
        <f t="shared" si="125"/>
        <v>0.5</v>
      </c>
    </row>
    <row r="407" spans="1:30" x14ac:dyDescent="0.25">
      <c r="A407">
        <v>182</v>
      </c>
      <c r="B407" s="95">
        <f t="shared" si="132"/>
        <v>9548.1739530908453</v>
      </c>
      <c r="C407" s="95">
        <f t="shared" si="133"/>
        <v>5911.293760601533</v>
      </c>
      <c r="D407" s="95">
        <f t="shared" si="134"/>
        <v>269.14264595621501</v>
      </c>
      <c r="E407" s="95">
        <f t="shared" si="135"/>
        <v>-212.9763649013417</v>
      </c>
      <c r="F407" s="96">
        <f t="shared" si="136"/>
        <v>-330.50449429925823</v>
      </c>
      <c r="G407" s="94">
        <f t="shared" si="137"/>
        <v>293.40080637633423</v>
      </c>
      <c r="H407" s="97">
        <f t="shared" si="138"/>
        <v>227.83719696025048</v>
      </c>
      <c r="I407" s="94">
        <f t="shared" si="139"/>
        <v>801.11887938719315</v>
      </c>
      <c r="J407" s="95">
        <f t="shared" si="140"/>
        <v>-187.10539145882788</v>
      </c>
      <c r="K407" s="94">
        <f t="shared" si="141"/>
        <v>25.890567136138664</v>
      </c>
      <c r="L407" s="94">
        <f t="shared" si="142"/>
        <v>-371.2362998006808</v>
      </c>
      <c r="M407" s="94">
        <f t="shared" si="143"/>
        <v>-533.60864014699757</v>
      </c>
      <c r="N407" s="99">
        <f t="shared" si="144"/>
        <v>1593.9988217538926</v>
      </c>
      <c r="O407" s="99">
        <f t="shared" si="145"/>
        <v>29681.948728735046</v>
      </c>
      <c r="P407" s="100">
        <f t="shared" si="146"/>
        <v>25485.272189727228</v>
      </c>
      <c r="Q407" s="95">
        <f t="shared" si="147"/>
        <v>1038353561672.0521</v>
      </c>
      <c r="R407" s="95">
        <f t="shared" si="148"/>
        <v>28362015336677.598</v>
      </c>
      <c r="S407" s="95">
        <f t="shared" si="149"/>
        <v>20519022717119.164</v>
      </c>
      <c r="T407">
        <f t="shared" si="125"/>
        <v>0.5</v>
      </c>
    </row>
    <row r="408" spans="1:30" x14ac:dyDescent="0.25">
      <c r="A408">
        <v>182.5</v>
      </c>
      <c r="B408" s="95">
        <f t="shared" si="132"/>
        <v>9600.1191524941369</v>
      </c>
      <c r="C408" s="95">
        <f t="shared" si="133"/>
        <v>5878.1557797449459</v>
      </c>
      <c r="D408" s="95">
        <f t="shared" si="134"/>
        <v>103.89039880658589</v>
      </c>
      <c r="E408" s="95">
        <f t="shared" si="135"/>
        <v>-66.275961713174581</v>
      </c>
      <c r="F408" s="96">
        <f t="shared" si="136"/>
        <v>-356.70013043929555</v>
      </c>
      <c r="G408" s="94">
        <f t="shared" si="137"/>
        <v>307.95912483245013</v>
      </c>
      <c r="H408" s="97">
        <f t="shared" si="138"/>
        <v>201.09215356214534</v>
      </c>
      <c r="I408" s="94">
        <f t="shared" si="139"/>
        <v>815.5933174284504</v>
      </c>
      <c r="J408" s="95">
        <f t="shared" si="140"/>
        <v>-184.806900006609</v>
      </c>
      <c r="K408" s="94">
        <f t="shared" si="141"/>
        <v>25.734533321677844</v>
      </c>
      <c r="L408" s="94">
        <f t="shared" si="142"/>
        <v>-372.98538399483192</v>
      </c>
      <c r="M408" s="94">
        <f t="shared" si="143"/>
        <v>-533.36872591767815</v>
      </c>
      <c r="N408" s="99">
        <f t="shared" si="144"/>
        <v>1651.7064786968574</v>
      </c>
      <c r="O408" s="99">
        <f t="shared" si="145"/>
        <v>29829.718447786465</v>
      </c>
      <c r="P408" s="100">
        <f t="shared" si="146"/>
        <v>25474.135355524111</v>
      </c>
      <c r="Q408" s="95">
        <f t="shared" si="147"/>
        <v>1041199860016.2898</v>
      </c>
      <c r="R408" s="95">
        <f t="shared" si="148"/>
        <v>28765241166983.559</v>
      </c>
      <c r="S408" s="95">
        <f t="shared" si="149"/>
        <v>20495721387144.559</v>
      </c>
      <c r="T408">
        <f t="shared" si="125"/>
        <v>0.5</v>
      </c>
    </row>
    <row r="409" spans="1:30" x14ac:dyDescent="0.25">
      <c r="A409">
        <v>183</v>
      </c>
      <c r="B409" s="95">
        <f t="shared" si="132"/>
        <v>9562.8893192876058</v>
      </c>
      <c r="C409" s="95">
        <f t="shared" si="133"/>
        <v>5922.0075800964714</v>
      </c>
      <c r="D409" s="95">
        <f t="shared" si="134"/>
        <v>-74.459666413061882</v>
      </c>
      <c r="E409" s="95">
        <f t="shared" si="135"/>
        <v>87.703600703050483</v>
      </c>
      <c r="F409" s="96">
        <f t="shared" si="136"/>
        <v>-335.91549104198168</v>
      </c>
      <c r="G409" s="94">
        <f t="shared" si="137"/>
        <v>283.79621691337854</v>
      </c>
      <c r="H409" s="97">
        <f t="shared" si="138"/>
        <v>219.61497278806576</v>
      </c>
      <c r="I409" s="94">
        <f t="shared" si="139"/>
        <v>792.82153845356959</v>
      </c>
      <c r="J409" s="95">
        <f t="shared" si="140"/>
        <v>-183.59250203004697</v>
      </c>
      <c r="K409" s="94">
        <f t="shared" si="141"/>
        <v>25.325292921933393</v>
      </c>
      <c r="L409" s="94">
        <f t="shared" si="142"/>
        <v>-371.93796180000049</v>
      </c>
      <c r="M409" s="94">
        <f t="shared" si="143"/>
        <v>-534.35061446212444</v>
      </c>
      <c r="N409" s="99">
        <f t="shared" si="144"/>
        <v>1670.4141303810657</v>
      </c>
      <c r="O409" s="99">
        <f t="shared" si="145"/>
        <v>29885.726586748737</v>
      </c>
      <c r="P409" s="100">
        <f t="shared" si="146"/>
        <v>25476.673017298068</v>
      </c>
      <c r="Q409" s="95">
        <f t="shared" si="147"/>
        <v>1042144869798.175</v>
      </c>
      <c r="R409" s="95">
        <f t="shared" si="148"/>
        <v>28919093756511.016</v>
      </c>
      <c r="S409" s="95">
        <f t="shared" si="149"/>
        <v>20501029203501.227</v>
      </c>
      <c r="T409">
        <f t="shared" si="125"/>
        <v>0.5</v>
      </c>
    </row>
    <row r="410" spans="1:30" x14ac:dyDescent="0.25">
      <c r="A410">
        <v>183.5</v>
      </c>
      <c r="B410" s="95">
        <f t="shared" si="132"/>
        <v>9441.6806133205791</v>
      </c>
      <c r="C410" s="95">
        <f t="shared" si="133"/>
        <v>6036.8084346763417</v>
      </c>
      <c r="D410" s="95">
        <f t="shared" si="134"/>
        <v>-242.41741193405272</v>
      </c>
      <c r="E410" s="95">
        <f t="shared" si="135"/>
        <v>229.60170915973976</v>
      </c>
      <c r="F410" s="96">
        <f t="shared" si="136"/>
        <v>-270.91859608196773</v>
      </c>
      <c r="G410" s="94">
        <f t="shared" si="137"/>
        <v>224.548849165756</v>
      </c>
      <c r="H410" s="97">
        <f t="shared" si="138"/>
        <v>280.96058463391228</v>
      </c>
      <c r="I410" s="94">
        <f t="shared" si="139"/>
        <v>736.31539121315109</v>
      </c>
      <c r="J410" s="95">
        <f t="shared" si="140"/>
        <v>-183.58816341903938</v>
      </c>
      <c r="K410" s="94">
        <f t="shared" si="141"/>
        <v>24.713095366791165</v>
      </c>
      <c r="L410" s="94">
        <f t="shared" si="142"/>
        <v>-368.29101729684061</v>
      </c>
      <c r="M410" s="94">
        <f t="shared" si="143"/>
        <v>-536.4796374141863</v>
      </c>
      <c r="N410" s="99">
        <f t="shared" si="144"/>
        <v>1637.4143716438568</v>
      </c>
      <c r="O410" s="99">
        <f t="shared" si="145"/>
        <v>29842.829073015848</v>
      </c>
      <c r="P410" s="100">
        <f t="shared" si="146"/>
        <v>25491.334733737174</v>
      </c>
      <c r="Q410" s="95">
        <f t="shared" si="147"/>
        <v>1040485261087.5891</v>
      </c>
      <c r="R410" s="95">
        <f t="shared" si="148"/>
        <v>28801205253783.797</v>
      </c>
      <c r="S410" s="95">
        <f t="shared" si="149"/>
        <v>20531715224055.27</v>
      </c>
      <c r="T410">
        <f t="shared" si="125"/>
        <v>0.5</v>
      </c>
    </row>
    <row r="411" spans="1:30" x14ac:dyDescent="0.25">
      <c r="A411">
        <v>184</v>
      </c>
      <c r="B411" s="95">
        <f t="shared" si="132"/>
        <v>9252.7422583330608</v>
      </c>
      <c r="C411" s="95">
        <f t="shared" si="133"/>
        <v>6207.746501547651</v>
      </c>
      <c r="D411" s="95">
        <f t="shared" si="134"/>
        <v>-377.87670997503659</v>
      </c>
      <c r="E411" s="95">
        <f t="shared" si="135"/>
        <v>341.87613374261775</v>
      </c>
      <c r="F411" s="96">
        <f t="shared" si="136"/>
        <v>-170.01778211577482</v>
      </c>
      <c r="G411" s="94">
        <f t="shared" si="137"/>
        <v>136.99283907651625</v>
      </c>
      <c r="H411" s="97">
        <f t="shared" si="138"/>
        <v>377.29778058905816</v>
      </c>
      <c r="I411" s="94">
        <f t="shared" si="139"/>
        <v>652.47149643025023</v>
      </c>
      <c r="J411" s="95">
        <f t="shared" si="140"/>
        <v>-184.78701060254843</v>
      </c>
      <c r="K411" s="94">
        <f t="shared" si="141"/>
        <v>23.955333186803855</v>
      </c>
      <c r="L411" s="94">
        <f t="shared" si="142"/>
        <v>-362.52855210228455</v>
      </c>
      <c r="M411" s="94">
        <f t="shared" si="143"/>
        <v>-539.43399054053782</v>
      </c>
      <c r="N411" s="99">
        <f t="shared" si="144"/>
        <v>1566.0938970497209</v>
      </c>
      <c r="O411" s="99">
        <f t="shared" si="145"/>
        <v>29707.228829364569</v>
      </c>
      <c r="P411" s="100">
        <f t="shared" si="146"/>
        <v>25516.846357934384</v>
      </c>
      <c r="Q411" s="95">
        <f t="shared" si="147"/>
        <v>1037014418643.803</v>
      </c>
      <c r="R411" s="95">
        <f t="shared" si="148"/>
        <v>28430721904846.859</v>
      </c>
      <c r="S411" s="95">
        <f t="shared" si="149"/>
        <v>20585187986174.883</v>
      </c>
      <c r="T411">
        <f t="shared" si="125"/>
        <v>0.5</v>
      </c>
    </row>
    <row r="412" spans="1:30" x14ac:dyDescent="0.25">
      <c r="A412">
        <v>184.5</v>
      </c>
      <c r="B412" s="95">
        <f t="shared" si="132"/>
        <v>9021.2994578165981</v>
      </c>
      <c r="C412" s="95">
        <f t="shared" si="133"/>
        <v>6412.9327781880893</v>
      </c>
      <c r="D412" s="95">
        <f t="shared" si="134"/>
        <v>-462.885601032924</v>
      </c>
      <c r="E412" s="95">
        <f t="shared" si="135"/>
        <v>410.37255328087588</v>
      </c>
      <c r="F412" s="96">
        <f t="shared" si="136"/>
        <v>-46.632695186115427</v>
      </c>
      <c r="G412" s="94">
        <f t="shared" si="137"/>
        <v>31.097159946859279</v>
      </c>
      <c r="H412" s="97">
        <f t="shared" si="138"/>
        <v>495.78303153651018</v>
      </c>
      <c r="I412" s="94">
        <f t="shared" si="139"/>
        <v>550.67863915915302</v>
      </c>
      <c r="J412" s="95">
        <f t="shared" si="140"/>
        <v>-187.05207497434873</v>
      </c>
      <c r="K412" s="94">
        <f t="shared" si="141"/>
        <v>23.119859532398426</v>
      </c>
      <c r="L412" s="94">
        <f t="shared" si="142"/>
        <v>-355.36365174827688</v>
      </c>
      <c r="M412" s="94">
        <f t="shared" si="143"/>
        <v>-542.70133874469218</v>
      </c>
      <c r="N412" s="99">
        <f t="shared" si="144"/>
        <v>1492.7535753578047</v>
      </c>
      <c r="O412" s="99">
        <f t="shared" si="145"/>
        <v>29497.527290079572</v>
      </c>
      <c r="P412" s="100">
        <f t="shared" si="146"/>
        <v>25552.087459860883</v>
      </c>
      <c r="Q412" s="95">
        <f t="shared" si="147"/>
        <v>1033610214485.2917</v>
      </c>
      <c r="R412" s="95">
        <f t="shared" si="148"/>
        <v>27864231308380.746</v>
      </c>
      <c r="S412" s="95">
        <f t="shared" si="149"/>
        <v>20659218218553.949</v>
      </c>
      <c r="T412">
        <f t="shared" si="125"/>
        <v>0.5</v>
      </c>
    </row>
    <row r="413" spans="1:30" x14ac:dyDescent="0.25">
      <c r="A413">
        <v>185</v>
      </c>
      <c r="B413" s="95">
        <f t="shared" si="132"/>
        <v>8778.1984835036073</v>
      </c>
      <c r="C413" s="95">
        <f t="shared" si="133"/>
        <v>6625.893344815242</v>
      </c>
      <c r="D413" s="95">
        <f t="shared" si="134"/>
        <v>-486.20194862598169</v>
      </c>
      <c r="E413" s="95">
        <f t="shared" si="135"/>
        <v>425.92113325430552</v>
      </c>
      <c r="F413" s="96">
        <f t="shared" si="136"/>
        <v>81.940949731642093</v>
      </c>
      <c r="G413" s="94">
        <f t="shared" si="137"/>
        <v>-80.037107703800416</v>
      </c>
      <c r="H413" s="97">
        <f t="shared" si="138"/>
        <v>619.73816950364733</v>
      </c>
      <c r="I413" s="94">
        <f t="shared" si="139"/>
        <v>443.37582751458075</v>
      </c>
      <c r="J413" s="95">
        <f t="shared" si="140"/>
        <v>-190.12077310274415</v>
      </c>
      <c r="K413" s="94">
        <f t="shared" si="141"/>
        <v>22.29075479420845</v>
      </c>
      <c r="L413" s="94">
        <f t="shared" si="142"/>
        <v>-347.67644666926111</v>
      </c>
      <c r="M413" s="94">
        <f t="shared" si="143"/>
        <v>-545.70369001258962</v>
      </c>
      <c r="N413" s="99">
        <f t="shared" si="144"/>
        <v>1462.7268699275166</v>
      </c>
      <c r="O413" s="99">
        <f t="shared" si="145"/>
        <v>29242.142080806312</v>
      </c>
      <c r="P413" s="100">
        <f t="shared" si="146"/>
        <v>25595.127048892919</v>
      </c>
      <c r="Q413" s="95">
        <f t="shared" si="147"/>
        <v>1032264607122.7518</v>
      </c>
      <c r="R413" s="95">
        <f t="shared" si="148"/>
        <v>27184839566364.82</v>
      </c>
      <c r="S413" s="95">
        <f t="shared" si="149"/>
        <v>20749889516604.563</v>
      </c>
      <c r="T413">
        <f t="shared" si="125"/>
        <v>0.5</v>
      </c>
    </row>
    <row r="414" spans="1:30" x14ac:dyDescent="0.25">
      <c r="A414">
        <v>185.5</v>
      </c>
      <c r="B414" s="95">
        <f t="shared" si="132"/>
        <v>8555.5827466235278</v>
      </c>
      <c r="C414" s="95">
        <f t="shared" si="133"/>
        <v>6818.8446345164448</v>
      </c>
      <c r="D414" s="95">
        <f t="shared" si="134"/>
        <v>-445.23147376016061</v>
      </c>
      <c r="E414" s="95">
        <f t="shared" si="135"/>
        <v>385.90257940240531</v>
      </c>
      <c r="F414" s="96">
        <f t="shared" si="136"/>
        <v>197.34791356598259</v>
      </c>
      <c r="G414" s="94">
        <f t="shared" si="137"/>
        <v>-181.47019777688809</v>
      </c>
      <c r="H414" s="97">
        <f t="shared" si="138"/>
        <v>731.39603518824288</v>
      </c>
      <c r="I414" s="94">
        <f t="shared" si="139"/>
        <v>344.91026225094646</v>
      </c>
      <c r="J414" s="95">
        <f t="shared" si="140"/>
        <v>-193.61848188596784</v>
      </c>
      <c r="K414" s="94">
        <f t="shared" si="141"/>
        <v>21.569529082055102</v>
      </c>
      <c r="L414" s="94">
        <f t="shared" si="142"/>
        <v>-340.42963973629242</v>
      </c>
      <c r="M414" s="94">
        <f t="shared" si="143"/>
        <v>-547.94998910988966</v>
      </c>
      <c r="N414" s="99">
        <f t="shared" si="144"/>
        <v>1502.2853891159198</v>
      </c>
      <c r="O414" s="99">
        <f t="shared" si="145"/>
        <v>28975.322322219152</v>
      </c>
      <c r="P414" s="100">
        <f t="shared" si="146"/>
        <v>25642.114117446425</v>
      </c>
      <c r="Q414" s="95">
        <f t="shared" si="147"/>
        <v>1034043211796.0925</v>
      </c>
      <c r="R414" s="95">
        <f t="shared" si="148"/>
        <v>26487255399522.238</v>
      </c>
      <c r="S414" s="95">
        <f t="shared" si="149"/>
        <v>20849202596317.984</v>
      </c>
      <c r="T414">
        <f t="shared" si="125"/>
        <v>0.5</v>
      </c>
    </row>
    <row r="415" spans="1:30" x14ac:dyDescent="0.25">
      <c r="A415">
        <v>186</v>
      </c>
      <c r="B415" s="95">
        <f t="shared" si="132"/>
        <v>8382.3039881349432</v>
      </c>
      <c r="C415" s="95">
        <f t="shared" si="133"/>
        <v>6966.4283747734253</v>
      </c>
      <c r="D415" s="95">
        <f t="shared" si="134"/>
        <v>-346.55751697716931</v>
      </c>
      <c r="E415" s="95">
        <f t="shared" si="135"/>
        <v>295.16748051396127</v>
      </c>
      <c r="F415" s="96">
        <f t="shared" si="136"/>
        <v>283.97698145736541</v>
      </c>
      <c r="G415" s="94">
        <f t="shared" si="137"/>
        <v>-259.06927730256842</v>
      </c>
      <c r="H415" s="97">
        <f t="shared" si="138"/>
        <v>815.6240937534069</v>
      </c>
      <c r="I415" s="94">
        <f t="shared" si="139"/>
        <v>269.02079876936733</v>
      </c>
      <c r="J415" s="95">
        <f t="shared" si="140"/>
        <v>-197.09249447634627</v>
      </c>
      <c r="K415" s="94">
        <f t="shared" si="141"/>
        <v>21.065738674299158</v>
      </c>
      <c r="L415" s="94">
        <f t="shared" si="142"/>
        <v>-334.55461781969524</v>
      </c>
      <c r="M415" s="94">
        <f t="shared" si="143"/>
        <v>-549.15581474623491</v>
      </c>
      <c r="N415" s="99">
        <f t="shared" si="144"/>
        <v>1596.9702044116752</v>
      </c>
      <c r="O415" s="99">
        <f t="shared" si="145"/>
        <v>28732.230255561579</v>
      </c>
      <c r="P415" s="100">
        <f t="shared" si="146"/>
        <v>25686.880012678157</v>
      </c>
      <c r="Q415" s="95">
        <f t="shared" si="147"/>
        <v>1038497584352.7264</v>
      </c>
      <c r="R415" s="95">
        <f t="shared" si="148"/>
        <v>25862488077596.387</v>
      </c>
      <c r="S415" s="95">
        <f t="shared" si="149"/>
        <v>20944137697265.367</v>
      </c>
      <c r="T415">
        <f t="shared" si="125"/>
        <v>0.5</v>
      </c>
    </row>
    <row r="416" spans="1:30" x14ac:dyDescent="0.25">
      <c r="A416">
        <v>186.5</v>
      </c>
      <c r="B416" s="95">
        <f t="shared" si="132"/>
        <v>8280.0194750107003</v>
      </c>
      <c r="C416" s="95">
        <f t="shared" si="133"/>
        <v>7049.2447957047634</v>
      </c>
      <c r="D416" s="95">
        <f t="shared" si="134"/>
        <v>-204.56902624848661</v>
      </c>
      <c r="E416" s="95">
        <f t="shared" si="135"/>
        <v>165.63284186267705</v>
      </c>
      <c r="F416" s="96">
        <f t="shared" si="136"/>
        <v>331.8612458786597</v>
      </c>
      <c r="G416" s="94">
        <f t="shared" si="137"/>
        <v>-302.30110435500319</v>
      </c>
      <c r="H416" s="97">
        <f t="shared" si="138"/>
        <v>862.75743998024438</v>
      </c>
      <c r="I416" s="94">
        <f t="shared" si="139"/>
        <v>226.10279620343357</v>
      </c>
      <c r="J416" s="95">
        <f t="shared" si="140"/>
        <v>-200.07117427335407</v>
      </c>
      <c r="K416" s="94">
        <f t="shared" si="141"/>
        <v>20.875553471178627</v>
      </c>
      <c r="L416" s="94">
        <f t="shared" si="142"/>
        <v>-330.82501982823055</v>
      </c>
      <c r="M416" s="94">
        <f t="shared" si="143"/>
        <v>-549.27945402961541</v>
      </c>
      <c r="N416" s="99">
        <f t="shared" si="144"/>
        <v>1703.4198149754623</v>
      </c>
      <c r="O416" s="99">
        <f t="shared" si="145"/>
        <v>28543.961471391463</v>
      </c>
      <c r="P416" s="100">
        <f t="shared" si="146"/>
        <v>25721.781345289899</v>
      </c>
      <c r="Q416" s="95">
        <f t="shared" si="147"/>
        <v>1043838807067.1848</v>
      </c>
      <c r="R416" s="95">
        <f t="shared" si="148"/>
        <v>25385628805865.512</v>
      </c>
      <c r="S416" s="95">
        <f t="shared" si="149"/>
        <v>21018367778372.625</v>
      </c>
      <c r="T416">
        <f t="shared" si="125"/>
        <v>0.5</v>
      </c>
    </row>
    <row r="417" spans="1:20" x14ac:dyDescent="0.25">
      <c r="A417">
        <v>187</v>
      </c>
      <c r="B417" s="95">
        <f t="shared" si="132"/>
        <v>8260.7002733561221</v>
      </c>
      <c r="C417" s="95">
        <f t="shared" si="133"/>
        <v>7056.4859405473508</v>
      </c>
      <c r="D417" s="95">
        <f t="shared" si="134"/>
        <v>-38.638403309156757</v>
      </c>
      <c r="E417" s="95">
        <f t="shared" si="135"/>
        <v>14.482289685175459</v>
      </c>
      <c r="F417" s="96">
        <f t="shared" si="136"/>
        <v>337.26726582018443</v>
      </c>
      <c r="G417" s="94">
        <f t="shared" si="137"/>
        <v>-305.78342891714965</v>
      </c>
      <c r="H417" s="97">
        <f t="shared" si="138"/>
        <v>869.15352296126548</v>
      </c>
      <c r="I417" s="94">
        <f t="shared" si="139"/>
        <v>221.63046503775467</v>
      </c>
      <c r="J417" s="95">
        <f t="shared" si="140"/>
        <v>-202.13892456918589</v>
      </c>
      <c r="K417" s="94">
        <f t="shared" si="141"/>
        <v>21.053928624443731</v>
      </c>
      <c r="L417" s="94">
        <f t="shared" si="142"/>
        <v>-329.74733257189519</v>
      </c>
      <c r="M417" s="94">
        <f t="shared" si="143"/>
        <v>-548.46782257934808</v>
      </c>
      <c r="N417" s="99">
        <f t="shared" si="144"/>
        <v>1778.0644702995746</v>
      </c>
      <c r="O417" s="99">
        <f t="shared" si="145"/>
        <v>28433.544587030647</v>
      </c>
      <c r="P417" s="100">
        <f t="shared" si="146"/>
        <v>25739.621468032063</v>
      </c>
      <c r="Q417" s="95">
        <f t="shared" si="147"/>
        <v>1047795565697.5184</v>
      </c>
      <c r="R417" s="95">
        <f t="shared" si="148"/>
        <v>25108785730558.242</v>
      </c>
      <c r="S417" s="95">
        <f t="shared" si="149"/>
        <v>21056383906279.027</v>
      </c>
      <c r="T417">
        <f t="shared" si="125"/>
        <v>0.5</v>
      </c>
    </row>
    <row r="418" spans="1:20" x14ac:dyDescent="0.25">
      <c r="A418">
        <v>187.5</v>
      </c>
      <c r="B418" s="95">
        <f t="shared" si="132"/>
        <v>8325.6978881565901</v>
      </c>
      <c r="C418" s="95">
        <f t="shared" si="133"/>
        <v>6987.2812281606512</v>
      </c>
      <c r="D418" s="95">
        <f t="shared" si="134"/>
        <v>129.99522960093546</v>
      </c>
      <c r="E418" s="95">
        <f t="shared" si="135"/>
        <v>-138.40942477339937</v>
      </c>
      <c r="F418" s="96">
        <f t="shared" si="136"/>
        <v>301.4431029750848</v>
      </c>
      <c r="G418" s="94">
        <f t="shared" si="137"/>
        <v>-269.37481181554455</v>
      </c>
      <c r="H418" s="97">
        <f t="shared" si="138"/>
        <v>835.93955252494823</v>
      </c>
      <c r="I418" s="94">
        <f t="shared" si="139"/>
        <v>255.98838923438657</v>
      </c>
      <c r="J418" s="95">
        <f t="shared" si="140"/>
        <v>-203.0067674295299</v>
      </c>
      <c r="K418" s="94">
        <f t="shared" si="141"/>
        <v>21.591782185218111</v>
      </c>
      <c r="L418" s="94">
        <f t="shared" si="142"/>
        <v>-331.48968212033355</v>
      </c>
      <c r="M418" s="94">
        <f t="shared" si="143"/>
        <v>-546.95498323514926</v>
      </c>
      <c r="N418" s="99">
        <f t="shared" si="144"/>
        <v>1794.9563393118051</v>
      </c>
      <c r="O418" s="99">
        <f t="shared" si="145"/>
        <v>28413.578707348119</v>
      </c>
      <c r="P418" s="100">
        <f t="shared" si="146"/>
        <v>25735.864931751374</v>
      </c>
      <c r="Q418" s="95">
        <f t="shared" si="147"/>
        <v>1048715224796.9412</v>
      </c>
      <c r="R418" s="95">
        <f t="shared" si="148"/>
        <v>25058948603339.551</v>
      </c>
      <c r="S418" s="95">
        <f t="shared" si="149"/>
        <v>21048374880334.289</v>
      </c>
      <c r="T418">
        <f t="shared" si="125"/>
        <v>0.5</v>
      </c>
    </row>
    <row r="419" spans="1:20" x14ac:dyDescent="0.25">
      <c r="A419">
        <v>188</v>
      </c>
      <c r="B419" s="95">
        <f t="shared" si="132"/>
        <v>8466.0562787008294</v>
      </c>
      <c r="C419" s="95">
        <f t="shared" si="133"/>
        <v>6850.7328128200652</v>
      </c>
      <c r="D419" s="95">
        <f t="shared" si="134"/>
        <v>280.71678108847789</v>
      </c>
      <c r="E419" s="95">
        <f t="shared" si="135"/>
        <v>-273.09683068117164</v>
      </c>
      <c r="F419" s="96">
        <f t="shared" si="136"/>
        <v>229.18517491552024</v>
      </c>
      <c r="G419" s="94">
        <f t="shared" si="137"/>
        <v>-197.66473632406689</v>
      </c>
      <c r="H419" s="97">
        <f t="shared" si="138"/>
        <v>767.59803425354323</v>
      </c>
      <c r="I419" s="94">
        <f t="shared" si="139"/>
        <v>324.8986319801528</v>
      </c>
      <c r="J419" s="95">
        <f t="shared" si="140"/>
        <v>-202.55970822007404</v>
      </c>
      <c r="K419" s="94">
        <f t="shared" si="141"/>
        <v>22.409659992821979</v>
      </c>
      <c r="L419" s="94">
        <f t="shared" si="142"/>
        <v>-335.85315111794893</v>
      </c>
      <c r="M419" s="94">
        <f t="shared" si="143"/>
        <v>-544.97302829704165</v>
      </c>
      <c r="N419" s="99">
        <f t="shared" si="144"/>
        <v>1751.0477151464927</v>
      </c>
      <c r="O419" s="99">
        <f t="shared" si="145"/>
        <v>28485.463577925351</v>
      </c>
      <c r="P419" s="100">
        <f t="shared" si="146"/>
        <v>25710.20731173996</v>
      </c>
      <c r="Q419" s="95">
        <f t="shared" si="147"/>
        <v>1046343292280.567</v>
      </c>
      <c r="R419" s="95">
        <f t="shared" si="148"/>
        <v>25238700105769.039</v>
      </c>
      <c r="S419" s="95">
        <f t="shared" si="149"/>
        <v>20993730611714.137</v>
      </c>
      <c r="T419">
        <f t="shared" si="125"/>
        <v>0.5</v>
      </c>
    </row>
    <row r="420" spans="1:20" x14ac:dyDescent="0.25">
      <c r="A420">
        <v>188.5</v>
      </c>
      <c r="B420" s="95">
        <f t="shared" si="132"/>
        <v>8663.710962973948</v>
      </c>
      <c r="C420" s="95">
        <f t="shared" si="133"/>
        <v>6664.7682133984626</v>
      </c>
      <c r="D420" s="95">
        <f t="shared" si="134"/>
        <v>395.30936854623803</v>
      </c>
      <c r="E420" s="95">
        <f t="shared" si="135"/>
        <v>-371.92919884320509</v>
      </c>
      <c r="F420" s="96">
        <f t="shared" si="136"/>
        <v>128.38283981736981</v>
      </c>
      <c r="G420" s="94">
        <f t="shared" si="137"/>
        <v>-99.603849727656382</v>
      </c>
      <c r="H420" s="97">
        <f t="shared" si="138"/>
        <v>671.53827530746798</v>
      </c>
      <c r="I420" s="94">
        <f t="shared" si="139"/>
        <v>419.73712117301204</v>
      </c>
      <c r="J420" s="95">
        <f t="shared" si="140"/>
        <v>-200.87223760987231</v>
      </c>
      <c r="K420" s="94">
        <f t="shared" si="141"/>
        <v>23.372949608221731</v>
      </c>
      <c r="L420" s="94">
        <f t="shared" si="142"/>
        <v>-342.28319788022588</v>
      </c>
      <c r="M420" s="94">
        <f t="shared" si="143"/>
        <v>-542.71392050889017</v>
      </c>
      <c r="N420" s="99">
        <f t="shared" si="144"/>
        <v>1665.6924147217853</v>
      </c>
      <c r="O420" s="99">
        <f t="shared" si="145"/>
        <v>28639.731910030358</v>
      </c>
      <c r="P420" s="100">
        <f t="shared" si="146"/>
        <v>25666.889101688765</v>
      </c>
      <c r="Q420" s="95">
        <f t="shared" si="147"/>
        <v>1041905322986.8663</v>
      </c>
      <c r="R420" s="95">
        <f t="shared" si="148"/>
        <v>25627440909771.719</v>
      </c>
      <c r="S420" s="95">
        <f t="shared" si="149"/>
        <v>20901704713082.922</v>
      </c>
      <c r="T420">
        <f t="shared" si="125"/>
        <v>0.5</v>
      </c>
    </row>
    <row r="421" spans="1:20" x14ac:dyDescent="0.25">
      <c r="A421">
        <v>189</v>
      </c>
      <c r="B421" s="95">
        <f t="shared" si="132"/>
        <v>8893.4613572014096</v>
      </c>
      <c r="C421" s="95">
        <f t="shared" si="133"/>
        <v>6453.9026515449459</v>
      </c>
      <c r="D421" s="95">
        <f t="shared" si="134"/>
        <v>459.50078845492294</v>
      </c>
      <c r="E421" s="95">
        <f t="shared" si="135"/>
        <v>-421.73112370703325</v>
      </c>
      <c r="F421" s="96">
        <f t="shared" si="136"/>
        <v>10.333882432816836</v>
      </c>
      <c r="G421" s="94">
        <f t="shared" si="137"/>
        <v>11.92711713578035</v>
      </c>
      <c r="H421" s="97">
        <f t="shared" si="138"/>
        <v>558.45177935931304</v>
      </c>
      <c r="I421" s="94">
        <f t="shared" si="139"/>
        <v>527.94805624706783</v>
      </c>
      <c r="J421" s="95">
        <f t="shared" si="140"/>
        <v>-198.19255612773145</v>
      </c>
      <c r="K421" s="94">
        <f t="shared" si="141"/>
        <v>24.324191867476255</v>
      </c>
      <c r="L421" s="94">
        <f t="shared" si="142"/>
        <v>-349.92534079876475</v>
      </c>
      <c r="M421" s="94">
        <f t="shared" si="143"/>
        <v>-540.34513097876368</v>
      </c>
      <c r="N421" s="99">
        <f t="shared" si="144"/>
        <v>1575.8427992111426</v>
      </c>
      <c r="O421" s="99">
        <f t="shared" si="145"/>
        <v>28857.097865850446</v>
      </c>
      <c r="P421" s="100">
        <f t="shared" si="146"/>
        <v>25613.652199949443</v>
      </c>
      <c r="Q421" s="95">
        <f t="shared" si="147"/>
        <v>1037479510202.7339</v>
      </c>
      <c r="R421" s="95">
        <f t="shared" si="148"/>
        <v>26182130049472.313</v>
      </c>
      <c r="S421" s="95">
        <f t="shared" si="149"/>
        <v>20789004131130.984</v>
      </c>
      <c r="T421">
        <f t="shared" si="125"/>
        <v>0.5</v>
      </c>
    </row>
    <row r="422" spans="1:20" x14ac:dyDescent="0.25">
      <c r="A422">
        <v>189.5</v>
      </c>
      <c r="B422" s="95">
        <f t="shared" si="132"/>
        <v>9125.7952220370753</v>
      </c>
      <c r="C422" s="95">
        <f t="shared" si="133"/>
        <v>6246.0188689753741</v>
      </c>
      <c r="D422" s="95">
        <f t="shared" si="134"/>
        <v>464.66772967133136</v>
      </c>
      <c r="E422" s="95">
        <f t="shared" si="135"/>
        <v>-415.76756513914307</v>
      </c>
      <c r="F422" s="96">
        <f t="shared" si="136"/>
        <v>-110.37381311500039</v>
      </c>
      <c r="G422" s="94">
        <f t="shared" si="137"/>
        <v>121.4572180439618</v>
      </c>
      <c r="H422" s="97">
        <f t="shared" si="138"/>
        <v>442.26133821604259</v>
      </c>
      <c r="I422" s="94">
        <f t="shared" si="139"/>
        <v>634.39069092818193</v>
      </c>
      <c r="J422" s="95">
        <f t="shared" si="140"/>
        <v>-194.90040273928761</v>
      </c>
      <c r="K422" s="94">
        <f t="shared" si="141"/>
        <v>25.120427742306077</v>
      </c>
      <c r="L422" s="94">
        <f t="shared" si="142"/>
        <v>-357.73474859175536</v>
      </c>
      <c r="M422" s="94">
        <f t="shared" si="143"/>
        <v>-538.05390062652623</v>
      </c>
      <c r="N422" s="99">
        <f t="shared" si="144"/>
        <v>1522.7433895608417</v>
      </c>
      <c r="O422" s="99">
        <f t="shared" si="145"/>
        <v>29110.254475095389</v>
      </c>
      <c r="P422" s="100">
        <f t="shared" si="146"/>
        <v>25559.698892319058</v>
      </c>
      <c r="Q422" s="95">
        <f t="shared" si="147"/>
        <v>1034982061081.6537</v>
      </c>
      <c r="R422" s="95">
        <f t="shared" si="148"/>
        <v>26838472687949.824</v>
      </c>
      <c r="S422" s="95">
        <f t="shared" si="149"/>
        <v>20675232450095.211</v>
      </c>
      <c r="T422">
        <f t="shared" si="125"/>
        <v>0.5</v>
      </c>
    </row>
    <row r="423" spans="1:20" x14ac:dyDescent="0.25">
      <c r="A423">
        <v>190</v>
      </c>
      <c r="B423" s="95">
        <f t="shared" si="132"/>
        <v>9330.5356335939905</v>
      </c>
      <c r="C423" s="95">
        <f t="shared" si="133"/>
        <v>6068.4993909167924</v>
      </c>
      <c r="D423" s="95">
        <f t="shared" si="134"/>
        <v>409.48082311383115</v>
      </c>
      <c r="E423" s="95">
        <f t="shared" si="135"/>
        <v>-355.03895611716217</v>
      </c>
      <c r="F423" s="96">
        <f t="shared" si="136"/>
        <v>-217.48907330549585</v>
      </c>
      <c r="G423" s="94">
        <f t="shared" si="137"/>
        <v>213.58634787907408</v>
      </c>
      <c r="H423" s="97">
        <f t="shared" si="138"/>
        <v>338.59376649334405</v>
      </c>
      <c r="I423" s="94">
        <f t="shared" si="139"/>
        <v>724.0074413057639</v>
      </c>
      <c r="J423" s="95">
        <f t="shared" si="140"/>
        <v>-191.44591815703095</v>
      </c>
      <c r="K423" s="94">
        <f t="shared" si="141"/>
        <v>25.661643320921293</v>
      </c>
      <c r="L423" s="94">
        <f t="shared" si="142"/>
        <v>-364.63692164180895</v>
      </c>
      <c r="M423" s="94">
        <f t="shared" si="143"/>
        <v>-536.08273674761108</v>
      </c>
      <c r="N423" s="99">
        <f t="shared" si="144"/>
        <v>1528.6277083642722</v>
      </c>
      <c r="O423" s="99">
        <f t="shared" si="145"/>
        <v>29366.721329561573</v>
      </c>
      <c r="P423" s="100">
        <f t="shared" si="146"/>
        <v>25513.357451260374</v>
      </c>
      <c r="Q423" s="95">
        <f t="shared" si="147"/>
        <v>1035254506269.1462</v>
      </c>
      <c r="R423" s="95">
        <f t="shared" si="148"/>
        <v>27514816788879.293</v>
      </c>
      <c r="S423" s="95">
        <f t="shared" si="149"/>
        <v>20577869288805.629</v>
      </c>
      <c r="T423">
        <f t="shared" si="125"/>
        <v>0.5</v>
      </c>
    </row>
    <row r="424" spans="1:20" x14ac:dyDescent="0.25">
      <c r="A424">
        <v>190.5</v>
      </c>
      <c r="B424" s="95">
        <f t="shared" si="132"/>
        <v>9480.9037768245325</v>
      </c>
      <c r="C424" s="95">
        <f t="shared" si="133"/>
        <v>5944.3764998279803</v>
      </c>
      <c r="D424" s="95">
        <f t="shared" si="134"/>
        <v>300.73628646108324</v>
      </c>
      <c r="E424" s="95">
        <f t="shared" si="135"/>
        <v>-248.24578217762513</v>
      </c>
      <c r="F424" s="96">
        <f t="shared" si="136"/>
        <v>-296.06264154480243</v>
      </c>
      <c r="G424" s="94">
        <f t="shared" si="137"/>
        <v>276.11316836319293</v>
      </c>
      <c r="H424" s="97">
        <f t="shared" si="138"/>
        <v>261.92524995442358</v>
      </c>
      <c r="I424" s="94">
        <f t="shared" si="139"/>
        <v>784.93553974443171</v>
      </c>
      <c r="J424" s="95">
        <f t="shared" si="140"/>
        <v>-188.28085906664666</v>
      </c>
      <c r="K424" s="94">
        <f t="shared" si="141"/>
        <v>25.901386281907179</v>
      </c>
      <c r="L424" s="94">
        <f t="shared" si="142"/>
        <v>-369.70703243257935</v>
      </c>
      <c r="M424" s="94">
        <f t="shared" si="143"/>
        <v>-534.72375766314599</v>
      </c>
      <c r="N424" s="99">
        <f t="shared" si="144"/>
        <v>1580.3089988014983</v>
      </c>
      <c r="O424" s="99">
        <f t="shared" si="145"/>
        <v>29592.854164354416</v>
      </c>
      <c r="P424" s="100">
        <f t="shared" si="146"/>
        <v>25480.304514090258</v>
      </c>
      <c r="Q424" s="95">
        <f t="shared" si="147"/>
        <v>1037693566846.535</v>
      </c>
      <c r="R424" s="95">
        <f t="shared" si="148"/>
        <v>28120780108906.949</v>
      </c>
      <c r="S424" s="95">
        <f t="shared" si="149"/>
        <v>20508626620416.832</v>
      </c>
      <c r="T424">
        <f t="shared" si="125"/>
        <v>0.5</v>
      </c>
    </row>
    <row r="425" spans="1:20" x14ac:dyDescent="0.25">
      <c r="A425">
        <v>191</v>
      </c>
      <c r="B425" s="95">
        <f t="shared" si="132"/>
        <v>9557.2562596688731</v>
      </c>
      <c r="C425" s="95">
        <f t="shared" si="133"/>
        <v>5889.2819008299666</v>
      </c>
      <c r="D425" s="95">
        <f t="shared" si="134"/>
        <v>152.70496568868202</v>
      </c>
      <c r="E425" s="95">
        <f t="shared" si="135"/>
        <v>-110.18919799602867</v>
      </c>
      <c r="F425" s="96">
        <f t="shared" si="136"/>
        <v>-335.33760789743002</v>
      </c>
      <c r="G425" s="94">
        <f t="shared" si="137"/>
        <v>302.03545673332189</v>
      </c>
      <c r="H425" s="97">
        <f t="shared" si="138"/>
        <v>222.77295548714326</v>
      </c>
      <c r="I425" s="94">
        <f t="shared" si="139"/>
        <v>810.4562497944703</v>
      </c>
      <c r="J425" s="95">
        <f t="shared" si="140"/>
        <v>-185.79664691308366</v>
      </c>
      <c r="K425" s="94">
        <f t="shared" si="141"/>
        <v>25.839936986061556</v>
      </c>
      <c r="L425" s="94">
        <f t="shared" si="142"/>
        <v>-372.31391647148962</v>
      </c>
      <c r="M425" s="94">
        <f t="shared" si="143"/>
        <v>-534.2607300472099</v>
      </c>
      <c r="N425" s="99">
        <f t="shared" si="144"/>
        <v>1639.9467562096279</v>
      </c>
      <c r="O425" s="99">
        <f t="shared" si="145"/>
        <v>29758.557919925061</v>
      </c>
      <c r="P425" s="100">
        <f t="shared" si="146"/>
        <v>25462.982566074177</v>
      </c>
      <c r="Q425" s="95">
        <f t="shared" si="147"/>
        <v>1040611414586.9384</v>
      </c>
      <c r="R425" s="95">
        <f t="shared" si="148"/>
        <v>28570575419656.082</v>
      </c>
      <c r="S425" s="95">
        <f t="shared" si="149"/>
        <v>20472405721146.254</v>
      </c>
      <c r="T425">
        <f t="shared" si="125"/>
        <v>0.5</v>
      </c>
    </row>
    <row r="426" spans="1:20" x14ac:dyDescent="0.25">
      <c r="A426">
        <v>191.5</v>
      </c>
      <c r="B426" s="95">
        <f t="shared" si="132"/>
        <v>9549.7743405388555</v>
      </c>
      <c r="C426" s="95">
        <f t="shared" si="133"/>
        <v>5909.6961660152829</v>
      </c>
      <c r="D426" s="95">
        <f t="shared" si="134"/>
        <v>-14.963838260032986</v>
      </c>
      <c r="E426" s="95">
        <f t="shared" si="135"/>
        <v>40.828530370632279</v>
      </c>
      <c r="F426" s="96">
        <f t="shared" si="136"/>
        <v>-330.26554183216365</v>
      </c>
      <c r="G426" s="94">
        <f t="shared" si="137"/>
        <v>289.63686437448791</v>
      </c>
      <c r="H426" s="97">
        <f t="shared" si="138"/>
        <v>226.20375523419872</v>
      </c>
      <c r="I426" s="94">
        <f t="shared" si="139"/>
        <v>799.00532466593586</v>
      </c>
      <c r="J426" s="95">
        <f t="shared" si="140"/>
        <v>-184.28133440678113</v>
      </c>
      <c r="K426" s="94">
        <f t="shared" si="141"/>
        <v>25.508372414939103</v>
      </c>
      <c r="L426" s="94">
        <f t="shared" si="142"/>
        <v>-372.18796265958127</v>
      </c>
      <c r="M426" s="94">
        <f t="shared" si="143"/>
        <v>-534.87683270638706</v>
      </c>
      <c r="N426" s="99">
        <f t="shared" si="144"/>
        <v>1670.4594621230178</v>
      </c>
      <c r="O426" s="99">
        <f t="shared" si="145"/>
        <v>29841.7392403757</v>
      </c>
      <c r="P426" s="100">
        <f t="shared" si="146"/>
        <v>25461.260929930613</v>
      </c>
      <c r="Q426" s="95">
        <f t="shared" si="147"/>
        <v>1042147172988.8937</v>
      </c>
      <c r="R426" s="95">
        <f t="shared" si="148"/>
        <v>28798214533259.809</v>
      </c>
      <c r="S426" s="95">
        <f t="shared" si="149"/>
        <v>20468808221252.594</v>
      </c>
      <c r="T426">
        <f t="shared" si="125"/>
        <v>0.5</v>
      </c>
    </row>
    <row r="427" spans="1:20" x14ac:dyDescent="0.25">
      <c r="A427">
        <v>192</v>
      </c>
      <c r="B427" s="95">
        <f t="shared" si="132"/>
        <v>9459.7260359507982</v>
      </c>
      <c r="C427" s="95">
        <f t="shared" si="133"/>
        <v>6002.5196472942207</v>
      </c>
      <c r="D427" s="95">
        <f t="shared" si="134"/>
        <v>-180.09660917611481</v>
      </c>
      <c r="E427" s="95">
        <f t="shared" si="135"/>
        <v>185.64696255787624</v>
      </c>
      <c r="F427" s="96">
        <f t="shared" si="136"/>
        <v>-281.63386003724645</v>
      </c>
      <c r="G427" s="94">
        <f t="shared" si="137"/>
        <v>241.39943183240905</v>
      </c>
      <c r="H427" s="97">
        <f t="shared" si="138"/>
        <v>271.67864907195633</v>
      </c>
      <c r="I427" s="94">
        <f t="shared" si="139"/>
        <v>753.01322348721055</v>
      </c>
      <c r="J427" s="95">
        <f t="shared" si="140"/>
        <v>-183.89873214737162</v>
      </c>
      <c r="K427" s="94">
        <f t="shared" si="141"/>
        <v>24.953781571135874</v>
      </c>
      <c r="L427" s="94">
        <f t="shared" si="142"/>
        <v>-369.41377696183116</v>
      </c>
      <c r="M427" s="94">
        <f t="shared" si="143"/>
        <v>-536.56757322593739</v>
      </c>
      <c r="N427" s="99">
        <f t="shared" si="144"/>
        <v>1652.806530972005</v>
      </c>
      <c r="O427" s="99">
        <f t="shared" si="145"/>
        <v>29831.522740736491</v>
      </c>
      <c r="P427" s="100">
        <f t="shared" si="146"/>
        <v>25473.737988675257</v>
      </c>
      <c r="Q427" s="95">
        <f t="shared" si="147"/>
        <v>1041255126341.8441</v>
      </c>
      <c r="R427" s="95">
        <f t="shared" si="148"/>
        <v>28770188741957.734</v>
      </c>
      <c r="S427" s="95">
        <f t="shared" si="149"/>
        <v>20494890337273.336</v>
      </c>
      <c r="T427">
        <f t="shared" si="125"/>
        <v>0.5</v>
      </c>
    </row>
    <row r="428" spans="1:20" x14ac:dyDescent="0.25">
      <c r="A428">
        <v>192.5</v>
      </c>
      <c r="B428" s="95">
        <f t="shared" si="132"/>
        <v>9299.269266353429</v>
      </c>
      <c r="C428" s="95">
        <f t="shared" si="133"/>
        <v>6155.6929865312604</v>
      </c>
      <c r="D428" s="95">
        <f t="shared" si="134"/>
        <v>-320.91353919473806</v>
      </c>
      <c r="E428" s="95">
        <f t="shared" si="135"/>
        <v>306.34667847408076</v>
      </c>
      <c r="F428" s="96">
        <f t="shared" si="136"/>
        <v>-195.68163967855008</v>
      </c>
      <c r="G428" s="94">
        <f t="shared" si="137"/>
        <v>163.0747267872041</v>
      </c>
      <c r="H428" s="97">
        <f t="shared" si="138"/>
        <v>353.38308385083957</v>
      </c>
      <c r="I428" s="94">
        <f t="shared" si="139"/>
        <v>677.94280349276073</v>
      </c>
      <c r="J428" s="95">
        <f t="shared" si="140"/>
        <v>-184.68350209101203</v>
      </c>
      <c r="K428" s="94">
        <f t="shared" si="141"/>
        <v>24.232006467675632</v>
      </c>
      <c r="L428" s="94">
        <f t="shared" si="142"/>
        <v>-364.38122143837762</v>
      </c>
      <c r="M428" s="94">
        <f t="shared" si="143"/>
        <v>-539.10008317323229</v>
      </c>
      <c r="N428" s="99">
        <f t="shared" si="144"/>
        <v>1591.9621110344503</v>
      </c>
      <c r="O428" s="99">
        <f t="shared" si="145"/>
        <v>29729.70412371348</v>
      </c>
      <c r="P428" s="100">
        <f t="shared" si="146"/>
        <v>25498.813865937631</v>
      </c>
      <c r="Q428" s="95">
        <f t="shared" si="147"/>
        <v>1038255001239.1334</v>
      </c>
      <c r="R428" s="95">
        <f t="shared" si="148"/>
        <v>28491901223727.148</v>
      </c>
      <c r="S428" s="95">
        <f t="shared" si="149"/>
        <v>20547381257075.07</v>
      </c>
      <c r="T428">
        <f t="shared" ref="T428:T491" si="150">A429-A428</f>
        <v>0.5</v>
      </c>
    </row>
    <row r="429" spans="1:20" x14ac:dyDescent="0.25">
      <c r="A429">
        <v>193</v>
      </c>
      <c r="B429" s="95">
        <f t="shared" ref="B429:B492" si="151">B428+(D428*$T428)+(F428*($T428)^2)</f>
        <v>9089.8920868364221</v>
      </c>
      <c r="C429" s="95">
        <f t="shared" ref="C429:C492" si="152">C428+(E428*$T428)+(G428*($T428)^2)</f>
        <v>6349.6350074651018</v>
      </c>
      <c r="D429" s="95">
        <f t="shared" ref="D429:D492" si="153">D428+(F428*$T428)</f>
        <v>-418.75435903401308</v>
      </c>
      <c r="E429" s="95">
        <f t="shared" ref="E429:E492" si="154">E428+(G428*$T428)</f>
        <v>387.88404186768281</v>
      </c>
      <c r="F429" s="96">
        <f t="shared" ref="F429:F492" si="155">SUM(H429,J429,L429)</f>
        <v>-83.706117152428078</v>
      </c>
      <c r="G429" s="94">
        <f t="shared" ref="G429:G492" si="156">SUM(I429,K429,M429)</f>
        <v>63.511517771249601</v>
      </c>
      <c r="H429" s="97">
        <f t="shared" ref="H429:H492" si="157">$D$22*(($D$18-$B429)/$Q429)</f>
        <v>460.56361019146323</v>
      </c>
      <c r="I429" s="94">
        <f t="shared" ref="I429:I492" si="158">$D$22*(($E$18-$C429)/$Q429)</f>
        <v>582.14662935748152</v>
      </c>
      <c r="J429" s="95">
        <f t="shared" ref="J429:J492" si="159">$D$30*(($D$26-$B429)/$R429)</f>
        <v>-186.54297437769907</v>
      </c>
      <c r="K429" s="94">
        <f t="shared" ref="K429:K492" si="160">$D$30*(($E$26-$C429)/$R429)</f>
        <v>23.40847264881489</v>
      </c>
      <c r="L429" s="94">
        <f t="shared" ref="L429:L492" si="161">$D$38*(($D$34-$B429)/$S429)</f>
        <v>-357.72675296619224</v>
      </c>
      <c r="M429" s="94">
        <f t="shared" ref="M429:M492" si="162">$D$38*(($E$34-$C429)/$S429)</f>
        <v>-542.04358423504675</v>
      </c>
      <c r="N429" s="99">
        <f t="shared" ref="N429:N492" si="163">SQRT(($D$18-$B428)^2+($E$18-$C428)^2)</f>
        <v>1515.9765524367795</v>
      </c>
      <c r="O429" s="99">
        <f t="shared" ref="O429:O492" si="164">SQRT(($D$26-$B428)^2+($E$26-$C428)^2)</f>
        <v>29550.395529604801</v>
      </c>
      <c r="P429" s="100">
        <f t="shared" ref="P429:P492" si="165">SQRT(($D$34-$B428)^2+($E$34-$C428)^2)</f>
        <v>25534.926028716978</v>
      </c>
      <c r="Q429" s="95">
        <f t="shared" ref="Q429:Q492" si="166">(N429^2+$D$39^2)^(3/2)</f>
        <v>1034670083458.5498</v>
      </c>
      <c r="R429" s="95">
        <f t="shared" ref="R429:R492" si="167">(O429^2+$D$31^2)^(3/2)</f>
        <v>28006314104884.648</v>
      </c>
      <c r="S429" s="95">
        <f t="shared" ref="S429:S492" si="168">(P429^2+$D$23^2)^(3/2)</f>
        <v>20623143736965.441</v>
      </c>
      <c r="T429">
        <f t="shared" si="150"/>
        <v>0.5</v>
      </c>
    </row>
    <row r="430" spans="1:20" x14ac:dyDescent="0.25">
      <c r="A430">
        <v>193.5</v>
      </c>
      <c r="B430" s="95">
        <f t="shared" si="151"/>
        <v>8859.5883780313088</v>
      </c>
      <c r="C430" s="95">
        <f t="shared" si="152"/>
        <v>6559.4549078417558</v>
      </c>
      <c r="D430" s="95">
        <f t="shared" si="153"/>
        <v>-460.60741761022712</v>
      </c>
      <c r="E430" s="95">
        <f t="shared" si="154"/>
        <v>419.63980075330761</v>
      </c>
      <c r="F430" s="96">
        <f t="shared" si="155"/>
        <v>38.818943323552446</v>
      </c>
      <c r="G430" s="94">
        <f t="shared" si="156"/>
        <v>-45.315474006415343</v>
      </c>
      <c r="H430" s="97">
        <f t="shared" si="157"/>
        <v>578.35203368392922</v>
      </c>
      <c r="I430" s="94">
        <f t="shared" si="158"/>
        <v>476.99107615381098</v>
      </c>
      <c r="J430" s="95">
        <f t="shared" si="159"/>
        <v>-189.26128599009741</v>
      </c>
      <c r="K430" s="94">
        <f t="shared" si="160"/>
        <v>22.563107280645397</v>
      </c>
      <c r="L430" s="94">
        <f t="shared" si="161"/>
        <v>-350.27180437027937</v>
      </c>
      <c r="M430" s="94">
        <f t="shared" si="162"/>
        <v>-544.86965744087172</v>
      </c>
      <c r="N430" s="99">
        <f t="shared" si="163"/>
        <v>1466.8456052539336</v>
      </c>
      <c r="O430" s="99">
        <f t="shared" si="164"/>
        <v>29318.031758672212</v>
      </c>
      <c r="P430" s="100">
        <f t="shared" si="165"/>
        <v>25579.913486379795</v>
      </c>
      <c r="Q430" s="95">
        <f t="shared" si="166"/>
        <v>1032447530507.3506</v>
      </c>
      <c r="R430" s="95">
        <f t="shared" si="167"/>
        <v>27385526076109.207</v>
      </c>
      <c r="S430" s="95">
        <f t="shared" si="168"/>
        <v>20717806613295.738</v>
      </c>
      <c r="T430">
        <f t="shared" si="150"/>
        <v>0.5</v>
      </c>
    </row>
    <row r="431" spans="1:20" x14ac:dyDescent="0.25">
      <c r="A431">
        <v>194</v>
      </c>
      <c r="B431" s="95">
        <f t="shared" si="151"/>
        <v>8638.9894050570838</v>
      </c>
      <c r="C431" s="95">
        <f t="shared" si="152"/>
        <v>6757.9459397168057</v>
      </c>
      <c r="D431" s="95">
        <f t="shared" si="153"/>
        <v>-441.19794594845087</v>
      </c>
      <c r="E431" s="95">
        <f t="shared" si="154"/>
        <v>396.98206375009994</v>
      </c>
      <c r="F431" s="96">
        <f t="shared" si="155"/>
        <v>154.43264101890441</v>
      </c>
      <c r="G431" s="94">
        <f t="shared" si="156"/>
        <v>-149.15640440858124</v>
      </c>
      <c r="H431" s="97">
        <f t="shared" si="157"/>
        <v>689.88763424523381</v>
      </c>
      <c r="I431" s="94">
        <f t="shared" si="158"/>
        <v>376.14249443246592</v>
      </c>
      <c r="J431" s="95">
        <f t="shared" si="159"/>
        <v>-192.50994875327689</v>
      </c>
      <c r="K431" s="94">
        <f t="shared" si="160"/>
        <v>21.792935922880794</v>
      </c>
      <c r="L431" s="94">
        <f t="shared" si="161"/>
        <v>-342.94504447305252</v>
      </c>
      <c r="M431" s="94">
        <f t="shared" si="162"/>
        <v>-547.09183476392798</v>
      </c>
      <c r="N431" s="99">
        <f t="shared" si="163"/>
        <v>1478.2299340441664</v>
      </c>
      <c r="O431" s="99">
        <f t="shared" si="164"/>
        <v>29063.950039190717</v>
      </c>
      <c r="P431" s="100">
        <f t="shared" si="165"/>
        <v>25630.027037280364</v>
      </c>
      <c r="Q431" s="95">
        <f t="shared" si="166"/>
        <v>1032955869499.043</v>
      </c>
      <c r="R431" s="95">
        <f t="shared" si="167"/>
        <v>26717588260776.137</v>
      </c>
      <c r="S431" s="95">
        <f t="shared" si="168"/>
        <v>20823622524883</v>
      </c>
      <c r="T431">
        <f t="shared" si="150"/>
        <v>0.5</v>
      </c>
    </row>
    <row r="432" spans="1:20" x14ac:dyDescent="0.25">
      <c r="A432">
        <v>194.5</v>
      </c>
      <c r="B432" s="95">
        <f t="shared" si="151"/>
        <v>8456.9985923375843</v>
      </c>
      <c r="C432" s="95">
        <f t="shared" si="152"/>
        <v>6919.1478704897099</v>
      </c>
      <c r="D432" s="95">
        <f t="shared" si="153"/>
        <v>-363.98162543899866</v>
      </c>
      <c r="E432" s="95">
        <f t="shared" si="154"/>
        <v>322.40386154580932</v>
      </c>
      <c r="F432" s="96">
        <f t="shared" si="155"/>
        <v>247.09057563896221</v>
      </c>
      <c r="G432" s="94">
        <f t="shared" si="156"/>
        <v>-233.69382841649082</v>
      </c>
      <c r="H432" s="97">
        <f t="shared" si="157"/>
        <v>779.64332040902821</v>
      </c>
      <c r="I432" s="94">
        <f t="shared" si="158"/>
        <v>293.49129603460187</v>
      </c>
      <c r="J432" s="95">
        <f t="shared" si="159"/>
        <v>-195.87454479245503</v>
      </c>
      <c r="K432" s="94">
        <f t="shared" si="160"/>
        <v>21.206049066720031</v>
      </c>
      <c r="L432" s="94">
        <f t="shared" si="161"/>
        <v>-336.67819997761097</v>
      </c>
      <c r="M432" s="94">
        <f t="shared" si="162"/>
        <v>-548.39117351781272</v>
      </c>
      <c r="N432" s="99">
        <f t="shared" si="163"/>
        <v>1550.1593685584862</v>
      </c>
      <c r="O432" s="99">
        <f t="shared" si="164"/>
        <v>28821.912300761214</v>
      </c>
      <c r="P432" s="100">
        <f t="shared" si="165"/>
        <v>25679.373892423828</v>
      </c>
      <c r="Q432" s="95">
        <f t="shared" si="166"/>
        <v>1036260590771.9861</v>
      </c>
      <c r="R432" s="95">
        <f t="shared" si="167"/>
        <v>26091787603778.902</v>
      </c>
      <c r="S432" s="95">
        <f t="shared" si="168"/>
        <v>20928197865631.191</v>
      </c>
      <c r="T432">
        <f t="shared" si="150"/>
        <v>0.5</v>
      </c>
    </row>
    <row r="433" spans="1:20" x14ac:dyDescent="0.25">
      <c r="A433">
        <v>195</v>
      </c>
      <c r="B433" s="95">
        <f t="shared" si="151"/>
        <v>8336.7804235278254</v>
      </c>
      <c r="C433" s="95">
        <f t="shared" si="152"/>
        <v>7021.9263441584917</v>
      </c>
      <c r="D433" s="95">
        <f t="shared" si="153"/>
        <v>-240.43633761951756</v>
      </c>
      <c r="E433" s="95">
        <f t="shared" si="154"/>
        <v>205.55694733756391</v>
      </c>
      <c r="F433" s="96">
        <f t="shared" si="155"/>
        <v>305.33170901653364</v>
      </c>
      <c r="G433" s="94">
        <f t="shared" si="156"/>
        <v>-287.32226363775715</v>
      </c>
      <c r="H433" s="97">
        <f t="shared" si="157"/>
        <v>836.52098483723648</v>
      </c>
      <c r="I433" s="94">
        <f t="shared" si="158"/>
        <v>240.44849583693386</v>
      </c>
      <c r="J433" s="95">
        <f t="shared" si="159"/>
        <v>-198.9043282195374</v>
      </c>
      <c r="K433" s="94">
        <f t="shared" si="160"/>
        <v>20.90398877536672</v>
      </c>
      <c r="L433" s="94">
        <f t="shared" si="161"/>
        <v>-332.28494760116541</v>
      </c>
      <c r="M433" s="94">
        <f t="shared" si="162"/>
        <v>-548.67474825005775</v>
      </c>
      <c r="N433" s="99">
        <f t="shared" si="163"/>
        <v>1648.7093559523569</v>
      </c>
      <c r="O433" s="99">
        <f t="shared" si="164"/>
        <v>28623.284555204551</v>
      </c>
      <c r="P433" s="100">
        <f t="shared" si="165"/>
        <v>25720.417074428813</v>
      </c>
      <c r="Q433" s="95">
        <f t="shared" si="166"/>
        <v>1041049477033.0198</v>
      </c>
      <c r="R433" s="95">
        <f t="shared" si="167"/>
        <v>25585800760448.086</v>
      </c>
      <c r="S433" s="95">
        <f t="shared" si="168"/>
        <v>21015462634089.055</v>
      </c>
      <c r="T433">
        <f t="shared" si="150"/>
        <v>0.5</v>
      </c>
    </row>
    <row r="434" spans="1:20" x14ac:dyDescent="0.25">
      <c r="A434">
        <v>195.5</v>
      </c>
      <c r="B434" s="95">
        <f t="shared" si="151"/>
        <v>8292.8951819722006</v>
      </c>
      <c r="C434" s="95">
        <f t="shared" si="152"/>
        <v>7052.874251917834</v>
      </c>
      <c r="D434" s="95">
        <f t="shared" si="153"/>
        <v>-87.770483111250741</v>
      </c>
      <c r="E434" s="95">
        <f t="shared" si="154"/>
        <v>61.895815518685339</v>
      </c>
      <c r="F434" s="96">
        <f t="shared" si="155"/>
        <v>323.60810716191742</v>
      </c>
      <c r="G434" s="94">
        <f t="shared" si="156"/>
        <v>-303.11346602168658</v>
      </c>
      <c r="H434" s="97">
        <f t="shared" si="157"/>
        <v>855.13665434830773</v>
      </c>
      <c r="I434" s="94">
        <f t="shared" si="158"/>
        <v>223.97782037174312</v>
      </c>
      <c r="J434" s="95">
        <f t="shared" si="159"/>
        <v>-201.1800562856308</v>
      </c>
      <c r="K434" s="94">
        <f t="shared" si="160"/>
        <v>20.95589440623209</v>
      </c>
      <c r="L434" s="94">
        <f t="shared" si="161"/>
        <v>-330.34849090075949</v>
      </c>
      <c r="M434" s="94">
        <f t="shared" si="162"/>
        <v>-548.04718079966176</v>
      </c>
      <c r="N434" s="99">
        <f t="shared" si="163"/>
        <v>1730.5645841660878</v>
      </c>
      <c r="O434" s="99">
        <f t="shared" si="164"/>
        <v>28492.842039200772</v>
      </c>
      <c r="P434" s="100">
        <f t="shared" si="165"/>
        <v>25745.58121256805</v>
      </c>
      <c r="Q434" s="95">
        <f t="shared" si="166"/>
        <v>1045257489539.4919</v>
      </c>
      <c r="R434" s="95">
        <f t="shared" si="167"/>
        <v>25257200257723.172</v>
      </c>
      <c r="S434" s="95">
        <f t="shared" si="168"/>
        <v>21069094708012.691</v>
      </c>
      <c r="T434">
        <f t="shared" si="150"/>
        <v>0.5</v>
      </c>
    </row>
    <row r="435" spans="1:20" x14ac:dyDescent="0.25">
      <c r="A435">
        <v>196</v>
      </c>
      <c r="B435" s="95">
        <f t="shared" si="151"/>
        <v>8329.9119672070556</v>
      </c>
      <c r="C435" s="95">
        <f t="shared" si="152"/>
        <v>7008.0437931717552</v>
      </c>
      <c r="D435" s="95">
        <f t="shared" si="153"/>
        <v>74.033570469707968</v>
      </c>
      <c r="E435" s="95">
        <f t="shared" si="154"/>
        <v>-89.660917492157949</v>
      </c>
      <c r="F435" s="96">
        <f t="shared" si="155"/>
        <v>301.61796494969957</v>
      </c>
      <c r="G435" s="94">
        <f t="shared" si="156"/>
        <v>-279.34185729261156</v>
      </c>
      <c r="H435" s="97">
        <f t="shared" si="157"/>
        <v>835.14276737395528</v>
      </c>
      <c r="I435" s="94">
        <f t="shared" si="158"/>
        <v>246.00719239347509</v>
      </c>
      <c r="J435" s="95">
        <f t="shared" si="159"/>
        <v>-202.3836118409917</v>
      </c>
      <c r="K435" s="94">
        <f t="shared" si="160"/>
        <v>21.373977593325709</v>
      </c>
      <c r="L435" s="94">
        <f t="shared" si="161"/>
        <v>-331.14119058326406</v>
      </c>
      <c r="M435" s="94">
        <f t="shared" si="162"/>
        <v>-546.72302727941235</v>
      </c>
      <c r="N435" s="99">
        <f t="shared" si="163"/>
        <v>1764.6892911591442</v>
      </c>
      <c r="O435" s="99">
        <f t="shared" si="164"/>
        <v>28445.974547430687</v>
      </c>
      <c r="P435" s="100">
        <f t="shared" si="165"/>
        <v>25749.375236882941</v>
      </c>
      <c r="Q435" s="95">
        <f t="shared" si="166"/>
        <v>1047073725922.838</v>
      </c>
      <c r="R435" s="95">
        <f t="shared" si="167"/>
        <v>25139846698944.215</v>
      </c>
      <c r="S435" s="95">
        <f t="shared" si="168"/>
        <v>21077189378250.281</v>
      </c>
      <c r="T435">
        <f t="shared" si="150"/>
        <v>0.5</v>
      </c>
    </row>
    <row r="436" spans="1:20" x14ac:dyDescent="0.25">
      <c r="A436">
        <v>196.5</v>
      </c>
      <c r="B436" s="95">
        <f t="shared" si="151"/>
        <v>8442.3332436793335</v>
      </c>
      <c r="C436" s="95">
        <f t="shared" si="152"/>
        <v>6893.377870102523</v>
      </c>
      <c r="D436" s="95">
        <f t="shared" si="153"/>
        <v>224.84255294455775</v>
      </c>
      <c r="E436" s="95">
        <f t="shared" si="154"/>
        <v>-229.33184613846373</v>
      </c>
      <c r="F436" s="96">
        <f t="shared" si="155"/>
        <v>242.93049997207424</v>
      </c>
      <c r="G436" s="94">
        <f t="shared" si="156"/>
        <v>-219.11947598841675</v>
      </c>
      <c r="H436" s="97">
        <f t="shared" si="157"/>
        <v>779.86591972135045</v>
      </c>
      <c r="I436" s="94">
        <f t="shared" si="158"/>
        <v>303.713180843175</v>
      </c>
      <c r="J436" s="95">
        <f t="shared" si="159"/>
        <v>-202.35065481789204</v>
      </c>
      <c r="K436" s="94">
        <f t="shared" si="160"/>
        <v>22.101809189518832</v>
      </c>
      <c r="L436" s="94">
        <f t="shared" si="161"/>
        <v>-334.58476493138414</v>
      </c>
      <c r="M436" s="94">
        <f t="shared" si="162"/>
        <v>-544.93446602111055</v>
      </c>
      <c r="N436" s="99">
        <f t="shared" si="163"/>
        <v>1741.0384679021431</v>
      </c>
      <c r="O436" s="99">
        <f t="shared" si="164"/>
        <v>28487.465910699735</v>
      </c>
      <c r="P436" s="100">
        <f t="shared" si="165"/>
        <v>25730.148554869549</v>
      </c>
      <c r="Q436" s="95">
        <f t="shared" si="166"/>
        <v>1045811062869.7423</v>
      </c>
      <c r="R436" s="95">
        <f t="shared" si="167"/>
        <v>25243719671223.648</v>
      </c>
      <c r="S436" s="95">
        <f t="shared" si="168"/>
        <v>21036191618044.008</v>
      </c>
      <c r="T436">
        <f t="shared" si="150"/>
        <v>0.5</v>
      </c>
    </row>
    <row r="437" spans="1:20" x14ac:dyDescent="0.25">
      <c r="A437">
        <v>197</v>
      </c>
      <c r="B437" s="95">
        <f t="shared" si="151"/>
        <v>8615.4871451446324</v>
      </c>
      <c r="C437" s="95">
        <f t="shared" si="152"/>
        <v>6723.9320780361868</v>
      </c>
      <c r="D437" s="95">
        <f t="shared" si="153"/>
        <v>346.3078029305949</v>
      </c>
      <c r="E437" s="95">
        <f t="shared" si="154"/>
        <v>-338.89158413267211</v>
      </c>
      <c r="F437" s="96">
        <f t="shared" si="155"/>
        <v>154.22724267582504</v>
      </c>
      <c r="G437" s="94">
        <f t="shared" si="156"/>
        <v>-129.96367141934167</v>
      </c>
      <c r="H437" s="97">
        <f t="shared" si="157"/>
        <v>695.57179336744991</v>
      </c>
      <c r="I437" s="94">
        <f t="shared" si="158"/>
        <v>389.89233965018752</v>
      </c>
      <c r="J437" s="95">
        <f t="shared" si="159"/>
        <v>-201.09510080278235</v>
      </c>
      <c r="K437" s="94">
        <f t="shared" si="160"/>
        <v>23.022540404868057</v>
      </c>
      <c r="L437" s="94">
        <f t="shared" si="161"/>
        <v>-340.24944988884255</v>
      </c>
      <c r="M437" s="94">
        <f t="shared" si="162"/>
        <v>-542.87855147439723</v>
      </c>
      <c r="N437" s="99">
        <f t="shared" si="163"/>
        <v>1671.6208099410278</v>
      </c>
      <c r="O437" s="99">
        <f t="shared" si="164"/>
        <v>28611.49107268748</v>
      </c>
      <c r="P437" s="100">
        <f t="shared" si="165"/>
        <v>25690.782736172547</v>
      </c>
      <c r="Q437" s="95">
        <f t="shared" si="166"/>
        <v>1042206200013.946</v>
      </c>
      <c r="R437" s="95">
        <f t="shared" si="167"/>
        <v>25555971540723.754</v>
      </c>
      <c r="S437" s="95">
        <f t="shared" si="168"/>
        <v>20952428874465.852</v>
      </c>
      <c r="T437">
        <f t="shared" si="150"/>
        <v>0.5</v>
      </c>
    </row>
    <row r="438" spans="1:20" x14ac:dyDescent="0.25">
      <c r="A438">
        <v>197.5</v>
      </c>
      <c r="B438" s="95">
        <f t="shared" si="151"/>
        <v>8827.1978572788867</v>
      </c>
      <c r="C438" s="95">
        <f t="shared" si="152"/>
        <v>6521.9953681150155</v>
      </c>
      <c r="D438" s="95">
        <f t="shared" si="153"/>
        <v>423.42142426850739</v>
      </c>
      <c r="E438" s="95">
        <f t="shared" si="154"/>
        <v>-403.87341984234297</v>
      </c>
      <c r="F438" s="96">
        <f t="shared" si="155"/>
        <v>45.386176834866831</v>
      </c>
      <c r="G438" s="94">
        <f t="shared" si="156"/>
        <v>-23.407589106007208</v>
      </c>
      <c r="H438" s="97">
        <f t="shared" si="157"/>
        <v>591.58319940350566</v>
      </c>
      <c r="I438" s="94">
        <f t="shared" si="158"/>
        <v>493.32371427935601</v>
      </c>
      <c r="J438" s="95">
        <f t="shared" si="159"/>
        <v>-198.80355541420914</v>
      </c>
      <c r="K438" s="94">
        <f t="shared" si="160"/>
        <v>23.985671100919497</v>
      </c>
      <c r="L438" s="94">
        <f t="shared" si="161"/>
        <v>-347.39346715442969</v>
      </c>
      <c r="M438" s="94">
        <f t="shared" si="162"/>
        <v>-540.71697448628277</v>
      </c>
      <c r="N438" s="99">
        <f t="shared" si="163"/>
        <v>1587.1853277928799</v>
      </c>
      <c r="O438" s="99">
        <f t="shared" si="164"/>
        <v>28802.408329569556</v>
      </c>
      <c r="P438" s="100">
        <f t="shared" si="165"/>
        <v>25638.071595397509</v>
      </c>
      <c r="Q438" s="95">
        <f t="shared" si="166"/>
        <v>1038024349858.1635</v>
      </c>
      <c r="R438" s="95">
        <f t="shared" si="167"/>
        <v>26041801497964.336</v>
      </c>
      <c r="S438" s="95">
        <f t="shared" si="168"/>
        <v>20840644838056.875</v>
      </c>
      <c r="T438">
        <f t="shared" si="150"/>
        <v>0.5</v>
      </c>
    </row>
    <row r="439" spans="1:20" x14ac:dyDescent="0.25">
      <c r="A439">
        <v>198</v>
      </c>
      <c r="B439" s="95">
        <f t="shared" si="151"/>
        <v>9050.2551136218572</v>
      </c>
      <c r="C439" s="95">
        <f t="shared" si="152"/>
        <v>6314.2067609173428</v>
      </c>
      <c r="D439" s="95">
        <f t="shared" si="153"/>
        <v>446.11451268594078</v>
      </c>
      <c r="E439" s="95">
        <f t="shared" si="154"/>
        <v>-415.57721439534657</v>
      </c>
      <c r="F439" s="96">
        <f t="shared" si="155"/>
        <v>-70.470132021733377</v>
      </c>
      <c r="G439" s="94">
        <f t="shared" si="156"/>
        <v>86.009130237024806</v>
      </c>
      <c r="H439" s="97">
        <f t="shared" si="157"/>
        <v>480.38414020429047</v>
      </c>
      <c r="I439" s="94">
        <f t="shared" si="158"/>
        <v>599.77818652869394</v>
      </c>
      <c r="J439" s="95">
        <f t="shared" si="159"/>
        <v>-195.80310330123234</v>
      </c>
      <c r="K439" s="94">
        <f t="shared" si="160"/>
        <v>24.842802636892515</v>
      </c>
      <c r="L439" s="94">
        <f t="shared" si="161"/>
        <v>-355.05116892479151</v>
      </c>
      <c r="M439" s="94">
        <f t="shared" si="162"/>
        <v>-538.61185892856167</v>
      </c>
      <c r="N439" s="99">
        <f t="shared" si="163"/>
        <v>1527.0749575445598</v>
      </c>
      <c r="O439" s="99">
        <f t="shared" si="164"/>
        <v>29036.250662269016</v>
      </c>
      <c r="P439" s="100">
        <f t="shared" si="165"/>
        <v>25581.002427768581</v>
      </c>
      <c r="Q439" s="95">
        <f t="shared" si="166"/>
        <v>1035182509203.7032</v>
      </c>
      <c r="R439" s="95">
        <f t="shared" si="167"/>
        <v>26645453871198.723</v>
      </c>
      <c r="S439" s="95">
        <f t="shared" si="168"/>
        <v>20720101828180.344</v>
      </c>
      <c r="T439">
        <f t="shared" si="150"/>
        <v>0.5</v>
      </c>
    </row>
    <row r="440" spans="1:20" x14ac:dyDescent="0.25">
      <c r="A440">
        <v>198.5</v>
      </c>
      <c r="B440" s="95">
        <f t="shared" si="151"/>
        <v>9255.6948369593938</v>
      </c>
      <c r="C440" s="95">
        <f t="shared" si="152"/>
        <v>6127.9204362789251</v>
      </c>
      <c r="D440" s="95">
        <f t="shared" si="153"/>
        <v>410.87944667507406</v>
      </c>
      <c r="E440" s="95">
        <f t="shared" si="154"/>
        <v>-372.57264927683417</v>
      </c>
      <c r="F440" s="96">
        <f t="shared" si="155"/>
        <v>-178.07756015168175</v>
      </c>
      <c r="G440" s="94">
        <f t="shared" si="156"/>
        <v>182.95911383678379</v>
      </c>
      <c r="H440" s="97">
        <f t="shared" si="157"/>
        <v>376.60362110106763</v>
      </c>
      <c r="I440" s="94">
        <f t="shared" si="158"/>
        <v>694.24499223571729</v>
      </c>
      <c r="J440" s="95">
        <f t="shared" si="159"/>
        <v>-192.50841867602477</v>
      </c>
      <c r="K440" s="94">
        <f t="shared" si="160"/>
        <v>25.47907058621643</v>
      </c>
      <c r="L440" s="94">
        <f t="shared" si="161"/>
        <v>-362.17276257672461</v>
      </c>
      <c r="M440" s="94">
        <f t="shared" si="162"/>
        <v>-536.76494898514989</v>
      </c>
      <c r="N440" s="99">
        <f t="shared" si="163"/>
        <v>1519.2501291938636</v>
      </c>
      <c r="O440" s="99">
        <f t="shared" si="164"/>
        <v>29283.141804932413</v>
      </c>
      <c r="P440" s="100">
        <f t="shared" si="165"/>
        <v>25528.5150097884</v>
      </c>
      <c r="Q440" s="95">
        <f t="shared" si="166"/>
        <v>1034820830718.9023</v>
      </c>
      <c r="R440" s="95">
        <f t="shared" si="167"/>
        <v>27293135607950.887</v>
      </c>
      <c r="S440" s="95">
        <f t="shared" si="168"/>
        <v>20609678952192.488</v>
      </c>
      <c r="T440">
        <f t="shared" si="150"/>
        <v>0.5</v>
      </c>
    </row>
    <row r="441" spans="1:20" x14ac:dyDescent="0.25">
      <c r="A441">
        <v>199</v>
      </c>
      <c r="B441" s="95">
        <f t="shared" si="151"/>
        <v>9416.6151702590105</v>
      </c>
      <c r="C441" s="95">
        <f t="shared" si="152"/>
        <v>5987.3738900997041</v>
      </c>
      <c r="D441" s="95">
        <f t="shared" si="153"/>
        <v>321.8406665992332</v>
      </c>
      <c r="E441" s="95">
        <f t="shared" si="154"/>
        <v>-281.09309235844228</v>
      </c>
      <c r="F441" s="96">
        <f t="shared" si="155"/>
        <v>-262.52625255242253</v>
      </c>
      <c r="G441" s="94">
        <f t="shared" si="156"/>
        <v>254.32197813025937</v>
      </c>
      <c r="H441" s="97">
        <f t="shared" si="157"/>
        <v>294.62599939258945</v>
      </c>
      <c r="I441" s="94">
        <f t="shared" si="158"/>
        <v>763.91938325609635</v>
      </c>
      <c r="J441" s="95">
        <f t="shared" si="159"/>
        <v>-189.35750787899198</v>
      </c>
      <c r="K441" s="94">
        <f t="shared" si="160"/>
        <v>25.829650210371369</v>
      </c>
      <c r="L441" s="94">
        <f t="shared" si="161"/>
        <v>-367.79474406602003</v>
      </c>
      <c r="M441" s="94">
        <f t="shared" si="162"/>
        <v>-535.42705533620835</v>
      </c>
      <c r="N441" s="99">
        <f t="shared" si="163"/>
        <v>1560.9588415169435</v>
      </c>
      <c r="O441" s="99">
        <f t="shared" si="164"/>
        <v>29510.823108498331</v>
      </c>
      <c r="P441" s="100">
        <f t="shared" si="165"/>
        <v>25487.523560484322</v>
      </c>
      <c r="Q441" s="95">
        <f t="shared" si="166"/>
        <v>1036770628473.8943</v>
      </c>
      <c r="R441" s="95">
        <f t="shared" si="167"/>
        <v>27899917057771.18</v>
      </c>
      <c r="S441" s="95">
        <f t="shared" si="168"/>
        <v>20523735516091.281</v>
      </c>
      <c r="T441">
        <f t="shared" si="150"/>
        <v>0.5</v>
      </c>
    </row>
    <row r="442" spans="1:20" x14ac:dyDescent="0.25">
      <c r="A442">
        <v>199.5</v>
      </c>
      <c r="B442" s="95">
        <f t="shared" si="151"/>
        <v>9511.9039404205214</v>
      </c>
      <c r="C442" s="95">
        <f t="shared" si="152"/>
        <v>5910.4078384530476</v>
      </c>
      <c r="D442" s="95">
        <f t="shared" si="153"/>
        <v>190.57754032302194</v>
      </c>
      <c r="E442" s="95">
        <f t="shared" si="154"/>
        <v>-153.93210329331259</v>
      </c>
      <c r="F442" s="96">
        <f t="shared" si="155"/>
        <v>-312.13207657272994</v>
      </c>
      <c r="G442" s="94">
        <f t="shared" si="156"/>
        <v>291.55902513634931</v>
      </c>
      <c r="H442" s="97">
        <f t="shared" si="157"/>
        <v>245.8118081557227</v>
      </c>
      <c r="I442" s="94">
        <f t="shared" si="158"/>
        <v>800.5402129176465</v>
      </c>
      <c r="J442" s="95">
        <f t="shared" si="159"/>
        <v>-186.74910142308082</v>
      </c>
      <c r="K442" s="94">
        <f t="shared" si="160"/>
        <v>25.878630633171053</v>
      </c>
      <c r="L442" s="94">
        <f t="shared" si="161"/>
        <v>-371.1947833053718</v>
      </c>
      <c r="M442" s="94">
        <f t="shared" si="162"/>
        <v>-534.85981841446824</v>
      </c>
      <c r="N442" s="99">
        <f t="shared" si="163"/>
        <v>1621.2265751350196</v>
      </c>
      <c r="O442" s="99">
        <f t="shared" si="164"/>
        <v>29689.028552193588</v>
      </c>
      <c r="P442" s="100">
        <f t="shared" si="165"/>
        <v>25461.905972848559</v>
      </c>
      <c r="Q442" s="95">
        <f t="shared" si="166"/>
        <v>1039683573737.2997</v>
      </c>
      <c r="R442" s="95">
        <f t="shared" si="167"/>
        <v>28381245485532.848</v>
      </c>
      <c r="S442" s="95">
        <f t="shared" si="168"/>
        <v>20470156038139.43</v>
      </c>
      <c r="T442">
        <f t="shared" si="150"/>
        <v>0.5</v>
      </c>
    </row>
    <row r="443" spans="1:20" x14ac:dyDescent="0.25">
      <c r="A443">
        <v>200</v>
      </c>
      <c r="B443" s="95">
        <f t="shared" si="151"/>
        <v>9529.1596914388501</v>
      </c>
      <c r="C443" s="95">
        <f t="shared" si="152"/>
        <v>5906.3315430904786</v>
      </c>
      <c r="D443" s="95">
        <f t="shared" si="153"/>
        <v>34.511502036656964</v>
      </c>
      <c r="E443" s="95">
        <f t="shared" si="154"/>
        <v>-8.1525907251379408</v>
      </c>
      <c r="F443" s="96">
        <f t="shared" si="155"/>
        <v>-320.33098779907039</v>
      </c>
      <c r="G443" s="94">
        <f t="shared" si="156"/>
        <v>291.38087847609415</v>
      </c>
      <c r="H443" s="97">
        <f t="shared" si="157"/>
        <v>236.64871912349989</v>
      </c>
      <c r="I443" s="94">
        <f t="shared" si="158"/>
        <v>800.99259170836729</v>
      </c>
      <c r="J443" s="95">
        <f t="shared" si="159"/>
        <v>-184.99452722418087</v>
      </c>
      <c r="K443" s="94">
        <f t="shared" si="160"/>
        <v>25.646048472489337</v>
      </c>
      <c r="L443" s="94">
        <f t="shared" si="161"/>
        <v>-371.9851796983894</v>
      </c>
      <c r="M443" s="94">
        <f t="shared" si="162"/>
        <v>-535.25776170476252</v>
      </c>
      <c r="N443" s="99">
        <f t="shared" si="163"/>
        <v>1662.8412442047877</v>
      </c>
      <c r="O443" s="99">
        <f t="shared" si="164"/>
        <v>29793.912771510804</v>
      </c>
      <c r="P443" s="100">
        <f t="shared" si="165"/>
        <v>25452.711288710114</v>
      </c>
      <c r="Q443" s="95">
        <f t="shared" si="166"/>
        <v>1041761011756.3574</v>
      </c>
      <c r="R443" s="95">
        <f t="shared" si="167"/>
        <v>28667178468315.371</v>
      </c>
      <c r="S443" s="95">
        <f t="shared" si="168"/>
        <v>20450949769229.414</v>
      </c>
      <c r="T443">
        <f t="shared" si="150"/>
        <v>0.5</v>
      </c>
    </row>
    <row r="444" spans="1:20" x14ac:dyDescent="0.25">
      <c r="A444">
        <v>200.5</v>
      </c>
      <c r="B444" s="95">
        <f t="shared" si="151"/>
        <v>9466.3326955074117</v>
      </c>
      <c r="C444" s="95">
        <f t="shared" si="152"/>
        <v>5975.1004673469333</v>
      </c>
      <c r="D444" s="95">
        <f t="shared" si="153"/>
        <v>-125.65399186287823</v>
      </c>
      <c r="E444" s="95">
        <f t="shared" si="154"/>
        <v>137.53784851290914</v>
      </c>
      <c r="F444" s="96">
        <f t="shared" si="155"/>
        <v>-286.18131716977962</v>
      </c>
      <c r="G444" s="94">
        <f t="shared" si="156"/>
        <v>254.9789915812546</v>
      </c>
      <c r="H444" s="97">
        <f t="shared" si="157"/>
        <v>268.24013430042197</v>
      </c>
      <c r="I444" s="94">
        <f t="shared" si="158"/>
        <v>766.46864439713886</v>
      </c>
      <c r="J444" s="95">
        <f t="shared" si="159"/>
        <v>-184.2903251754087</v>
      </c>
      <c r="K444" s="94">
        <f t="shared" si="160"/>
        <v>25.172798099305894</v>
      </c>
      <c r="L444" s="94">
        <f t="shared" si="161"/>
        <v>-370.13112629479286</v>
      </c>
      <c r="M444" s="94">
        <f t="shared" si="162"/>
        <v>-536.66245091519011</v>
      </c>
      <c r="N444" s="99">
        <f t="shared" si="163"/>
        <v>1661.7670554907309</v>
      </c>
      <c r="O444" s="99">
        <f t="shared" si="164"/>
        <v>29811.564761306861</v>
      </c>
      <c r="P444" s="100">
        <f t="shared" si="165"/>
        <v>25459.206192042817</v>
      </c>
      <c r="Q444" s="95">
        <f t="shared" si="166"/>
        <v>1041706707826.9957</v>
      </c>
      <c r="R444" s="95">
        <f t="shared" si="167"/>
        <v>28715494137724.297</v>
      </c>
      <c r="S444" s="95">
        <f t="shared" si="168"/>
        <v>20464515272170.129</v>
      </c>
      <c r="T444">
        <f t="shared" si="150"/>
        <v>0.5</v>
      </c>
    </row>
    <row r="445" spans="1:20" x14ac:dyDescent="0.25">
      <c r="A445">
        <v>201</v>
      </c>
      <c r="B445" s="95">
        <f t="shared" si="151"/>
        <v>9331.9603702835284</v>
      </c>
      <c r="C445" s="95">
        <f t="shared" si="152"/>
        <v>6107.6141394987017</v>
      </c>
      <c r="D445" s="95">
        <f t="shared" si="153"/>
        <v>-268.74465044776804</v>
      </c>
      <c r="E445" s="95">
        <f t="shared" si="154"/>
        <v>265.02734430353644</v>
      </c>
      <c r="F445" s="96">
        <f t="shared" si="155"/>
        <v>-214.10130070284919</v>
      </c>
      <c r="G445" s="94">
        <f t="shared" si="156"/>
        <v>187.01373150472818</v>
      </c>
      <c r="H445" s="97">
        <f t="shared" si="157"/>
        <v>336.52362592464021</v>
      </c>
      <c r="I445" s="94">
        <f t="shared" si="158"/>
        <v>701.41158940071773</v>
      </c>
      <c r="J445" s="95">
        <f t="shared" si="159"/>
        <v>-184.70857917073926</v>
      </c>
      <c r="K445" s="94">
        <f t="shared" si="160"/>
        <v>24.511047089980796</v>
      </c>
      <c r="L445" s="94">
        <f t="shared" si="161"/>
        <v>-365.91634745675015</v>
      </c>
      <c r="M445" s="94">
        <f t="shared" si="162"/>
        <v>-538.90890498597037</v>
      </c>
      <c r="N445" s="99">
        <f t="shared" si="163"/>
        <v>1615.5863878387706</v>
      </c>
      <c r="O445" s="99">
        <f t="shared" si="164"/>
        <v>29739.949205912912</v>
      </c>
      <c r="P445" s="100">
        <f t="shared" si="165"/>
        <v>25479.984718841653</v>
      </c>
      <c r="Q445" s="95">
        <f t="shared" si="166"/>
        <v>1039406167129.0052</v>
      </c>
      <c r="R445" s="95">
        <f t="shared" si="167"/>
        <v>28519818957096.184</v>
      </c>
      <c r="S445" s="95">
        <f t="shared" si="168"/>
        <v>20507957498921.973</v>
      </c>
      <c r="T445">
        <f t="shared" si="150"/>
        <v>0.5</v>
      </c>
    </row>
    <row r="446" spans="1:20" x14ac:dyDescent="0.25">
      <c r="A446">
        <v>201.5</v>
      </c>
      <c r="B446" s="95">
        <f t="shared" si="151"/>
        <v>9144.062719883932</v>
      </c>
      <c r="C446" s="95">
        <f t="shared" si="152"/>
        <v>6286.8812445266522</v>
      </c>
      <c r="D446" s="95">
        <f t="shared" si="153"/>
        <v>-375.79530079919266</v>
      </c>
      <c r="E446" s="95">
        <f t="shared" si="154"/>
        <v>358.53421005590053</v>
      </c>
      <c r="F446" s="96">
        <f t="shared" si="155"/>
        <v>-113.48587242678462</v>
      </c>
      <c r="G446" s="94">
        <f t="shared" si="156"/>
        <v>95.211207865510346</v>
      </c>
      <c r="H446" s="97">
        <f t="shared" si="157"/>
        <v>432.59945223561675</v>
      </c>
      <c r="I446" s="94">
        <f t="shared" si="158"/>
        <v>613.12262160535818</v>
      </c>
      <c r="J446" s="95">
        <f t="shared" si="159"/>
        <v>-186.19679346780271</v>
      </c>
      <c r="K446" s="94">
        <f t="shared" si="160"/>
        <v>23.722526700527531</v>
      </c>
      <c r="L446" s="94">
        <f t="shared" si="161"/>
        <v>-359.88853119459867</v>
      </c>
      <c r="M446" s="94">
        <f t="shared" si="162"/>
        <v>-541.63394044037534</v>
      </c>
      <c r="N446" s="99">
        <f t="shared" si="163"/>
        <v>1544.3494848626917</v>
      </c>
      <c r="O446" s="99">
        <f t="shared" si="164"/>
        <v>29589.095404403866</v>
      </c>
      <c r="P446" s="100">
        <f t="shared" si="165"/>
        <v>25513.456502742687</v>
      </c>
      <c r="Q446" s="95">
        <f t="shared" si="166"/>
        <v>1035987700727.8671</v>
      </c>
      <c r="R446" s="95">
        <f t="shared" si="167"/>
        <v>28110633799095.938</v>
      </c>
      <c r="S446" s="95">
        <f t="shared" si="168"/>
        <v>20578077043839.734</v>
      </c>
      <c r="T446">
        <f t="shared" si="150"/>
        <v>0.5</v>
      </c>
    </row>
    <row r="447" spans="1:20" x14ac:dyDescent="0.25">
      <c r="A447">
        <v>202</v>
      </c>
      <c r="B447" s="95">
        <f t="shared" si="151"/>
        <v>8927.7936013776398</v>
      </c>
      <c r="C447" s="95">
        <f t="shared" si="152"/>
        <v>6489.9511515209806</v>
      </c>
      <c r="D447" s="95">
        <f t="shared" si="153"/>
        <v>-432.538237012585</v>
      </c>
      <c r="E447" s="95">
        <f t="shared" si="154"/>
        <v>406.1398139886557</v>
      </c>
      <c r="F447" s="96">
        <f t="shared" si="155"/>
        <v>1.9613527007372227</v>
      </c>
      <c r="G447" s="94">
        <f t="shared" si="156"/>
        <v>-9.6274619107948638</v>
      </c>
      <c r="H447" s="97">
        <f t="shared" si="157"/>
        <v>543.3420984444856</v>
      </c>
      <c r="I447" s="94">
        <f t="shared" si="158"/>
        <v>511.84367260740362</v>
      </c>
      <c r="J447" s="95">
        <f t="shared" si="159"/>
        <v>-188.58142601758266</v>
      </c>
      <c r="K447" s="94">
        <f t="shared" si="160"/>
        <v>22.882146711874494</v>
      </c>
      <c r="L447" s="94">
        <f t="shared" si="161"/>
        <v>-352.79931972616572</v>
      </c>
      <c r="M447" s="94">
        <f t="shared" si="162"/>
        <v>-544.35328123007298</v>
      </c>
      <c r="N447" s="99">
        <f t="shared" si="163"/>
        <v>1484.6837179593829</v>
      </c>
      <c r="O447" s="99">
        <f t="shared" si="164"/>
        <v>29379.646742477627</v>
      </c>
      <c r="P447" s="100">
        <f t="shared" si="165"/>
        <v>25557.500334394816</v>
      </c>
      <c r="Q447" s="95">
        <f t="shared" si="166"/>
        <v>1033245830048.0638</v>
      </c>
      <c r="R447" s="95">
        <f t="shared" si="167"/>
        <v>27549209204712.949</v>
      </c>
      <c r="S447" s="95">
        <f t="shared" si="168"/>
        <v>20670605833728.574</v>
      </c>
      <c r="T447">
        <f t="shared" si="150"/>
        <v>0.5</v>
      </c>
    </row>
    <row r="448" spans="1:20" x14ac:dyDescent="0.25">
      <c r="A448">
        <v>202.5</v>
      </c>
      <c r="B448" s="95">
        <f t="shared" si="151"/>
        <v>8712.0148210465322</v>
      </c>
      <c r="C448" s="95">
        <f t="shared" si="152"/>
        <v>6690.6141930376098</v>
      </c>
      <c r="D448" s="95">
        <f t="shared" si="153"/>
        <v>-431.55756066221636</v>
      </c>
      <c r="E448" s="95">
        <f t="shared" si="154"/>
        <v>401.32608303325827</v>
      </c>
      <c r="F448" s="96">
        <f t="shared" si="155"/>
        <v>115.91008694055773</v>
      </c>
      <c r="G448" s="94">
        <f t="shared" si="156"/>
        <v>-114.14022344072248</v>
      </c>
      <c r="H448" s="97">
        <f t="shared" si="157"/>
        <v>653.01854073434447</v>
      </c>
      <c r="I448" s="94">
        <f t="shared" si="158"/>
        <v>410.36492281932158</v>
      </c>
      <c r="J448" s="95">
        <f t="shared" si="159"/>
        <v>-191.57641078482683</v>
      </c>
      <c r="K448" s="94">
        <f t="shared" si="160"/>
        <v>22.081357186238513</v>
      </c>
      <c r="L448" s="94">
        <f t="shared" si="161"/>
        <v>-345.53204300895987</v>
      </c>
      <c r="M448" s="94">
        <f t="shared" si="162"/>
        <v>-546.58650344628256</v>
      </c>
      <c r="N448" s="99">
        <f t="shared" si="163"/>
        <v>1473.0326668341488</v>
      </c>
      <c r="O448" s="99">
        <f t="shared" si="164"/>
        <v>29139.967151021538</v>
      </c>
      <c r="P448" s="100">
        <f t="shared" si="165"/>
        <v>25608.620327876586</v>
      </c>
      <c r="Q448" s="95">
        <f t="shared" si="166"/>
        <v>1032723300521.325</v>
      </c>
      <c r="R448" s="95">
        <f t="shared" si="167"/>
        <v>26916239217968.711</v>
      </c>
      <c r="S448" s="95">
        <f t="shared" si="168"/>
        <v>20778374441815.57</v>
      </c>
      <c r="T448">
        <f t="shared" si="150"/>
        <v>0.5</v>
      </c>
    </row>
    <row r="449" spans="1:20" x14ac:dyDescent="0.25">
      <c r="A449">
        <v>203</v>
      </c>
      <c r="B449" s="95">
        <f t="shared" si="151"/>
        <v>8525.2135624505645</v>
      </c>
      <c r="C449" s="95">
        <f t="shared" si="152"/>
        <v>6862.7421786940586</v>
      </c>
      <c r="D449" s="95">
        <f t="shared" si="153"/>
        <v>-373.60251719193752</v>
      </c>
      <c r="E449" s="95">
        <f t="shared" si="154"/>
        <v>344.25597131289703</v>
      </c>
      <c r="F449" s="96">
        <f t="shared" si="155"/>
        <v>212.33764065335163</v>
      </c>
      <c r="G449" s="94">
        <f t="shared" si="156"/>
        <v>-204.14734160240084</v>
      </c>
      <c r="H449" s="97">
        <f t="shared" si="157"/>
        <v>746.14819069831196</v>
      </c>
      <c r="I449" s="94">
        <f t="shared" si="158"/>
        <v>322.4119494656241</v>
      </c>
      <c r="J449" s="95">
        <f t="shared" si="159"/>
        <v>-194.80439994209488</v>
      </c>
      <c r="K449" s="94">
        <f t="shared" si="160"/>
        <v>21.424962376009798</v>
      </c>
      <c r="L449" s="94">
        <f t="shared" si="161"/>
        <v>-339.00615010286549</v>
      </c>
      <c r="M449" s="94">
        <f t="shared" si="162"/>
        <v>-547.98425344403472</v>
      </c>
      <c r="N449" s="99">
        <f t="shared" si="163"/>
        <v>1521.1874328024001</v>
      </c>
      <c r="O449" s="99">
        <f t="shared" si="164"/>
        <v>28902.107700015928</v>
      </c>
      <c r="P449" s="100">
        <f t="shared" si="165"/>
        <v>25661.295651697023</v>
      </c>
      <c r="Q449" s="95">
        <f t="shared" si="166"/>
        <v>1034910199604.1447</v>
      </c>
      <c r="R449" s="95">
        <f t="shared" si="167"/>
        <v>26298009934583.73</v>
      </c>
      <c r="S449" s="95">
        <f t="shared" si="168"/>
        <v>20889843027496.043</v>
      </c>
      <c r="T449">
        <f t="shared" si="150"/>
        <v>0.5</v>
      </c>
    </row>
    <row r="450" spans="1:20" x14ac:dyDescent="0.25">
      <c r="A450">
        <v>203.5</v>
      </c>
      <c r="B450" s="95">
        <f t="shared" si="151"/>
        <v>8391.4967140179324</v>
      </c>
      <c r="C450" s="95">
        <f t="shared" si="152"/>
        <v>6983.8333289499069</v>
      </c>
      <c r="D450" s="95">
        <f t="shared" si="153"/>
        <v>-267.43369686526171</v>
      </c>
      <c r="E450" s="95">
        <f t="shared" si="154"/>
        <v>242.18230051169661</v>
      </c>
      <c r="F450" s="96">
        <f t="shared" si="155"/>
        <v>278.72400479208869</v>
      </c>
      <c r="G450" s="94">
        <f t="shared" si="156"/>
        <v>-267.25929512388166</v>
      </c>
      <c r="H450" s="97">
        <f t="shared" si="157"/>
        <v>810.62425497129982</v>
      </c>
      <c r="I450" s="94">
        <f t="shared" si="158"/>
        <v>260.12829865344924</v>
      </c>
      <c r="J450" s="95">
        <f t="shared" si="159"/>
        <v>-197.83828202382526</v>
      </c>
      <c r="K450" s="94">
        <f t="shared" si="160"/>
        <v>21.017322140803202</v>
      </c>
      <c r="L450" s="94">
        <f t="shared" si="161"/>
        <v>-334.06196815538584</v>
      </c>
      <c r="M450" s="94">
        <f t="shared" si="162"/>
        <v>-548.40491591813407</v>
      </c>
      <c r="N450" s="99">
        <f t="shared" si="163"/>
        <v>1606.5779057348418</v>
      </c>
      <c r="O450" s="99">
        <f t="shared" si="164"/>
        <v>28697.215813049861</v>
      </c>
      <c r="P450" s="100">
        <f t="shared" si="165"/>
        <v>25708.187362821693</v>
      </c>
      <c r="Q450" s="95">
        <f t="shared" si="166"/>
        <v>1038965150525.7135</v>
      </c>
      <c r="R450" s="95">
        <f t="shared" si="167"/>
        <v>25773339711218.902</v>
      </c>
      <c r="S450" s="95">
        <f t="shared" si="168"/>
        <v>20989432953430.277</v>
      </c>
      <c r="T450">
        <f t="shared" si="150"/>
        <v>0.5</v>
      </c>
    </row>
    <row r="451" spans="1:20" x14ac:dyDescent="0.25">
      <c r="A451">
        <v>204</v>
      </c>
      <c r="B451" s="95">
        <f t="shared" si="151"/>
        <v>8327.4608667833236</v>
      </c>
      <c r="C451" s="95">
        <f t="shared" si="152"/>
        <v>7038.1096554247852</v>
      </c>
      <c r="D451" s="95">
        <f t="shared" si="153"/>
        <v>-128.07169446921736</v>
      </c>
      <c r="E451" s="95">
        <f t="shared" si="154"/>
        <v>108.55265294975578</v>
      </c>
      <c r="F451" s="96">
        <f t="shared" si="155"/>
        <v>307.93818226044732</v>
      </c>
      <c r="G451" s="94">
        <f t="shared" si="156"/>
        <v>-295.12120559074725</v>
      </c>
      <c r="H451" s="97">
        <f t="shared" si="157"/>
        <v>839.54690023780904</v>
      </c>
      <c r="I451" s="94">
        <f t="shared" si="158"/>
        <v>231.85024453933579</v>
      </c>
      <c r="J451" s="95">
        <f t="shared" si="159"/>
        <v>-200.26190143445729</v>
      </c>
      <c r="K451" s="94">
        <f t="shared" si="160"/>
        <v>20.939179654485812</v>
      </c>
      <c r="L451" s="94">
        <f t="shared" si="161"/>
        <v>-331.34681654290443</v>
      </c>
      <c r="M451" s="94">
        <f t="shared" si="162"/>
        <v>-547.91062978456887</v>
      </c>
      <c r="N451" s="99">
        <f t="shared" si="163"/>
        <v>1689.2930039865921</v>
      </c>
      <c r="O451" s="99">
        <f t="shared" si="164"/>
        <v>28551.258239342875</v>
      </c>
      <c r="P451" s="100">
        <f t="shared" si="165"/>
        <v>25741.427933908439</v>
      </c>
      <c r="Q451" s="95">
        <f t="shared" si="166"/>
        <v>1043109613107.2974</v>
      </c>
      <c r="R451" s="95">
        <f t="shared" si="167"/>
        <v>25403997144535.34</v>
      </c>
      <c r="S451" s="95">
        <f t="shared" si="168"/>
        <v>21060236112992.543</v>
      </c>
      <c r="T451">
        <f t="shared" si="150"/>
        <v>0.5</v>
      </c>
    </row>
    <row r="452" spans="1:20" x14ac:dyDescent="0.25">
      <c r="A452">
        <v>204.5</v>
      </c>
      <c r="B452" s="95">
        <f t="shared" si="151"/>
        <v>8340.4095651138268</v>
      </c>
      <c r="C452" s="95">
        <f t="shared" si="152"/>
        <v>7018.6056805019762</v>
      </c>
      <c r="D452" s="95">
        <f t="shared" si="153"/>
        <v>25.897396661006297</v>
      </c>
      <c r="E452" s="95">
        <f t="shared" si="154"/>
        <v>-39.007949845617844</v>
      </c>
      <c r="F452" s="96">
        <f t="shared" si="155"/>
        <v>298.1791960946573</v>
      </c>
      <c r="G452" s="94">
        <f t="shared" si="156"/>
        <v>-284.3852952595351</v>
      </c>
      <c r="H452" s="97">
        <f t="shared" si="157"/>
        <v>831.14318668376541</v>
      </c>
      <c r="I452" s="94">
        <f t="shared" si="158"/>
        <v>241.08816268665257</v>
      </c>
      <c r="J452" s="95">
        <f t="shared" si="159"/>
        <v>-201.73729894169534</v>
      </c>
      <c r="K452" s="94">
        <f t="shared" si="160"/>
        <v>21.222644496853782</v>
      </c>
      <c r="L452" s="94">
        <f t="shared" si="161"/>
        <v>-331.22669164741274</v>
      </c>
      <c r="M452" s="94">
        <f t="shared" si="162"/>
        <v>-546.69610244304147</v>
      </c>
      <c r="N452" s="99">
        <f t="shared" si="163"/>
        <v>1735.1454816680364</v>
      </c>
      <c r="O452" s="99">
        <f t="shared" si="164"/>
        <v>28481.886060660177</v>
      </c>
      <c r="P452" s="100">
        <f t="shared" si="165"/>
        <v>25754.601343064271</v>
      </c>
      <c r="Q452" s="95">
        <f t="shared" si="166"/>
        <v>1045499179471.3125</v>
      </c>
      <c r="R452" s="95">
        <f t="shared" si="167"/>
        <v>25229733481858.734</v>
      </c>
      <c r="S452" s="95">
        <f t="shared" si="168"/>
        <v>21088343090746.184</v>
      </c>
      <c r="T452">
        <f t="shared" si="150"/>
        <v>0.5</v>
      </c>
    </row>
    <row r="453" spans="1:20" x14ac:dyDescent="0.25">
      <c r="A453">
        <v>205</v>
      </c>
      <c r="B453" s="95">
        <f t="shared" si="151"/>
        <v>8427.9030624679945</v>
      </c>
      <c r="C453" s="95">
        <f t="shared" si="152"/>
        <v>6928.0053817642838</v>
      </c>
      <c r="D453" s="95">
        <f t="shared" si="153"/>
        <v>174.98699470833495</v>
      </c>
      <c r="E453" s="95">
        <f t="shared" si="154"/>
        <v>-181.20059747538539</v>
      </c>
      <c r="F453" s="96">
        <f t="shared" si="155"/>
        <v>251.81246811299286</v>
      </c>
      <c r="G453" s="94">
        <f t="shared" si="156"/>
        <v>-236.59659269460752</v>
      </c>
      <c r="H453" s="97">
        <f t="shared" si="157"/>
        <v>787.60919779561414</v>
      </c>
      <c r="I453" s="94">
        <f t="shared" si="158"/>
        <v>286.5651676157338</v>
      </c>
      <c r="J453" s="95">
        <f t="shared" si="159"/>
        <v>-202.06065284579807</v>
      </c>
      <c r="K453" s="94">
        <f t="shared" si="160"/>
        <v>21.835210171340645</v>
      </c>
      <c r="L453" s="94">
        <f t="shared" si="161"/>
        <v>-333.73607683682314</v>
      </c>
      <c r="M453" s="94">
        <f t="shared" si="162"/>
        <v>-544.99697048168196</v>
      </c>
      <c r="N453" s="99">
        <f t="shared" si="163"/>
        <v>1727.9991037065508</v>
      </c>
      <c r="O453" s="99">
        <f t="shared" si="164"/>
        <v>28496.798529075688</v>
      </c>
      <c r="P453" s="100">
        <f t="shared" si="165"/>
        <v>25744.621253349495</v>
      </c>
      <c r="Q453" s="95">
        <f t="shared" si="166"/>
        <v>1045122421014.6942</v>
      </c>
      <c r="R453" s="95">
        <f t="shared" si="167"/>
        <v>25267124272627.547</v>
      </c>
      <c r="S453" s="95">
        <f t="shared" si="168"/>
        <v>21067046958182.297</v>
      </c>
      <c r="T453">
        <f t="shared" si="150"/>
        <v>0.5</v>
      </c>
    </row>
    <row r="454" spans="1:20" x14ac:dyDescent="0.25">
      <c r="A454">
        <v>205.5</v>
      </c>
      <c r="B454" s="95">
        <f t="shared" si="151"/>
        <v>8578.3496768504101</v>
      </c>
      <c r="C454" s="95">
        <f t="shared" si="152"/>
        <v>6778.2559348529394</v>
      </c>
      <c r="D454" s="95">
        <f t="shared" si="153"/>
        <v>300.89322876483141</v>
      </c>
      <c r="E454" s="95">
        <f t="shared" si="154"/>
        <v>-299.49889382268918</v>
      </c>
      <c r="F454" s="96">
        <f t="shared" si="155"/>
        <v>174.42398994110039</v>
      </c>
      <c r="G454" s="94">
        <f t="shared" si="156"/>
        <v>-157.76627908637198</v>
      </c>
      <c r="H454" s="97">
        <f t="shared" si="157"/>
        <v>714.18411785020896</v>
      </c>
      <c r="I454" s="94">
        <f t="shared" si="158"/>
        <v>362.57730898179477</v>
      </c>
      <c r="J454" s="95">
        <f t="shared" si="159"/>
        <v>-201.19388333833649</v>
      </c>
      <c r="K454" s="94">
        <f t="shared" si="160"/>
        <v>22.681337688097479</v>
      </c>
      <c r="L454" s="94">
        <f t="shared" si="161"/>
        <v>-338.56624457077208</v>
      </c>
      <c r="M454" s="94">
        <f t="shared" si="162"/>
        <v>-543.02492575626422</v>
      </c>
      <c r="N454" s="99">
        <f t="shared" si="163"/>
        <v>1672.9215834246784</v>
      </c>
      <c r="O454" s="99">
        <f t="shared" si="164"/>
        <v>28593.405244278729</v>
      </c>
      <c r="P454" s="100">
        <f t="shared" si="165"/>
        <v>25712.759491694407</v>
      </c>
      <c r="Q454" s="95">
        <f t="shared" si="166"/>
        <v>1042272363561.8206</v>
      </c>
      <c r="R454" s="95">
        <f t="shared" si="167"/>
        <v>25510273510003.441</v>
      </c>
      <c r="S454" s="95">
        <f t="shared" si="168"/>
        <v>20999161550962.82</v>
      </c>
      <c r="T454">
        <f t="shared" si="150"/>
        <v>0.5</v>
      </c>
    </row>
    <row r="455" spans="1:20" x14ac:dyDescent="0.25">
      <c r="A455">
        <v>206</v>
      </c>
      <c r="B455" s="95">
        <f t="shared" si="151"/>
        <v>8772.4022887181</v>
      </c>
      <c r="C455" s="95">
        <f t="shared" si="152"/>
        <v>6589.0649181700019</v>
      </c>
      <c r="D455" s="95">
        <f t="shared" si="153"/>
        <v>388.10522373538163</v>
      </c>
      <c r="E455" s="95">
        <f t="shared" si="154"/>
        <v>-378.38203336587515</v>
      </c>
      <c r="F455" s="96">
        <f t="shared" si="155"/>
        <v>74.657018128914842</v>
      </c>
      <c r="G455" s="94">
        <f t="shared" si="156"/>
        <v>-57.989381777000062</v>
      </c>
      <c r="H455" s="97">
        <f t="shared" si="157"/>
        <v>619.01616517329751</v>
      </c>
      <c r="I455" s="94">
        <f t="shared" si="158"/>
        <v>459.33902930415428</v>
      </c>
      <c r="J455" s="95">
        <f t="shared" si="159"/>
        <v>-199.26777790580817</v>
      </c>
      <c r="K455" s="94">
        <f t="shared" si="160"/>
        <v>23.622965073157676</v>
      </c>
      <c r="L455" s="94">
        <f t="shared" si="161"/>
        <v>-345.09136913857446</v>
      </c>
      <c r="M455" s="94">
        <f t="shared" si="162"/>
        <v>-540.95137615431202</v>
      </c>
      <c r="N455" s="99">
        <f t="shared" si="163"/>
        <v>1594.366374735223</v>
      </c>
      <c r="O455" s="99">
        <f t="shared" si="164"/>
        <v>28759.375950699039</v>
      </c>
      <c r="P455" s="100">
        <f t="shared" si="165"/>
        <v>25664.450344996305</v>
      </c>
      <c r="Q455" s="95">
        <f t="shared" si="166"/>
        <v>1038371362037.9036</v>
      </c>
      <c r="R455" s="95">
        <f t="shared" si="167"/>
        <v>25931747748323.207</v>
      </c>
      <c r="S455" s="95">
        <f t="shared" si="168"/>
        <v>20896532397842.383</v>
      </c>
      <c r="T455">
        <f t="shared" si="150"/>
        <v>0.5</v>
      </c>
    </row>
    <row r="456" spans="1:20" x14ac:dyDescent="0.25">
      <c r="A456">
        <v>206.5</v>
      </c>
      <c r="B456" s="95">
        <f t="shared" si="151"/>
        <v>8985.11915511802</v>
      </c>
      <c r="C456" s="95">
        <f t="shared" si="152"/>
        <v>6385.3765560428146</v>
      </c>
      <c r="D456" s="95">
        <f t="shared" si="153"/>
        <v>425.43373279983905</v>
      </c>
      <c r="E456" s="95">
        <f t="shared" si="154"/>
        <v>-407.37672425437518</v>
      </c>
      <c r="F456" s="96">
        <f t="shared" si="155"/>
        <v>-35.703272712410183</v>
      </c>
      <c r="G456" s="94">
        <f t="shared" si="156"/>
        <v>49.320534500466465</v>
      </c>
      <c r="H456" s="97">
        <f t="shared" si="157"/>
        <v>513.29370247224142</v>
      </c>
      <c r="I456" s="94">
        <f t="shared" si="158"/>
        <v>563.74026300366052</v>
      </c>
      <c r="J456" s="95">
        <f t="shared" si="159"/>
        <v>-196.55868307727422</v>
      </c>
      <c r="K456" s="94">
        <f t="shared" si="160"/>
        <v>24.512082222681244</v>
      </c>
      <c r="L456" s="94">
        <f t="shared" si="161"/>
        <v>-352.43829210737738</v>
      </c>
      <c r="M456" s="94">
        <f t="shared" si="162"/>
        <v>-538.93181072587527</v>
      </c>
      <c r="N456" s="99">
        <f t="shared" si="163"/>
        <v>1528.6591719716939</v>
      </c>
      <c r="O456" s="99">
        <f t="shared" si="164"/>
        <v>28973.878090381499</v>
      </c>
      <c r="P456" s="100">
        <f t="shared" si="165"/>
        <v>25607.943862076205</v>
      </c>
      <c r="Q456" s="95">
        <f t="shared" si="166"/>
        <v>1035255965929.3871</v>
      </c>
      <c r="R456" s="95">
        <f t="shared" si="167"/>
        <v>26483513336924.836</v>
      </c>
      <c r="S456" s="95">
        <f t="shared" si="168"/>
        <v>20776945724118.813</v>
      </c>
      <c r="T456">
        <f t="shared" si="150"/>
        <v>0.5</v>
      </c>
    </row>
    <row r="457" spans="1:20" x14ac:dyDescent="0.25">
      <c r="A457">
        <v>207</v>
      </c>
      <c r="B457" s="95">
        <f t="shared" si="151"/>
        <v>9188.9102033398376</v>
      </c>
      <c r="C457" s="95">
        <f t="shared" si="152"/>
        <v>6194.0183275407444</v>
      </c>
      <c r="D457" s="95">
        <f t="shared" si="153"/>
        <v>407.58209644363399</v>
      </c>
      <c r="E457" s="95">
        <f t="shared" si="154"/>
        <v>-382.71645700414194</v>
      </c>
      <c r="F457" s="96">
        <f t="shared" si="155"/>
        <v>-142.43854572675906</v>
      </c>
      <c r="G457" s="94">
        <f t="shared" si="156"/>
        <v>149.22696575146222</v>
      </c>
      <c r="H457" s="97">
        <f t="shared" si="157"/>
        <v>410.61053649356501</v>
      </c>
      <c r="I457" s="94">
        <f t="shared" si="158"/>
        <v>661.14730747123542</v>
      </c>
      <c r="J457" s="95">
        <f t="shared" si="159"/>
        <v>-193.44365352424927</v>
      </c>
      <c r="K457" s="94">
        <f t="shared" si="160"/>
        <v>25.223380894933477</v>
      </c>
      <c r="L457" s="94">
        <f t="shared" si="161"/>
        <v>-359.6054286960748</v>
      </c>
      <c r="M457" s="94">
        <f t="shared" si="162"/>
        <v>-537.14372261470669</v>
      </c>
      <c r="N457" s="99">
        <f t="shared" si="163"/>
        <v>1507.4377436986704</v>
      </c>
      <c r="O457" s="99">
        <f t="shared" si="164"/>
        <v>29209.632573484974</v>
      </c>
      <c r="P457" s="100">
        <f t="shared" si="165"/>
        <v>25552.257986851077</v>
      </c>
      <c r="Q457" s="95">
        <f t="shared" si="166"/>
        <v>1034278438293.7767</v>
      </c>
      <c r="R457" s="95">
        <f t="shared" si="167"/>
        <v>27099179198811.734</v>
      </c>
      <c r="S457" s="95">
        <f t="shared" si="168"/>
        <v>20659576904835.645</v>
      </c>
      <c r="T457">
        <f t="shared" si="150"/>
        <v>0.5</v>
      </c>
    </row>
    <row r="458" spans="1:20" x14ac:dyDescent="0.25">
      <c r="A458">
        <v>207.5</v>
      </c>
      <c r="B458" s="95">
        <f t="shared" si="151"/>
        <v>9357.0916151299662</v>
      </c>
      <c r="C458" s="95">
        <f t="shared" si="152"/>
        <v>6039.9668404765389</v>
      </c>
      <c r="D458" s="95">
        <f t="shared" si="153"/>
        <v>336.36282358025449</v>
      </c>
      <c r="E458" s="95">
        <f t="shared" si="154"/>
        <v>-308.10297412841084</v>
      </c>
      <c r="F458" s="96">
        <f t="shared" si="155"/>
        <v>-230.92575286620038</v>
      </c>
      <c r="G458" s="94">
        <f t="shared" si="156"/>
        <v>228.01838405690057</v>
      </c>
      <c r="H458" s="97">
        <f t="shared" si="157"/>
        <v>325.03513553877673</v>
      </c>
      <c r="I458" s="94">
        <f t="shared" si="158"/>
        <v>738.14883592279023</v>
      </c>
      <c r="J458" s="95">
        <f t="shared" si="159"/>
        <v>-190.34168947707448</v>
      </c>
      <c r="K458" s="94">
        <f t="shared" si="160"/>
        <v>25.675547559365949</v>
      </c>
      <c r="L458" s="94">
        <f t="shared" si="161"/>
        <v>-365.61919892790263</v>
      </c>
      <c r="M458" s="94">
        <f t="shared" si="162"/>
        <v>-535.80599942525555</v>
      </c>
      <c r="N458" s="99">
        <f t="shared" si="163"/>
        <v>1537.3531757685666</v>
      </c>
      <c r="O458" s="99">
        <f t="shared" si="164"/>
        <v>29435.997950634053</v>
      </c>
      <c r="P458" s="100">
        <f t="shared" si="165"/>
        <v>25505.128614193934</v>
      </c>
      <c r="Q458" s="95">
        <f t="shared" si="166"/>
        <v>1035660475849.2948</v>
      </c>
      <c r="R458" s="95">
        <f t="shared" si="167"/>
        <v>27699494958746.594</v>
      </c>
      <c r="S458" s="95">
        <f t="shared" si="168"/>
        <v>20560615013865.887</v>
      </c>
      <c r="T458">
        <f t="shared" si="150"/>
        <v>0.5</v>
      </c>
    </row>
    <row r="459" spans="1:20" x14ac:dyDescent="0.25">
      <c r="A459">
        <v>208</v>
      </c>
      <c r="B459" s="95">
        <f t="shared" si="151"/>
        <v>9467.5415887035433</v>
      </c>
      <c r="C459" s="95">
        <f t="shared" si="152"/>
        <v>5942.9199494265586</v>
      </c>
      <c r="D459" s="95">
        <f t="shared" si="153"/>
        <v>220.89994714715431</v>
      </c>
      <c r="E459" s="95">
        <f t="shared" si="154"/>
        <v>-194.09378209996055</v>
      </c>
      <c r="F459" s="96">
        <f t="shared" si="155"/>
        <v>-288.86326888494114</v>
      </c>
      <c r="G459" s="94">
        <f t="shared" si="156"/>
        <v>275.80129098119801</v>
      </c>
      <c r="H459" s="97">
        <f t="shared" si="157"/>
        <v>268.48028626019311</v>
      </c>
      <c r="I459" s="94">
        <f t="shared" si="158"/>
        <v>785.12291070792867</v>
      </c>
      <c r="J459" s="95">
        <f t="shared" si="159"/>
        <v>-187.65233123356862</v>
      </c>
      <c r="K459" s="94">
        <f t="shared" si="160"/>
        <v>25.835902435212475</v>
      </c>
      <c r="L459" s="94">
        <f t="shared" si="161"/>
        <v>-369.69122391156566</v>
      </c>
      <c r="M459" s="94">
        <f t="shared" si="162"/>
        <v>-535.15752216194312</v>
      </c>
      <c r="N459" s="99">
        <f t="shared" si="163"/>
        <v>1595.3143947962908</v>
      </c>
      <c r="O459" s="99">
        <f t="shared" si="164"/>
        <v>29622.975723644977</v>
      </c>
      <c r="P459" s="100">
        <f t="shared" si="165"/>
        <v>25471.676118653588</v>
      </c>
      <c r="Q459" s="95">
        <f t="shared" si="166"/>
        <v>1038417293482.9602</v>
      </c>
      <c r="R459" s="95">
        <f t="shared" si="167"/>
        <v>28202180211929.742</v>
      </c>
      <c r="S459" s="95">
        <f t="shared" si="168"/>
        <v>20490578547178.91</v>
      </c>
      <c r="T459">
        <f t="shared" si="150"/>
        <v>0.5</v>
      </c>
    </row>
    <row r="460" spans="1:20" x14ac:dyDescent="0.25">
      <c r="A460">
        <v>208.5</v>
      </c>
      <c r="B460" s="95">
        <f t="shared" si="151"/>
        <v>9505.7757450558856</v>
      </c>
      <c r="C460" s="95">
        <f t="shared" si="152"/>
        <v>5914.8233811218779</v>
      </c>
      <c r="D460" s="95">
        <f t="shared" si="153"/>
        <v>76.46831270468374</v>
      </c>
      <c r="E460" s="95">
        <f t="shared" si="154"/>
        <v>-56.193136609361545</v>
      </c>
      <c r="F460" s="96">
        <f t="shared" si="155"/>
        <v>-308.42613245080759</v>
      </c>
      <c r="G460" s="94">
        <f t="shared" si="156"/>
        <v>287.70512034121668</v>
      </c>
      <c r="H460" s="97">
        <f t="shared" si="157"/>
        <v>248.60863215076415</v>
      </c>
      <c r="I460" s="94">
        <f t="shared" si="158"/>
        <v>797.38820382505435</v>
      </c>
      <c r="J460" s="95">
        <f t="shared" si="159"/>
        <v>-185.70424504199411</v>
      </c>
      <c r="K460" s="94">
        <f t="shared" si="160"/>
        <v>25.711394488554934</v>
      </c>
      <c r="L460" s="94">
        <f t="shared" si="161"/>
        <v>-371.33051955957762</v>
      </c>
      <c r="M460" s="94">
        <f t="shared" si="162"/>
        <v>-535.39447797239256</v>
      </c>
      <c r="N460" s="99">
        <f t="shared" si="163"/>
        <v>1645.6033068920765</v>
      </c>
      <c r="O460" s="99">
        <f t="shared" si="164"/>
        <v>29745.519088069952</v>
      </c>
      <c r="P460" s="100">
        <f t="shared" si="165"/>
        <v>25454.187388894497</v>
      </c>
      <c r="Q460" s="95">
        <f t="shared" si="166"/>
        <v>1040893924402.3928</v>
      </c>
      <c r="R460" s="95">
        <f t="shared" si="167"/>
        <v>28535004684710.41</v>
      </c>
      <c r="S460" s="95">
        <f t="shared" si="168"/>
        <v>20454032241204.348</v>
      </c>
      <c r="T460">
        <f t="shared" si="150"/>
        <v>0.5</v>
      </c>
    </row>
    <row r="461" spans="1:20" x14ac:dyDescent="0.25">
      <c r="A461">
        <v>209</v>
      </c>
      <c r="B461" s="95">
        <f t="shared" si="151"/>
        <v>9466.9033682955269</v>
      </c>
      <c r="C461" s="95">
        <f t="shared" si="152"/>
        <v>5958.6530929025012</v>
      </c>
      <c r="D461" s="95">
        <f t="shared" si="153"/>
        <v>-77.744753520720053</v>
      </c>
      <c r="E461" s="95">
        <f t="shared" si="154"/>
        <v>87.659423561246797</v>
      </c>
      <c r="F461" s="96">
        <f t="shared" si="155"/>
        <v>-287.13770487028307</v>
      </c>
      <c r="G461" s="94">
        <f t="shared" si="156"/>
        <v>263.53019299633706</v>
      </c>
      <c r="H461" s="97">
        <f t="shared" si="157"/>
        <v>267.97061096953939</v>
      </c>
      <c r="I461" s="94">
        <f t="shared" si="158"/>
        <v>774.785747736438</v>
      </c>
      <c r="J461" s="95">
        <f t="shared" si="159"/>
        <v>-184.72215653530947</v>
      </c>
      <c r="K461" s="94">
        <f t="shared" si="160"/>
        <v>25.334399975993634</v>
      </c>
      <c r="L461" s="94">
        <f t="shared" si="161"/>
        <v>-370.386159304513</v>
      </c>
      <c r="M461" s="94">
        <f t="shared" si="162"/>
        <v>-536.58995471609455</v>
      </c>
      <c r="N461" s="99">
        <f t="shared" si="163"/>
        <v>1660.4344392998298</v>
      </c>
      <c r="O461" s="99">
        <f t="shared" si="164"/>
        <v>29787.236701731108</v>
      </c>
      <c r="P461" s="100">
        <f t="shared" si="165"/>
        <v>25452.845951472184</v>
      </c>
      <c r="Q461" s="95">
        <f t="shared" si="166"/>
        <v>1041639389581.3011</v>
      </c>
      <c r="R461" s="95">
        <f t="shared" si="167"/>
        <v>28648919767389.984</v>
      </c>
      <c r="S461" s="95">
        <f t="shared" si="168"/>
        <v>20451230965438.902</v>
      </c>
      <c r="T461">
        <f t="shared" si="150"/>
        <v>0.5</v>
      </c>
    </row>
    <row r="462" spans="1:20" x14ac:dyDescent="0.25">
      <c r="A462">
        <v>209.5</v>
      </c>
      <c r="B462" s="95">
        <f t="shared" si="151"/>
        <v>9356.246565317595</v>
      </c>
      <c r="C462" s="95">
        <f t="shared" si="152"/>
        <v>6068.3653529322091</v>
      </c>
      <c r="D462" s="95">
        <f t="shared" si="153"/>
        <v>-221.31360595586159</v>
      </c>
      <c r="E462" s="95">
        <f t="shared" si="154"/>
        <v>219.42452005941533</v>
      </c>
      <c r="F462" s="96">
        <f t="shared" si="155"/>
        <v>-227.7896373653611</v>
      </c>
      <c r="G462" s="94">
        <f t="shared" si="156"/>
        <v>206.77712257549081</v>
      </c>
      <c r="H462" s="97">
        <f t="shared" si="157"/>
        <v>324.0534561412997</v>
      </c>
      <c r="I462" s="94">
        <f t="shared" si="158"/>
        <v>720.65814381685561</v>
      </c>
      <c r="J462" s="95">
        <f t="shared" si="159"/>
        <v>-184.81212402134929</v>
      </c>
      <c r="K462" s="94">
        <f t="shared" si="160"/>
        <v>24.75158901475405</v>
      </c>
      <c r="L462" s="94">
        <f t="shared" si="161"/>
        <v>-367.03096948531152</v>
      </c>
      <c r="M462" s="94">
        <f t="shared" si="162"/>
        <v>-538.63261025611882</v>
      </c>
      <c r="N462" s="99">
        <f t="shared" si="163"/>
        <v>1630.9329559346331</v>
      </c>
      <c r="O462" s="99">
        <f t="shared" si="164"/>
        <v>29742.744979910189</v>
      </c>
      <c r="P462" s="100">
        <f t="shared" si="165"/>
        <v>25466.771144694259</v>
      </c>
      <c r="Q462" s="95">
        <f t="shared" si="166"/>
        <v>1040163293428.7606</v>
      </c>
      <c r="R462" s="95">
        <f t="shared" si="167"/>
        <v>28527440663488.867</v>
      </c>
      <c r="S462" s="95">
        <f t="shared" si="168"/>
        <v>20480323865663.332</v>
      </c>
      <c r="T462">
        <f t="shared" si="150"/>
        <v>0.5</v>
      </c>
    </row>
    <row r="463" spans="1:20" x14ac:dyDescent="0.25">
      <c r="A463">
        <v>210</v>
      </c>
      <c r="B463" s="95">
        <f t="shared" si="151"/>
        <v>9188.642352998324</v>
      </c>
      <c r="C463" s="95">
        <f t="shared" si="152"/>
        <v>6229.77189360579</v>
      </c>
      <c r="D463" s="95">
        <f t="shared" si="153"/>
        <v>-335.20842463854217</v>
      </c>
      <c r="E463" s="95">
        <f t="shared" si="154"/>
        <v>322.81308134716073</v>
      </c>
      <c r="F463" s="96">
        <f t="shared" si="155"/>
        <v>-138.07951700891408</v>
      </c>
      <c r="G463" s="94">
        <f t="shared" si="156"/>
        <v>124.04712882458693</v>
      </c>
      <c r="H463" s="97">
        <f t="shared" si="157"/>
        <v>409.5944101157271</v>
      </c>
      <c r="I463" s="94">
        <f t="shared" si="158"/>
        <v>641.24413428974401</v>
      </c>
      <c r="J463" s="95">
        <f t="shared" si="159"/>
        <v>-185.95867442668759</v>
      </c>
      <c r="K463" s="94">
        <f t="shared" si="160"/>
        <v>24.01984348817404</v>
      </c>
      <c r="L463" s="94">
        <f t="shared" si="161"/>
        <v>-361.71525269795359</v>
      </c>
      <c r="M463" s="94">
        <f t="shared" si="162"/>
        <v>-541.21684895333112</v>
      </c>
      <c r="N463" s="99">
        <f t="shared" si="163"/>
        <v>1569.7121542978227</v>
      </c>
      <c r="O463" s="99">
        <f t="shared" si="164"/>
        <v>29618.355177182697</v>
      </c>
      <c r="P463" s="100">
        <f t="shared" si="165"/>
        <v>25494.662854974718</v>
      </c>
      <c r="Q463" s="95">
        <f t="shared" si="166"/>
        <v>1037186690175.688</v>
      </c>
      <c r="R463" s="95">
        <f t="shared" si="167"/>
        <v>28189683237267.363</v>
      </c>
      <c r="S463" s="95">
        <f t="shared" si="168"/>
        <v>20538685355454.789</v>
      </c>
      <c r="T463">
        <f t="shared" si="150"/>
        <v>0.5</v>
      </c>
    </row>
    <row r="464" spans="1:20" x14ac:dyDescent="0.25">
      <c r="A464">
        <v>210.5</v>
      </c>
      <c r="B464" s="95">
        <f t="shared" si="151"/>
        <v>8986.5182614268251</v>
      </c>
      <c r="C464" s="95">
        <f t="shared" si="152"/>
        <v>6422.1902164855173</v>
      </c>
      <c r="D464" s="95">
        <f t="shared" si="153"/>
        <v>-404.24818314299921</v>
      </c>
      <c r="E464" s="95">
        <f t="shared" si="154"/>
        <v>384.8366457594542</v>
      </c>
      <c r="F464" s="96">
        <f t="shared" si="155"/>
        <v>-30.062777347818042</v>
      </c>
      <c r="G464" s="94">
        <f t="shared" si="156"/>
        <v>24.950927322817279</v>
      </c>
      <c r="H464" s="97">
        <f t="shared" si="157"/>
        <v>513.07496438963642</v>
      </c>
      <c r="I464" s="94">
        <f t="shared" si="158"/>
        <v>545.64102661980792</v>
      </c>
      <c r="J464" s="95">
        <f t="shared" si="159"/>
        <v>-188.02727635168878</v>
      </c>
      <c r="K464" s="94">
        <f t="shared" si="160"/>
        <v>23.208231593439375</v>
      </c>
      <c r="L464" s="94">
        <f t="shared" si="161"/>
        <v>-355.11046538576568</v>
      </c>
      <c r="M464" s="94">
        <f t="shared" si="162"/>
        <v>-543.89833089042997</v>
      </c>
      <c r="N464" s="99">
        <f t="shared" si="163"/>
        <v>1507.2427387856001</v>
      </c>
      <c r="O464" s="99">
        <f t="shared" si="164"/>
        <v>29431.130837694502</v>
      </c>
      <c r="P464" s="100">
        <f t="shared" si="165"/>
        <v>25534.697696973664</v>
      </c>
      <c r="Q464" s="95">
        <f t="shared" si="166"/>
        <v>1034269520516.2272</v>
      </c>
      <c r="R464" s="95">
        <f t="shared" si="167"/>
        <v>27686492499409.879</v>
      </c>
      <c r="S464" s="95">
        <f t="shared" si="168"/>
        <v>20622664073306.926</v>
      </c>
      <c r="T464">
        <f t="shared" si="150"/>
        <v>0.5</v>
      </c>
    </row>
    <row r="465" spans="1:20" x14ac:dyDescent="0.25">
      <c r="A465">
        <v>211</v>
      </c>
      <c r="B465" s="95">
        <f t="shared" si="151"/>
        <v>8776.8784755183715</v>
      </c>
      <c r="C465" s="95">
        <f t="shared" si="152"/>
        <v>6620.8462711959492</v>
      </c>
      <c r="D465" s="95">
        <f t="shared" si="153"/>
        <v>-419.27957181690823</v>
      </c>
      <c r="E465" s="95">
        <f t="shared" si="154"/>
        <v>397.31210942086284</v>
      </c>
      <c r="F465" s="96">
        <f t="shared" si="155"/>
        <v>81.145623601609543</v>
      </c>
      <c r="G465" s="94">
        <f t="shared" si="156"/>
        <v>-78.187878779156108</v>
      </c>
      <c r="H465" s="97">
        <f t="shared" si="157"/>
        <v>619.95927280487524</v>
      </c>
      <c r="I465" s="94">
        <f t="shared" si="158"/>
        <v>445.61353510972447</v>
      </c>
      <c r="J465" s="95">
        <f t="shared" si="159"/>
        <v>-190.77124894688623</v>
      </c>
      <c r="K465" s="94">
        <f t="shared" si="160"/>
        <v>22.401504658536954</v>
      </c>
      <c r="L465" s="94">
        <f t="shared" si="161"/>
        <v>-348.04240025637949</v>
      </c>
      <c r="M465" s="94">
        <f t="shared" si="162"/>
        <v>-546.20291854741754</v>
      </c>
      <c r="N465" s="99">
        <f t="shared" si="163"/>
        <v>1479.4658373415864</v>
      </c>
      <c r="O465" s="99">
        <f t="shared" si="164"/>
        <v>29206.488384724427</v>
      </c>
      <c r="P465" s="100">
        <f t="shared" si="165"/>
        <v>25583.841125767525</v>
      </c>
      <c r="Q465" s="95">
        <f t="shared" si="166"/>
        <v>1033011297224.4734</v>
      </c>
      <c r="R465" s="95">
        <f t="shared" si="167"/>
        <v>27090904303166.27</v>
      </c>
      <c r="S465" s="95">
        <f t="shared" si="168"/>
        <v>20726085948247.207</v>
      </c>
      <c r="T465">
        <f t="shared" si="150"/>
        <v>0.5</v>
      </c>
    </row>
    <row r="466" spans="1:20" x14ac:dyDescent="0.25">
      <c r="A466">
        <v>211.5</v>
      </c>
      <c r="B466" s="95">
        <f t="shared" si="151"/>
        <v>8587.5250955103202</v>
      </c>
      <c r="C466" s="95">
        <f t="shared" si="152"/>
        <v>6799.9553562115916</v>
      </c>
      <c r="D466" s="95">
        <f t="shared" si="153"/>
        <v>-378.70676001610343</v>
      </c>
      <c r="E466" s="95">
        <f t="shared" si="154"/>
        <v>358.21817003128479</v>
      </c>
      <c r="F466" s="96">
        <f t="shared" si="155"/>
        <v>179.84227761782279</v>
      </c>
      <c r="G466" s="94">
        <f t="shared" si="156"/>
        <v>-171.6403753317386</v>
      </c>
      <c r="H466" s="97">
        <f t="shared" si="157"/>
        <v>715.09500837503072</v>
      </c>
      <c r="I466" s="94">
        <f t="shared" si="158"/>
        <v>354.41226518189438</v>
      </c>
      <c r="J466" s="95">
        <f t="shared" si="159"/>
        <v>-193.84877149645484</v>
      </c>
      <c r="K466" s="94">
        <f t="shared" si="160"/>
        <v>21.699140476823427</v>
      </c>
      <c r="L466" s="94">
        <f t="shared" si="161"/>
        <v>-341.40395926075314</v>
      </c>
      <c r="M466" s="94">
        <f t="shared" si="162"/>
        <v>-547.75178099045638</v>
      </c>
      <c r="N466" s="99">
        <f t="shared" si="163"/>
        <v>1506.2992871671715</v>
      </c>
      <c r="O466" s="99">
        <f t="shared" si="164"/>
        <v>28974.599474671653</v>
      </c>
      <c r="P466" s="100">
        <f t="shared" si="165"/>
        <v>25637.148320589193</v>
      </c>
      <c r="Q466" s="95">
        <f t="shared" si="166"/>
        <v>1034226392147.1169</v>
      </c>
      <c r="R466" s="95">
        <f t="shared" si="167"/>
        <v>26485382427199.578</v>
      </c>
      <c r="S466" s="95">
        <f t="shared" si="168"/>
        <v>20838690678413.043</v>
      </c>
      <c r="T466">
        <f t="shared" si="150"/>
        <v>0.5</v>
      </c>
    </row>
    <row r="467" spans="1:20" x14ac:dyDescent="0.25">
      <c r="A467">
        <v>212</v>
      </c>
      <c r="B467" s="95">
        <f t="shared" si="151"/>
        <v>8443.1322849067237</v>
      </c>
      <c r="C467" s="95">
        <f t="shared" si="152"/>
        <v>6936.1543473942993</v>
      </c>
      <c r="D467" s="95">
        <f t="shared" si="153"/>
        <v>-288.78562120719204</v>
      </c>
      <c r="E467" s="95">
        <f t="shared" si="154"/>
        <v>272.39798236541549</v>
      </c>
      <c r="F467" s="96">
        <f t="shared" si="155"/>
        <v>252.79969181613296</v>
      </c>
      <c r="G467" s="94">
        <f t="shared" si="156"/>
        <v>-242.59135754704863</v>
      </c>
      <c r="H467" s="97">
        <f t="shared" si="157"/>
        <v>785.70395092258161</v>
      </c>
      <c r="I467" s="94">
        <f t="shared" si="158"/>
        <v>284.55581207570884</v>
      </c>
      <c r="J467" s="95">
        <f t="shared" si="159"/>
        <v>-196.85753219118746</v>
      </c>
      <c r="K467" s="94">
        <f t="shared" si="160"/>
        <v>21.205157299314457</v>
      </c>
      <c r="L467" s="94">
        <f t="shared" si="161"/>
        <v>-336.04672691526116</v>
      </c>
      <c r="M467" s="94">
        <f t="shared" si="162"/>
        <v>-548.35232692207194</v>
      </c>
      <c r="N467" s="99">
        <f t="shared" si="163"/>
        <v>1576.4351744077426</v>
      </c>
      <c r="O467" s="99">
        <f t="shared" si="164"/>
        <v>28766.07162628695</v>
      </c>
      <c r="P467" s="100">
        <f t="shared" si="165"/>
        <v>25687.718695009513</v>
      </c>
      <c r="Q467" s="95">
        <f t="shared" si="166"/>
        <v>1037507865951.5138</v>
      </c>
      <c r="R467" s="95">
        <f t="shared" si="167"/>
        <v>25948850683875.098</v>
      </c>
      <c r="S467" s="95">
        <f t="shared" si="168"/>
        <v>20945919245206.797</v>
      </c>
      <c r="T467">
        <f t="shared" si="150"/>
        <v>0.5</v>
      </c>
    </row>
    <row r="468" spans="1:20" x14ac:dyDescent="0.25">
      <c r="A468">
        <v>212.5</v>
      </c>
      <c r="B468" s="95">
        <f t="shared" si="151"/>
        <v>8361.9393972571597</v>
      </c>
      <c r="C468" s="95">
        <f t="shared" si="152"/>
        <v>7011.7054991902451</v>
      </c>
      <c r="D468" s="95">
        <f t="shared" si="153"/>
        <v>-162.38577529912556</v>
      </c>
      <c r="E468" s="95">
        <f t="shared" si="154"/>
        <v>151.10230359189117</v>
      </c>
      <c r="F468" s="96">
        <f t="shared" si="155"/>
        <v>291.52829051669744</v>
      </c>
      <c r="G468" s="94">
        <f t="shared" si="156"/>
        <v>-281.50468192727539</v>
      </c>
      <c r="H468" s="97">
        <f t="shared" si="157"/>
        <v>823.58436285598452</v>
      </c>
      <c r="I468" s="94">
        <f t="shared" si="158"/>
        <v>245.50478453733803</v>
      </c>
      <c r="J468" s="95">
        <f t="shared" si="159"/>
        <v>-199.38861110185263</v>
      </c>
      <c r="K468" s="94">
        <f t="shared" si="160"/>
        <v>21.008150455937542</v>
      </c>
      <c r="L468" s="94">
        <f t="shared" si="161"/>
        <v>-332.6674612374344</v>
      </c>
      <c r="M468" s="94">
        <f t="shared" si="162"/>
        <v>-548.01761692055095</v>
      </c>
      <c r="N468" s="99">
        <f t="shared" si="163"/>
        <v>1655.8257765423593</v>
      </c>
      <c r="O468" s="99">
        <f t="shared" si="164"/>
        <v>28607.672473651084</v>
      </c>
      <c r="P468" s="100">
        <f t="shared" si="165"/>
        <v>25727.663577989497</v>
      </c>
      <c r="Q468" s="95">
        <f t="shared" si="166"/>
        <v>1041407006536.307</v>
      </c>
      <c r="R468" s="95">
        <f t="shared" si="167"/>
        <v>25546318289478.496</v>
      </c>
      <c r="S468" s="95">
        <f t="shared" si="168"/>
        <v>21030896986432.531</v>
      </c>
      <c r="T468">
        <f t="shared" si="150"/>
        <v>0.5</v>
      </c>
    </row>
    <row r="469" spans="1:20" x14ac:dyDescent="0.25">
      <c r="A469">
        <v>213</v>
      </c>
      <c r="B469" s="95">
        <f t="shared" si="151"/>
        <v>8353.6285822367718</v>
      </c>
      <c r="C469" s="95">
        <f t="shared" si="152"/>
        <v>7016.8804805043719</v>
      </c>
      <c r="D469" s="95">
        <f t="shared" si="153"/>
        <v>-16.621630040776836</v>
      </c>
      <c r="E469" s="95">
        <f t="shared" si="154"/>
        <v>10.349962628253479</v>
      </c>
      <c r="F469" s="96">
        <f t="shared" si="155"/>
        <v>292.78963030164221</v>
      </c>
      <c r="G469" s="94">
        <f t="shared" si="156"/>
        <v>-283.49105654971976</v>
      </c>
      <c r="H469" s="97">
        <f t="shared" si="157"/>
        <v>825.5933341373418</v>
      </c>
      <c r="I469" s="94">
        <f t="shared" si="158"/>
        <v>242.26626542698392</v>
      </c>
      <c r="J469" s="95">
        <f t="shared" si="159"/>
        <v>-201.09048214220329</v>
      </c>
      <c r="K469" s="94">
        <f t="shared" si="160"/>
        <v>21.156972580187134</v>
      </c>
      <c r="L469" s="94">
        <f t="shared" si="161"/>
        <v>-331.71322169349628</v>
      </c>
      <c r="M469" s="94">
        <f t="shared" si="162"/>
        <v>-546.91429455689081</v>
      </c>
      <c r="N469" s="99">
        <f t="shared" si="163"/>
        <v>1709.2905129846374</v>
      </c>
      <c r="O469" s="99">
        <f t="shared" si="164"/>
        <v>28518.932490492305</v>
      </c>
      <c r="P469" s="100">
        <f t="shared" si="165"/>
        <v>25749.885503416419</v>
      </c>
      <c r="Q469" s="95">
        <f t="shared" si="166"/>
        <v>1044143675677.3246</v>
      </c>
      <c r="R469" s="95">
        <f t="shared" si="167"/>
        <v>25322692016984.027</v>
      </c>
      <c r="S469" s="95">
        <f t="shared" si="168"/>
        <v>21078278218027.109</v>
      </c>
      <c r="T469">
        <f t="shared" si="150"/>
        <v>0.5</v>
      </c>
    </row>
    <row r="470" spans="1:20" x14ac:dyDescent="0.25">
      <c r="A470">
        <v>213.5</v>
      </c>
      <c r="B470" s="95">
        <f t="shared" si="151"/>
        <v>8418.5151747917935</v>
      </c>
      <c r="C470" s="95">
        <f t="shared" si="152"/>
        <v>6951.1826976810689</v>
      </c>
      <c r="D470" s="95">
        <f t="shared" si="153"/>
        <v>129.77318511004427</v>
      </c>
      <c r="E470" s="95">
        <f t="shared" si="154"/>
        <v>-131.3955656466064</v>
      </c>
      <c r="F470" s="96">
        <f t="shared" si="155"/>
        <v>257.74970363702391</v>
      </c>
      <c r="G470" s="94">
        <f t="shared" si="156"/>
        <v>-248.51232362643606</v>
      </c>
      <c r="H470" s="97">
        <f t="shared" si="157"/>
        <v>792.7978273085489</v>
      </c>
      <c r="I470" s="94">
        <f t="shared" si="158"/>
        <v>275.12193473655708</v>
      </c>
      <c r="J470" s="95">
        <f t="shared" si="159"/>
        <v>-201.72688766190927</v>
      </c>
      <c r="K470" s="94">
        <f t="shared" si="160"/>
        <v>21.641821244486682</v>
      </c>
      <c r="L470" s="94">
        <f t="shared" si="161"/>
        <v>-333.32123600961575</v>
      </c>
      <c r="M470" s="94">
        <f t="shared" si="162"/>
        <v>-545.2760796074798</v>
      </c>
      <c r="N470" s="99">
        <f t="shared" si="163"/>
        <v>1715.7923287348585</v>
      </c>
      <c r="O470" s="99">
        <f t="shared" si="164"/>
        <v>28510.125496865669</v>
      </c>
      <c r="P470" s="100">
        <f t="shared" si="165"/>
        <v>25749.998493303749</v>
      </c>
      <c r="Q470" s="95">
        <f t="shared" si="166"/>
        <v>1044482577503.3723</v>
      </c>
      <c r="R470" s="95">
        <f t="shared" si="167"/>
        <v>25300571844195.215</v>
      </c>
      <c r="S470" s="95">
        <f t="shared" si="168"/>
        <v>21078519328619.945</v>
      </c>
      <c r="T470">
        <f t="shared" si="150"/>
        <v>0.5</v>
      </c>
    </row>
    <row r="471" spans="1:20" x14ac:dyDescent="0.25">
      <c r="A471">
        <v>214</v>
      </c>
      <c r="B471" s="95">
        <f t="shared" si="151"/>
        <v>8547.8391932560717</v>
      </c>
      <c r="C471" s="95">
        <f t="shared" si="152"/>
        <v>6823.3568339511567</v>
      </c>
      <c r="D471" s="95">
        <f t="shared" si="153"/>
        <v>258.64803692855622</v>
      </c>
      <c r="E471" s="95">
        <f t="shared" si="154"/>
        <v>-255.65172745982443</v>
      </c>
      <c r="F471" s="96">
        <f t="shared" si="155"/>
        <v>190.96163489594278</v>
      </c>
      <c r="G471" s="94">
        <f t="shared" si="156"/>
        <v>-181.03788372901545</v>
      </c>
      <c r="H471" s="97">
        <f t="shared" si="157"/>
        <v>729.47282914261575</v>
      </c>
      <c r="I471" s="94">
        <f t="shared" si="158"/>
        <v>339.90230445925113</v>
      </c>
      <c r="J471" s="95">
        <f t="shared" si="159"/>
        <v>-201.21432167625139</v>
      </c>
      <c r="K471" s="94">
        <f t="shared" si="160"/>
        <v>22.389999310876536</v>
      </c>
      <c r="L471" s="94">
        <f t="shared" si="161"/>
        <v>-337.29687257042156</v>
      </c>
      <c r="M471" s="94">
        <f t="shared" si="162"/>
        <v>-543.33018749914311</v>
      </c>
      <c r="N471" s="99">
        <f t="shared" si="163"/>
        <v>1674.0055805428071</v>
      </c>
      <c r="O471" s="99">
        <f t="shared" si="164"/>
        <v>28581.590083177503</v>
      </c>
      <c r="P471" s="100">
        <f t="shared" si="165"/>
        <v>25727.630503470202</v>
      </c>
      <c r="Q471" s="95">
        <f t="shared" si="166"/>
        <v>1042327541214.4329</v>
      </c>
      <c r="R471" s="95">
        <f t="shared" si="167"/>
        <v>25480450091243.508</v>
      </c>
      <c r="S471" s="95">
        <f t="shared" si="168"/>
        <v>21030826522444.262</v>
      </c>
      <c r="T471">
        <f t="shared" si="150"/>
        <v>0.5</v>
      </c>
    </row>
    <row r="472" spans="1:20" x14ac:dyDescent="0.25">
      <c r="A472">
        <v>214.5</v>
      </c>
      <c r="B472" s="95">
        <f t="shared" si="151"/>
        <v>8724.9036204443364</v>
      </c>
      <c r="C472" s="95">
        <f t="shared" si="152"/>
        <v>6650.2714992889905</v>
      </c>
      <c r="D472" s="95">
        <f t="shared" si="153"/>
        <v>354.12885437652761</v>
      </c>
      <c r="E472" s="95">
        <f t="shared" si="154"/>
        <v>-346.17066932433215</v>
      </c>
      <c r="F472" s="96">
        <f t="shared" si="155"/>
        <v>99.974853090363979</v>
      </c>
      <c r="G472" s="94">
        <f t="shared" si="156"/>
        <v>-89.664422702902357</v>
      </c>
      <c r="H472" s="97">
        <f t="shared" si="157"/>
        <v>642.73594457389652</v>
      </c>
      <c r="I472" s="94">
        <f t="shared" si="158"/>
        <v>428.32138753791332</v>
      </c>
      <c r="J472" s="95">
        <f t="shared" si="159"/>
        <v>-199.63278398487012</v>
      </c>
      <c r="K472" s="94">
        <f t="shared" si="160"/>
        <v>23.279995471053894</v>
      </c>
      <c r="L472" s="94">
        <f t="shared" si="161"/>
        <v>-343.12830749866242</v>
      </c>
      <c r="M472" s="94">
        <f t="shared" si="162"/>
        <v>-541.26580571186958</v>
      </c>
      <c r="N472" s="99">
        <f t="shared" si="163"/>
        <v>1602.066472654546</v>
      </c>
      <c r="O472" s="99">
        <f t="shared" si="164"/>
        <v>28724.034960437089</v>
      </c>
      <c r="P472" s="100">
        <f t="shared" si="165"/>
        <v>25686.627850075765</v>
      </c>
      <c r="Q472" s="95">
        <f t="shared" si="166"/>
        <v>1038745240158.8994</v>
      </c>
      <c r="R472" s="95">
        <f t="shared" si="167"/>
        <v>25841603539088.063</v>
      </c>
      <c r="S472" s="95">
        <f t="shared" si="168"/>
        <v>20943602069022.902</v>
      </c>
      <c r="T472">
        <f t="shared" si="150"/>
        <v>0.5</v>
      </c>
    </row>
    <row r="473" spans="1:20" x14ac:dyDescent="0.25">
      <c r="A473">
        <v>215</v>
      </c>
      <c r="B473" s="95">
        <f t="shared" si="151"/>
        <v>8926.9617609051911</v>
      </c>
      <c r="C473" s="95">
        <f t="shared" si="152"/>
        <v>6454.7700589510987</v>
      </c>
      <c r="D473" s="95">
        <f t="shared" si="153"/>
        <v>404.11628092170963</v>
      </c>
      <c r="E473" s="95">
        <f t="shared" si="154"/>
        <v>-391.00288067578333</v>
      </c>
      <c r="F473" s="96">
        <f t="shared" si="155"/>
        <v>-4.6319693476855264</v>
      </c>
      <c r="G473" s="94">
        <f t="shared" si="156"/>
        <v>13.481591198552337</v>
      </c>
      <c r="H473" s="97">
        <f t="shared" si="157"/>
        <v>542.61945120146538</v>
      </c>
      <c r="I473" s="94">
        <f t="shared" si="158"/>
        <v>528.55720917247095</v>
      </c>
      <c r="J473" s="95">
        <f t="shared" si="159"/>
        <v>-197.21042480731401</v>
      </c>
      <c r="K473" s="94">
        <f t="shared" si="160"/>
        <v>24.169710890922975</v>
      </c>
      <c r="L473" s="94">
        <f t="shared" si="161"/>
        <v>-350.04099574183692</v>
      </c>
      <c r="M473" s="94">
        <f t="shared" si="162"/>
        <v>-539.24532886484155</v>
      </c>
      <c r="N473" s="99">
        <f t="shared" si="163"/>
        <v>1532.2889094673174</v>
      </c>
      <c r="O473" s="99">
        <f t="shared" si="164"/>
        <v>28919.556860925302</v>
      </c>
      <c r="P473" s="100">
        <f t="shared" si="165"/>
        <v>25634.102975985159</v>
      </c>
      <c r="Q473" s="95">
        <f t="shared" si="166"/>
        <v>1035424563045.3715</v>
      </c>
      <c r="R473" s="95">
        <f t="shared" si="167"/>
        <v>26343028106569.32</v>
      </c>
      <c r="S473" s="95">
        <f t="shared" si="168"/>
        <v>20832245978389.352</v>
      </c>
      <c r="T473">
        <f t="shared" si="150"/>
        <v>0.5</v>
      </c>
    </row>
    <row r="474" spans="1:20" x14ac:dyDescent="0.25">
      <c r="A474">
        <v>215.5</v>
      </c>
      <c r="B474" s="95">
        <f t="shared" si="151"/>
        <v>9127.8619090291249</v>
      </c>
      <c r="C474" s="95">
        <f t="shared" si="152"/>
        <v>6262.6390164128452</v>
      </c>
      <c r="D474" s="95">
        <f t="shared" si="153"/>
        <v>401.80029624786687</v>
      </c>
      <c r="E474" s="95">
        <f t="shared" si="154"/>
        <v>-384.26208507650716</v>
      </c>
      <c r="F474" s="96">
        <f t="shared" si="155"/>
        <v>-109.68357920858344</v>
      </c>
      <c r="G474" s="94">
        <f t="shared" si="156"/>
        <v>114.16125802955389</v>
      </c>
      <c r="H474" s="97">
        <f t="shared" si="157"/>
        <v>441.70026569437226</v>
      </c>
      <c r="I474" s="94">
        <f t="shared" si="158"/>
        <v>626.66988274973494</v>
      </c>
      <c r="J474" s="95">
        <f t="shared" si="159"/>
        <v>-194.28615716838365</v>
      </c>
      <c r="K474" s="94">
        <f t="shared" si="160"/>
        <v>24.928623519294948</v>
      </c>
      <c r="L474" s="94">
        <f t="shared" si="161"/>
        <v>-357.09768773457205</v>
      </c>
      <c r="M474" s="94">
        <f t="shared" si="162"/>
        <v>-537.43724823947605</v>
      </c>
      <c r="N474" s="99">
        <f t="shared" si="163"/>
        <v>1497.9708582695387</v>
      </c>
      <c r="O474" s="99">
        <f t="shared" si="164"/>
        <v>29143.400145689604</v>
      </c>
      <c r="P474" s="100">
        <f t="shared" si="165"/>
        <v>25578.651687924837</v>
      </c>
      <c r="Q474" s="95">
        <f t="shared" si="166"/>
        <v>1033846868683.933</v>
      </c>
      <c r="R474" s="95">
        <f t="shared" si="167"/>
        <v>26925234290490.781</v>
      </c>
      <c r="S474" s="95">
        <f t="shared" si="168"/>
        <v>20715147287338.004</v>
      </c>
      <c r="T474">
        <f t="shared" si="150"/>
        <v>0.5</v>
      </c>
    </row>
    <row r="475" spans="1:20" x14ac:dyDescent="0.25">
      <c r="A475">
        <v>216</v>
      </c>
      <c r="B475" s="95">
        <f t="shared" si="151"/>
        <v>9301.3411623509128</v>
      </c>
      <c r="C475" s="95">
        <f t="shared" si="152"/>
        <v>6099.0482883819805</v>
      </c>
      <c r="D475" s="95">
        <f t="shared" si="153"/>
        <v>346.95850664357516</v>
      </c>
      <c r="E475" s="95">
        <f t="shared" si="154"/>
        <v>-327.18145606173022</v>
      </c>
      <c r="F475" s="96">
        <f t="shared" si="155"/>
        <v>-201.00276842079995</v>
      </c>
      <c r="G475" s="94">
        <f t="shared" si="156"/>
        <v>198.44614511627367</v>
      </c>
      <c r="H475" s="97">
        <f t="shared" si="157"/>
        <v>353.59268130667061</v>
      </c>
      <c r="I475" s="94">
        <f t="shared" si="158"/>
        <v>709.02455590347927</v>
      </c>
      <c r="J475" s="95">
        <f t="shared" si="159"/>
        <v>-191.25665568644524</v>
      </c>
      <c r="K475" s="94">
        <f t="shared" si="160"/>
        <v>25.462417376205753</v>
      </c>
      <c r="L475" s="94">
        <f t="shared" si="161"/>
        <v>-363.33879404102532</v>
      </c>
      <c r="M475" s="94">
        <f t="shared" si="162"/>
        <v>-536.04082816341133</v>
      </c>
      <c r="N475" s="99">
        <f t="shared" si="163"/>
        <v>1513.8319105587957</v>
      </c>
      <c r="O475" s="99">
        <f t="shared" si="164"/>
        <v>29366.651264880533</v>
      </c>
      <c r="P475" s="100">
        <f t="shared" si="165"/>
        <v>25528.34307319764</v>
      </c>
      <c r="Q475" s="95">
        <f t="shared" si="166"/>
        <v>1034571503579.0575</v>
      </c>
      <c r="R475" s="95">
        <f t="shared" si="167"/>
        <v>27514630438449.262</v>
      </c>
      <c r="S475" s="95">
        <f t="shared" si="168"/>
        <v>20609317928145.559</v>
      </c>
      <c r="T475">
        <f t="shared" si="150"/>
        <v>0.5</v>
      </c>
    </row>
    <row r="476" spans="1:20" x14ac:dyDescent="0.25">
      <c r="A476">
        <v>216.5</v>
      </c>
      <c r="B476" s="95">
        <f t="shared" si="151"/>
        <v>9424.5697235674998</v>
      </c>
      <c r="C476" s="95">
        <f t="shared" si="152"/>
        <v>5985.0690966301845</v>
      </c>
      <c r="D476" s="95">
        <f t="shared" si="153"/>
        <v>246.45712243317519</v>
      </c>
      <c r="E476" s="95">
        <f t="shared" si="154"/>
        <v>-227.95838350359338</v>
      </c>
      <c r="F476" s="96">
        <f t="shared" si="155"/>
        <v>-265.90462735399103</v>
      </c>
      <c r="G476" s="94">
        <f t="shared" si="156"/>
        <v>255.36928814901944</v>
      </c>
      <c r="H476" s="97">
        <f t="shared" si="157"/>
        <v>290.54831719268805</v>
      </c>
      <c r="I476" s="94">
        <f t="shared" si="158"/>
        <v>764.92434038432248</v>
      </c>
      <c r="J476" s="95">
        <f t="shared" si="159"/>
        <v>-188.51736242598088</v>
      </c>
      <c r="K476" s="94">
        <f t="shared" si="160"/>
        <v>25.722863285222989</v>
      </c>
      <c r="L476" s="94">
        <f t="shared" si="161"/>
        <v>-367.9355821206982</v>
      </c>
      <c r="M476" s="94">
        <f t="shared" si="162"/>
        <v>-535.27791552052599</v>
      </c>
      <c r="N476" s="99">
        <f t="shared" si="163"/>
        <v>1565.4998785405996</v>
      </c>
      <c r="O476" s="99">
        <f t="shared" si="164"/>
        <v>29559.87175494602</v>
      </c>
      <c r="P476" s="100">
        <f t="shared" si="165"/>
        <v>25489.17805103623</v>
      </c>
      <c r="Q476" s="95">
        <f t="shared" si="166"/>
        <v>1036986175288.8175</v>
      </c>
      <c r="R476" s="95">
        <f t="shared" si="167"/>
        <v>28031833721601.512</v>
      </c>
      <c r="S476" s="95">
        <f t="shared" si="168"/>
        <v>20527199359899.469</v>
      </c>
      <c r="T476">
        <f t="shared" si="150"/>
        <v>0.5</v>
      </c>
    </row>
    <row r="477" spans="1:20" x14ac:dyDescent="0.25">
      <c r="A477">
        <v>217</v>
      </c>
      <c r="B477" s="95">
        <f t="shared" si="151"/>
        <v>9481.3221279455884</v>
      </c>
      <c r="C477" s="95">
        <f t="shared" si="152"/>
        <v>5934.9322269156428</v>
      </c>
      <c r="D477" s="95">
        <f t="shared" si="153"/>
        <v>113.50480875617967</v>
      </c>
      <c r="E477" s="95">
        <f t="shared" si="154"/>
        <v>-100.27373942908366</v>
      </c>
      <c r="F477" s="96">
        <f t="shared" si="155"/>
        <v>-295.50161527766193</v>
      </c>
      <c r="G477" s="94">
        <f t="shared" si="156"/>
        <v>278.57374922087956</v>
      </c>
      <c r="H477" s="97">
        <f t="shared" si="157"/>
        <v>261.22177656042629</v>
      </c>
      <c r="I477" s="94">
        <f t="shared" si="158"/>
        <v>788.21520282569099</v>
      </c>
      <c r="J477" s="95">
        <f t="shared" si="159"/>
        <v>-186.40934343600028</v>
      </c>
      <c r="K477" s="94">
        <f t="shared" si="160"/>
        <v>25.703277869115837</v>
      </c>
      <c r="L477" s="94">
        <f t="shared" si="161"/>
        <v>-370.31404840208796</v>
      </c>
      <c r="M477" s="94">
        <f t="shared" si="162"/>
        <v>-535.34473147392725</v>
      </c>
      <c r="N477" s="99">
        <f t="shared" si="163"/>
        <v>1620.5356043666764</v>
      </c>
      <c r="O477" s="99">
        <f t="shared" si="164"/>
        <v>29697.221647418788</v>
      </c>
      <c r="P477" s="100">
        <f t="shared" si="165"/>
        <v>25464.511318703986</v>
      </c>
      <c r="Q477" s="95">
        <f t="shared" si="166"/>
        <v>1039649535783.6252</v>
      </c>
      <c r="R477" s="95">
        <f t="shared" si="167"/>
        <v>28403510641929.32</v>
      </c>
      <c r="S477" s="95">
        <f t="shared" si="168"/>
        <v>20475600555677.188</v>
      </c>
      <c r="T477">
        <f t="shared" si="150"/>
        <v>0.5</v>
      </c>
    </row>
    <row r="478" spans="1:20" x14ac:dyDescent="0.25">
      <c r="A478">
        <v>217.5</v>
      </c>
      <c r="B478" s="95">
        <f t="shared" si="151"/>
        <v>9464.1991285042641</v>
      </c>
      <c r="C478" s="95">
        <f t="shared" si="152"/>
        <v>5954.4387945063208</v>
      </c>
      <c r="D478" s="95">
        <f t="shared" si="153"/>
        <v>-34.245998882651293</v>
      </c>
      <c r="E478" s="95">
        <f t="shared" si="154"/>
        <v>39.01313518135612</v>
      </c>
      <c r="F478" s="96">
        <f t="shared" si="155"/>
        <v>-285.91824565182304</v>
      </c>
      <c r="G478" s="94">
        <f t="shared" si="156"/>
        <v>266.42880035142946</v>
      </c>
      <c r="H478" s="97">
        <f t="shared" si="157"/>
        <v>269.48169105221029</v>
      </c>
      <c r="I478" s="94">
        <f t="shared" si="158"/>
        <v>777.341862319916</v>
      </c>
      <c r="J478" s="95">
        <f t="shared" si="159"/>
        <v>-185.18156342575344</v>
      </c>
      <c r="K478" s="94">
        <f t="shared" si="160"/>
        <v>25.42622474483413</v>
      </c>
      <c r="L478" s="94">
        <f t="shared" si="161"/>
        <v>-370.2183732782799</v>
      </c>
      <c r="M478" s="94">
        <f t="shared" si="162"/>
        <v>-536.33928671332069</v>
      </c>
      <c r="N478" s="99">
        <f t="shared" si="163"/>
        <v>1648.7764764534099</v>
      </c>
      <c r="O478" s="99">
        <f t="shared" si="164"/>
        <v>29760.26092646809</v>
      </c>
      <c r="P478" s="100">
        <f t="shared" si="165"/>
        <v>25455.452813078729</v>
      </c>
      <c r="Q478" s="95">
        <f t="shared" si="166"/>
        <v>1041052841787.738</v>
      </c>
      <c r="R478" s="95">
        <f t="shared" si="167"/>
        <v>28575223568042.621</v>
      </c>
      <c r="S478" s="95">
        <f t="shared" si="168"/>
        <v>20456675033797.234</v>
      </c>
      <c r="T478">
        <f t="shared" si="150"/>
        <v>0.5</v>
      </c>
    </row>
    <row r="479" spans="1:20" x14ac:dyDescent="0.25">
      <c r="A479">
        <v>218</v>
      </c>
      <c r="B479" s="95">
        <f t="shared" si="151"/>
        <v>9375.5965676499818</v>
      </c>
      <c r="C479" s="95">
        <f t="shared" si="152"/>
        <v>6040.5525621848565</v>
      </c>
      <c r="D479" s="95">
        <f t="shared" si="153"/>
        <v>-177.20512170856281</v>
      </c>
      <c r="E479" s="95">
        <f t="shared" si="154"/>
        <v>172.22753535707085</v>
      </c>
      <c r="F479" s="96">
        <f t="shared" si="155"/>
        <v>-238.44460677030128</v>
      </c>
      <c r="G479" s="94">
        <f t="shared" si="156"/>
        <v>221.22324880476299</v>
      </c>
      <c r="H479" s="97">
        <f t="shared" si="157"/>
        <v>314.24002049966879</v>
      </c>
      <c r="I479" s="94">
        <f t="shared" si="158"/>
        <v>734.48794323753123</v>
      </c>
      <c r="J479" s="95">
        <f t="shared" si="159"/>
        <v>-184.97117233151835</v>
      </c>
      <c r="K479" s="94">
        <f t="shared" si="160"/>
        <v>24.931702499081663</v>
      </c>
      <c r="L479" s="94">
        <f t="shared" si="161"/>
        <v>-367.71345493845172</v>
      </c>
      <c r="M479" s="94">
        <f t="shared" si="162"/>
        <v>-538.1963969318499</v>
      </c>
      <c r="N479" s="99">
        <f t="shared" si="163"/>
        <v>1635.8001142629453</v>
      </c>
      <c r="O479" s="99">
        <f t="shared" si="164"/>
        <v>29740.638791921516</v>
      </c>
      <c r="P479" s="100">
        <f t="shared" si="165"/>
        <v>25461.766663406041</v>
      </c>
      <c r="Q479" s="95">
        <f t="shared" si="166"/>
        <v>1040404949496.8428</v>
      </c>
      <c r="R479" s="95">
        <f t="shared" si="167"/>
        <v>28521698744112.344</v>
      </c>
      <c r="S479" s="95">
        <f t="shared" si="168"/>
        <v>20469864945726.617</v>
      </c>
      <c r="T479">
        <f t="shared" si="150"/>
        <v>0.5</v>
      </c>
    </row>
    <row r="480" spans="1:20" x14ac:dyDescent="0.25">
      <c r="A480">
        <v>218.5</v>
      </c>
      <c r="B480" s="95">
        <f t="shared" si="151"/>
        <v>9227.3828551031238</v>
      </c>
      <c r="C480" s="95">
        <f t="shared" si="152"/>
        <v>6181.9721420645828</v>
      </c>
      <c r="D480" s="95">
        <f t="shared" si="153"/>
        <v>-296.42742509371345</v>
      </c>
      <c r="E480" s="95">
        <f t="shared" si="154"/>
        <v>282.83915975945234</v>
      </c>
      <c r="F480" s="96">
        <f t="shared" si="155"/>
        <v>-159.2285705765542</v>
      </c>
      <c r="G480" s="94">
        <f t="shared" si="156"/>
        <v>148.43851075225405</v>
      </c>
      <c r="H480" s="97">
        <f t="shared" si="157"/>
        <v>389.71840436239307</v>
      </c>
      <c r="I480" s="94">
        <f t="shared" si="158"/>
        <v>664.83085069039407</v>
      </c>
      <c r="J480" s="95">
        <f t="shared" si="159"/>
        <v>-185.79735447719554</v>
      </c>
      <c r="K480" s="94">
        <f t="shared" si="160"/>
        <v>24.271057002997313</v>
      </c>
      <c r="L480" s="94">
        <f t="shared" si="161"/>
        <v>-363.14962046175174</v>
      </c>
      <c r="M480" s="94">
        <f t="shared" si="162"/>
        <v>-540.66339694113731</v>
      </c>
      <c r="N480" s="99">
        <f t="shared" si="163"/>
        <v>1587.408728108697</v>
      </c>
      <c r="O480" s="99">
        <f t="shared" si="164"/>
        <v>29641.236440441389</v>
      </c>
      <c r="P480" s="100">
        <f t="shared" si="165"/>
        <v>25482.594624525456</v>
      </c>
      <c r="Q480" s="95">
        <f t="shared" si="166"/>
        <v>1038035121118.0703</v>
      </c>
      <c r="R480" s="95">
        <f t="shared" si="167"/>
        <v>28251606264998.184</v>
      </c>
      <c r="S480" s="95">
        <f t="shared" si="168"/>
        <v>20513418776062.93</v>
      </c>
      <c r="T480">
        <f t="shared" si="150"/>
        <v>0.5</v>
      </c>
    </row>
    <row r="481" spans="1:20" x14ac:dyDescent="0.25">
      <c r="A481">
        <v>219</v>
      </c>
      <c r="B481" s="95">
        <f t="shared" si="151"/>
        <v>9039.3619999121292</v>
      </c>
      <c r="C481" s="95">
        <f t="shared" si="152"/>
        <v>6360.5013496323727</v>
      </c>
      <c r="D481" s="95">
        <f t="shared" si="153"/>
        <v>-376.04171038199058</v>
      </c>
      <c r="E481" s="95">
        <f t="shared" si="154"/>
        <v>357.05841513557937</v>
      </c>
      <c r="F481" s="96">
        <f t="shared" si="155"/>
        <v>-58.795695158404214</v>
      </c>
      <c r="G481" s="94">
        <f t="shared" si="156"/>
        <v>56.515207341671498</v>
      </c>
      <c r="H481" s="97">
        <f t="shared" si="157"/>
        <v>485.87841037965632</v>
      </c>
      <c r="I481" s="94">
        <f t="shared" si="158"/>
        <v>576.34383901088938</v>
      </c>
      <c r="J481" s="95">
        <f t="shared" si="159"/>
        <v>-187.56227533791193</v>
      </c>
      <c r="K481" s="94">
        <f t="shared" si="160"/>
        <v>23.507150327692369</v>
      </c>
      <c r="L481" s="94">
        <f t="shared" si="161"/>
        <v>-357.11183020014857</v>
      </c>
      <c r="M481" s="94">
        <f t="shared" si="162"/>
        <v>-543.33578199691021</v>
      </c>
      <c r="N481" s="99">
        <f t="shared" si="163"/>
        <v>1527.7875136557523</v>
      </c>
      <c r="O481" s="99">
        <f t="shared" si="164"/>
        <v>29475.706018393299</v>
      </c>
      <c r="P481" s="100">
        <f t="shared" si="165"/>
        <v>25516.550839266707</v>
      </c>
      <c r="Q481" s="95">
        <f t="shared" si="166"/>
        <v>1035215539307.8312</v>
      </c>
      <c r="R481" s="95">
        <f t="shared" si="167"/>
        <v>27805731218878.418</v>
      </c>
      <c r="S481" s="95">
        <f t="shared" si="168"/>
        <v>20584568002732.652</v>
      </c>
      <c r="T481">
        <f t="shared" si="150"/>
        <v>0.5</v>
      </c>
    </row>
    <row r="482" spans="1:20" x14ac:dyDescent="0.25">
      <c r="A482">
        <v>219.5</v>
      </c>
      <c r="B482" s="95">
        <f t="shared" si="151"/>
        <v>8836.6422209315333</v>
      </c>
      <c r="C482" s="95">
        <f t="shared" si="152"/>
        <v>6553.1593590355806</v>
      </c>
      <c r="D482" s="95">
        <f t="shared" si="153"/>
        <v>-405.43955796119269</v>
      </c>
      <c r="E482" s="95">
        <f t="shared" si="154"/>
        <v>385.31601880641512</v>
      </c>
      <c r="F482" s="96">
        <f t="shared" si="155"/>
        <v>48.971020645137912</v>
      </c>
      <c r="G482" s="94">
        <f t="shared" si="156"/>
        <v>-43.338484563278882</v>
      </c>
      <c r="H482" s="97">
        <f t="shared" si="157"/>
        <v>589.38615806292319</v>
      </c>
      <c r="I482" s="94">
        <f t="shared" si="158"/>
        <v>479.69315864523207</v>
      </c>
      <c r="J482" s="95">
        <f t="shared" si="159"/>
        <v>-190.05653638760754</v>
      </c>
      <c r="K482" s="94">
        <f t="shared" si="160"/>
        <v>22.717436679442098</v>
      </c>
      <c r="L482" s="94">
        <f t="shared" si="161"/>
        <v>-350.35860103017774</v>
      </c>
      <c r="M482" s="94">
        <f t="shared" si="162"/>
        <v>-545.74907988795303</v>
      </c>
      <c r="N482" s="99">
        <f t="shared" si="163"/>
        <v>1490.3967731454829</v>
      </c>
      <c r="O482" s="99">
        <f t="shared" si="164"/>
        <v>29266.542258831472</v>
      </c>
      <c r="P482" s="100">
        <f t="shared" si="165"/>
        <v>25561.195262980626</v>
      </c>
      <c r="Q482" s="95">
        <f t="shared" si="166"/>
        <v>1033503587367.8833</v>
      </c>
      <c r="R482" s="95">
        <f t="shared" si="167"/>
        <v>27249254249584.707</v>
      </c>
      <c r="S482" s="95">
        <f t="shared" si="168"/>
        <v>20678381817854.816</v>
      </c>
      <c r="T482">
        <f t="shared" si="150"/>
        <v>0.5</v>
      </c>
    </row>
    <row r="483" spans="1:20" x14ac:dyDescent="0.25">
      <c r="A483">
        <v>220</v>
      </c>
      <c r="B483" s="95">
        <f t="shared" si="151"/>
        <v>8646.165197112221</v>
      </c>
      <c r="C483" s="95">
        <f t="shared" si="152"/>
        <v>6734.9827472979687</v>
      </c>
      <c r="D483" s="95">
        <f t="shared" si="153"/>
        <v>-380.95404763862371</v>
      </c>
      <c r="E483" s="95">
        <f t="shared" si="154"/>
        <v>363.64677652477565</v>
      </c>
      <c r="F483" s="96">
        <f t="shared" si="155"/>
        <v>148.88267152148865</v>
      </c>
      <c r="G483" s="94">
        <f t="shared" si="156"/>
        <v>-138.08950625768472</v>
      </c>
      <c r="H483" s="97">
        <f t="shared" si="157"/>
        <v>685.59857204611967</v>
      </c>
      <c r="I483" s="94">
        <f t="shared" si="158"/>
        <v>387.41413274676631</v>
      </c>
      <c r="J483" s="95">
        <f t="shared" si="159"/>
        <v>-192.97278381519578</v>
      </c>
      <c r="K483" s="94">
        <f t="shared" si="160"/>
        <v>21.994548454327457</v>
      </c>
      <c r="L483" s="94">
        <f t="shared" si="161"/>
        <v>-343.74311670943524</v>
      </c>
      <c r="M483" s="94">
        <f t="shared" si="162"/>
        <v>-547.49818745877849</v>
      </c>
      <c r="N483" s="99">
        <f t="shared" si="163"/>
        <v>1499.9695068570654</v>
      </c>
      <c r="O483" s="99">
        <f t="shared" si="164"/>
        <v>29041.911868577372</v>
      </c>
      <c r="P483" s="100">
        <f t="shared" si="165"/>
        <v>25612.328014181923</v>
      </c>
      <c r="Q483" s="95">
        <f t="shared" si="166"/>
        <v>1033937750247.7068</v>
      </c>
      <c r="R483" s="95">
        <f t="shared" si="167"/>
        <v>26660185841260.645</v>
      </c>
      <c r="S483" s="95">
        <f t="shared" si="168"/>
        <v>20786206447472.855</v>
      </c>
      <c r="T483">
        <f t="shared" si="150"/>
        <v>0.5</v>
      </c>
    </row>
    <row r="484" spans="1:20" x14ac:dyDescent="0.25">
      <c r="A484">
        <v>220.5</v>
      </c>
      <c r="B484" s="95">
        <f t="shared" si="151"/>
        <v>8492.908841173281</v>
      </c>
      <c r="C484" s="95">
        <f t="shared" si="152"/>
        <v>6882.2837589959354</v>
      </c>
      <c r="D484" s="95">
        <f t="shared" si="153"/>
        <v>-306.51271187787938</v>
      </c>
      <c r="E484" s="95">
        <f t="shared" si="154"/>
        <v>294.60202339593332</v>
      </c>
      <c r="F484" s="96">
        <f t="shared" si="155"/>
        <v>227.2828466615332</v>
      </c>
      <c r="G484" s="94">
        <f t="shared" si="156"/>
        <v>-214.85023743248013</v>
      </c>
      <c r="H484" s="97">
        <f t="shared" si="157"/>
        <v>761.33000205826625</v>
      </c>
      <c r="I484" s="94">
        <f t="shared" si="158"/>
        <v>312.0487465410983</v>
      </c>
      <c r="J484" s="95">
        <f t="shared" si="159"/>
        <v>-195.93443646876912</v>
      </c>
      <c r="K484" s="94">
        <f t="shared" si="160"/>
        <v>21.439298393708906</v>
      </c>
      <c r="L484" s="94">
        <f t="shared" si="161"/>
        <v>-338.1127189279639</v>
      </c>
      <c r="M484" s="94">
        <f t="shared" si="162"/>
        <v>-548.33828236728732</v>
      </c>
      <c r="N484" s="99">
        <f t="shared" si="163"/>
        <v>1555.0305689734705</v>
      </c>
      <c r="O484" s="99">
        <f t="shared" si="164"/>
        <v>28831.633983537686</v>
      </c>
      <c r="P484" s="100">
        <f t="shared" si="165"/>
        <v>25663.735106414599</v>
      </c>
      <c r="Q484" s="95">
        <f t="shared" si="166"/>
        <v>1036490199182.1138</v>
      </c>
      <c r="R484" s="95">
        <f t="shared" si="167"/>
        <v>26116727568732.605</v>
      </c>
      <c r="S484" s="95">
        <f t="shared" si="168"/>
        <v>20895015635312.395</v>
      </c>
      <c r="T484">
        <f t="shared" si="150"/>
        <v>0.5</v>
      </c>
    </row>
    <row r="485" spans="1:20" x14ac:dyDescent="0.25">
      <c r="A485">
        <v>221</v>
      </c>
      <c r="B485" s="95">
        <f t="shared" si="151"/>
        <v>8396.4731968997239</v>
      </c>
      <c r="C485" s="95">
        <f t="shared" si="152"/>
        <v>6975.8722113357817</v>
      </c>
      <c r="D485" s="95">
        <f t="shared" si="153"/>
        <v>-192.87128854711278</v>
      </c>
      <c r="E485" s="95">
        <f t="shared" si="154"/>
        <v>187.17690467969325</v>
      </c>
      <c r="F485" s="96">
        <f t="shared" si="155"/>
        <v>274.52759305965941</v>
      </c>
      <c r="G485" s="94">
        <f t="shared" si="156"/>
        <v>-263.21827942015221</v>
      </c>
      <c r="H485" s="97">
        <f t="shared" si="157"/>
        <v>807.26854345093693</v>
      </c>
      <c r="I485" s="94">
        <f t="shared" si="158"/>
        <v>263.86330164177792</v>
      </c>
      <c r="J485" s="95">
        <f t="shared" si="159"/>
        <v>-198.54300362820152</v>
      </c>
      <c r="K485" s="94">
        <f t="shared" si="160"/>
        <v>21.144154429095011</v>
      </c>
      <c r="L485" s="94">
        <f t="shared" si="161"/>
        <v>-334.197946763076</v>
      </c>
      <c r="M485" s="94">
        <f t="shared" si="162"/>
        <v>-548.22573549102515</v>
      </c>
      <c r="N485" s="99">
        <f t="shared" si="163"/>
        <v>1628.7716584634736</v>
      </c>
      <c r="O485" s="99">
        <f t="shared" si="164"/>
        <v>28662.972783555284</v>
      </c>
      <c r="P485" s="100">
        <f t="shared" si="165"/>
        <v>25707.837939146681</v>
      </c>
      <c r="Q485" s="95">
        <f t="shared" si="166"/>
        <v>1040056221134.5317</v>
      </c>
      <c r="R485" s="95">
        <f t="shared" si="167"/>
        <v>25686359658343.922</v>
      </c>
      <c r="S485" s="95">
        <f t="shared" si="168"/>
        <v>20988689581042.961</v>
      </c>
      <c r="T485">
        <f t="shared" si="150"/>
        <v>0.5</v>
      </c>
    </row>
    <row r="486" spans="1:20" x14ac:dyDescent="0.25">
      <c r="A486">
        <v>221.5</v>
      </c>
      <c r="B486" s="95">
        <f t="shared" si="151"/>
        <v>8368.6694508910823</v>
      </c>
      <c r="C486" s="95">
        <f t="shared" si="152"/>
        <v>7003.6560938205903</v>
      </c>
      <c r="D486" s="95">
        <f t="shared" si="153"/>
        <v>-55.607492017283079</v>
      </c>
      <c r="E486" s="95">
        <f t="shared" si="154"/>
        <v>55.567764969617144</v>
      </c>
      <c r="F486" s="96">
        <f t="shared" si="155"/>
        <v>286.00265981873378</v>
      </c>
      <c r="G486" s="94">
        <f t="shared" si="156"/>
        <v>-276.94412996351491</v>
      </c>
      <c r="H486" s="97">
        <f t="shared" si="157"/>
        <v>818.95385549196351</v>
      </c>
      <c r="I486" s="94">
        <f t="shared" si="158"/>
        <v>249.17252719726372</v>
      </c>
      <c r="J486" s="95">
        <f t="shared" si="159"/>
        <v>-200.4381639455641</v>
      </c>
      <c r="K486" s="94">
        <f t="shared" si="160"/>
        <v>21.170597096340583</v>
      </c>
      <c r="L486" s="94">
        <f t="shared" si="161"/>
        <v>-332.51303172766569</v>
      </c>
      <c r="M486" s="94">
        <f t="shared" si="162"/>
        <v>-547.28725425711923</v>
      </c>
      <c r="N486" s="99">
        <f t="shared" si="163"/>
        <v>1687.0116025419134</v>
      </c>
      <c r="O486" s="99">
        <f t="shared" si="164"/>
        <v>28557.048847953731</v>
      </c>
      <c r="P486" s="100">
        <f t="shared" si="165"/>
        <v>25737.219227496447</v>
      </c>
      <c r="Q486" s="95">
        <f t="shared" si="166"/>
        <v>1042992437707.5135</v>
      </c>
      <c r="R486" s="95">
        <f t="shared" si="167"/>
        <v>25418580483997.098</v>
      </c>
      <c r="S486" s="95">
        <f t="shared" si="168"/>
        <v>21051262019703.137</v>
      </c>
      <c r="T486">
        <f t="shared" si="150"/>
        <v>0.5</v>
      </c>
    </row>
    <row r="487" spans="1:20" x14ac:dyDescent="0.25">
      <c r="A487">
        <v>222</v>
      </c>
      <c r="B487" s="95">
        <f t="shared" si="151"/>
        <v>8412.3663698371238</v>
      </c>
      <c r="C487" s="95">
        <f t="shared" si="152"/>
        <v>6962.2039438145202</v>
      </c>
      <c r="D487" s="95">
        <f t="shared" si="153"/>
        <v>87.393837892083809</v>
      </c>
      <c r="E487" s="95">
        <f t="shared" si="154"/>
        <v>-82.904300012140311</v>
      </c>
      <c r="F487" s="96">
        <f t="shared" si="155"/>
        <v>261.65890469539147</v>
      </c>
      <c r="G487" s="94">
        <f t="shared" si="156"/>
        <v>-254.47469955844235</v>
      </c>
      <c r="H487" s="97">
        <f t="shared" si="157"/>
        <v>796.30191253358771</v>
      </c>
      <c r="I487" s="94">
        <f t="shared" si="158"/>
        <v>269.73983163205236</v>
      </c>
      <c r="J487" s="95">
        <f t="shared" si="159"/>
        <v>-201.35644547203339</v>
      </c>
      <c r="K487" s="94">
        <f t="shared" si="160"/>
        <v>21.528647349551129</v>
      </c>
      <c r="L487" s="94">
        <f t="shared" si="161"/>
        <v>-333.28656236616291</v>
      </c>
      <c r="M487" s="94">
        <f t="shared" si="162"/>
        <v>-545.74317854004585</v>
      </c>
      <c r="N487" s="99">
        <f t="shared" si="163"/>
        <v>1705.1676262635992</v>
      </c>
      <c r="O487" s="99">
        <f t="shared" si="164"/>
        <v>28526.469869544311</v>
      </c>
      <c r="P487" s="100">
        <f t="shared" si="165"/>
        <v>25746.498876202884</v>
      </c>
      <c r="Q487" s="95">
        <f t="shared" si="166"/>
        <v>1043929459125.7197</v>
      </c>
      <c r="R487" s="95">
        <f t="shared" si="167"/>
        <v>25341633894163.031</v>
      </c>
      <c r="S487" s="95">
        <f t="shared" si="168"/>
        <v>21071052367863.184</v>
      </c>
      <c r="T487">
        <f t="shared" si="150"/>
        <v>0.5</v>
      </c>
    </row>
    <row r="488" spans="1:20" x14ac:dyDescent="0.25">
      <c r="A488">
        <v>222.5</v>
      </c>
      <c r="B488" s="95">
        <f t="shared" si="151"/>
        <v>8521.4780149570124</v>
      </c>
      <c r="C488" s="95">
        <f t="shared" si="152"/>
        <v>6857.1331189188395</v>
      </c>
      <c r="D488" s="95">
        <f t="shared" si="153"/>
        <v>218.22329023977954</v>
      </c>
      <c r="E488" s="95">
        <f t="shared" si="154"/>
        <v>-210.14164979136149</v>
      </c>
      <c r="F488" s="96">
        <f t="shared" si="155"/>
        <v>205.03070525061838</v>
      </c>
      <c r="G488" s="94">
        <f t="shared" si="156"/>
        <v>-198.76173220656449</v>
      </c>
      <c r="H488" s="97">
        <f t="shared" si="157"/>
        <v>742.63361754240577</v>
      </c>
      <c r="I488" s="94">
        <f t="shared" si="158"/>
        <v>322.89987049575393</v>
      </c>
      <c r="J488" s="95">
        <f t="shared" si="159"/>
        <v>-201.17365687545211</v>
      </c>
      <c r="K488" s="94">
        <f t="shared" si="160"/>
        <v>22.167926332859668</v>
      </c>
      <c r="L488" s="94">
        <f t="shared" si="161"/>
        <v>-336.42925541633525</v>
      </c>
      <c r="M488" s="94">
        <f t="shared" si="162"/>
        <v>-543.8295290351781</v>
      </c>
      <c r="N488" s="99">
        <f t="shared" si="163"/>
        <v>1676.2473390501798</v>
      </c>
      <c r="O488" s="99">
        <f t="shared" si="164"/>
        <v>28574.30257439064</v>
      </c>
      <c r="P488" s="100">
        <f t="shared" si="165"/>
        <v>25733.829363474844</v>
      </c>
      <c r="Q488" s="95">
        <f t="shared" si="166"/>
        <v>1042441767752.9513</v>
      </c>
      <c r="R488" s="95">
        <f t="shared" si="167"/>
        <v>25462067157296.359</v>
      </c>
      <c r="S488" s="95">
        <f t="shared" si="168"/>
        <v>21044035912243.82</v>
      </c>
      <c r="T488">
        <f t="shared" si="150"/>
        <v>0.5</v>
      </c>
    </row>
    <row r="489" spans="1:20" x14ac:dyDescent="0.25">
      <c r="A489">
        <v>223</v>
      </c>
      <c r="B489" s="95">
        <f t="shared" si="151"/>
        <v>8681.8473363895573</v>
      </c>
      <c r="C489" s="95">
        <f t="shared" si="152"/>
        <v>6702.3718609715179</v>
      </c>
      <c r="D489" s="95">
        <f t="shared" si="153"/>
        <v>320.73864286508876</v>
      </c>
      <c r="E489" s="95">
        <f t="shared" si="154"/>
        <v>-309.52251589464373</v>
      </c>
      <c r="F489" s="96">
        <f t="shared" si="155"/>
        <v>122.66100084784006</v>
      </c>
      <c r="G489" s="94">
        <f t="shared" si="156"/>
        <v>-116.90063797893487</v>
      </c>
      <c r="H489" s="97">
        <f t="shared" si="157"/>
        <v>664.12175204654534</v>
      </c>
      <c r="I489" s="94">
        <f t="shared" si="158"/>
        <v>401.86710674490678</v>
      </c>
      <c r="J489" s="95">
        <f t="shared" si="159"/>
        <v>-199.92264150629828</v>
      </c>
      <c r="K489" s="94">
        <f t="shared" si="160"/>
        <v>22.985636891792375</v>
      </c>
      <c r="L489" s="94">
        <f t="shared" si="161"/>
        <v>-341.53810969240698</v>
      </c>
      <c r="M489" s="94">
        <f t="shared" si="162"/>
        <v>-541.753381615634</v>
      </c>
      <c r="N489" s="99">
        <f t="shared" si="163"/>
        <v>1612.2360519001165</v>
      </c>
      <c r="O489" s="99">
        <f t="shared" si="164"/>
        <v>28694.11647689946</v>
      </c>
      <c r="P489" s="100">
        <f t="shared" si="165"/>
        <v>25701.452019041735</v>
      </c>
      <c r="Q489" s="95">
        <f t="shared" si="166"/>
        <v>1039241853758.3033</v>
      </c>
      <c r="R489" s="95">
        <f t="shared" si="167"/>
        <v>25765458837927.18</v>
      </c>
      <c r="S489" s="95">
        <f t="shared" si="168"/>
        <v>20975107345145.801</v>
      </c>
      <c r="T489">
        <f t="shared" si="150"/>
        <v>0.5</v>
      </c>
    </row>
    <row r="490" spans="1:20" x14ac:dyDescent="0.25">
      <c r="A490">
        <v>223.5</v>
      </c>
      <c r="B490" s="95">
        <f t="shared" si="151"/>
        <v>8872.8819080340618</v>
      </c>
      <c r="C490" s="95">
        <f t="shared" si="152"/>
        <v>6518.3854435294625</v>
      </c>
      <c r="D490" s="95">
        <f t="shared" si="153"/>
        <v>382.06914328900882</v>
      </c>
      <c r="E490" s="95">
        <f t="shared" si="154"/>
        <v>-367.97283488411119</v>
      </c>
      <c r="F490" s="96">
        <f t="shared" si="155"/>
        <v>24.027913261827109</v>
      </c>
      <c r="G490" s="94">
        <f t="shared" si="156"/>
        <v>-19.640669302986112</v>
      </c>
      <c r="H490" s="97">
        <f t="shared" si="157"/>
        <v>569.75114597968263</v>
      </c>
      <c r="I490" s="94">
        <f t="shared" si="158"/>
        <v>496.20001883203565</v>
      </c>
      <c r="J490" s="95">
        <f t="shared" si="159"/>
        <v>-197.78531173309571</v>
      </c>
      <c r="K490" s="94">
        <f t="shared" si="160"/>
        <v>23.849791738122214</v>
      </c>
      <c r="L490" s="94">
        <f t="shared" si="161"/>
        <v>-347.93792098475984</v>
      </c>
      <c r="M490" s="94">
        <f t="shared" si="162"/>
        <v>-539.690479873144</v>
      </c>
      <c r="N490" s="99">
        <f t="shared" si="163"/>
        <v>1540.6937050411236</v>
      </c>
      <c r="O490" s="99">
        <f t="shared" si="164"/>
        <v>28870.793511285228</v>
      </c>
      <c r="P490" s="100">
        <f t="shared" si="165"/>
        <v>25655.133812322209</v>
      </c>
      <c r="Q490" s="95">
        <f t="shared" si="166"/>
        <v>1035816526342.0129</v>
      </c>
      <c r="R490" s="95">
        <f t="shared" si="167"/>
        <v>26217352949629.324</v>
      </c>
      <c r="S490" s="95">
        <f t="shared" si="168"/>
        <v>20876781583645.18</v>
      </c>
      <c r="T490">
        <f t="shared" si="150"/>
        <v>0.5</v>
      </c>
    </row>
    <row r="491" spans="1:20" x14ac:dyDescent="0.25">
      <c r="A491">
        <v>224</v>
      </c>
      <c r="B491" s="95">
        <f t="shared" si="151"/>
        <v>9069.9234579940239</v>
      </c>
      <c r="C491" s="95">
        <f t="shared" si="152"/>
        <v>6329.4888587616606</v>
      </c>
      <c r="D491" s="95">
        <f t="shared" si="153"/>
        <v>394.08309991992235</v>
      </c>
      <c r="E491" s="95">
        <f t="shared" si="154"/>
        <v>-377.79316953560425</v>
      </c>
      <c r="F491" s="96">
        <f t="shared" si="155"/>
        <v>-78.714691925813327</v>
      </c>
      <c r="G491" s="94">
        <f t="shared" si="156"/>
        <v>79.718901455863943</v>
      </c>
      <c r="H491" s="97">
        <f t="shared" si="157"/>
        <v>471.112386979272</v>
      </c>
      <c r="I491" s="94">
        <f t="shared" si="158"/>
        <v>592.89990966257767</v>
      </c>
      <c r="J491" s="95">
        <f t="shared" si="159"/>
        <v>-195.06223039143524</v>
      </c>
      <c r="K491" s="94">
        <f t="shared" si="160"/>
        <v>24.629514106604017</v>
      </c>
      <c r="L491" s="94">
        <f t="shared" si="161"/>
        <v>-354.76484851365012</v>
      </c>
      <c r="M491" s="94">
        <f t="shared" si="162"/>
        <v>-537.81052231331773</v>
      </c>
      <c r="N491" s="99">
        <f t="shared" si="163"/>
        <v>1494.6445499555364</v>
      </c>
      <c r="O491" s="99">
        <f t="shared" si="164"/>
        <v>29082.038264109142</v>
      </c>
      <c r="P491" s="100">
        <f t="shared" si="165"/>
        <v>25602.69057209729</v>
      </c>
      <c r="Q491" s="95">
        <f t="shared" si="166"/>
        <v>1033695890973.156</v>
      </c>
      <c r="R491" s="95">
        <f t="shared" si="167"/>
        <v>26764765636523.34</v>
      </c>
      <c r="S491" s="95">
        <f t="shared" si="168"/>
        <v>20765853004413.422</v>
      </c>
      <c r="T491">
        <f t="shared" si="150"/>
        <v>0.5</v>
      </c>
    </row>
    <row r="492" spans="1:20" x14ac:dyDescent="0.25">
      <c r="A492">
        <v>224.5</v>
      </c>
      <c r="B492" s="95">
        <f t="shared" si="151"/>
        <v>9247.2863349725303</v>
      </c>
      <c r="C492" s="95">
        <f t="shared" si="152"/>
        <v>6160.5219993578248</v>
      </c>
      <c r="D492" s="95">
        <f t="shared" si="153"/>
        <v>354.72575395701568</v>
      </c>
      <c r="E492" s="95">
        <f t="shared" si="154"/>
        <v>-337.93371880767228</v>
      </c>
      <c r="F492" s="96">
        <f t="shared" si="155"/>
        <v>-171.94997912003839</v>
      </c>
      <c r="G492" s="94">
        <f t="shared" si="156"/>
        <v>167.39324442795282</v>
      </c>
      <c r="H492" s="97">
        <f t="shared" si="157"/>
        <v>381.26605164702255</v>
      </c>
      <c r="I492" s="94">
        <f t="shared" si="158"/>
        <v>678.4751125173907</v>
      </c>
      <c r="J492" s="95">
        <f t="shared" si="159"/>
        <v>-192.12532148896571</v>
      </c>
      <c r="K492" s="94">
        <f t="shared" si="160"/>
        <v>25.221517537547712</v>
      </c>
      <c r="L492" s="94">
        <f t="shared" si="161"/>
        <v>-361.09070927809523</v>
      </c>
      <c r="M492" s="94">
        <f t="shared" si="162"/>
        <v>-536.30338562698557</v>
      </c>
      <c r="N492" s="99">
        <f t="shared" si="163"/>
        <v>1495.0380281962307</v>
      </c>
      <c r="O492" s="99">
        <f t="shared" si="164"/>
        <v>29300.735517928319</v>
      </c>
      <c r="P492" s="100">
        <f t="shared" si="165"/>
        <v>25552.10052206762</v>
      </c>
      <c r="Q492" s="95">
        <f t="shared" si="166"/>
        <v>1033713732659.7566</v>
      </c>
      <c r="R492" s="95">
        <f t="shared" si="167"/>
        <v>27339697943965.648</v>
      </c>
      <c r="S492" s="95">
        <f t="shared" si="168"/>
        <v>20659245693427.004</v>
      </c>
      <c r="T492">
        <f t="shared" ref="T492:T555" si="169">A493-A492</f>
        <v>0.5</v>
      </c>
    </row>
    <row r="493" spans="1:20" x14ac:dyDescent="0.25">
      <c r="A493">
        <v>225</v>
      </c>
      <c r="B493" s="95">
        <f t="shared" ref="B493:B556" si="170">B492+(D492*$T492)+(F492*($T492)^2)</f>
        <v>9381.6617171710295</v>
      </c>
      <c r="C493" s="95">
        <f t="shared" ref="C493:C556" si="171">C492+(E492*$T492)+(G492*($T492)^2)</f>
        <v>6033.4034510609772</v>
      </c>
      <c r="D493" s="95">
        <f t="shared" ref="D493:D556" si="172">D492+(F492*$T492)</f>
        <v>268.75076439699649</v>
      </c>
      <c r="E493" s="95">
        <f t="shared" ref="E493:E556" si="173">E492+(G492*$T492)</f>
        <v>-254.23709659369587</v>
      </c>
      <c r="F493" s="96">
        <f t="shared" ref="F493:F556" si="174">SUM(H493,J493,L493)</f>
        <v>-242.80486478228647</v>
      </c>
      <c r="G493" s="94">
        <f t="shared" ref="G493:G556" si="175">SUM(I493,K493,M493)</f>
        <v>231.67982963460565</v>
      </c>
      <c r="H493" s="97">
        <f t="shared" ref="H493:H556" si="176">$D$22*(($D$18-$B493)/$Q493)</f>
        <v>312.62548840229204</v>
      </c>
      <c r="I493" s="94">
        <f t="shared" ref="I493:I556" si="177">$D$22*(($E$18-$C493)/$Q493)</f>
        <v>741.49616016577079</v>
      </c>
      <c r="J493" s="95">
        <f t="shared" ref="J493:J556" si="178">$D$30*(($D$26-$B493)/$R493)</f>
        <v>-189.36198848287324</v>
      </c>
      <c r="K493" s="94">
        <f t="shared" ref="K493:K556" si="179">$D$30*(($E$26-$C493)/$R493)</f>
        <v>25.564333877597875</v>
      </c>
      <c r="L493" s="94">
        <f t="shared" ref="L493:L556" si="180">$D$38*(($D$34-$B493)/$S493)</f>
        <v>-366.06836470170526</v>
      </c>
      <c r="M493" s="94">
        <f t="shared" ref="M493:M556" si="181">$D$38*(($E$34-$C493)/$S493)</f>
        <v>-535.38066440876298</v>
      </c>
      <c r="N493" s="99">
        <f t="shared" ref="N493:N556" si="182">SQRT(($D$18-$B492)^2+($E$18-$C492)^2)</f>
        <v>1536.4827287423198</v>
      </c>
      <c r="O493" s="99">
        <f t="shared" ref="O493:O556" si="183">SQRT(($D$26-$B492)^2+($E$26-$C492)^2)</f>
        <v>29498.226205609146</v>
      </c>
      <c r="P493" s="100">
        <f t="shared" ref="P493:P556" si="184">SQRT(($D$34-$B492)^2+($E$34-$C492)^2)</f>
        <v>25509.858078711481</v>
      </c>
      <c r="Q493" s="95">
        <f t="shared" ref="Q493:Q556" si="185">(N493^2+$D$39^2)^(3/2)</f>
        <v>1035619870438.0173</v>
      </c>
      <c r="R493" s="95">
        <f t="shared" ref="R493:R556" si="186">(O493^2+$D$31^2)^(3/2)</f>
        <v>27866106406197.434</v>
      </c>
      <c r="S493" s="95">
        <f t="shared" ref="S493:S556" si="187">(P493^2+$D$23^2)^(3/2)</f>
        <v>20570530513653.535</v>
      </c>
      <c r="T493">
        <f t="shared" si="169"/>
        <v>0.5</v>
      </c>
    </row>
    <row r="494" spans="1:20" x14ac:dyDescent="0.25">
      <c r="A494">
        <v>225.5</v>
      </c>
      <c r="B494" s="95">
        <f t="shared" si="170"/>
        <v>9455.3358831739552</v>
      </c>
      <c r="C494" s="95">
        <f t="shared" si="171"/>
        <v>5964.2048601727811</v>
      </c>
      <c r="D494" s="95">
        <f t="shared" si="172"/>
        <v>147.34833200585325</v>
      </c>
      <c r="E494" s="95">
        <f t="shared" si="173"/>
        <v>-138.39718177639304</v>
      </c>
      <c r="F494" s="96">
        <f t="shared" si="174"/>
        <v>-281.50078364924809</v>
      </c>
      <c r="G494" s="94">
        <f t="shared" si="175"/>
        <v>264.92185617556379</v>
      </c>
      <c r="H494" s="97">
        <f t="shared" si="176"/>
        <v>274.68207298724116</v>
      </c>
      <c r="I494" s="94">
        <f t="shared" si="177"/>
        <v>774.52393072959285</v>
      </c>
      <c r="J494" s="95">
        <f t="shared" si="178"/>
        <v>-187.12144929104497</v>
      </c>
      <c r="K494" s="94">
        <f t="shared" si="179"/>
        <v>25.638269364893418</v>
      </c>
      <c r="L494" s="94">
        <f t="shared" si="180"/>
        <v>-369.06140734544431</v>
      </c>
      <c r="M494" s="94">
        <f t="shared" si="181"/>
        <v>-535.24034391892246</v>
      </c>
      <c r="N494" s="99">
        <f t="shared" si="182"/>
        <v>1591.6179407671086</v>
      </c>
      <c r="O494" s="99">
        <f t="shared" si="183"/>
        <v>29648.202870398887</v>
      </c>
      <c r="P494" s="100">
        <f t="shared" si="184"/>
        <v>25480.114883615548</v>
      </c>
      <c r="Q494" s="95">
        <f t="shared" si="185"/>
        <v>1038238358917.921</v>
      </c>
      <c r="R494" s="95">
        <f t="shared" si="186"/>
        <v>28270477845072.891</v>
      </c>
      <c r="S494" s="95">
        <f t="shared" si="187"/>
        <v>20508229846442.832</v>
      </c>
      <c r="T494">
        <f t="shared" si="169"/>
        <v>0.5</v>
      </c>
    </row>
    <row r="495" spans="1:20" x14ac:dyDescent="0.25">
      <c r="A495">
        <v>226</v>
      </c>
      <c r="B495" s="95">
        <f t="shared" si="170"/>
        <v>9458.6348532645698</v>
      </c>
      <c r="C495" s="95">
        <f t="shared" si="171"/>
        <v>5961.2367333284756</v>
      </c>
      <c r="D495" s="95">
        <f t="shared" si="172"/>
        <v>6.5979401812292053</v>
      </c>
      <c r="E495" s="95">
        <f t="shared" si="173"/>
        <v>-5.9362536886111457</v>
      </c>
      <c r="F495" s="96">
        <f t="shared" si="174"/>
        <v>-282.86592755520019</v>
      </c>
      <c r="G495" s="94">
        <f t="shared" si="175"/>
        <v>264.08954711261106</v>
      </c>
      <c r="H495" s="97">
        <f t="shared" si="176"/>
        <v>272.53148752962545</v>
      </c>
      <c r="I495" s="94">
        <f t="shared" si="177"/>
        <v>774.63694246072669</v>
      </c>
      <c r="J495" s="95">
        <f t="shared" si="178"/>
        <v>-185.67336552206788</v>
      </c>
      <c r="K495" s="94">
        <f t="shared" si="179"/>
        <v>25.455720266911857</v>
      </c>
      <c r="L495" s="94">
        <f t="shared" si="180"/>
        <v>-369.72404956275773</v>
      </c>
      <c r="M495" s="94">
        <f t="shared" si="181"/>
        <v>-536.00311561502747</v>
      </c>
      <c r="N495" s="99">
        <f t="shared" si="182"/>
        <v>1629.5170179150639</v>
      </c>
      <c r="O495" s="99">
        <f t="shared" si="183"/>
        <v>29730.530678096686</v>
      </c>
      <c r="P495" s="100">
        <f t="shared" si="184"/>
        <v>25464.772155168965</v>
      </c>
      <c r="Q495" s="95">
        <f t="shared" si="185"/>
        <v>1040093130344.9896</v>
      </c>
      <c r="R495" s="95">
        <f t="shared" si="186"/>
        <v>28494152880423.625</v>
      </c>
      <c r="S495" s="95">
        <f t="shared" si="187"/>
        <v>20476145695540.375</v>
      </c>
      <c r="T495">
        <f t="shared" si="169"/>
        <v>0.5</v>
      </c>
    </row>
    <row r="496" spans="1:20" x14ac:dyDescent="0.25">
      <c r="A496">
        <v>226.5</v>
      </c>
      <c r="B496" s="95">
        <f t="shared" si="170"/>
        <v>9391.2173414663848</v>
      </c>
      <c r="C496" s="95">
        <f t="shared" si="171"/>
        <v>6024.2909932623224</v>
      </c>
      <c r="D496" s="95">
        <f t="shared" si="172"/>
        <v>-134.83502359637089</v>
      </c>
      <c r="E496" s="95">
        <f t="shared" si="173"/>
        <v>126.10851986769438</v>
      </c>
      <c r="F496" s="96">
        <f t="shared" si="174"/>
        <v>-246.75929472156963</v>
      </c>
      <c r="G496" s="94">
        <f t="shared" si="175"/>
        <v>230.23701270422202</v>
      </c>
      <c r="H496" s="97">
        <f t="shared" si="176"/>
        <v>306.44567292660554</v>
      </c>
      <c r="I496" s="94">
        <f t="shared" si="177"/>
        <v>742.83429935875836</v>
      </c>
      <c r="J496" s="95">
        <f t="shared" si="178"/>
        <v>-185.18343326951367</v>
      </c>
      <c r="K496" s="94">
        <f t="shared" si="179"/>
        <v>25.049504925047756</v>
      </c>
      <c r="L496" s="94">
        <f t="shared" si="180"/>
        <v>-368.0215343786615</v>
      </c>
      <c r="M496" s="94">
        <f t="shared" si="181"/>
        <v>-537.64679157958403</v>
      </c>
      <c r="N496" s="99">
        <f t="shared" si="182"/>
        <v>1631.216911682041</v>
      </c>
      <c r="O496" s="99">
        <f t="shared" si="183"/>
        <v>29734.202127216889</v>
      </c>
      <c r="P496" s="100">
        <f t="shared" si="184"/>
        <v>25464.201680215225</v>
      </c>
      <c r="Q496" s="95">
        <f t="shared" si="185"/>
        <v>1040177371634.8784</v>
      </c>
      <c r="R496" s="95">
        <f t="shared" si="186"/>
        <v>28504155925717.957</v>
      </c>
      <c r="S496" s="95">
        <f t="shared" si="187"/>
        <v>20474953434675.18</v>
      </c>
      <c r="T496">
        <f t="shared" si="169"/>
        <v>0.5</v>
      </c>
    </row>
    <row r="497" spans="1:20" x14ac:dyDescent="0.25">
      <c r="A497">
        <v>227</v>
      </c>
      <c r="B497" s="95">
        <f t="shared" si="170"/>
        <v>9262.1100059878081</v>
      </c>
      <c r="C497" s="95">
        <f t="shared" si="171"/>
        <v>6144.9045063722251</v>
      </c>
      <c r="D497" s="95">
        <f t="shared" si="172"/>
        <v>-258.2146709571557</v>
      </c>
      <c r="E497" s="95">
        <f t="shared" si="173"/>
        <v>241.2270262198054</v>
      </c>
      <c r="F497" s="96">
        <f t="shared" si="174"/>
        <v>-177.86411125037287</v>
      </c>
      <c r="G497" s="94">
        <f t="shared" si="175"/>
        <v>167.73803134388777</v>
      </c>
      <c r="H497" s="97">
        <f t="shared" si="176"/>
        <v>372.04659444633455</v>
      </c>
      <c r="I497" s="94">
        <f t="shared" si="177"/>
        <v>683.24366456371581</v>
      </c>
      <c r="J497" s="95">
        <f t="shared" si="178"/>
        <v>-185.70360869131966</v>
      </c>
      <c r="K497" s="94">
        <f t="shared" si="179"/>
        <v>24.465260532129395</v>
      </c>
      <c r="L497" s="94">
        <f t="shared" si="180"/>
        <v>-364.20709700538777</v>
      </c>
      <c r="M497" s="94">
        <f t="shared" si="181"/>
        <v>-539.97089375195742</v>
      </c>
      <c r="N497" s="99">
        <f t="shared" si="182"/>
        <v>1596.3500236157354</v>
      </c>
      <c r="O497" s="99">
        <f t="shared" si="183"/>
        <v>29658.892746014128</v>
      </c>
      <c r="P497" s="100">
        <f t="shared" si="184"/>
        <v>25477.98948776559</v>
      </c>
      <c r="Q497" s="95">
        <f t="shared" si="185"/>
        <v>1038467501539.6481</v>
      </c>
      <c r="R497" s="95">
        <f t="shared" si="186"/>
        <v>28299452778200.234</v>
      </c>
      <c r="S497" s="95">
        <f t="shared" si="187"/>
        <v>20503783144217.512</v>
      </c>
      <c r="T497">
        <f t="shared" si="169"/>
        <v>0.5</v>
      </c>
    </row>
    <row r="498" spans="1:20" x14ac:dyDescent="0.25">
      <c r="A498">
        <v>227.5</v>
      </c>
      <c r="B498" s="95">
        <f t="shared" si="170"/>
        <v>9088.5366426966357</v>
      </c>
      <c r="C498" s="95">
        <f t="shared" si="171"/>
        <v>6307.4525273180998</v>
      </c>
      <c r="D498" s="95">
        <f t="shared" si="172"/>
        <v>-347.14672658234213</v>
      </c>
      <c r="E498" s="95">
        <f t="shared" si="173"/>
        <v>325.09604189174928</v>
      </c>
      <c r="F498" s="96">
        <f t="shared" si="174"/>
        <v>-85.257394844417036</v>
      </c>
      <c r="G498" s="94">
        <f t="shared" si="175"/>
        <v>83.908662085559058</v>
      </c>
      <c r="H498" s="97">
        <f t="shared" si="176"/>
        <v>460.69158324584066</v>
      </c>
      <c r="I498" s="94">
        <f t="shared" si="177"/>
        <v>602.76321465196736</v>
      </c>
      <c r="J498" s="95">
        <f t="shared" si="178"/>
        <v>-187.17111048821369</v>
      </c>
      <c r="K498" s="94">
        <f t="shared" si="179"/>
        <v>23.759813684743907</v>
      </c>
      <c r="L498" s="94">
        <f t="shared" si="180"/>
        <v>-358.77786760204401</v>
      </c>
      <c r="M498" s="94">
        <f t="shared" si="181"/>
        <v>-542.61436625115221</v>
      </c>
      <c r="N498" s="99">
        <f t="shared" si="182"/>
        <v>1542.9729226767447</v>
      </c>
      <c r="O498" s="99">
        <f t="shared" si="183"/>
        <v>29514.959652141166</v>
      </c>
      <c r="P498" s="100">
        <f t="shared" si="184"/>
        <v>25505.191009018105</v>
      </c>
      <c r="Q498" s="95">
        <f t="shared" si="185"/>
        <v>1035923197303.3123</v>
      </c>
      <c r="R498" s="95">
        <f t="shared" si="186"/>
        <v>27911025855992.379</v>
      </c>
      <c r="S498" s="95">
        <f t="shared" si="187"/>
        <v>20560745804615.789</v>
      </c>
      <c r="T498">
        <f t="shared" si="169"/>
        <v>0.5</v>
      </c>
    </row>
    <row r="499" spans="1:20" x14ac:dyDescent="0.25">
      <c r="A499">
        <v>228</v>
      </c>
      <c r="B499" s="95">
        <f t="shared" si="170"/>
        <v>8893.6489306943604</v>
      </c>
      <c r="C499" s="95">
        <f t="shared" si="171"/>
        <v>6490.9777137853644</v>
      </c>
      <c r="D499" s="95">
        <f t="shared" si="172"/>
        <v>-389.77542400455064</v>
      </c>
      <c r="E499" s="95">
        <f t="shared" si="173"/>
        <v>367.05037293452881</v>
      </c>
      <c r="F499" s="96">
        <f t="shared" si="174"/>
        <v>18.412861542575627</v>
      </c>
      <c r="G499" s="94">
        <f t="shared" si="175"/>
        <v>-11.167751824664833</v>
      </c>
      <c r="H499" s="97">
        <f t="shared" si="176"/>
        <v>560.24489627763694</v>
      </c>
      <c r="I499" s="94">
        <f t="shared" si="177"/>
        <v>510.95859331245742</v>
      </c>
      <c r="J499" s="95">
        <f t="shared" si="178"/>
        <v>-189.4124489284176</v>
      </c>
      <c r="K499" s="94">
        <f t="shared" si="179"/>
        <v>23.003411793732766</v>
      </c>
      <c r="L499" s="94">
        <f t="shared" si="180"/>
        <v>-352.41958580664374</v>
      </c>
      <c r="M499" s="94">
        <f t="shared" si="181"/>
        <v>-545.12975693085502</v>
      </c>
      <c r="N499" s="99">
        <f t="shared" si="182"/>
        <v>1500.9779899474568</v>
      </c>
      <c r="O499" s="99">
        <f t="shared" si="183"/>
        <v>29321.969082098058</v>
      </c>
      <c r="P499" s="100">
        <f t="shared" si="184"/>
        <v>25543.969893822694</v>
      </c>
      <c r="Q499" s="95">
        <f t="shared" si="185"/>
        <v>1033983654503.8859</v>
      </c>
      <c r="R499" s="95">
        <f t="shared" si="186"/>
        <v>27395965766114.199</v>
      </c>
      <c r="S499" s="95">
        <f t="shared" si="187"/>
        <v>20642148909100.27</v>
      </c>
      <c r="T499">
        <f t="shared" si="169"/>
        <v>0.5</v>
      </c>
    </row>
    <row r="500" spans="1:20" x14ac:dyDescent="0.25">
      <c r="A500">
        <v>228.5</v>
      </c>
      <c r="B500" s="95">
        <f t="shared" si="170"/>
        <v>8703.3644340777282</v>
      </c>
      <c r="C500" s="95">
        <f t="shared" si="171"/>
        <v>6671.7109622964626</v>
      </c>
      <c r="D500" s="95">
        <f t="shared" si="172"/>
        <v>-380.56899323326286</v>
      </c>
      <c r="E500" s="95">
        <f t="shared" si="173"/>
        <v>361.46649702219639</v>
      </c>
      <c r="F500" s="96">
        <f t="shared" si="174"/>
        <v>118.61699946989501</v>
      </c>
      <c r="G500" s="94">
        <f t="shared" si="175"/>
        <v>-105.30866409685058</v>
      </c>
      <c r="H500" s="97">
        <f t="shared" si="176"/>
        <v>656.70702817570088</v>
      </c>
      <c r="I500" s="94">
        <f t="shared" si="177"/>
        <v>419.50355729591979</v>
      </c>
      <c r="J500" s="95">
        <f t="shared" si="178"/>
        <v>-192.15424668795362</v>
      </c>
      <c r="K500" s="94">
        <f t="shared" si="179"/>
        <v>22.281181506388336</v>
      </c>
      <c r="L500" s="94">
        <f t="shared" si="180"/>
        <v>-345.93578201785226</v>
      </c>
      <c r="M500" s="94">
        <f t="shared" si="181"/>
        <v>-547.09340289915872</v>
      </c>
      <c r="N500" s="99">
        <f t="shared" si="182"/>
        <v>1497.3772612910691</v>
      </c>
      <c r="O500" s="99">
        <f t="shared" si="183"/>
        <v>29105.947604147274</v>
      </c>
      <c r="P500" s="100">
        <f t="shared" si="184"/>
        <v>25590.928152448942</v>
      </c>
      <c r="Q500" s="95">
        <f t="shared" si="185"/>
        <v>1033819900786.0559</v>
      </c>
      <c r="R500" s="95">
        <f t="shared" si="186"/>
        <v>26827213185097.547</v>
      </c>
      <c r="S500" s="95">
        <f t="shared" si="187"/>
        <v>20741031174653.391</v>
      </c>
      <c r="T500">
        <f t="shared" si="169"/>
        <v>0.5</v>
      </c>
    </row>
    <row r="501" spans="1:20" x14ac:dyDescent="0.25">
      <c r="A501">
        <v>229</v>
      </c>
      <c r="B501" s="95">
        <f t="shared" si="170"/>
        <v>8542.7341873285695</v>
      </c>
      <c r="C501" s="95">
        <f t="shared" si="171"/>
        <v>6826.1170447833483</v>
      </c>
      <c r="D501" s="95">
        <f t="shared" si="172"/>
        <v>-321.26049349831533</v>
      </c>
      <c r="E501" s="95">
        <f t="shared" si="173"/>
        <v>308.81216497377113</v>
      </c>
      <c r="F501" s="96">
        <f t="shared" si="174"/>
        <v>201.50513243465116</v>
      </c>
      <c r="G501" s="94">
        <f t="shared" si="175"/>
        <v>-185.84725683919112</v>
      </c>
      <c r="H501" s="97">
        <f t="shared" si="176"/>
        <v>736.70795102553052</v>
      </c>
      <c r="I501" s="94">
        <f t="shared" si="177"/>
        <v>340.67561789471864</v>
      </c>
      <c r="J501" s="95">
        <f t="shared" si="178"/>
        <v>-195.0468431193365</v>
      </c>
      <c r="K501" s="94">
        <f t="shared" si="179"/>
        <v>21.688736852691068</v>
      </c>
      <c r="L501" s="94">
        <f t="shared" si="180"/>
        <v>-340.15597547154289</v>
      </c>
      <c r="M501" s="94">
        <f t="shared" si="181"/>
        <v>-548.21161158660084</v>
      </c>
      <c r="N501" s="99">
        <f t="shared" si="182"/>
        <v>1538.6118811430067</v>
      </c>
      <c r="O501" s="99">
        <f t="shared" si="183"/>
        <v>28895.685452225836</v>
      </c>
      <c r="P501" s="100">
        <f t="shared" si="184"/>
        <v>25640.69524889033</v>
      </c>
      <c r="Q501" s="95">
        <f t="shared" si="185"/>
        <v>1035719234703.3301</v>
      </c>
      <c r="R501" s="95">
        <f t="shared" si="186"/>
        <v>26281454079234.719</v>
      </c>
      <c r="S501" s="95">
        <f t="shared" si="187"/>
        <v>20846198656097.645</v>
      </c>
      <c r="T501">
        <f t="shared" si="169"/>
        <v>0.5</v>
      </c>
    </row>
    <row r="502" spans="1:20" x14ac:dyDescent="0.25">
      <c r="A502">
        <v>229.5</v>
      </c>
      <c r="B502" s="95">
        <f t="shared" si="170"/>
        <v>8432.4802236880751</v>
      </c>
      <c r="C502" s="95">
        <f t="shared" si="171"/>
        <v>6934.0613130604361</v>
      </c>
      <c r="D502" s="95">
        <f t="shared" si="172"/>
        <v>-220.50792728098975</v>
      </c>
      <c r="E502" s="95">
        <f t="shared" si="173"/>
        <v>215.88853655417557</v>
      </c>
      <c r="F502" s="96">
        <f t="shared" si="174"/>
        <v>256.47410794739932</v>
      </c>
      <c r="G502" s="94">
        <f t="shared" si="175"/>
        <v>-241.83547556895485</v>
      </c>
      <c r="H502" s="97">
        <f t="shared" si="176"/>
        <v>790.00883719177568</v>
      </c>
      <c r="I502" s="94">
        <f t="shared" si="177"/>
        <v>285.22546939911547</v>
      </c>
      <c r="J502" s="95">
        <f t="shared" si="178"/>
        <v>-197.7053167946745</v>
      </c>
      <c r="K502" s="94">
        <f t="shared" si="179"/>
        <v>21.31901172903757</v>
      </c>
      <c r="L502" s="94">
        <f t="shared" si="180"/>
        <v>-335.82941244970192</v>
      </c>
      <c r="M502" s="94">
        <f t="shared" si="181"/>
        <v>-548.3799566971079</v>
      </c>
      <c r="N502" s="99">
        <f t="shared" si="182"/>
        <v>1605.5347663979289</v>
      </c>
      <c r="O502" s="99">
        <f t="shared" si="183"/>
        <v>28718.656094983096</v>
      </c>
      <c r="P502" s="100">
        <f t="shared" si="184"/>
        <v>25686.28105665007</v>
      </c>
      <c r="Q502" s="95">
        <f t="shared" si="185"/>
        <v>1038914246226.0896</v>
      </c>
      <c r="R502" s="95">
        <f t="shared" si="186"/>
        <v>25827902563681.578</v>
      </c>
      <c r="S502" s="95">
        <f t="shared" si="187"/>
        <v>20942865447870.277</v>
      </c>
      <c r="T502">
        <f t="shared" si="169"/>
        <v>0.5</v>
      </c>
    </row>
    <row r="503" spans="1:20" x14ac:dyDescent="0.25">
      <c r="A503">
        <v>230</v>
      </c>
      <c r="B503" s="95">
        <f t="shared" si="170"/>
        <v>8386.3447870344298</v>
      </c>
      <c r="C503" s="95">
        <f t="shared" si="171"/>
        <v>6981.5467124452853</v>
      </c>
      <c r="D503" s="95">
        <f t="shared" si="172"/>
        <v>-92.270873307290088</v>
      </c>
      <c r="E503" s="95">
        <f t="shared" si="173"/>
        <v>94.970798769698149</v>
      </c>
      <c r="F503" s="96">
        <f t="shared" si="174"/>
        <v>277.6034568095115</v>
      </c>
      <c r="G503" s="94">
        <f t="shared" si="175"/>
        <v>-265.90001519175212</v>
      </c>
      <c r="H503" s="97">
        <f t="shared" si="176"/>
        <v>810.89177710269576</v>
      </c>
      <c r="I503" s="94">
        <f t="shared" si="177"/>
        <v>260.53242620358185</v>
      </c>
      <c r="J503" s="95">
        <f t="shared" si="178"/>
        <v>-199.76500890498221</v>
      </c>
      <c r="K503" s="94">
        <f t="shared" si="179"/>
        <v>21.241951099778593</v>
      </c>
      <c r="L503" s="94">
        <f t="shared" si="180"/>
        <v>-333.52331138820205</v>
      </c>
      <c r="M503" s="94">
        <f t="shared" si="181"/>
        <v>-547.67439249511256</v>
      </c>
      <c r="N503" s="99">
        <f t="shared" si="182"/>
        <v>1666.5547835291418</v>
      </c>
      <c r="O503" s="99">
        <f t="shared" si="183"/>
        <v>28597.306021765165</v>
      </c>
      <c r="P503" s="100">
        <f t="shared" si="184"/>
        <v>25720.314357427007</v>
      </c>
      <c r="Q503" s="95">
        <f t="shared" si="185"/>
        <v>1041949021564.1698</v>
      </c>
      <c r="R503" s="95">
        <f t="shared" si="186"/>
        <v>25520124977324.148</v>
      </c>
      <c r="S503" s="95">
        <f t="shared" si="187"/>
        <v>21015243915198.891</v>
      </c>
      <c r="T503">
        <f t="shared" si="169"/>
        <v>0.5</v>
      </c>
    </row>
    <row r="504" spans="1:20" x14ac:dyDescent="0.25">
      <c r="A504">
        <v>230.5</v>
      </c>
      <c r="B504" s="95">
        <f t="shared" si="170"/>
        <v>8409.6102145831628</v>
      </c>
      <c r="C504" s="95">
        <f t="shared" si="171"/>
        <v>6962.5571080321961</v>
      </c>
      <c r="D504" s="95">
        <f t="shared" si="172"/>
        <v>46.530855097465661</v>
      </c>
      <c r="E504" s="95">
        <f t="shared" si="173"/>
        <v>-37.97920882617791</v>
      </c>
      <c r="F504" s="96">
        <f t="shared" si="174"/>
        <v>263.60497213500315</v>
      </c>
      <c r="G504" s="94">
        <f t="shared" si="175"/>
        <v>-255.104826350385</v>
      </c>
      <c r="H504" s="97">
        <f t="shared" si="176"/>
        <v>798.09049441344973</v>
      </c>
      <c r="I504" s="94">
        <f t="shared" si="177"/>
        <v>269.69996116842384</v>
      </c>
      <c r="J504" s="95">
        <f t="shared" si="178"/>
        <v>-200.93986277471132</v>
      </c>
      <c r="K504" s="94">
        <f t="shared" si="179"/>
        <v>21.483693485690019</v>
      </c>
      <c r="L504" s="94">
        <f t="shared" si="180"/>
        <v>-333.54565950373529</v>
      </c>
      <c r="M504" s="94">
        <f t="shared" si="181"/>
        <v>-546.28848100449886</v>
      </c>
      <c r="N504" s="99">
        <f t="shared" si="182"/>
        <v>1694.8973295475014</v>
      </c>
      <c r="O504" s="99">
        <f t="shared" si="183"/>
        <v>28546.376838708391</v>
      </c>
      <c r="P504" s="100">
        <f t="shared" si="184"/>
        <v>25736.795111838965</v>
      </c>
      <c r="Q504" s="95">
        <f t="shared" si="185"/>
        <v>1043398148702.8018</v>
      </c>
      <c r="R504" s="95">
        <f t="shared" si="186"/>
        <v>25391708060976.602</v>
      </c>
      <c r="S504" s="95">
        <f t="shared" si="187"/>
        <v>21050357843219.23</v>
      </c>
      <c r="T504">
        <f t="shared" si="169"/>
        <v>0.5</v>
      </c>
    </row>
    <row r="505" spans="1:20" x14ac:dyDescent="0.25">
      <c r="A505">
        <v>231</v>
      </c>
      <c r="B505" s="95">
        <f t="shared" si="170"/>
        <v>8498.7768851656474</v>
      </c>
      <c r="C505" s="95">
        <f t="shared" si="171"/>
        <v>6879.791297031511</v>
      </c>
      <c r="D505" s="95">
        <f t="shared" si="172"/>
        <v>178.33334116496724</v>
      </c>
      <c r="E505" s="95">
        <f t="shared" si="173"/>
        <v>-165.53162200137041</v>
      </c>
      <c r="F505" s="96">
        <f t="shared" si="174"/>
        <v>216.97189498448427</v>
      </c>
      <c r="G505" s="94">
        <f t="shared" si="175"/>
        <v>-210.96069321172877</v>
      </c>
      <c r="H505" s="97">
        <f t="shared" si="176"/>
        <v>753.94378969567788</v>
      </c>
      <c r="I505" s="94">
        <f t="shared" si="177"/>
        <v>311.48101524529193</v>
      </c>
      <c r="J505" s="95">
        <f t="shared" si="178"/>
        <v>-201.06885664317409</v>
      </c>
      <c r="K505" s="94">
        <f t="shared" si="179"/>
        <v>22.014165692862459</v>
      </c>
      <c r="L505" s="94">
        <f t="shared" si="180"/>
        <v>-335.90303806801955</v>
      </c>
      <c r="M505" s="94">
        <f t="shared" si="181"/>
        <v>-544.45587414988313</v>
      </c>
      <c r="N505" s="99">
        <f t="shared" si="182"/>
        <v>1678.7449275232166</v>
      </c>
      <c r="O505" s="99">
        <f t="shared" si="183"/>
        <v>28571.524493217257</v>
      </c>
      <c r="P505" s="100">
        <f t="shared" si="184"/>
        <v>25732.694395080915</v>
      </c>
      <c r="Q505" s="95">
        <f t="shared" si="185"/>
        <v>1042569214801.0242</v>
      </c>
      <c r="R505" s="95">
        <f t="shared" si="186"/>
        <v>25455061772166.016</v>
      </c>
      <c r="S505" s="95">
        <f t="shared" si="187"/>
        <v>21041616919571.027</v>
      </c>
      <c r="T505">
        <f t="shared" si="169"/>
        <v>0.5</v>
      </c>
    </row>
    <row r="506" spans="1:20" x14ac:dyDescent="0.25">
      <c r="A506">
        <v>231.5</v>
      </c>
      <c r="B506" s="95">
        <f t="shared" si="170"/>
        <v>8642.1865294942509</v>
      </c>
      <c r="C506" s="95">
        <f t="shared" si="171"/>
        <v>6744.2853127278941</v>
      </c>
      <c r="D506" s="95">
        <f t="shared" si="172"/>
        <v>286.81928865720937</v>
      </c>
      <c r="E506" s="95">
        <f t="shared" si="173"/>
        <v>-271.01196860723479</v>
      </c>
      <c r="F506" s="96">
        <f t="shared" si="174"/>
        <v>143.27894971626779</v>
      </c>
      <c r="G506" s="94">
        <f t="shared" si="175"/>
        <v>-139.11320458613881</v>
      </c>
      <c r="H506" s="97">
        <f t="shared" si="176"/>
        <v>683.71384062110519</v>
      </c>
      <c r="I506" s="94">
        <f t="shared" si="177"/>
        <v>380.53282168141607</v>
      </c>
      <c r="J506" s="95">
        <f t="shared" si="178"/>
        <v>-200.14028663872588</v>
      </c>
      <c r="K506" s="94">
        <f t="shared" si="179"/>
        <v>22.74964832218955</v>
      </c>
      <c r="L506" s="94">
        <f t="shared" si="180"/>
        <v>-340.29460426611149</v>
      </c>
      <c r="M506" s="94">
        <f t="shared" si="181"/>
        <v>-542.39567458974443</v>
      </c>
      <c r="N506" s="99">
        <f t="shared" si="182"/>
        <v>1624.293592842997</v>
      </c>
      <c r="O506" s="99">
        <f t="shared" si="183"/>
        <v>28669.077179088483</v>
      </c>
      <c r="P506" s="100">
        <f t="shared" si="184"/>
        <v>25708.797027421144</v>
      </c>
      <c r="Q506" s="95">
        <f t="shared" si="185"/>
        <v>1039834837922.6028</v>
      </c>
      <c r="R506" s="95">
        <f t="shared" si="186"/>
        <v>25701850531271.359</v>
      </c>
      <c r="S506" s="95">
        <f t="shared" si="187"/>
        <v>20990730013870.336</v>
      </c>
      <c r="T506">
        <f t="shared" si="169"/>
        <v>0.5</v>
      </c>
    </row>
    <row r="507" spans="1:20" x14ac:dyDescent="0.25">
      <c r="A507">
        <v>232</v>
      </c>
      <c r="B507" s="95">
        <f t="shared" si="170"/>
        <v>8821.4159112519228</v>
      </c>
      <c r="C507" s="95">
        <f t="shared" si="171"/>
        <v>6574.0010272777427</v>
      </c>
      <c r="D507" s="95">
        <f t="shared" si="172"/>
        <v>358.45876351534326</v>
      </c>
      <c r="E507" s="95">
        <f t="shared" si="173"/>
        <v>-340.56857090030417</v>
      </c>
      <c r="F507" s="96">
        <f t="shared" si="174"/>
        <v>50.975896510911696</v>
      </c>
      <c r="G507" s="94">
        <f t="shared" si="175"/>
        <v>-48.920737810335822</v>
      </c>
      <c r="H507" s="97">
        <f t="shared" si="176"/>
        <v>595.40894538547798</v>
      </c>
      <c r="I507" s="94">
        <f t="shared" si="177"/>
        <v>467.80545999246561</v>
      </c>
      <c r="J507" s="95">
        <f t="shared" si="178"/>
        <v>-198.2909547210098</v>
      </c>
      <c r="K507" s="94">
        <f t="shared" si="179"/>
        <v>23.570826959583137</v>
      </c>
      <c r="L507" s="94">
        <f t="shared" si="180"/>
        <v>-346.14209415355646</v>
      </c>
      <c r="M507" s="94">
        <f t="shared" si="181"/>
        <v>-540.29702476238458</v>
      </c>
      <c r="N507" s="99">
        <f t="shared" si="182"/>
        <v>1553.9504848114188</v>
      </c>
      <c r="O507" s="99">
        <f t="shared" si="183"/>
        <v>28826.628788591657</v>
      </c>
      <c r="P507" s="100">
        <f t="shared" si="184"/>
        <v>25669.499353645922</v>
      </c>
      <c r="Q507" s="95">
        <f t="shared" si="185"/>
        <v>1036439224823.2104</v>
      </c>
      <c r="R507" s="95">
        <f t="shared" si="186"/>
        <v>26103885219863.082</v>
      </c>
      <c r="S507" s="95">
        <f t="shared" si="187"/>
        <v>20907241766891</v>
      </c>
      <c r="T507">
        <f t="shared" si="169"/>
        <v>0.5</v>
      </c>
    </row>
    <row r="508" spans="1:20" x14ac:dyDescent="0.25">
      <c r="A508">
        <v>232.5</v>
      </c>
      <c r="B508" s="95">
        <f t="shared" si="170"/>
        <v>9013.3892671373233</v>
      </c>
      <c r="C508" s="95">
        <f t="shared" si="171"/>
        <v>6391.4865573750067</v>
      </c>
      <c r="D508" s="95">
        <f t="shared" si="172"/>
        <v>383.94671177079908</v>
      </c>
      <c r="E508" s="95">
        <f t="shared" si="173"/>
        <v>-365.02893980547208</v>
      </c>
      <c r="F508" s="96">
        <f t="shared" si="174"/>
        <v>-48.785044475567759</v>
      </c>
      <c r="G508" s="94">
        <f t="shared" si="175"/>
        <v>47.407604789953552</v>
      </c>
      <c r="H508" s="97">
        <f t="shared" si="176"/>
        <v>499.65652348377506</v>
      </c>
      <c r="I508" s="94">
        <f t="shared" si="177"/>
        <v>561.39260858226191</v>
      </c>
      <c r="J508" s="95">
        <f t="shared" si="178"/>
        <v>-195.78250008447475</v>
      </c>
      <c r="K508" s="94">
        <f t="shared" si="179"/>
        <v>24.350267281105655</v>
      </c>
      <c r="L508" s="94">
        <f t="shared" si="180"/>
        <v>-352.65906787486807</v>
      </c>
      <c r="M508" s="94">
        <f t="shared" si="181"/>
        <v>-538.33527107341399</v>
      </c>
      <c r="N508" s="99">
        <f t="shared" si="182"/>
        <v>1498.8444054446784</v>
      </c>
      <c r="O508" s="99">
        <f t="shared" si="183"/>
        <v>29024.325730160548</v>
      </c>
      <c r="P508" s="100">
        <f t="shared" si="184"/>
        <v>25621.652134801709</v>
      </c>
      <c r="Q508" s="95">
        <f t="shared" si="185"/>
        <v>1033886574955.9509</v>
      </c>
      <c r="R508" s="95">
        <f t="shared" si="186"/>
        <v>26614440288374.18</v>
      </c>
      <c r="S508" s="95">
        <f t="shared" si="187"/>
        <v>20805911801646.707</v>
      </c>
      <c r="T508">
        <f t="shared" si="169"/>
        <v>0.5</v>
      </c>
    </row>
    <row r="509" spans="1:20" x14ac:dyDescent="0.25">
      <c r="A509">
        <v>233</v>
      </c>
      <c r="B509" s="95">
        <f t="shared" si="170"/>
        <v>9193.1663619038318</v>
      </c>
      <c r="C509" s="95">
        <f t="shared" si="171"/>
        <v>6220.8239886697593</v>
      </c>
      <c r="D509" s="95">
        <f t="shared" si="172"/>
        <v>359.55418953301523</v>
      </c>
      <c r="E509" s="95">
        <f t="shared" si="173"/>
        <v>-341.3251374104953</v>
      </c>
      <c r="F509" s="96">
        <f t="shared" si="174"/>
        <v>-143.043272996605</v>
      </c>
      <c r="G509" s="94">
        <f t="shared" si="175"/>
        <v>136.52658611379422</v>
      </c>
      <c r="H509" s="97">
        <f t="shared" si="176"/>
        <v>408.87657878814144</v>
      </c>
      <c r="I509" s="94">
        <f t="shared" si="177"/>
        <v>648.24405736815493</v>
      </c>
      <c r="J509" s="95">
        <f t="shared" si="178"/>
        <v>-192.95977753646079</v>
      </c>
      <c r="K509" s="94">
        <f t="shared" si="179"/>
        <v>24.97944050937323</v>
      </c>
      <c r="L509" s="94">
        <f t="shared" si="180"/>
        <v>-358.96007424828565</v>
      </c>
      <c r="M509" s="94">
        <f t="shared" si="181"/>
        <v>-536.69691176373397</v>
      </c>
      <c r="N509" s="99">
        <f t="shared" si="182"/>
        <v>1483.9820722232944</v>
      </c>
      <c r="O509" s="99">
        <f t="shared" si="183"/>
        <v>29236.930858625441</v>
      </c>
      <c r="P509" s="100">
        <f t="shared" si="184"/>
        <v>25572.85232207536</v>
      </c>
      <c r="Q509" s="95">
        <f t="shared" si="185"/>
        <v>1033214243454.0618</v>
      </c>
      <c r="R509" s="95">
        <f t="shared" si="186"/>
        <v>27171095866828.57</v>
      </c>
      <c r="S509" s="95">
        <f t="shared" si="187"/>
        <v>20702927879983.578</v>
      </c>
      <c r="T509">
        <f t="shared" si="169"/>
        <v>0.5</v>
      </c>
    </row>
    <row r="510" spans="1:20" x14ac:dyDescent="0.25">
      <c r="A510">
        <v>233.5</v>
      </c>
      <c r="B510" s="95">
        <f t="shared" si="170"/>
        <v>9337.1826384211872</v>
      </c>
      <c r="C510" s="95">
        <f t="shared" si="171"/>
        <v>6084.2930664929609</v>
      </c>
      <c r="D510" s="95">
        <f t="shared" si="172"/>
        <v>288.03255303471275</v>
      </c>
      <c r="E510" s="95">
        <f t="shared" si="173"/>
        <v>-273.06184435359819</v>
      </c>
      <c r="F510" s="96">
        <f t="shared" si="174"/>
        <v>-218.91987201682917</v>
      </c>
      <c r="G510" s="94">
        <f t="shared" si="175"/>
        <v>206.33697682982097</v>
      </c>
      <c r="H510" s="97">
        <f t="shared" si="176"/>
        <v>335.4749563806364</v>
      </c>
      <c r="I510" s="94">
        <f t="shared" si="177"/>
        <v>716.53859614473311</v>
      </c>
      <c r="J510" s="95">
        <f t="shared" si="178"/>
        <v>-190.19853305420952</v>
      </c>
      <c r="K510" s="94">
        <f t="shared" si="179"/>
        <v>25.38627256074226</v>
      </c>
      <c r="L510" s="94">
        <f t="shared" si="180"/>
        <v>-364.19629534325605</v>
      </c>
      <c r="M510" s="94">
        <f t="shared" si="181"/>
        <v>-535.58789187565435</v>
      </c>
      <c r="N510" s="99">
        <f t="shared" si="182"/>
        <v>1512.3728996270208</v>
      </c>
      <c r="O510" s="99">
        <f t="shared" si="183"/>
        <v>29436.764998185641</v>
      </c>
      <c r="P510" s="100">
        <f t="shared" si="184"/>
        <v>25529.773640492396</v>
      </c>
      <c r="Q510" s="95">
        <f t="shared" si="185"/>
        <v>1034504520731.4707</v>
      </c>
      <c r="R510" s="95">
        <f t="shared" si="186"/>
        <v>27701544502863.215</v>
      </c>
      <c r="S510" s="95">
        <f t="shared" si="187"/>
        <v>20612321901658.051</v>
      </c>
      <c r="T510">
        <f t="shared" si="169"/>
        <v>0.5</v>
      </c>
    </row>
    <row r="511" spans="1:20" x14ac:dyDescent="0.25">
      <c r="A511">
        <v>234</v>
      </c>
      <c r="B511" s="95">
        <f t="shared" si="170"/>
        <v>9426.4689469343375</v>
      </c>
      <c r="C511" s="95">
        <f t="shared" si="171"/>
        <v>5999.346388523617</v>
      </c>
      <c r="D511" s="95">
        <f t="shared" si="172"/>
        <v>178.57261702629816</v>
      </c>
      <c r="E511" s="95">
        <f t="shared" si="173"/>
        <v>-169.89335593868771</v>
      </c>
      <c r="F511" s="96">
        <f t="shared" si="174"/>
        <v>-265.91885977318009</v>
      </c>
      <c r="G511" s="94">
        <f t="shared" si="175"/>
        <v>248.12559978971785</v>
      </c>
      <c r="H511" s="97">
        <f t="shared" si="176"/>
        <v>289.62004114489326</v>
      </c>
      <c r="I511" s="94">
        <f t="shared" si="177"/>
        <v>757.79569105609335</v>
      </c>
      <c r="J511" s="95">
        <f t="shared" si="178"/>
        <v>-187.85214126610319</v>
      </c>
      <c r="K511" s="94">
        <f t="shared" si="179"/>
        <v>25.539297587320693</v>
      </c>
      <c r="L511" s="94">
        <f t="shared" si="180"/>
        <v>-367.68675965197019</v>
      </c>
      <c r="M511" s="94">
        <f t="shared" si="181"/>
        <v>-535.20938885369617</v>
      </c>
      <c r="N511" s="99">
        <f t="shared" si="182"/>
        <v>1563.1868015020477</v>
      </c>
      <c r="O511" s="99">
        <f t="shared" si="183"/>
        <v>29597.348630395878</v>
      </c>
      <c r="P511" s="100">
        <f t="shared" si="184"/>
        <v>25497.102190664904</v>
      </c>
      <c r="Q511" s="95">
        <f t="shared" si="185"/>
        <v>1036876301673.293</v>
      </c>
      <c r="R511" s="95">
        <f t="shared" si="186"/>
        <v>28132915661136.023</v>
      </c>
      <c r="S511" s="95">
        <f t="shared" si="187"/>
        <v>20543795169484.895</v>
      </c>
      <c r="T511">
        <f t="shared" si="169"/>
        <v>0.5</v>
      </c>
    </row>
    <row r="512" spans="1:20" x14ac:dyDescent="0.25">
      <c r="A512">
        <v>234.5</v>
      </c>
      <c r="B512" s="95">
        <f t="shared" si="170"/>
        <v>9449.2755405041917</v>
      </c>
      <c r="C512" s="95">
        <f t="shared" si="171"/>
        <v>5976.4311105017023</v>
      </c>
      <c r="D512" s="95">
        <f t="shared" si="172"/>
        <v>45.613187139708117</v>
      </c>
      <c r="E512" s="95">
        <f t="shared" si="173"/>
        <v>-45.830556043828778</v>
      </c>
      <c r="F512" s="96">
        <f t="shared" si="174"/>
        <v>-277.67324503487168</v>
      </c>
      <c r="G512" s="94">
        <f t="shared" si="175"/>
        <v>257.5603373647225</v>
      </c>
      <c r="H512" s="97">
        <f t="shared" si="176"/>
        <v>277.54488990806908</v>
      </c>
      <c r="I512" s="94">
        <f t="shared" si="177"/>
        <v>767.82273315097325</v>
      </c>
      <c r="J512" s="95">
        <f t="shared" si="178"/>
        <v>-186.20751497980595</v>
      </c>
      <c r="K512" s="94">
        <f t="shared" si="179"/>
        <v>25.440991349110394</v>
      </c>
      <c r="L512" s="94">
        <f t="shared" si="180"/>
        <v>-369.01061996313484</v>
      </c>
      <c r="M512" s="94">
        <f t="shared" si="181"/>
        <v>-535.70338713536114</v>
      </c>
      <c r="N512" s="99">
        <f t="shared" si="182"/>
        <v>1606.5177031292617</v>
      </c>
      <c r="O512" s="99">
        <f t="shared" si="183"/>
        <v>29697.176700890435</v>
      </c>
      <c r="P512" s="100">
        <f t="shared" si="184"/>
        <v>25477.353768043897</v>
      </c>
      <c r="Q512" s="95">
        <f t="shared" si="185"/>
        <v>1038962211768.8888</v>
      </c>
      <c r="R512" s="95">
        <f t="shared" si="186"/>
        <v>28403388464796.652</v>
      </c>
      <c r="S512" s="95">
        <f t="shared" si="187"/>
        <v>20502453241173.027</v>
      </c>
      <c r="T512">
        <f t="shared" si="169"/>
        <v>0.5</v>
      </c>
    </row>
    <row r="513" spans="1:20" x14ac:dyDescent="0.25">
      <c r="A513">
        <v>235</v>
      </c>
      <c r="B513" s="95">
        <f t="shared" si="170"/>
        <v>9402.6638228153279</v>
      </c>
      <c r="C513" s="95">
        <f t="shared" si="171"/>
        <v>6017.9059168209678</v>
      </c>
      <c r="D513" s="95">
        <f t="shared" si="172"/>
        <v>-93.223435377727725</v>
      </c>
      <c r="E513" s="95">
        <f t="shared" si="173"/>
        <v>82.949612638532471</v>
      </c>
      <c r="F513" s="96">
        <f t="shared" si="174"/>
        <v>-252.65676625926039</v>
      </c>
      <c r="G513" s="94">
        <f t="shared" si="175"/>
        <v>234.47251369044704</v>
      </c>
      <c r="H513" s="97">
        <f t="shared" si="176"/>
        <v>300.84339497513827</v>
      </c>
      <c r="I513" s="94">
        <f t="shared" si="177"/>
        <v>746.44435191859736</v>
      </c>
      <c r="J513" s="95">
        <f t="shared" si="178"/>
        <v>-185.45640369763129</v>
      </c>
      <c r="K513" s="94">
        <f t="shared" si="179"/>
        <v>25.116936761319852</v>
      </c>
      <c r="L513" s="94">
        <f t="shared" si="180"/>
        <v>-368.04375753676737</v>
      </c>
      <c r="M513" s="94">
        <f t="shared" si="181"/>
        <v>-537.08877498947015</v>
      </c>
      <c r="N513" s="99">
        <f t="shared" si="182"/>
        <v>1620.0492558357682</v>
      </c>
      <c r="O513" s="99">
        <f t="shared" si="183"/>
        <v>29722.868913835973</v>
      </c>
      <c r="P513" s="100">
        <f t="shared" si="184"/>
        <v>25471.400153486586</v>
      </c>
      <c r="Q513" s="95">
        <f t="shared" si="185"/>
        <v>1039625586662.1559</v>
      </c>
      <c r="R513" s="95">
        <f t="shared" si="186"/>
        <v>28473285770734.695</v>
      </c>
      <c r="S513" s="95">
        <f t="shared" si="187"/>
        <v>20490001497244.949</v>
      </c>
      <c r="T513">
        <f t="shared" si="169"/>
        <v>0.5</v>
      </c>
    </row>
    <row r="514" spans="1:20" x14ac:dyDescent="0.25">
      <c r="A514">
        <v>235.5</v>
      </c>
      <c r="B514" s="95">
        <f t="shared" si="170"/>
        <v>9292.8879135616498</v>
      </c>
      <c r="C514" s="95">
        <f t="shared" si="171"/>
        <v>6117.9988515628456</v>
      </c>
      <c r="D514" s="95">
        <f t="shared" si="172"/>
        <v>-219.55181850735792</v>
      </c>
      <c r="E514" s="95">
        <f t="shared" si="173"/>
        <v>200.18586948375599</v>
      </c>
      <c r="F514" s="96">
        <f t="shared" si="174"/>
        <v>-194.12840717996403</v>
      </c>
      <c r="G514" s="94">
        <f t="shared" si="175"/>
        <v>182.14725458292048</v>
      </c>
      <c r="H514" s="97">
        <f t="shared" si="176"/>
        <v>356.50178025437776</v>
      </c>
      <c r="I514" s="94">
        <f t="shared" si="177"/>
        <v>696.75781135781085</v>
      </c>
      <c r="J514" s="95">
        <f t="shared" si="178"/>
        <v>-185.68180763191424</v>
      </c>
      <c r="K514" s="94">
        <f t="shared" si="179"/>
        <v>24.607235469510094</v>
      </c>
      <c r="L514" s="94">
        <f t="shared" si="180"/>
        <v>-364.94837980242755</v>
      </c>
      <c r="M514" s="94">
        <f t="shared" si="181"/>
        <v>-539.21779224440047</v>
      </c>
      <c r="N514" s="99">
        <f t="shared" si="182"/>
        <v>1597.9403555727272</v>
      </c>
      <c r="O514" s="99">
        <f t="shared" si="183"/>
        <v>29671.092213883578</v>
      </c>
      <c r="P514" s="100">
        <f t="shared" si="184"/>
        <v>25479.189436113767</v>
      </c>
      <c r="Q514" s="95">
        <f t="shared" si="185"/>
        <v>1038544667029.9822</v>
      </c>
      <c r="R514" s="95">
        <f t="shared" si="186"/>
        <v>28332544319902</v>
      </c>
      <c r="S514" s="95">
        <f t="shared" si="187"/>
        <v>20506293562273.332</v>
      </c>
      <c r="T514">
        <f t="shared" si="169"/>
        <v>0.5</v>
      </c>
    </row>
    <row r="515" spans="1:20" x14ac:dyDescent="0.25">
      <c r="A515">
        <v>236</v>
      </c>
      <c r="B515" s="95">
        <f t="shared" si="170"/>
        <v>9134.5799025129782</v>
      </c>
      <c r="C515" s="95">
        <f t="shared" si="171"/>
        <v>6263.6285999504535</v>
      </c>
      <c r="D515" s="95">
        <f t="shared" si="172"/>
        <v>-316.61602209733996</v>
      </c>
      <c r="E515" s="95">
        <f t="shared" si="173"/>
        <v>291.25949677521623</v>
      </c>
      <c r="F515" s="96">
        <f t="shared" si="174"/>
        <v>-109.7584015482667</v>
      </c>
      <c r="G515" s="94">
        <f t="shared" si="175"/>
        <v>106.83194782401438</v>
      </c>
      <c r="H515" s="97">
        <f t="shared" si="176"/>
        <v>437.23252925159466</v>
      </c>
      <c r="I515" s="94">
        <f t="shared" si="177"/>
        <v>624.64668420310772</v>
      </c>
      <c r="J515" s="95">
        <f t="shared" si="178"/>
        <v>-186.85466280796669</v>
      </c>
      <c r="K515" s="94">
        <f t="shared" si="179"/>
        <v>23.963222411913662</v>
      </c>
      <c r="L515" s="94">
        <f t="shared" si="180"/>
        <v>-360.13626799189467</v>
      </c>
      <c r="M515" s="94">
        <f t="shared" si="181"/>
        <v>-541.77795879100699</v>
      </c>
      <c r="N515" s="99">
        <f t="shared" si="182"/>
        <v>1552.3964303839437</v>
      </c>
      <c r="O515" s="99">
        <f t="shared" si="183"/>
        <v>29548.996856627022</v>
      </c>
      <c r="P515" s="100">
        <f t="shared" si="184"/>
        <v>25500.127850743149</v>
      </c>
      <c r="Q515" s="95">
        <f t="shared" si="185"/>
        <v>1036365945136.7601</v>
      </c>
      <c r="R515" s="95">
        <f t="shared" si="186"/>
        <v>28002548806662.891</v>
      </c>
      <c r="S515" s="95">
        <f t="shared" si="187"/>
        <v>20550134458323.102</v>
      </c>
      <c r="T515">
        <f t="shared" si="169"/>
        <v>0.5</v>
      </c>
    </row>
    <row r="516" spans="1:20" x14ac:dyDescent="0.25">
      <c r="A516">
        <v>236.5</v>
      </c>
      <c r="B516" s="95">
        <f t="shared" si="170"/>
        <v>8948.8322910772422</v>
      </c>
      <c r="C516" s="95">
        <f t="shared" si="171"/>
        <v>6435.9663352940652</v>
      </c>
      <c r="D516" s="95">
        <f t="shared" si="172"/>
        <v>-371.49522287147329</v>
      </c>
      <c r="E516" s="95">
        <f t="shared" si="173"/>
        <v>344.67547068722342</v>
      </c>
      <c r="F516" s="96">
        <f t="shared" si="174"/>
        <v>-10.947076980320389</v>
      </c>
      <c r="G516" s="94">
        <f t="shared" si="175"/>
        <v>17.52117401399255</v>
      </c>
      <c r="H516" s="97">
        <f t="shared" si="176"/>
        <v>532.10832805778216</v>
      </c>
      <c r="I516" s="94">
        <f t="shared" si="177"/>
        <v>538.62116341463263</v>
      </c>
      <c r="J516" s="95">
        <f t="shared" si="178"/>
        <v>-188.8363889431954</v>
      </c>
      <c r="K516" s="94">
        <f t="shared" si="179"/>
        <v>23.248580134352895</v>
      </c>
      <c r="L516" s="94">
        <f t="shared" si="180"/>
        <v>-354.21901609490715</v>
      </c>
      <c r="M516" s="94">
        <f t="shared" si="181"/>
        <v>-544.34856953499298</v>
      </c>
      <c r="N516" s="99">
        <f t="shared" si="182"/>
        <v>1509.1607548551356</v>
      </c>
      <c r="O516" s="99">
        <f t="shared" si="183"/>
        <v>29373.188749862031</v>
      </c>
      <c r="P516" s="100">
        <f t="shared" si="184"/>
        <v>25532.885662555942</v>
      </c>
      <c r="Q516" s="95">
        <f t="shared" si="185"/>
        <v>1034357284632.9471</v>
      </c>
      <c r="R516" s="95">
        <f t="shared" si="186"/>
        <v>27532021857708.129</v>
      </c>
      <c r="S516" s="95">
        <f t="shared" si="187"/>
        <v>20618857759678.211</v>
      </c>
      <c r="T516">
        <f t="shared" si="169"/>
        <v>0.5</v>
      </c>
    </row>
    <row r="517" spans="1:20" x14ac:dyDescent="0.25">
      <c r="A517">
        <v>237</v>
      </c>
      <c r="B517" s="95">
        <f t="shared" si="170"/>
        <v>8760.3479103964255</v>
      </c>
      <c r="C517" s="95">
        <f t="shared" si="171"/>
        <v>6612.6843641411751</v>
      </c>
      <c r="D517" s="95">
        <f t="shared" si="172"/>
        <v>-376.96876136163348</v>
      </c>
      <c r="E517" s="95">
        <f t="shared" si="173"/>
        <v>353.4360576942197</v>
      </c>
      <c r="F517" s="96">
        <f t="shared" si="174"/>
        <v>88.560870214544082</v>
      </c>
      <c r="G517" s="94">
        <f t="shared" si="175"/>
        <v>-74.526032559104294</v>
      </c>
      <c r="H517" s="97">
        <f t="shared" si="176"/>
        <v>627.89282596903809</v>
      </c>
      <c r="I517" s="94">
        <f t="shared" si="177"/>
        <v>449.43184204535788</v>
      </c>
      <c r="J517" s="95">
        <f t="shared" si="178"/>
        <v>-191.38740008340133</v>
      </c>
      <c r="K517" s="94">
        <f t="shared" si="179"/>
        <v>22.541087987830881</v>
      </c>
      <c r="L517" s="94">
        <f t="shared" si="180"/>
        <v>-347.9445556710927</v>
      </c>
      <c r="M517" s="94">
        <f t="shared" si="181"/>
        <v>-546.49896259229308</v>
      </c>
      <c r="N517" s="99">
        <f t="shared" si="182"/>
        <v>1495.7009032254614</v>
      </c>
      <c r="O517" s="99">
        <f t="shared" si="183"/>
        <v>29167.400072342298</v>
      </c>
      <c r="P517" s="100">
        <f t="shared" si="184"/>
        <v>25574.803518550434</v>
      </c>
      <c r="Q517" s="95">
        <f t="shared" si="185"/>
        <v>1033743800596.172</v>
      </c>
      <c r="R517" s="95">
        <f t="shared" si="186"/>
        <v>26988176077265.953</v>
      </c>
      <c r="S517" s="95">
        <f t="shared" si="187"/>
        <v>20707038521680.086</v>
      </c>
      <c r="T517">
        <f t="shared" si="169"/>
        <v>0.5</v>
      </c>
    </row>
    <row r="518" spans="1:20" x14ac:dyDescent="0.25">
      <c r="A518">
        <v>237.5</v>
      </c>
      <c r="B518" s="95">
        <f t="shared" si="170"/>
        <v>8594.0037472692457</v>
      </c>
      <c r="C518" s="95">
        <f t="shared" si="171"/>
        <v>6770.770884848509</v>
      </c>
      <c r="D518" s="95">
        <f t="shared" si="172"/>
        <v>-332.68832625436141</v>
      </c>
      <c r="E518" s="95">
        <f t="shared" si="173"/>
        <v>316.17304141466752</v>
      </c>
      <c r="F518" s="96">
        <f t="shared" si="174"/>
        <v>174.93935448730963</v>
      </c>
      <c r="G518" s="94">
        <f t="shared" si="175"/>
        <v>-157.07584314467255</v>
      </c>
      <c r="H518" s="97">
        <f t="shared" si="176"/>
        <v>711.23987933838714</v>
      </c>
      <c r="I518" s="94">
        <f t="shared" si="177"/>
        <v>368.88919644205276</v>
      </c>
      <c r="J518" s="95">
        <f t="shared" si="178"/>
        <v>-194.18632339066994</v>
      </c>
      <c r="K518" s="94">
        <f t="shared" si="179"/>
        <v>21.930196792299864</v>
      </c>
      <c r="L518" s="94">
        <f t="shared" si="180"/>
        <v>-342.11420146040757</v>
      </c>
      <c r="M518" s="94">
        <f t="shared" si="181"/>
        <v>-547.89523637902516</v>
      </c>
      <c r="N518" s="99">
        <f t="shared" si="182"/>
        <v>1524.4888785747371</v>
      </c>
      <c r="O518" s="99">
        <f t="shared" si="183"/>
        <v>28959.135331428282</v>
      </c>
      <c r="P518" s="100">
        <f t="shared" si="184"/>
        <v>25621.383648022285</v>
      </c>
      <c r="Q518" s="95">
        <f t="shared" si="185"/>
        <v>1035062765477.1414</v>
      </c>
      <c r="R518" s="95">
        <f t="shared" si="186"/>
        <v>26445335005602.383</v>
      </c>
      <c r="S518" s="95">
        <f t="shared" si="187"/>
        <v>20805344201335.641</v>
      </c>
      <c r="T518">
        <f t="shared" si="169"/>
        <v>0.5</v>
      </c>
    </row>
    <row r="519" spans="1:20" x14ac:dyDescent="0.25">
      <c r="A519">
        <v>238</v>
      </c>
      <c r="B519" s="95">
        <f t="shared" si="170"/>
        <v>8471.3944227638931</v>
      </c>
      <c r="C519" s="95">
        <f t="shared" si="171"/>
        <v>6889.5884447696744</v>
      </c>
      <c r="D519" s="95">
        <f t="shared" si="172"/>
        <v>-245.2186490107066</v>
      </c>
      <c r="E519" s="95">
        <f t="shared" si="173"/>
        <v>237.63511984233125</v>
      </c>
      <c r="F519" s="96">
        <f t="shared" si="174"/>
        <v>236.82832354014869</v>
      </c>
      <c r="G519" s="94">
        <f t="shared" si="175"/>
        <v>-218.91634914622131</v>
      </c>
      <c r="H519" s="97">
        <f t="shared" si="176"/>
        <v>771.17617737116416</v>
      </c>
      <c r="I519" s="94">
        <f t="shared" si="177"/>
        <v>307.95049867399536</v>
      </c>
      <c r="J519" s="95">
        <f t="shared" si="178"/>
        <v>-196.86507933920998</v>
      </c>
      <c r="K519" s="94">
        <f t="shared" si="179"/>
        <v>21.506899469189076</v>
      </c>
      <c r="L519" s="94">
        <f t="shared" si="180"/>
        <v>-337.48277449180551</v>
      </c>
      <c r="M519" s="94">
        <f t="shared" si="181"/>
        <v>-548.37374728940574</v>
      </c>
      <c r="N519" s="99">
        <f t="shared" si="182"/>
        <v>1583.8562324521597</v>
      </c>
      <c r="O519" s="99">
        <f t="shared" si="183"/>
        <v>28775.770554009319</v>
      </c>
      <c r="P519" s="100">
        <f t="shared" si="184"/>
        <v>25666.386633130456</v>
      </c>
      <c r="Q519" s="95">
        <f t="shared" si="185"/>
        <v>1037864021347.1461</v>
      </c>
      <c r="R519" s="95">
        <f t="shared" si="186"/>
        <v>25973638631671.836</v>
      </c>
      <c r="S519" s="95">
        <f t="shared" si="187"/>
        <v>20900638961447.781</v>
      </c>
      <c r="T519">
        <f t="shared" si="169"/>
        <v>0.5</v>
      </c>
    </row>
    <row r="520" spans="1:20" x14ac:dyDescent="0.25">
      <c r="A520">
        <v>238.5</v>
      </c>
      <c r="B520" s="95">
        <f t="shared" si="170"/>
        <v>8407.9921791435772</v>
      </c>
      <c r="C520" s="95">
        <f t="shared" si="171"/>
        <v>6953.6769174042847</v>
      </c>
      <c r="D520" s="95">
        <f t="shared" si="172"/>
        <v>-126.80448724063226</v>
      </c>
      <c r="E520" s="95">
        <f t="shared" si="173"/>
        <v>128.1769452692206</v>
      </c>
      <c r="F520" s="96">
        <f t="shared" si="174"/>
        <v>267.09373339544123</v>
      </c>
      <c r="G520" s="94">
        <f t="shared" si="175"/>
        <v>-251.79633313245102</v>
      </c>
      <c r="H520" s="97">
        <f t="shared" si="176"/>
        <v>800.81013886399035</v>
      </c>
      <c r="I520" s="94">
        <f t="shared" si="177"/>
        <v>274.81087586788595</v>
      </c>
      <c r="J520" s="95">
        <f t="shared" si="178"/>
        <v>-199.05933058500494</v>
      </c>
      <c r="K520" s="94">
        <f t="shared" si="179"/>
        <v>21.346071547159692</v>
      </c>
      <c r="L520" s="94">
        <f t="shared" si="180"/>
        <v>-334.65707488354423</v>
      </c>
      <c r="M520" s="94">
        <f t="shared" si="181"/>
        <v>-547.95328054749666</v>
      </c>
      <c r="N520" s="99">
        <f t="shared" si="182"/>
        <v>1645.9760865565563</v>
      </c>
      <c r="O520" s="99">
        <f t="shared" si="183"/>
        <v>28640.791895817081</v>
      </c>
      <c r="P520" s="100">
        <f t="shared" si="184"/>
        <v>25702.773196195543</v>
      </c>
      <c r="Q520" s="95">
        <f t="shared" si="185"/>
        <v>1040912577512.8491</v>
      </c>
      <c r="R520" s="95">
        <f t="shared" si="186"/>
        <v>25630126095183.68</v>
      </c>
      <c r="S520" s="95">
        <f t="shared" si="187"/>
        <v>20977916844202.813</v>
      </c>
      <c r="T520">
        <f t="shared" si="169"/>
        <v>0.5</v>
      </c>
    </row>
    <row r="521" spans="1:20" x14ac:dyDescent="0.25">
      <c r="A521">
        <v>239</v>
      </c>
      <c r="B521" s="95">
        <f t="shared" si="170"/>
        <v>8411.363368872122</v>
      </c>
      <c r="C521" s="95">
        <f t="shared" si="171"/>
        <v>6954.8163067557825</v>
      </c>
      <c r="D521" s="95">
        <f t="shared" si="172"/>
        <v>6.7423794570883615</v>
      </c>
      <c r="E521" s="95">
        <f t="shared" si="173"/>
        <v>2.2787787029950834</v>
      </c>
      <c r="F521" s="96">
        <f t="shared" si="174"/>
        <v>263.19467047124488</v>
      </c>
      <c r="G521" s="94">
        <f t="shared" si="175"/>
        <v>-251.55986154950051</v>
      </c>
      <c r="H521" s="97">
        <f t="shared" si="176"/>
        <v>797.67265290313128</v>
      </c>
      <c r="I521" s="94">
        <f t="shared" si="177"/>
        <v>273.74297834294129</v>
      </c>
      <c r="J521" s="95">
        <f t="shared" si="178"/>
        <v>-200.46529628928388</v>
      </c>
      <c r="K521" s="94">
        <f t="shared" si="179"/>
        <v>21.486249828838528</v>
      </c>
      <c r="L521" s="94">
        <f t="shared" si="180"/>
        <v>-334.01268614260255</v>
      </c>
      <c r="M521" s="94">
        <f t="shared" si="181"/>
        <v>-546.78908972128033</v>
      </c>
      <c r="N521" s="99">
        <f t="shared" si="182"/>
        <v>1683.1392729791853</v>
      </c>
      <c r="O521" s="99">
        <f t="shared" si="183"/>
        <v>28570.861099621026</v>
      </c>
      <c r="P521" s="100">
        <f t="shared" si="184"/>
        <v>25724.272282607824</v>
      </c>
      <c r="Q521" s="95">
        <f t="shared" si="185"/>
        <v>1042793922922.8877</v>
      </c>
      <c r="R521" s="95">
        <f t="shared" si="186"/>
        <v>25453389112709.75</v>
      </c>
      <c r="S521" s="95">
        <f t="shared" si="187"/>
        <v>21023672843513.766</v>
      </c>
      <c r="T521">
        <f t="shared" si="169"/>
        <v>0.5</v>
      </c>
    </row>
    <row r="522" spans="1:20" x14ac:dyDescent="0.25">
      <c r="A522">
        <v>239.5</v>
      </c>
      <c r="B522" s="95">
        <f t="shared" si="170"/>
        <v>8480.5332262184784</v>
      </c>
      <c r="C522" s="95">
        <f t="shared" si="171"/>
        <v>6893.0657307199053</v>
      </c>
      <c r="D522" s="95">
        <f t="shared" si="172"/>
        <v>138.3397146927108</v>
      </c>
      <c r="E522" s="95">
        <f t="shared" si="173"/>
        <v>-123.50115207175517</v>
      </c>
      <c r="F522" s="96">
        <f t="shared" si="174"/>
        <v>226.54326364304887</v>
      </c>
      <c r="G522" s="94">
        <f t="shared" si="175"/>
        <v>-218.38363382891532</v>
      </c>
      <c r="H522" s="97">
        <f t="shared" si="176"/>
        <v>763.07486456767867</v>
      </c>
      <c r="I522" s="94">
        <f t="shared" si="177"/>
        <v>304.80185109923559</v>
      </c>
      <c r="J522" s="95">
        <f t="shared" si="178"/>
        <v>-200.88905378052709</v>
      </c>
      <c r="K522" s="94">
        <f t="shared" si="179"/>
        <v>21.914936794069405</v>
      </c>
      <c r="L522" s="94">
        <f t="shared" si="180"/>
        <v>-335.64254714410271</v>
      </c>
      <c r="M522" s="94">
        <f t="shared" si="181"/>
        <v>-545.10042172222029</v>
      </c>
      <c r="N522" s="99">
        <f t="shared" si="182"/>
        <v>1679.5807825587724</v>
      </c>
      <c r="O522" s="99">
        <f t="shared" si="183"/>
        <v>28574.091625171379</v>
      </c>
      <c r="P522" s="100">
        <f t="shared" si="184"/>
        <v>25727.001894416586</v>
      </c>
      <c r="Q522" s="95">
        <f t="shared" si="185"/>
        <v>1042611910385.8118</v>
      </c>
      <c r="R522" s="95">
        <f t="shared" si="186"/>
        <v>25461535167967.922</v>
      </c>
      <c r="S522" s="95">
        <f t="shared" si="187"/>
        <v>21029487327271.934</v>
      </c>
      <c r="T522">
        <f t="shared" si="169"/>
        <v>0.5</v>
      </c>
    </row>
    <row r="523" spans="1:20" x14ac:dyDescent="0.25">
      <c r="A523">
        <v>240</v>
      </c>
      <c r="B523" s="95">
        <f t="shared" si="170"/>
        <v>8606.3388994755951</v>
      </c>
      <c r="C523" s="95">
        <f t="shared" si="171"/>
        <v>6776.7192462267994</v>
      </c>
      <c r="D523" s="95">
        <f t="shared" si="172"/>
        <v>251.61134651423524</v>
      </c>
      <c r="E523" s="95">
        <f t="shared" si="173"/>
        <v>-232.69296898621283</v>
      </c>
      <c r="F523" s="96">
        <f t="shared" si="174"/>
        <v>161.74890849981188</v>
      </c>
      <c r="G523" s="94">
        <f t="shared" si="175"/>
        <v>-156.54845764506223</v>
      </c>
      <c r="H523" s="97">
        <f t="shared" si="176"/>
        <v>701.36663492935645</v>
      </c>
      <c r="I523" s="94">
        <f t="shared" si="177"/>
        <v>363.99450927646444</v>
      </c>
      <c r="J523" s="95">
        <f t="shared" si="178"/>
        <v>-200.27675693387937</v>
      </c>
      <c r="K523" s="94">
        <f t="shared" si="179"/>
        <v>22.566614285091923</v>
      </c>
      <c r="L523" s="94">
        <f t="shared" si="180"/>
        <v>-339.34096949566521</v>
      </c>
      <c r="M523" s="94">
        <f t="shared" si="181"/>
        <v>-543.1095812066186</v>
      </c>
      <c r="N523" s="99">
        <f t="shared" si="182"/>
        <v>1636.1994022284046</v>
      </c>
      <c r="O523" s="99">
        <f t="shared" si="183"/>
        <v>28649.499356940982</v>
      </c>
      <c r="P523" s="100">
        <f t="shared" si="184"/>
        <v>25710.525143466104</v>
      </c>
      <c r="Q523" s="95">
        <f t="shared" si="185"/>
        <v>1040424807072.6309</v>
      </c>
      <c r="R523" s="95">
        <f t="shared" si="186"/>
        <v>25652191388747.746</v>
      </c>
      <c r="S523" s="95">
        <f t="shared" si="187"/>
        <v>20994406890300.148</v>
      </c>
      <c r="T523">
        <f t="shared" si="169"/>
        <v>0.5</v>
      </c>
    </row>
    <row r="524" spans="1:20" x14ac:dyDescent="0.25">
      <c r="A524">
        <v>240.5</v>
      </c>
      <c r="B524" s="95">
        <f t="shared" si="170"/>
        <v>8772.581799857664</v>
      </c>
      <c r="C524" s="95">
        <f t="shared" si="171"/>
        <v>6621.2356473224272</v>
      </c>
      <c r="D524" s="95">
        <f t="shared" si="172"/>
        <v>332.48580076414117</v>
      </c>
      <c r="E524" s="95">
        <f t="shared" si="173"/>
        <v>-310.96719780874395</v>
      </c>
      <c r="F524" s="96">
        <f t="shared" si="174"/>
        <v>76.275856032598881</v>
      </c>
      <c r="G524" s="94">
        <f t="shared" si="175"/>
        <v>-74.065435905019513</v>
      </c>
      <c r="H524" s="97">
        <f t="shared" si="176"/>
        <v>619.61961003513954</v>
      </c>
      <c r="I524" s="94">
        <f t="shared" si="177"/>
        <v>443.61377846256255</v>
      </c>
      <c r="J524" s="95">
        <f t="shared" si="178"/>
        <v>-198.72083345462687</v>
      </c>
      <c r="K524" s="94">
        <f t="shared" si="179"/>
        <v>23.335787969301791</v>
      </c>
      <c r="L524" s="94">
        <f t="shared" si="180"/>
        <v>-344.62292054791379</v>
      </c>
      <c r="M524" s="94">
        <f t="shared" si="181"/>
        <v>-541.01500233688387</v>
      </c>
      <c r="N524" s="99">
        <f t="shared" si="182"/>
        <v>1570.1676063062901</v>
      </c>
      <c r="O524" s="99">
        <f t="shared" si="183"/>
        <v>28787.361185931844</v>
      </c>
      <c r="P524" s="100">
        <f t="shared" si="184"/>
        <v>25677.966418242071</v>
      </c>
      <c r="Q524" s="95">
        <f t="shared" si="185"/>
        <v>1037208403886.9392</v>
      </c>
      <c r="R524" s="95">
        <f t="shared" si="186"/>
        <v>26003282596909.895</v>
      </c>
      <c r="S524" s="95">
        <f t="shared" si="187"/>
        <v>20925209953440.348</v>
      </c>
      <c r="T524">
        <f t="shared" si="169"/>
        <v>0.5</v>
      </c>
    </row>
    <row r="525" spans="1:20" x14ac:dyDescent="0.25">
      <c r="A525">
        <v>241</v>
      </c>
      <c r="B525" s="95">
        <f t="shared" si="170"/>
        <v>8957.8936642478839</v>
      </c>
      <c r="C525" s="95">
        <f t="shared" si="171"/>
        <v>6447.2356894417999</v>
      </c>
      <c r="D525" s="95">
        <f t="shared" si="172"/>
        <v>370.62372878044062</v>
      </c>
      <c r="E525" s="95">
        <f t="shared" si="173"/>
        <v>-347.9999157612537</v>
      </c>
      <c r="F525" s="96">
        <f t="shared" si="174"/>
        <v>-19.711568250387131</v>
      </c>
      <c r="G525" s="94">
        <f t="shared" si="175"/>
        <v>18.010447128238866</v>
      </c>
      <c r="H525" s="97">
        <f t="shared" si="176"/>
        <v>527.51199069624533</v>
      </c>
      <c r="I525" s="94">
        <f t="shared" si="177"/>
        <v>532.90703467003539</v>
      </c>
      <c r="J525" s="95">
        <f t="shared" si="178"/>
        <v>-196.44306888634543</v>
      </c>
      <c r="K525" s="94">
        <f t="shared" si="179"/>
        <v>24.101059707170553</v>
      </c>
      <c r="L525" s="94">
        <f t="shared" si="180"/>
        <v>-350.78049006028704</v>
      </c>
      <c r="M525" s="94">
        <f t="shared" si="181"/>
        <v>-538.99764724896704</v>
      </c>
      <c r="N525" s="99">
        <f t="shared" si="182"/>
        <v>1509.5635877886978</v>
      </c>
      <c r="O525" s="99">
        <f t="shared" si="183"/>
        <v>28970.28670863347</v>
      </c>
      <c r="P525" s="100">
        <f t="shared" si="184"/>
        <v>25635.168038279302</v>
      </c>
      <c r="Q525" s="95">
        <f t="shared" si="185"/>
        <v>1034375731863.1913</v>
      </c>
      <c r="R525" s="95">
        <f t="shared" si="186"/>
        <v>26474209495375.215</v>
      </c>
      <c r="S525" s="95">
        <f t="shared" si="187"/>
        <v>20834499750186.773</v>
      </c>
      <c r="T525">
        <f t="shared" si="169"/>
        <v>0.5</v>
      </c>
    </row>
    <row r="526" spans="1:20" x14ac:dyDescent="0.25">
      <c r="A526">
        <v>241.5</v>
      </c>
      <c r="B526" s="95">
        <f t="shared" si="170"/>
        <v>9138.2776365755071</v>
      </c>
      <c r="C526" s="95">
        <f t="shared" si="171"/>
        <v>6277.7383433432333</v>
      </c>
      <c r="D526" s="95">
        <f t="shared" si="172"/>
        <v>360.76794465524705</v>
      </c>
      <c r="E526" s="95">
        <f t="shared" si="173"/>
        <v>-338.99469219713427</v>
      </c>
      <c r="F526" s="96">
        <f t="shared" si="174"/>
        <v>-113.99375034044147</v>
      </c>
      <c r="G526" s="94">
        <f t="shared" si="175"/>
        <v>106.98265752367831</v>
      </c>
      <c r="H526" s="97">
        <f t="shared" si="176"/>
        <v>436.74303440601801</v>
      </c>
      <c r="I526" s="94">
        <f t="shared" si="177"/>
        <v>619.47361171528598</v>
      </c>
      <c r="J526" s="95">
        <f t="shared" si="178"/>
        <v>-193.75874861464536</v>
      </c>
      <c r="K526" s="94">
        <f t="shared" si="179"/>
        <v>24.751660671418254</v>
      </c>
      <c r="L526" s="94">
        <f t="shared" si="180"/>
        <v>-356.97803613181412</v>
      </c>
      <c r="M526" s="94">
        <f t="shared" si="181"/>
        <v>-537.24261486302589</v>
      </c>
      <c r="N526" s="99">
        <f t="shared" si="182"/>
        <v>1481.3164106968454</v>
      </c>
      <c r="O526" s="99">
        <f t="shared" si="183"/>
        <v>29175.019103957136</v>
      </c>
      <c r="P526" s="100">
        <f t="shared" si="184"/>
        <v>25589.191356135452</v>
      </c>
      <c r="Q526" s="95">
        <f t="shared" si="185"/>
        <v>1033094380104.7135</v>
      </c>
      <c r="R526" s="95">
        <f t="shared" si="186"/>
        <v>27008178700084.543</v>
      </c>
      <c r="S526" s="95">
        <f t="shared" si="187"/>
        <v>20737367877855.285</v>
      </c>
      <c r="T526">
        <f t="shared" si="169"/>
        <v>0.5</v>
      </c>
    </row>
    <row r="527" spans="1:20" x14ac:dyDescent="0.25">
      <c r="A527">
        <v>242</v>
      </c>
      <c r="B527" s="95">
        <f t="shared" si="170"/>
        <v>9290.1631713180195</v>
      </c>
      <c r="C527" s="95">
        <f t="shared" si="171"/>
        <v>6134.9866616255849</v>
      </c>
      <c r="D527" s="95">
        <f t="shared" si="172"/>
        <v>303.77106948502632</v>
      </c>
      <c r="E527" s="95">
        <f t="shared" si="173"/>
        <v>-285.50336343529511</v>
      </c>
      <c r="F527" s="96">
        <f t="shared" si="174"/>
        <v>-193.86463476790249</v>
      </c>
      <c r="G527" s="94">
        <f t="shared" si="175"/>
        <v>180.65122668077686</v>
      </c>
      <c r="H527" s="97">
        <f t="shared" si="176"/>
        <v>359.54086652958415</v>
      </c>
      <c r="I527" s="94">
        <f t="shared" si="177"/>
        <v>691.39562597062013</v>
      </c>
      <c r="J527" s="95">
        <f t="shared" si="178"/>
        <v>-191.0282823849119</v>
      </c>
      <c r="K527" s="94">
        <f t="shared" si="179"/>
        <v>25.207331727924107</v>
      </c>
      <c r="L527" s="94">
        <f t="shared" si="180"/>
        <v>-362.37721891257473</v>
      </c>
      <c r="M527" s="94">
        <f t="shared" si="181"/>
        <v>-535.95173101776743</v>
      </c>
      <c r="N527" s="99">
        <f t="shared" si="182"/>
        <v>1495.4895482614506</v>
      </c>
      <c r="O527" s="99">
        <f t="shared" si="183"/>
        <v>29375.065199362085</v>
      </c>
      <c r="P527" s="100">
        <f t="shared" si="184"/>
        <v>25546.683611315773</v>
      </c>
      <c r="Q527" s="95">
        <f t="shared" si="185"/>
        <v>1033734212079.845</v>
      </c>
      <c r="R527" s="95">
        <f t="shared" si="186"/>
        <v>27537015095688.371</v>
      </c>
      <c r="S527" s="95">
        <f t="shared" si="187"/>
        <v>20647854084357.223</v>
      </c>
      <c r="T527">
        <f t="shared" si="169"/>
        <v>0.5</v>
      </c>
    </row>
    <row r="528" spans="1:20" x14ac:dyDescent="0.25">
      <c r="A528">
        <v>242.5</v>
      </c>
      <c r="B528" s="95">
        <f t="shared" si="170"/>
        <v>9393.5825473685563</v>
      </c>
      <c r="C528" s="95">
        <f t="shared" si="171"/>
        <v>6037.3977865781317</v>
      </c>
      <c r="D528" s="95">
        <f t="shared" si="172"/>
        <v>206.83875210107507</v>
      </c>
      <c r="E528" s="95">
        <f t="shared" si="173"/>
        <v>-195.17775009490668</v>
      </c>
      <c r="F528" s="96">
        <f t="shared" si="174"/>
        <v>-248.30193726177217</v>
      </c>
      <c r="G528" s="94">
        <f t="shared" si="175"/>
        <v>229.50527888147883</v>
      </c>
      <c r="H528" s="97">
        <f t="shared" si="176"/>
        <v>306.56990874250556</v>
      </c>
      <c r="I528" s="94">
        <f t="shared" si="177"/>
        <v>739.40785369817229</v>
      </c>
      <c r="J528" s="95">
        <f t="shared" si="178"/>
        <v>-188.60511658323216</v>
      </c>
      <c r="K528" s="94">
        <f t="shared" si="179"/>
        <v>25.426198090382584</v>
      </c>
      <c r="L528" s="94">
        <f t="shared" si="180"/>
        <v>-366.26672942104557</v>
      </c>
      <c r="M528" s="94">
        <f t="shared" si="181"/>
        <v>-535.32877290707609</v>
      </c>
      <c r="N528" s="99">
        <f t="shared" si="182"/>
        <v>1538.5479314253932</v>
      </c>
      <c r="O528" s="99">
        <f t="shared" si="183"/>
        <v>29544.068553742673</v>
      </c>
      <c r="P528" s="100">
        <f t="shared" si="184"/>
        <v>25512.671844594901</v>
      </c>
      <c r="Q528" s="95">
        <f t="shared" si="185"/>
        <v>1035716248217.8068</v>
      </c>
      <c r="R528" s="95">
        <f t="shared" si="186"/>
        <v>27989284331700.723</v>
      </c>
      <c r="S528" s="95">
        <f t="shared" si="187"/>
        <v>20576431307828.684</v>
      </c>
      <c r="T528">
        <f t="shared" si="169"/>
        <v>0.5</v>
      </c>
    </row>
    <row r="529" spans="1:20" x14ac:dyDescent="0.25">
      <c r="A529">
        <v>243</v>
      </c>
      <c r="B529" s="95">
        <f t="shared" si="170"/>
        <v>9434.9264391036504</v>
      </c>
      <c r="C529" s="95">
        <f t="shared" si="171"/>
        <v>5997.1852312510482</v>
      </c>
      <c r="D529" s="95">
        <f t="shared" si="172"/>
        <v>82.68778347018899</v>
      </c>
      <c r="E529" s="95">
        <f t="shared" si="173"/>
        <v>-80.42511065416727</v>
      </c>
      <c r="F529" s="96">
        <f t="shared" si="174"/>
        <v>-269.86881408344914</v>
      </c>
      <c r="G529" s="94">
        <f t="shared" si="175"/>
        <v>248.05010002592576</v>
      </c>
      <c r="H529" s="97">
        <f t="shared" si="176"/>
        <v>285.08453531394031</v>
      </c>
      <c r="I529" s="94">
        <f t="shared" si="177"/>
        <v>758.18314580516642</v>
      </c>
      <c r="J529" s="95">
        <f t="shared" si="178"/>
        <v>-186.78978103196204</v>
      </c>
      <c r="K529" s="94">
        <f t="shared" si="179"/>
        <v>25.401282918541206</v>
      </c>
      <c r="L529" s="94">
        <f t="shared" si="180"/>
        <v>-368.16356836542741</v>
      </c>
      <c r="M529" s="94">
        <f t="shared" si="181"/>
        <v>-535.53432869778192</v>
      </c>
      <c r="N529" s="99">
        <f t="shared" si="182"/>
        <v>1583.334254528259</v>
      </c>
      <c r="O529" s="99">
        <f t="shared" si="183"/>
        <v>29659.482653458152</v>
      </c>
      <c r="P529" s="100">
        <f t="shared" si="184"/>
        <v>25490.141705738617</v>
      </c>
      <c r="Q529" s="95">
        <f t="shared" si="185"/>
        <v>1037838914280.2148</v>
      </c>
      <c r="R529" s="95">
        <f t="shared" si="186"/>
        <v>28301052315925.621</v>
      </c>
      <c r="S529" s="95">
        <f t="shared" si="187"/>
        <v>20529217062195.152</v>
      </c>
      <c r="T529">
        <f t="shared" si="169"/>
        <v>0.5</v>
      </c>
    </row>
    <row r="530" spans="1:20" x14ac:dyDescent="0.25">
      <c r="A530">
        <v>243.5</v>
      </c>
      <c r="B530" s="95">
        <f t="shared" si="170"/>
        <v>9408.8031273178822</v>
      </c>
      <c r="C530" s="95">
        <f t="shared" si="171"/>
        <v>6018.9852009304459</v>
      </c>
      <c r="D530" s="95">
        <f t="shared" si="172"/>
        <v>-52.246623571535579</v>
      </c>
      <c r="E530" s="95">
        <f t="shared" si="173"/>
        <v>43.599939358795609</v>
      </c>
      <c r="F530" s="96">
        <f t="shared" si="174"/>
        <v>-255.70626655002428</v>
      </c>
      <c r="G530" s="94">
        <f t="shared" si="175"/>
        <v>234.9369614000484</v>
      </c>
      <c r="H530" s="97">
        <f t="shared" si="176"/>
        <v>297.95517405057109</v>
      </c>
      <c r="I530" s="94">
        <f t="shared" si="177"/>
        <v>746.41129312182841</v>
      </c>
      <c r="J530" s="95">
        <f t="shared" si="178"/>
        <v>-185.79737325268246</v>
      </c>
      <c r="K530" s="94">
        <f t="shared" si="179"/>
        <v>25.151043697528291</v>
      </c>
      <c r="L530" s="94">
        <f t="shared" si="180"/>
        <v>-367.86406734791291</v>
      </c>
      <c r="M530" s="94">
        <f t="shared" si="181"/>
        <v>-536.62537541930828</v>
      </c>
      <c r="N530" s="99">
        <f t="shared" si="182"/>
        <v>1605.5405190757554</v>
      </c>
      <c r="O530" s="99">
        <f t="shared" si="183"/>
        <v>29705.848254987734</v>
      </c>
      <c r="P530" s="100">
        <f t="shared" si="184"/>
        <v>25480.362810168161</v>
      </c>
      <c r="Q530" s="95">
        <f t="shared" si="185"/>
        <v>1038914526858.8665</v>
      </c>
      <c r="R530" s="95">
        <f t="shared" si="186"/>
        <v>28426966822067.777</v>
      </c>
      <c r="S530" s="95">
        <f t="shared" si="187"/>
        <v>20508748597522.91</v>
      </c>
      <c r="T530">
        <f t="shared" si="169"/>
        <v>0.5</v>
      </c>
    </row>
    <row r="531" spans="1:20" x14ac:dyDescent="0.25">
      <c r="A531">
        <v>244</v>
      </c>
      <c r="B531" s="95">
        <f t="shared" si="170"/>
        <v>9318.7532488946072</v>
      </c>
      <c r="C531" s="95">
        <f t="shared" si="171"/>
        <v>6099.519410959856</v>
      </c>
      <c r="D531" s="95">
        <f t="shared" si="172"/>
        <v>-180.09975684654773</v>
      </c>
      <c r="E531" s="95">
        <f t="shared" si="173"/>
        <v>161.06842005881981</v>
      </c>
      <c r="F531" s="96">
        <f t="shared" si="174"/>
        <v>-207.67218321027647</v>
      </c>
      <c r="G531" s="94">
        <f t="shared" si="175"/>
        <v>192.38692608904705</v>
      </c>
      <c r="H531" s="97">
        <f t="shared" si="176"/>
        <v>343.51408988100104</v>
      </c>
      <c r="I531" s="94">
        <f t="shared" si="177"/>
        <v>706.18291266640722</v>
      </c>
      <c r="J531" s="95">
        <f t="shared" si="178"/>
        <v>-185.7400893330358</v>
      </c>
      <c r="K531" s="94">
        <f t="shared" si="179"/>
        <v>24.710314483696642</v>
      </c>
      <c r="L531" s="94">
        <f t="shared" si="180"/>
        <v>-365.44618375824172</v>
      </c>
      <c r="M531" s="94">
        <f t="shared" si="181"/>
        <v>-538.50630106105677</v>
      </c>
      <c r="N531" s="99">
        <f t="shared" si="182"/>
        <v>1594.6531213189119</v>
      </c>
      <c r="O531" s="99">
        <f t="shared" si="183"/>
        <v>29677.031189317993</v>
      </c>
      <c r="P531" s="100">
        <f t="shared" si="184"/>
        <v>25483.550506919921</v>
      </c>
      <c r="Q531" s="95">
        <f t="shared" si="185"/>
        <v>1038385251919.8542</v>
      </c>
      <c r="R531" s="95">
        <f t="shared" si="186"/>
        <v>28348663618617.109</v>
      </c>
      <c r="S531" s="95">
        <f t="shared" si="187"/>
        <v>20515419239334.984</v>
      </c>
      <c r="T531">
        <f t="shared" si="169"/>
        <v>0.5</v>
      </c>
    </row>
    <row r="532" spans="1:20" x14ac:dyDescent="0.25">
      <c r="A532">
        <v>244.5</v>
      </c>
      <c r="B532" s="95">
        <f t="shared" si="170"/>
        <v>9176.7853246687646</v>
      </c>
      <c r="C532" s="95">
        <f t="shared" si="171"/>
        <v>6228.1503525115277</v>
      </c>
      <c r="D532" s="95">
        <f t="shared" si="172"/>
        <v>-283.93584845168596</v>
      </c>
      <c r="E532" s="95">
        <f t="shared" si="173"/>
        <v>257.26188310334334</v>
      </c>
      <c r="F532" s="96">
        <f t="shared" si="174"/>
        <v>-132.04703637496442</v>
      </c>
      <c r="G532" s="94">
        <f t="shared" si="175"/>
        <v>125.63349252741045</v>
      </c>
      <c r="H532" s="97">
        <f t="shared" si="176"/>
        <v>415.81480634875254</v>
      </c>
      <c r="I532" s="94">
        <f t="shared" si="177"/>
        <v>642.42527583993115</v>
      </c>
      <c r="J532" s="95">
        <f t="shared" si="178"/>
        <v>-186.62125303400273</v>
      </c>
      <c r="K532" s="94">
        <f t="shared" si="179"/>
        <v>24.125595045421662</v>
      </c>
      <c r="L532" s="94">
        <f t="shared" si="180"/>
        <v>-361.24058968971423</v>
      </c>
      <c r="M532" s="94">
        <f t="shared" si="181"/>
        <v>-540.91737835794231</v>
      </c>
      <c r="N532" s="99">
        <f t="shared" si="182"/>
        <v>1557.3833876633851</v>
      </c>
      <c r="O532" s="99">
        <f t="shared" si="183"/>
        <v>29577.069511617392</v>
      </c>
      <c r="P532" s="100">
        <f t="shared" si="184"/>
        <v>25499.34144200986</v>
      </c>
      <c r="Q532" s="95">
        <f t="shared" si="185"/>
        <v>1036601365504.2111</v>
      </c>
      <c r="R532" s="95">
        <f t="shared" si="186"/>
        <v>28078188236705.664</v>
      </c>
      <c r="S532" s="95">
        <f t="shared" si="187"/>
        <v>20548486658967.086</v>
      </c>
      <c r="T532">
        <f t="shared" si="169"/>
        <v>0.5</v>
      </c>
    </row>
    <row r="533" spans="1:20" x14ac:dyDescent="0.25">
      <c r="A533">
        <v>245</v>
      </c>
      <c r="B533" s="95">
        <f t="shared" si="170"/>
        <v>9001.8056413491813</v>
      </c>
      <c r="C533" s="95">
        <f t="shared" si="171"/>
        <v>6388.1896671950517</v>
      </c>
      <c r="D533" s="95">
        <f t="shared" si="172"/>
        <v>-349.95936663916814</v>
      </c>
      <c r="E533" s="95">
        <f t="shared" si="173"/>
        <v>320.07862936704856</v>
      </c>
      <c r="F533" s="96">
        <f t="shared" si="174"/>
        <v>-38.960769029630512</v>
      </c>
      <c r="G533" s="94">
        <f t="shared" si="175"/>
        <v>42.640503188548564</v>
      </c>
      <c r="H533" s="97">
        <f t="shared" si="176"/>
        <v>505.16158272127274</v>
      </c>
      <c r="I533" s="94">
        <f t="shared" si="177"/>
        <v>562.65982925884578</v>
      </c>
      <c r="J533" s="95">
        <f t="shared" si="178"/>
        <v>-188.33624851266529</v>
      </c>
      <c r="K533" s="94">
        <f t="shared" si="179"/>
        <v>23.454912319318616</v>
      </c>
      <c r="L533" s="94">
        <f t="shared" si="180"/>
        <v>-355.78610323823796</v>
      </c>
      <c r="M533" s="94">
        <f t="shared" si="181"/>
        <v>-543.47423838961583</v>
      </c>
      <c r="N533" s="99">
        <f t="shared" si="182"/>
        <v>1515.0194478940732</v>
      </c>
      <c r="O533" s="99">
        <f t="shared" si="183"/>
        <v>29419.579392728676</v>
      </c>
      <c r="P533" s="100">
        <f t="shared" si="184"/>
        <v>25526.762613590054</v>
      </c>
      <c r="Q533" s="95">
        <f t="shared" si="185"/>
        <v>1034626071886.1439</v>
      </c>
      <c r="R533" s="95">
        <f t="shared" si="186"/>
        <v>27655649642849.691</v>
      </c>
      <c r="S533" s="95">
        <f t="shared" si="187"/>
        <v>20605999568978.82</v>
      </c>
      <c r="T533">
        <f t="shared" si="169"/>
        <v>0.5</v>
      </c>
    </row>
    <row r="534" spans="1:20" x14ac:dyDescent="0.25">
      <c r="A534">
        <v>245.5</v>
      </c>
      <c r="B534" s="95">
        <f t="shared" si="170"/>
        <v>8817.0857657721899</v>
      </c>
      <c r="C534" s="95">
        <f t="shared" si="171"/>
        <v>6558.8891076757127</v>
      </c>
      <c r="D534" s="95">
        <f t="shared" si="172"/>
        <v>-369.43975115398337</v>
      </c>
      <c r="E534" s="95">
        <f t="shared" si="173"/>
        <v>341.39888096132285</v>
      </c>
      <c r="F534" s="96">
        <f t="shared" si="174"/>
        <v>58.743597760804391</v>
      </c>
      <c r="G534" s="94">
        <f t="shared" si="175"/>
        <v>-46.271180188785081</v>
      </c>
      <c r="H534" s="97">
        <f t="shared" si="176"/>
        <v>599.19518919682832</v>
      </c>
      <c r="I534" s="94">
        <f t="shared" si="177"/>
        <v>476.71175378962209</v>
      </c>
      <c r="J534" s="95">
        <f t="shared" si="178"/>
        <v>-190.67907700340422</v>
      </c>
      <c r="K534" s="94">
        <f t="shared" si="179"/>
        <v>22.769403337588791</v>
      </c>
      <c r="L534" s="94">
        <f t="shared" si="180"/>
        <v>-349.77251443261969</v>
      </c>
      <c r="M534" s="94">
        <f t="shared" si="181"/>
        <v>-545.75233731599599</v>
      </c>
      <c r="N534" s="99">
        <f t="shared" si="182"/>
        <v>1494.1600295062672</v>
      </c>
      <c r="O534" s="99">
        <f t="shared" si="183"/>
        <v>29225.84309029852</v>
      </c>
      <c r="P534" s="100">
        <f t="shared" si="184"/>
        <v>25563.748130077227</v>
      </c>
      <c r="Q534" s="95">
        <f t="shared" si="185"/>
        <v>1033673927705.7587</v>
      </c>
      <c r="R534" s="95">
        <f t="shared" si="186"/>
        <v>27141869646710.305</v>
      </c>
      <c r="S534" s="95">
        <f t="shared" si="187"/>
        <v>20683755557610.23</v>
      </c>
      <c r="T534">
        <f t="shared" si="169"/>
        <v>0.5</v>
      </c>
    </row>
    <row r="535" spans="1:20" x14ac:dyDescent="0.25">
      <c r="A535">
        <v>246</v>
      </c>
      <c r="B535" s="95">
        <f t="shared" si="170"/>
        <v>8647.0517896353995</v>
      </c>
      <c r="C535" s="95">
        <f t="shared" si="171"/>
        <v>6718.0207531091773</v>
      </c>
      <c r="D535" s="95">
        <f t="shared" si="172"/>
        <v>-340.06795227358117</v>
      </c>
      <c r="E535" s="95">
        <f t="shared" si="173"/>
        <v>318.26329086693033</v>
      </c>
      <c r="F535" s="96">
        <f t="shared" si="174"/>
        <v>147.47345029989901</v>
      </c>
      <c r="G535" s="94">
        <f t="shared" si="175"/>
        <v>-129.43746059303743</v>
      </c>
      <c r="H535" s="97">
        <f t="shared" si="176"/>
        <v>684.79727693488564</v>
      </c>
      <c r="I535" s="94">
        <f t="shared" si="177"/>
        <v>395.80026403680222</v>
      </c>
      <c r="J535" s="95">
        <f t="shared" si="178"/>
        <v>-193.35789219190437</v>
      </c>
      <c r="K535" s="94">
        <f t="shared" si="179"/>
        <v>22.152247779507366</v>
      </c>
      <c r="L535" s="94">
        <f t="shared" si="180"/>
        <v>-343.96593444308223</v>
      </c>
      <c r="M535" s="94">
        <f t="shared" si="181"/>
        <v>-547.38997240934702</v>
      </c>
      <c r="N535" s="99">
        <f t="shared" si="182"/>
        <v>1511.6136401839535</v>
      </c>
      <c r="O535" s="99">
        <f t="shared" si="183"/>
        <v>29021.813799367243</v>
      </c>
      <c r="P535" s="100">
        <f t="shared" si="184"/>
        <v>25606.592092970179</v>
      </c>
      <c r="Q535" s="95">
        <f t="shared" si="185"/>
        <v>1034469689432.152</v>
      </c>
      <c r="R535" s="95">
        <f t="shared" si="186"/>
        <v>26607910582449.355</v>
      </c>
      <c r="S535" s="95">
        <f t="shared" si="187"/>
        <v>20774090955109.051</v>
      </c>
      <c r="T535">
        <f t="shared" si="169"/>
        <v>0.5</v>
      </c>
    </row>
    <row r="536" spans="1:20" x14ac:dyDescent="0.25">
      <c r="A536">
        <v>246.5</v>
      </c>
      <c r="B536" s="95">
        <f t="shared" si="170"/>
        <v>8513.8861760735836</v>
      </c>
      <c r="C536" s="95">
        <f t="shared" si="171"/>
        <v>6844.7930333943832</v>
      </c>
      <c r="D536" s="95">
        <f t="shared" si="172"/>
        <v>-266.33122712363166</v>
      </c>
      <c r="E536" s="95">
        <f t="shared" si="173"/>
        <v>253.54456057041162</v>
      </c>
      <c r="F536" s="96">
        <f t="shared" si="174"/>
        <v>215.33005745142464</v>
      </c>
      <c r="G536" s="94">
        <f t="shared" si="175"/>
        <v>-195.6079330722302</v>
      </c>
      <c r="H536" s="97">
        <f t="shared" si="176"/>
        <v>750.47093149108662</v>
      </c>
      <c r="I536" s="94">
        <f t="shared" si="177"/>
        <v>330.87222165044153</v>
      </c>
      <c r="J536" s="95">
        <f t="shared" si="178"/>
        <v>-196.02462494072012</v>
      </c>
      <c r="K536" s="94">
        <f t="shared" si="179"/>
        <v>21.691124753040651</v>
      </c>
      <c r="L536" s="94">
        <f t="shared" si="180"/>
        <v>-339.11624909894181</v>
      </c>
      <c r="M536" s="94">
        <f t="shared" si="181"/>
        <v>-548.17127947571237</v>
      </c>
      <c r="N536" s="99">
        <f t="shared" si="182"/>
        <v>1562.6773187375293</v>
      </c>
      <c r="O536" s="99">
        <f t="shared" si="183"/>
        <v>28834.440587864276</v>
      </c>
      <c r="P536" s="100">
        <f t="shared" si="184"/>
        <v>25649.843040094253</v>
      </c>
      <c r="Q536" s="95">
        <f t="shared" si="185"/>
        <v>1036852123054.9746</v>
      </c>
      <c r="R536" s="95">
        <f t="shared" si="186"/>
        <v>26123930662245.723</v>
      </c>
      <c r="S536" s="95">
        <f t="shared" si="187"/>
        <v>20865571243395.145</v>
      </c>
      <c r="T536">
        <f t="shared" si="169"/>
        <v>0.5</v>
      </c>
    </row>
    <row r="537" spans="1:20" x14ac:dyDescent="0.25">
      <c r="A537">
        <v>247</v>
      </c>
      <c r="B537" s="95">
        <f t="shared" si="170"/>
        <v>8434.553076874623</v>
      </c>
      <c r="C537" s="95">
        <f t="shared" si="171"/>
        <v>6922.6633304115312</v>
      </c>
      <c r="D537" s="95">
        <f t="shared" si="172"/>
        <v>-158.66619839791935</v>
      </c>
      <c r="E537" s="95">
        <f t="shared" si="173"/>
        <v>155.74059403429652</v>
      </c>
      <c r="F537" s="96">
        <f t="shared" si="174"/>
        <v>254.09336865359671</v>
      </c>
      <c r="G537" s="94">
        <f t="shared" si="175"/>
        <v>-235.87939367131952</v>
      </c>
      <c r="H537" s="97">
        <f t="shared" si="176"/>
        <v>788.27140845245151</v>
      </c>
      <c r="I537" s="94">
        <f t="shared" si="177"/>
        <v>290.71441705551905</v>
      </c>
      <c r="J537" s="95">
        <f t="shared" si="178"/>
        <v>-198.32005579151067</v>
      </c>
      <c r="K537" s="94">
        <f t="shared" si="179"/>
        <v>21.46323799611228</v>
      </c>
      <c r="L537" s="94">
        <f t="shared" si="180"/>
        <v>-335.85798400734416</v>
      </c>
      <c r="M537" s="94">
        <f t="shared" si="181"/>
        <v>-548.05704872295087</v>
      </c>
      <c r="N537" s="99">
        <f t="shared" si="182"/>
        <v>1624.1399160028454</v>
      </c>
      <c r="O537" s="99">
        <f t="shared" si="183"/>
        <v>28687.924913876162</v>
      </c>
      <c r="P537" s="100">
        <f t="shared" si="184"/>
        <v>25686.963663533854</v>
      </c>
      <c r="Q537" s="95">
        <f t="shared" si="185"/>
        <v>1039827251659.1141</v>
      </c>
      <c r="R537" s="95">
        <f t="shared" si="186"/>
        <v>25749720122336.625</v>
      </c>
      <c r="S537" s="95">
        <f t="shared" si="187"/>
        <v>20944315385422.23</v>
      </c>
      <c r="T537">
        <f t="shared" si="169"/>
        <v>0.5</v>
      </c>
    </row>
    <row r="538" spans="1:20" x14ac:dyDescent="0.25">
      <c r="A538">
        <v>247.5</v>
      </c>
      <c r="B538" s="95">
        <f t="shared" si="170"/>
        <v>8418.7433198390609</v>
      </c>
      <c r="C538" s="95">
        <f t="shared" si="171"/>
        <v>6941.5637790108494</v>
      </c>
      <c r="D538" s="95">
        <f t="shared" si="172"/>
        <v>-31.619514071120989</v>
      </c>
      <c r="E538" s="95">
        <f t="shared" si="173"/>
        <v>37.800897198636761</v>
      </c>
      <c r="F538" s="96">
        <f t="shared" si="174"/>
        <v>259.98385911660091</v>
      </c>
      <c r="G538" s="94">
        <f t="shared" si="175"/>
        <v>-245.04270455899746</v>
      </c>
      <c r="H538" s="97">
        <f t="shared" si="176"/>
        <v>794.535109095601</v>
      </c>
      <c r="I538" s="94">
        <f t="shared" si="177"/>
        <v>280.59782408090172</v>
      </c>
      <c r="J538" s="95">
        <f t="shared" si="178"/>
        <v>-199.92799787382029</v>
      </c>
      <c r="K538" s="94">
        <f t="shared" si="179"/>
        <v>21.516328973641492</v>
      </c>
      <c r="L538" s="94">
        <f t="shared" si="180"/>
        <v>-334.62325210517986</v>
      </c>
      <c r="M538" s="94">
        <f t="shared" si="181"/>
        <v>-547.15685761354064</v>
      </c>
      <c r="N538" s="99">
        <f t="shared" si="182"/>
        <v>1668.5148183861643</v>
      </c>
      <c r="O538" s="99">
        <f t="shared" si="183"/>
        <v>28600.591071857136</v>
      </c>
      <c r="P538" s="100">
        <f t="shared" si="184"/>
        <v>25711.677966907017</v>
      </c>
      <c r="Q538" s="95">
        <f t="shared" si="185"/>
        <v>1042048428270.6224</v>
      </c>
      <c r="R538" s="95">
        <f t="shared" si="186"/>
        <v>25528423442651.203</v>
      </c>
      <c r="S538" s="95">
        <f t="shared" si="187"/>
        <v>20996859985471.473</v>
      </c>
      <c r="T538">
        <f t="shared" si="169"/>
        <v>0.5</v>
      </c>
    </row>
    <row r="539" spans="1:20" x14ac:dyDescent="0.25">
      <c r="A539">
        <v>248</v>
      </c>
      <c r="B539" s="95">
        <f t="shared" si="170"/>
        <v>8467.9295275826516</v>
      </c>
      <c r="C539" s="95">
        <f t="shared" si="171"/>
        <v>6899.2035514704185</v>
      </c>
      <c r="D539" s="95">
        <f t="shared" si="172"/>
        <v>98.372415487179467</v>
      </c>
      <c r="E539" s="95">
        <f t="shared" si="173"/>
        <v>-84.720455080861967</v>
      </c>
      <c r="F539" s="96">
        <f t="shared" si="174"/>
        <v>233.29444991762938</v>
      </c>
      <c r="G539" s="94">
        <f t="shared" si="175"/>
        <v>-222.05470903129736</v>
      </c>
      <c r="H539" s="97">
        <f t="shared" si="176"/>
        <v>769.50285601119538</v>
      </c>
      <c r="I539" s="94">
        <f t="shared" si="177"/>
        <v>301.7580400824786</v>
      </c>
      <c r="J539" s="95">
        <f t="shared" si="178"/>
        <v>-200.62616917199168</v>
      </c>
      <c r="K539" s="94">
        <f t="shared" si="179"/>
        <v>21.852692597396363</v>
      </c>
      <c r="L539" s="94">
        <f t="shared" si="180"/>
        <v>-335.58223692157429</v>
      </c>
      <c r="M539" s="94">
        <f t="shared" si="181"/>
        <v>-545.66544171117232</v>
      </c>
      <c r="N539" s="99">
        <f t="shared" si="182"/>
        <v>1676.9686047944481</v>
      </c>
      <c r="O539" s="99">
        <f t="shared" si="183"/>
        <v>28582.844574967614</v>
      </c>
      <c r="P539" s="100">
        <f t="shared" si="184"/>
        <v>25719.543023781083</v>
      </c>
      <c r="Q539" s="95">
        <f t="shared" si="185"/>
        <v>1042478552511.5192</v>
      </c>
      <c r="R539" s="95">
        <f t="shared" si="186"/>
        <v>25483615499168.164</v>
      </c>
      <c r="S539" s="95">
        <f t="shared" si="187"/>
        <v>21013601539745.555</v>
      </c>
      <c r="T539">
        <f t="shared" si="169"/>
        <v>0.5</v>
      </c>
    </row>
    <row r="540" spans="1:20" x14ac:dyDescent="0.25">
      <c r="A540">
        <v>248.5</v>
      </c>
      <c r="B540" s="95">
        <f t="shared" si="170"/>
        <v>8575.4393478056481</v>
      </c>
      <c r="C540" s="95">
        <f t="shared" si="171"/>
        <v>6801.3296466721631</v>
      </c>
      <c r="D540" s="95">
        <f t="shared" si="172"/>
        <v>215.01964044599416</v>
      </c>
      <c r="E540" s="95">
        <f t="shared" si="173"/>
        <v>-195.74780959651065</v>
      </c>
      <c r="F540" s="96">
        <f t="shared" si="174"/>
        <v>177.65280826662928</v>
      </c>
      <c r="G540" s="94">
        <f t="shared" si="175"/>
        <v>-169.92598892192638</v>
      </c>
      <c r="H540" s="97">
        <f t="shared" si="176"/>
        <v>716.5919301836235</v>
      </c>
      <c r="I540" s="94">
        <f t="shared" si="177"/>
        <v>351.44978648825122</v>
      </c>
      <c r="J540" s="95">
        <f t="shared" si="178"/>
        <v>-200.32149169344811</v>
      </c>
      <c r="K540" s="94">
        <f t="shared" si="179"/>
        <v>22.423536828785316</v>
      </c>
      <c r="L540" s="94">
        <f t="shared" si="180"/>
        <v>-338.61763022354609</v>
      </c>
      <c r="M540" s="94">
        <f t="shared" si="181"/>
        <v>-543.7993122389629</v>
      </c>
      <c r="N540" s="99">
        <f t="shared" si="182"/>
        <v>1645.6598387938118</v>
      </c>
      <c r="O540" s="99">
        <f t="shared" si="183"/>
        <v>28636.304758167138</v>
      </c>
      <c r="P540" s="100">
        <f t="shared" si="184"/>
        <v>25709.147048252442</v>
      </c>
      <c r="Q540" s="95">
        <f t="shared" si="185"/>
        <v>1040896752860.9254</v>
      </c>
      <c r="R540" s="95">
        <f t="shared" si="186"/>
        <v>25618760475354.734</v>
      </c>
      <c r="S540" s="95">
        <f t="shared" si="187"/>
        <v>20991474708589.285</v>
      </c>
      <c r="T540">
        <f t="shared" si="169"/>
        <v>0.5</v>
      </c>
    </row>
    <row r="541" spans="1:20" x14ac:dyDescent="0.25">
      <c r="A541">
        <v>249</v>
      </c>
      <c r="B541" s="95">
        <f t="shared" si="170"/>
        <v>8727.3623700953012</v>
      </c>
      <c r="C541" s="95">
        <f t="shared" si="171"/>
        <v>6660.9742446434266</v>
      </c>
      <c r="D541" s="95">
        <f t="shared" si="172"/>
        <v>303.8460445793088</v>
      </c>
      <c r="E541" s="95">
        <f t="shared" si="173"/>
        <v>-280.71080405747387</v>
      </c>
      <c r="F541" s="96">
        <f t="shared" si="174"/>
        <v>99.560816205312847</v>
      </c>
      <c r="G541" s="94">
        <f t="shared" si="175"/>
        <v>-95.392682273019204</v>
      </c>
      <c r="H541" s="97">
        <f t="shared" si="176"/>
        <v>641.95751590329337</v>
      </c>
      <c r="I541" s="94">
        <f t="shared" si="177"/>
        <v>423.23036584100106</v>
      </c>
      <c r="J541" s="95">
        <f t="shared" si="178"/>
        <v>-199.06301860678789</v>
      </c>
      <c r="K541" s="94">
        <f t="shared" si="179"/>
        <v>23.137402505111528</v>
      </c>
      <c r="L541" s="94">
        <f t="shared" si="180"/>
        <v>-343.33368109119266</v>
      </c>
      <c r="M541" s="94">
        <f t="shared" si="181"/>
        <v>-541.7604506191318</v>
      </c>
      <c r="N541" s="99">
        <f t="shared" si="182"/>
        <v>1586.6673609801273</v>
      </c>
      <c r="O541" s="99">
        <f t="shared" si="183"/>
        <v>28753.908011770811</v>
      </c>
      <c r="P541" s="100">
        <f t="shared" si="184"/>
        <v>25682.49457994329</v>
      </c>
      <c r="Q541" s="95">
        <f t="shared" si="185"/>
        <v>1037999382032.0077</v>
      </c>
      <c r="R541" s="95">
        <f t="shared" si="186"/>
        <v>25917786592756.461</v>
      </c>
      <c r="S541" s="95">
        <f t="shared" si="187"/>
        <v>20934823831824.875</v>
      </c>
      <c r="T541">
        <f t="shared" si="169"/>
        <v>0.5</v>
      </c>
    </row>
    <row r="542" spans="1:20" x14ac:dyDescent="0.25">
      <c r="A542">
        <v>249.5</v>
      </c>
      <c r="B542" s="95">
        <f t="shared" si="170"/>
        <v>8904.1755964362837</v>
      </c>
      <c r="C542" s="95">
        <f t="shared" si="171"/>
        <v>6496.7706720464348</v>
      </c>
      <c r="D542" s="95">
        <f t="shared" si="172"/>
        <v>353.62645268196525</v>
      </c>
      <c r="E542" s="95">
        <f t="shared" si="173"/>
        <v>-328.40714519398347</v>
      </c>
      <c r="F542" s="96">
        <f t="shared" si="174"/>
        <v>8.2070525283421034</v>
      </c>
      <c r="G542" s="94">
        <f t="shared" si="175"/>
        <v>-8.3533164198320264</v>
      </c>
      <c r="H542" s="97">
        <f t="shared" si="176"/>
        <v>554.3397980902256</v>
      </c>
      <c r="I542" s="94">
        <f t="shared" si="177"/>
        <v>507.4991406354788</v>
      </c>
      <c r="J542" s="95">
        <f t="shared" si="178"/>
        <v>-197.03182059339045</v>
      </c>
      <c r="K542" s="94">
        <f t="shared" si="179"/>
        <v>23.880551449734281</v>
      </c>
      <c r="L542" s="94">
        <f t="shared" si="180"/>
        <v>-349.10092496849308</v>
      </c>
      <c r="M542" s="94">
        <f t="shared" si="181"/>
        <v>-539.73300850504506</v>
      </c>
      <c r="N542" s="99">
        <f t="shared" si="182"/>
        <v>1524.3263283172398</v>
      </c>
      <c r="O542" s="99">
        <f t="shared" si="183"/>
        <v>28920.761430807837</v>
      </c>
      <c r="P542" s="100">
        <f t="shared" si="184"/>
        <v>25644.459106540235</v>
      </c>
      <c r="Q542" s="95">
        <f t="shared" si="185"/>
        <v>1035055245813.8851</v>
      </c>
      <c r="R542" s="95">
        <f t="shared" si="186"/>
        <v>26346137800954.898</v>
      </c>
      <c r="S542" s="95">
        <f t="shared" si="187"/>
        <v>20854167941992.234</v>
      </c>
      <c r="T542">
        <f t="shared" si="169"/>
        <v>0.5</v>
      </c>
    </row>
    <row r="543" spans="1:20" x14ac:dyDescent="0.25">
      <c r="A543">
        <v>250</v>
      </c>
      <c r="B543" s="95">
        <f t="shared" si="170"/>
        <v>9083.0405859093516</v>
      </c>
      <c r="C543" s="95">
        <f t="shared" si="171"/>
        <v>6330.4787703444854</v>
      </c>
      <c r="D543" s="95">
        <f t="shared" si="172"/>
        <v>357.72997894613627</v>
      </c>
      <c r="E543" s="95">
        <f t="shared" si="173"/>
        <v>-332.58380340389948</v>
      </c>
      <c r="F543" s="96">
        <f t="shared" si="174"/>
        <v>-84.999437849256651</v>
      </c>
      <c r="G543" s="94">
        <f t="shared" si="175"/>
        <v>79.272422958960192</v>
      </c>
      <c r="H543" s="97">
        <f t="shared" si="176"/>
        <v>464.6499138991831</v>
      </c>
      <c r="I543" s="94">
        <f t="shared" si="177"/>
        <v>592.63030654591284</v>
      </c>
      <c r="J543" s="95">
        <f t="shared" si="178"/>
        <v>-194.5110929827172</v>
      </c>
      <c r="K543" s="94">
        <f t="shared" si="179"/>
        <v>24.542227041054108</v>
      </c>
      <c r="L543" s="94">
        <f t="shared" si="180"/>
        <v>-355.13825876572253</v>
      </c>
      <c r="M543" s="94">
        <f t="shared" si="181"/>
        <v>-537.90011062800681</v>
      </c>
      <c r="N543" s="99">
        <f t="shared" si="182"/>
        <v>1485.6985588981154</v>
      </c>
      <c r="O543" s="99">
        <f t="shared" si="183"/>
        <v>29115.699933778968</v>
      </c>
      <c r="P543" s="100">
        <f t="shared" si="184"/>
        <v>25601.508712243696</v>
      </c>
      <c r="Q543" s="95">
        <f t="shared" si="185"/>
        <v>1033291543007.5173</v>
      </c>
      <c r="R543" s="95">
        <f t="shared" si="186"/>
        <v>26852713453644.027</v>
      </c>
      <c r="S543" s="95">
        <f t="shared" si="187"/>
        <v>20763358003474.563</v>
      </c>
      <c r="T543">
        <f t="shared" si="169"/>
        <v>0.5</v>
      </c>
    </row>
    <row r="544" spans="1:20" x14ac:dyDescent="0.25">
      <c r="A544">
        <v>250.5</v>
      </c>
      <c r="B544" s="95">
        <f t="shared" si="170"/>
        <v>9240.6557159201056</v>
      </c>
      <c r="C544" s="95">
        <f t="shared" si="171"/>
        <v>6184.0049743822756</v>
      </c>
      <c r="D544" s="95">
        <f t="shared" si="172"/>
        <v>315.23026002150795</v>
      </c>
      <c r="E544" s="95">
        <f t="shared" si="173"/>
        <v>-292.94759192441938</v>
      </c>
      <c r="F544" s="96">
        <f t="shared" si="174"/>
        <v>-167.69465686047386</v>
      </c>
      <c r="G544" s="94">
        <f t="shared" si="175"/>
        <v>155.41747085039606</v>
      </c>
      <c r="H544" s="97">
        <f t="shared" si="176"/>
        <v>384.77445022128069</v>
      </c>
      <c r="I544" s="94">
        <f t="shared" si="177"/>
        <v>666.84015813665269</v>
      </c>
      <c r="J544" s="95">
        <f t="shared" si="178"/>
        <v>-191.84214825108495</v>
      </c>
      <c r="K544" s="94">
        <f t="shared" si="179"/>
        <v>25.03598724126363</v>
      </c>
      <c r="L544" s="94">
        <f t="shared" si="180"/>
        <v>-360.62695883066959</v>
      </c>
      <c r="M544" s="94">
        <f t="shared" si="181"/>
        <v>-536.45867452752032</v>
      </c>
      <c r="N544" s="99">
        <f t="shared" si="182"/>
        <v>1486.1340698955839</v>
      </c>
      <c r="O544" s="99">
        <f t="shared" si="183"/>
        <v>29313.625428741208</v>
      </c>
      <c r="P544" s="100">
        <f t="shared" si="184"/>
        <v>25560.151735005151</v>
      </c>
      <c r="Q544" s="95">
        <f t="shared" si="185"/>
        <v>1033311170149.5452</v>
      </c>
      <c r="R544" s="95">
        <f t="shared" si="186"/>
        <v>27373846064862.23</v>
      </c>
      <c r="S544" s="95">
        <f t="shared" si="187"/>
        <v>20676185498582.734</v>
      </c>
      <c r="T544">
        <f t="shared" si="169"/>
        <v>0.5</v>
      </c>
    </row>
    <row r="545" spans="1:20" x14ac:dyDescent="0.25">
      <c r="A545">
        <v>251</v>
      </c>
      <c r="B545" s="95">
        <f t="shared" si="170"/>
        <v>9356.3471817157406</v>
      </c>
      <c r="C545" s="95">
        <f t="shared" si="171"/>
        <v>6076.3855461326648</v>
      </c>
      <c r="D545" s="95">
        <f t="shared" si="172"/>
        <v>231.38293159127102</v>
      </c>
      <c r="E545" s="95">
        <f t="shared" si="173"/>
        <v>-215.23885649922136</v>
      </c>
      <c r="F545" s="96">
        <f t="shared" si="174"/>
        <v>-228.53694898255338</v>
      </c>
      <c r="G545" s="94">
        <f t="shared" si="175"/>
        <v>210.01543809265218</v>
      </c>
      <c r="H545" s="97">
        <f t="shared" si="176"/>
        <v>325.67397973615715</v>
      </c>
      <c r="I545" s="94">
        <f t="shared" si="177"/>
        <v>720.31718285141415</v>
      </c>
      <c r="J545" s="95">
        <f t="shared" si="178"/>
        <v>-189.37422332312855</v>
      </c>
      <c r="K545" s="94">
        <f t="shared" si="179"/>
        <v>25.310759380966729</v>
      </c>
      <c r="L545" s="94">
        <f t="shared" si="180"/>
        <v>-364.83670539558199</v>
      </c>
      <c r="M545" s="94">
        <f t="shared" si="181"/>
        <v>-535.61250413972869</v>
      </c>
      <c r="N545" s="99">
        <f t="shared" si="182"/>
        <v>1519.3573145298649</v>
      </c>
      <c r="O545" s="99">
        <f t="shared" si="183"/>
        <v>29488.60398073314</v>
      </c>
      <c r="P545" s="100">
        <f t="shared" si="184"/>
        <v>25525.640872934433</v>
      </c>
      <c r="Q545" s="95">
        <f t="shared" si="185"/>
        <v>1034825772194.2169</v>
      </c>
      <c r="R545" s="95">
        <f t="shared" si="186"/>
        <v>27840298851317.461</v>
      </c>
      <c r="S545" s="95">
        <f t="shared" si="187"/>
        <v>20603644576441.449</v>
      </c>
      <c r="T545">
        <f t="shared" si="169"/>
        <v>0.5</v>
      </c>
    </row>
    <row r="546" spans="1:20" x14ac:dyDescent="0.25">
      <c r="A546">
        <v>251.5</v>
      </c>
      <c r="B546" s="95">
        <f t="shared" si="170"/>
        <v>9414.9044102657372</v>
      </c>
      <c r="C546" s="95">
        <f t="shared" si="171"/>
        <v>6021.2699774062166</v>
      </c>
      <c r="D546" s="95">
        <f t="shared" si="172"/>
        <v>117.11445709999433</v>
      </c>
      <c r="E546" s="95">
        <f t="shared" si="173"/>
        <v>-110.23113745289527</v>
      </c>
      <c r="F546" s="96">
        <f t="shared" si="174"/>
        <v>-259.1794510043311</v>
      </c>
      <c r="G546" s="94">
        <f t="shared" si="175"/>
        <v>236.56732382285384</v>
      </c>
      <c r="H546" s="97">
        <f t="shared" si="176"/>
        <v>295.47105468815823</v>
      </c>
      <c r="I546" s="94">
        <f t="shared" si="177"/>
        <v>746.7530554678583</v>
      </c>
      <c r="J546" s="95">
        <f t="shared" si="178"/>
        <v>-187.417501346855</v>
      </c>
      <c r="K546" s="94">
        <f t="shared" si="179"/>
        <v>25.350537569926662</v>
      </c>
      <c r="L546" s="94">
        <f t="shared" si="180"/>
        <v>-367.23300434563436</v>
      </c>
      <c r="M546" s="94">
        <f t="shared" si="181"/>
        <v>-535.53626921493117</v>
      </c>
      <c r="N546" s="99">
        <f t="shared" si="182"/>
        <v>1562.3594540774736</v>
      </c>
      <c r="O546" s="99">
        <f t="shared" si="183"/>
        <v>29617.391347585395</v>
      </c>
      <c r="P546" s="100">
        <f t="shared" si="184"/>
        <v>25501.347652451375</v>
      </c>
      <c r="Q546" s="95">
        <f t="shared" si="185"/>
        <v>1036837042180.5062</v>
      </c>
      <c r="R546" s="95">
        <f t="shared" si="186"/>
        <v>28187076891143.305</v>
      </c>
      <c r="S546" s="95">
        <f t="shared" si="187"/>
        <v>20552690554136.418</v>
      </c>
      <c r="T546">
        <f t="shared" si="169"/>
        <v>0.5</v>
      </c>
    </row>
    <row r="547" spans="1:20" x14ac:dyDescent="0.25">
      <c r="A547">
        <v>252</v>
      </c>
      <c r="B547" s="95">
        <f t="shared" si="170"/>
        <v>9408.6667760646505</v>
      </c>
      <c r="C547" s="95">
        <f t="shared" si="171"/>
        <v>6025.2962396354833</v>
      </c>
      <c r="D547" s="95">
        <f t="shared" si="172"/>
        <v>-12.475268402171224</v>
      </c>
      <c r="E547" s="95">
        <f t="shared" si="173"/>
        <v>8.05252445853165</v>
      </c>
      <c r="F547" s="96">
        <f t="shared" si="174"/>
        <v>-255.51165442285924</v>
      </c>
      <c r="G547" s="94">
        <f t="shared" si="175"/>
        <v>232.60775498141243</v>
      </c>
      <c r="H547" s="97">
        <f t="shared" si="176"/>
        <v>298.23660832585063</v>
      </c>
      <c r="I547" s="94">
        <f t="shared" si="177"/>
        <v>743.76109776063583</v>
      </c>
      <c r="J547" s="95">
        <f t="shared" si="178"/>
        <v>-186.20734166602784</v>
      </c>
      <c r="K547" s="94">
        <f t="shared" si="179"/>
        <v>25.166697516863117</v>
      </c>
      <c r="L547" s="94">
        <f t="shared" si="180"/>
        <v>-367.54092108268202</v>
      </c>
      <c r="M547" s="94">
        <f t="shared" si="181"/>
        <v>-536.32004029608652</v>
      </c>
      <c r="N547" s="99">
        <f t="shared" si="182"/>
        <v>1590.2764944646249</v>
      </c>
      <c r="O547" s="99">
        <f t="shared" si="183"/>
        <v>29682.770996956464</v>
      </c>
      <c r="P547" s="100">
        <f t="shared" si="184"/>
        <v>25488.88504074077</v>
      </c>
      <c r="Q547" s="95">
        <f t="shared" si="185"/>
        <v>1038173528599.3265</v>
      </c>
      <c r="R547" s="95">
        <f t="shared" si="186"/>
        <v>28364248315382.898</v>
      </c>
      <c r="S547" s="95">
        <f t="shared" si="187"/>
        <v>20526585882539.484</v>
      </c>
      <c r="T547">
        <f t="shared" si="169"/>
        <v>0.5</v>
      </c>
    </row>
    <row r="548" spans="1:20" x14ac:dyDescent="0.25">
      <c r="A548">
        <v>252.5</v>
      </c>
      <c r="B548" s="95">
        <f t="shared" si="170"/>
        <v>9338.5512282578511</v>
      </c>
      <c r="C548" s="95">
        <f t="shared" si="171"/>
        <v>6087.4744406101017</v>
      </c>
      <c r="D548" s="95">
        <f t="shared" si="172"/>
        <v>-140.23109561360084</v>
      </c>
      <c r="E548" s="95">
        <f t="shared" si="173"/>
        <v>124.35640194923786</v>
      </c>
      <c r="F548" s="96">
        <f t="shared" si="174"/>
        <v>-218.02171645749732</v>
      </c>
      <c r="G548" s="94">
        <f t="shared" si="175"/>
        <v>199.32076921312125</v>
      </c>
      <c r="H548" s="97">
        <f t="shared" si="176"/>
        <v>333.62133499868867</v>
      </c>
      <c r="I548" s="94">
        <f t="shared" si="177"/>
        <v>712.44922203458736</v>
      </c>
      <c r="J548" s="95">
        <f t="shared" si="178"/>
        <v>-185.88297592300975</v>
      </c>
      <c r="K548" s="94">
        <f t="shared" si="179"/>
        <v>24.788950507336246</v>
      </c>
      <c r="L548" s="94">
        <f t="shared" si="180"/>
        <v>-365.76007553317623</v>
      </c>
      <c r="M548" s="94">
        <f t="shared" si="181"/>
        <v>-537.91740332880238</v>
      </c>
      <c r="N548" s="99">
        <f t="shared" si="182"/>
        <v>1588.8442851843665</v>
      </c>
      <c r="O548" s="99">
        <f t="shared" si="183"/>
        <v>29676.050133538069</v>
      </c>
      <c r="P548" s="100">
        <f t="shared" si="184"/>
        <v>25488.679060086644</v>
      </c>
      <c r="Q548" s="95">
        <f t="shared" si="185"/>
        <v>1038104373650.2916</v>
      </c>
      <c r="R548" s="95">
        <f t="shared" si="186"/>
        <v>28346000448185.645</v>
      </c>
      <c r="S548" s="95">
        <f t="shared" si="187"/>
        <v>20526154627525.262</v>
      </c>
      <c r="T548">
        <f t="shared" si="169"/>
        <v>0.5</v>
      </c>
    </row>
    <row r="549" spans="1:20" x14ac:dyDescent="0.25">
      <c r="A549">
        <v>253</v>
      </c>
      <c r="B549" s="95">
        <f t="shared" si="170"/>
        <v>9213.9302513366747</v>
      </c>
      <c r="C549" s="95">
        <f t="shared" si="171"/>
        <v>6199.4828338880016</v>
      </c>
      <c r="D549" s="95">
        <f t="shared" si="172"/>
        <v>-249.24195384234952</v>
      </c>
      <c r="E549" s="95">
        <f t="shared" si="173"/>
        <v>224.01678655579849</v>
      </c>
      <c r="F549" s="96">
        <f t="shared" si="174"/>
        <v>-151.61274406870555</v>
      </c>
      <c r="G549" s="94">
        <f t="shared" si="175"/>
        <v>140.97187844690848</v>
      </c>
      <c r="H549" s="97">
        <f t="shared" si="176"/>
        <v>397.01005101910687</v>
      </c>
      <c r="I549" s="94">
        <f t="shared" si="177"/>
        <v>656.83533471084968</v>
      </c>
      <c r="J549" s="95">
        <f t="shared" si="178"/>
        <v>-186.47858815407639</v>
      </c>
      <c r="K549" s="94">
        <f t="shared" si="179"/>
        <v>24.259490910486782</v>
      </c>
      <c r="L549" s="94">
        <f t="shared" si="180"/>
        <v>-362.14420693373603</v>
      </c>
      <c r="M549" s="94">
        <f t="shared" si="181"/>
        <v>-540.12294717442796</v>
      </c>
      <c r="N549" s="99">
        <f t="shared" si="182"/>
        <v>1559.7252750304915</v>
      </c>
      <c r="O549" s="99">
        <f t="shared" si="183"/>
        <v>29598.284484510066</v>
      </c>
      <c r="P549" s="100">
        <f t="shared" si="184"/>
        <v>25500.502536396398</v>
      </c>
      <c r="Q549" s="95">
        <f t="shared" si="185"/>
        <v>1036712186198.9618</v>
      </c>
      <c r="R549" s="95">
        <f t="shared" si="186"/>
        <v>28135443021478.637</v>
      </c>
      <c r="S549" s="95">
        <f t="shared" si="187"/>
        <v>20550919588232.676</v>
      </c>
      <c r="T549">
        <f t="shared" si="169"/>
        <v>0.5</v>
      </c>
    </row>
    <row r="550" spans="1:20" x14ac:dyDescent="0.25">
      <c r="A550">
        <v>253.5</v>
      </c>
      <c r="B550" s="95">
        <f t="shared" si="170"/>
        <v>9051.4060883983238</v>
      </c>
      <c r="C550" s="95">
        <f t="shared" si="171"/>
        <v>6346.7341967776274</v>
      </c>
      <c r="D550" s="95">
        <f t="shared" si="172"/>
        <v>-325.04832587670228</v>
      </c>
      <c r="E550" s="95">
        <f t="shared" si="173"/>
        <v>294.50272577925273</v>
      </c>
      <c r="F550" s="96">
        <f t="shared" si="174"/>
        <v>-65.12242632326911</v>
      </c>
      <c r="G550" s="94">
        <f t="shared" si="175"/>
        <v>64.555522768862375</v>
      </c>
      <c r="H550" s="97">
        <f t="shared" si="176"/>
        <v>479.9617191128026</v>
      </c>
      <c r="I550" s="94">
        <f t="shared" si="177"/>
        <v>583.51991377849674</v>
      </c>
      <c r="J550" s="95">
        <f t="shared" si="178"/>
        <v>-187.9224253879633</v>
      </c>
      <c r="K550" s="94">
        <f t="shared" si="179"/>
        <v>23.631578046152473</v>
      </c>
      <c r="L550" s="94">
        <f t="shared" si="180"/>
        <v>-357.16172004810841</v>
      </c>
      <c r="M550" s="94">
        <f t="shared" si="181"/>
        <v>-542.5959690557869</v>
      </c>
      <c r="N550" s="99">
        <f t="shared" si="182"/>
        <v>1519.6218441163599</v>
      </c>
      <c r="O550" s="99">
        <f t="shared" si="183"/>
        <v>29460.1027062004</v>
      </c>
      <c r="P550" s="100">
        <f t="shared" si="184"/>
        <v>25523.594684412619</v>
      </c>
      <c r="Q550" s="95">
        <f t="shared" si="185"/>
        <v>1034837969104.5863</v>
      </c>
      <c r="R550" s="95">
        <f t="shared" si="186"/>
        <v>27763952357897.469</v>
      </c>
      <c r="S550" s="95">
        <f t="shared" si="187"/>
        <v>20599349287288.801</v>
      </c>
      <c r="T550">
        <f t="shared" si="169"/>
        <v>0.5</v>
      </c>
    </row>
    <row r="551" spans="1:20" x14ac:dyDescent="0.25">
      <c r="A551">
        <v>254</v>
      </c>
      <c r="B551" s="95">
        <f t="shared" si="170"/>
        <v>8872.6013188791549</v>
      </c>
      <c r="C551" s="95">
        <f t="shared" si="171"/>
        <v>6510.1244403594701</v>
      </c>
      <c r="D551" s="95">
        <f t="shared" si="172"/>
        <v>-357.60953903833683</v>
      </c>
      <c r="E551" s="95">
        <f t="shared" si="173"/>
        <v>326.78048716368392</v>
      </c>
      <c r="F551" s="96">
        <f t="shared" si="174"/>
        <v>29.611152184154491</v>
      </c>
      <c r="G551" s="94">
        <f t="shared" si="175"/>
        <v>-20.526921287933305</v>
      </c>
      <c r="H551" s="97">
        <f t="shared" si="176"/>
        <v>571.09655968574884</v>
      </c>
      <c r="I551" s="94">
        <f t="shared" si="177"/>
        <v>501.4326662735524</v>
      </c>
      <c r="J551" s="95">
        <f t="shared" si="178"/>
        <v>-190.04162267485975</v>
      </c>
      <c r="K551" s="94">
        <f t="shared" si="179"/>
        <v>22.970622112035148</v>
      </c>
      <c r="L551" s="94">
        <f t="shared" si="180"/>
        <v>-351.4437848267346</v>
      </c>
      <c r="M551" s="94">
        <f t="shared" si="181"/>
        <v>-544.93020967352084</v>
      </c>
      <c r="N551" s="99">
        <f t="shared" si="182"/>
        <v>1493.269038723402</v>
      </c>
      <c r="O551" s="99">
        <f t="shared" si="183"/>
        <v>29280.20742313861</v>
      </c>
      <c r="P551" s="100">
        <f t="shared" si="184"/>
        <v>25556.311821719362</v>
      </c>
      <c r="Q551" s="95">
        <f t="shared" si="185"/>
        <v>1033633558168.9233</v>
      </c>
      <c r="R551" s="95">
        <f t="shared" si="186"/>
        <v>27285374965437.371</v>
      </c>
      <c r="S551" s="95">
        <f t="shared" si="187"/>
        <v>20668105052731.371</v>
      </c>
      <c r="T551">
        <f t="shared" si="169"/>
        <v>0.5</v>
      </c>
    </row>
    <row r="552" spans="1:20" x14ac:dyDescent="0.25">
      <c r="A552">
        <v>254.5</v>
      </c>
      <c r="B552" s="95">
        <f t="shared" si="170"/>
        <v>8701.1993374060239</v>
      </c>
      <c r="C552" s="95">
        <f t="shared" si="171"/>
        <v>6668.3829536193289</v>
      </c>
      <c r="D552" s="95">
        <f t="shared" si="172"/>
        <v>-342.80396294625962</v>
      </c>
      <c r="E552" s="95">
        <f t="shared" si="173"/>
        <v>316.51702651971726</v>
      </c>
      <c r="F552" s="96">
        <f t="shared" si="174"/>
        <v>119.42754134107247</v>
      </c>
      <c r="G552" s="94">
        <f t="shared" si="175"/>
        <v>-103.26078278844687</v>
      </c>
      <c r="H552" s="97">
        <f t="shared" si="176"/>
        <v>657.71922033874466</v>
      </c>
      <c r="I552" s="94">
        <f t="shared" si="177"/>
        <v>421.13507570398866</v>
      </c>
      <c r="J552" s="95">
        <f t="shared" si="178"/>
        <v>-192.57469101453336</v>
      </c>
      <c r="K552" s="94">
        <f t="shared" si="179"/>
        <v>22.353948200671098</v>
      </c>
      <c r="L552" s="94">
        <f t="shared" si="180"/>
        <v>-345.71698798313884</v>
      </c>
      <c r="M552" s="94">
        <f t="shared" si="181"/>
        <v>-546.74980669310662</v>
      </c>
      <c r="N552" s="99">
        <f t="shared" si="182"/>
        <v>1500.2937744877411</v>
      </c>
      <c r="O552" s="99">
        <f t="shared" si="183"/>
        <v>29082.749841456167</v>
      </c>
      <c r="P552" s="100">
        <f t="shared" si="184"/>
        <v>25595.595730365749</v>
      </c>
      <c r="Q552" s="95">
        <f t="shared" si="185"/>
        <v>1033952506861.8478</v>
      </c>
      <c r="R552" s="95">
        <f t="shared" si="186"/>
        <v>26766622726846.734</v>
      </c>
      <c r="S552" s="95">
        <f t="shared" si="187"/>
        <v>20750878454500.191</v>
      </c>
      <c r="T552">
        <f t="shared" si="169"/>
        <v>0.5</v>
      </c>
    </row>
    <row r="553" spans="1:20" x14ac:dyDescent="0.25">
      <c r="A553">
        <v>255</v>
      </c>
      <c r="B553" s="95">
        <f t="shared" si="170"/>
        <v>8559.6542412681629</v>
      </c>
      <c r="C553" s="95">
        <f t="shared" si="171"/>
        <v>6800.8262711820762</v>
      </c>
      <c r="D553" s="95">
        <f t="shared" si="172"/>
        <v>-283.09019227572338</v>
      </c>
      <c r="E553" s="95">
        <f t="shared" si="173"/>
        <v>264.88663512549385</v>
      </c>
      <c r="F553" s="96">
        <f t="shared" si="174"/>
        <v>192.12068488544793</v>
      </c>
      <c r="G553" s="94">
        <f t="shared" si="175"/>
        <v>-172.5284111054865</v>
      </c>
      <c r="H553" s="97">
        <f t="shared" si="176"/>
        <v>728.03528368589059</v>
      </c>
      <c r="I553" s="94">
        <f t="shared" si="177"/>
        <v>353.40343866729074</v>
      </c>
      <c r="J553" s="95">
        <f t="shared" si="178"/>
        <v>-195.19629132765789</v>
      </c>
      <c r="K553" s="94">
        <f t="shared" si="179"/>
        <v>21.865350396146958</v>
      </c>
      <c r="L553" s="94">
        <f t="shared" si="180"/>
        <v>-340.71830747278472</v>
      </c>
      <c r="M553" s="94">
        <f t="shared" si="181"/>
        <v>-547.79720016892418</v>
      </c>
      <c r="N553" s="99">
        <f t="shared" si="182"/>
        <v>1542.2289301480057</v>
      </c>
      <c r="O553" s="99">
        <f t="shared" si="183"/>
        <v>28893.918314227481</v>
      </c>
      <c r="P553" s="100">
        <f t="shared" si="184"/>
        <v>25636.725280504063</v>
      </c>
      <c r="Q553" s="95">
        <f t="shared" si="185"/>
        <v>1035888359547.6602</v>
      </c>
      <c r="R553" s="95">
        <f t="shared" si="186"/>
        <v>26276899845028.645</v>
      </c>
      <c r="S553" s="95">
        <f t="shared" si="187"/>
        <v>20837795335759.574</v>
      </c>
      <c r="T553">
        <f t="shared" si="169"/>
        <v>0.5</v>
      </c>
    </row>
    <row r="554" spans="1:20" x14ac:dyDescent="0.25">
      <c r="A554">
        <v>255.5</v>
      </c>
      <c r="B554" s="95">
        <f t="shared" si="170"/>
        <v>8466.1393163516641</v>
      </c>
      <c r="C554" s="95">
        <f t="shared" si="171"/>
        <v>6890.137485968452</v>
      </c>
      <c r="D554" s="95">
        <f t="shared" si="172"/>
        <v>-187.02984983299942</v>
      </c>
      <c r="E554" s="95">
        <f t="shared" si="173"/>
        <v>178.6224295727506</v>
      </c>
      <c r="F554" s="96">
        <f t="shared" si="174"/>
        <v>238.54995255472983</v>
      </c>
      <c r="G554" s="94">
        <f t="shared" si="175"/>
        <v>-218.96978119218159</v>
      </c>
      <c r="H554" s="97">
        <f t="shared" si="176"/>
        <v>773.20681111221802</v>
      </c>
      <c r="I554" s="94">
        <f t="shared" si="177"/>
        <v>307.42677918415467</v>
      </c>
      <c r="J554" s="95">
        <f t="shared" si="178"/>
        <v>-197.55690059934867</v>
      </c>
      <c r="K554" s="94">
        <f t="shared" si="179"/>
        <v>21.58265273469166</v>
      </c>
      <c r="L554" s="94">
        <f t="shared" si="180"/>
        <v>-337.09995795813956</v>
      </c>
      <c r="M554" s="94">
        <f t="shared" si="181"/>
        <v>-547.97921311102789</v>
      </c>
      <c r="N554" s="99">
        <f t="shared" si="182"/>
        <v>1601.0745790767996</v>
      </c>
      <c r="O554" s="99">
        <f t="shared" si="183"/>
        <v>28738.276965189569</v>
      </c>
      <c r="P554" s="100">
        <f t="shared" si="184"/>
        <v>25673.726828199375</v>
      </c>
      <c r="Q554" s="95">
        <f t="shared" si="185"/>
        <v>1038696975187.5062</v>
      </c>
      <c r="R554" s="95">
        <f t="shared" si="186"/>
        <v>25877904678925.723</v>
      </c>
      <c r="S554" s="95">
        <f t="shared" si="187"/>
        <v>20916211620985.742</v>
      </c>
      <c r="T554">
        <f t="shared" si="169"/>
        <v>0.5</v>
      </c>
    </row>
    <row r="555" spans="1:20" x14ac:dyDescent="0.25">
      <c r="A555">
        <v>256</v>
      </c>
      <c r="B555" s="95">
        <f t="shared" si="170"/>
        <v>8432.2618795738454</v>
      </c>
      <c r="C555" s="95">
        <f t="shared" si="171"/>
        <v>6924.706255456781</v>
      </c>
      <c r="D555" s="95">
        <f t="shared" si="172"/>
        <v>-67.754873555634504</v>
      </c>
      <c r="E555" s="95">
        <f t="shared" si="173"/>
        <v>69.137538976659812</v>
      </c>
      <c r="F555" s="96">
        <f t="shared" si="174"/>
        <v>253.75039391831461</v>
      </c>
      <c r="G555" s="94">
        <f t="shared" si="175"/>
        <v>-236.47820922838474</v>
      </c>
      <c r="H555" s="97">
        <f t="shared" si="176"/>
        <v>788.42441864483214</v>
      </c>
      <c r="I555" s="94">
        <f t="shared" si="177"/>
        <v>289.31849661740802</v>
      </c>
      <c r="J555" s="95">
        <f t="shared" si="178"/>
        <v>-199.33347424302082</v>
      </c>
      <c r="K555" s="94">
        <f t="shared" si="179"/>
        <v>21.56033132411542</v>
      </c>
      <c r="L555" s="94">
        <f t="shared" si="180"/>
        <v>-335.34055048349677</v>
      </c>
      <c r="M555" s="94">
        <f t="shared" si="181"/>
        <v>-547.35703716990815</v>
      </c>
      <c r="N555" s="99">
        <f t="shared" si="182"/>
        <v>1650.6546831069847</v>
      </c>
      <c r="O555" s="99">
        <f t="shared" si="183"/>
        <v>28635.508244732107</v>
      </c>
      <c r="P555" s="100">
        <f t="shared" si="184"/>
        <v>25700.486906710408</v>
      </c>
      <c r="Q555" s="95">
        <f t="shared" si="185"/>
        <v>1041147053416.7903</v>
      </c>
      <c r="R555" s="95">
        <f t="shared" si="186"/>
        <v>25616743321763.516</v>
      </c>
      <c r="S555" s="95">
        <f t="shared" si="187"/>
        <v>20973055192759.02</v>
      </c>
      <c r="T555">
        <f t="shared" si="169"/>
        <v>0.5</v>
      </c>
    </row>
    <row r="556" spans="1:20" x14ac:dyDescent="0.25">
      <c r="A556">
        <v>256.5</v>
      </c>
      <c r="B556" s="95">
        <f t="shared" si="170"/>
        <v>8461.8220412756073</v>
      </c>
      <c r="C556" s="95">
        <f t="shared" si="171"/>
        <v>6900.1554726380145</v>
      </c>
      <c r="D556" s="95">
        <f t="shared" si="172"/>
        <v>59.120323403522804</v>
      </c>
      <c r="E556" s="95">
        <f t="shared" si="173"/>
        <v>-49.101565637532559</v>
      </c>
      <c r="F556" s="96">
        <f t="shared" si="174"/>
        <v>236.87537655949478</v>
      </c>
      <c r="G556" s="94">
        <f t="shared" si="175"/>
        <v>-222.89800458515759</v>
      </c>
      <c r="H556" s="97">
        <f t="shared" si="176"/>
        <v>772.83490654059983</v>
      </c>
      <c r="I556" s="94">
        <f t="shared" si="177"/>
        <v>301.38306599266099</v>
      </c>
      <c r="J556" s="95">
        <f t="shared" si="178"/>
        <v>-200.28056095614113</v>
      </c>
      <c r="K556" s="94">
        <f t="shared" si="179"/>
        <v>21.81303080022553</v>
      </c>
      <c r="L556" s="94">
        <f t="shared" si="180"/>
        <v>-335.67896902496392</v>
      </c>
      <c r="M556" s="94">
        <f t="shared" si="181"/>
        <v>-546.09410137804412</v>
      </c>
      <c r="N556" s="99">
        <f t="shared" si="182"/>
        <v>1669.9597919554501</v>
      </c>
      <c r="O556" s="99">
        <f t="shared" si="183"/>
        <v>28598.093419035729</v>
      </c>
      <c r="P556" s="100">
        <f t="shared" si="184"/>
        <v>25712.222844194519</v>
      </c>
      <c r="Q556" s="95">
        <f t="shared" si="185"/>
        <v>1042121789562.4034</v>
      </c>
      <c r="R556" s="95">
        <f t="shared" si="186"/>
        <v>25522113876806.125</v>
      </c>
      <c r="S556" s="95">
        <f t="shared" si="187"/>
        <v>20998019502407.094</v>
      </c>
      <c r="T556">
        <f t="shared" ref="T556:T592" si="188">A557-A556</f>
        <v>0.5</v>
      </c>
    </row>
    <row r="557" spans="1:20" x14ac:dyDescent="0.25">
      <c r="A557">
        <v>257</v>
      </c>
      <c r="B557" s="95">
        <f t="shared" ref="B557:B620" si="189">B556+(D556*$T556)+(F556*($T556)^2)</f>
        <v>8550.6010471172431</v>
      </c>
      <c r="C557" s="95">
        <f t="shared" ref="C557:C620" si="190">C556+(E556*$T556)+(G556*($T556)^2)</f>
        <v>6819.8801886729589</v>
      </c>
      <c r="D557" s="95">
        <f t="shared" ref="D557:D620" si="191">D556+(F556*$T556)</f>
        <v>177.55801168327019</v>
      </c>
      <c r="E557" s="95">
        <f t="shared" ref="E557:E620" si="192">E556+(G556*$T556)</f>
        <v>-160.55056793011136</v>
      </c>
      <c r="F557" s="96">
        <f t="shared" ref="F557:F620" si="193">SUM(H557,J557,L557)</f>
        <v>190.54931705596778</v>
      </c>
      <c r="G557" s="94">
        <f t="shared" ref="G557:G620" si="194">SUM(I557,K557,M557)</f>
        <v>-180.05626180322497</v>
      </c>
      <c r="H557" s="97">
        <f t="shared" ref="H557:H620" si="195">$D$22*(($D$18-$B557)/$Q557)</f>
        <v>728.89880187810286</v>
      </c>
      <c r="I557" s="94">
        <f t="shared" ref="I557:I620" si="196">$D$22*(($E$18-$C557)/$Q557)</f>
        <v>342.03040827637631</v>
      </c>
      <c r="J557" s="95">
        <f t="shared" ref="J557:J620" si="197">$D$30*(($D$26-$B557)/$R557)</f>
        <v>-200.26958673292555</v>
      </c>
      <c r="K557" s="94">
        <f t="shared" ref="K557:K620" si="198">$D$30*(($E$26-$C557)/$R557)</f>
        <v>22.307105875795976</v>
      </c>
      <c r="L557" s="94">
        <f t="shared" ref="L557:L620" si="199">$D$38*(($D$34-$B557)/$S557)</f>
        <v>-338.07989808920956</v>
      </c>
      <c r="M557" s="94">
        <f t="shared" ref="M557:M620" si="200">$D$38*(($E$34-$C557)/$S557)</f>
        <v>-544.39377595539725</v>
      </c>
      <c r="N557" s="99">
        <f t="shared" ref="N557:N620" si="201">SQRT(($D$18-$B556)^2+($E$18-$C556)^2)</f>
        <v>1651.0011779861527</v>
      </c>
      <c r="O557" s="99">
        <f t="shared" ref="O557:O620" si="202">SQRT(($D$26-$B556)^2+($E$26-$C556)^2)</f>
        <v>28630.130108035799</v>
      </c>
      <c r="P557" s="100">
        <f t="shared" ref="P557:P620" si="203">SQRT(($D$34-$B556)^2+($E$34-$C556)^2)</f>
        <v>25706.759079990821</v>
      </c>
      <c r="Q557" s="95">
        <f t="shared" ref="Q557:Q620" si="204">(N557^2+$D$39^2)^(3/2)</f>
        <v>1041164445774.1652</v>
      </c>
      <c r="R557" s="95">
        <f t="shared" ref="R557:R620" si="205">(O557^2+$D$31^2)^(3/2)</f>
        <v>25603126157068.531</v>
      </c>
      <c r="S557" s="95">
        <f t="shared" ref="S557:S620" si="206">(P557^2+$D$23^2)^(3/2)</f>
        <v>20986394509085.625</v>
      </c>
      <c r="T557">
        <f t="shared" si="188"/>
        <v>0.5</v>
      </c>
    </row>
    <row r="558" spans="1:20" x14ac:dyDescent="0.25">
      <c r="A558">
        <v>257.5</v>
      </c>
      <c r="B558" s="95">
        <f t="shared" si="189"/>
        <v>8687.0173822228717</v>
      </c>
      <c r="C558" s="95">
        <f t="shared" si="190"/>
        <v>6694.5908392570973</v>
      </c>
      <c r="D558" s="95">
        <f t="shared" si="191"/>
        <v>272.83267021125408</v>
      </c>
      <c r="E558" s="95">
        <f t="shared" si="192"/>
        <v>-250.57869883172384</v>
      </c>
      <c r="F558" s="96">
        <f t="shared" si="193"/>
        <v>120.32404929749538</v>
      </c>
      <c r="G558" s="94">
        <f t="shared" si="194"/>
        <v>-113.49027254584024</v>
      </c>
      <c r="H558" s="97">
        <f t="shared" si="195"/>
        <v>661.86511488011786</v>
      </c>
      <c r="I558" s="94">
        <f t="shared" si="196"/>
        <v>406.00097783707804</v>
      </c>
      <c r="J558" s="95">
        <f t="shared" si="197"/>
        <v>-199.30798145432524</v>
      </c>
      <c r="K558" s="94">
        <f t="shared" si="198"/>
        <v>22.964897986102702</v>
      </c>
      <c r="L558" s="94">
        <f t="shared" si="199"/>
        <v>-342.23308412829721</v>
      </c>
      <c r="M558" s="94">
        <f t="shared" si="200"/>
        <v>-542.45614836902098</v>
      </c>
      <c r="N558" s="99">
        <f t="shared" si="201"/>
        <v>1601.037252026686</v>
      </c>
      <c r="O558" s="99">
        <f t="shared" si="202"/>
        <v>28727.164534044197</v>
      </c>
      <c r="P558" s="100">
        <f t="shared" si="203"/>
        <v>25685.131110939994</v>
      </c>
      <c r="Q558" s="95">
        <f t="shared" si="204"/>
        <v>1038695159472.9004</v>
      </c>
      <c r="R558" s="95">
        <f t="shared" si="205"/>
        <v>25849577443324.992</v>
      </c>
      <c r="S558" s="95">
        <f t="shared" si="206"/>
        <v>20940422990308.941</v>
      </c>
      <c r="T558">
        <f t="shared" si="188"/>
        <v>0.5</v>
      </c>
    </row>
    <row r="559" spans="1:20" x14ac:dyDescent="0.25">
      <c r="A559">
        <v>258</v>
      </c>
      <c r="B559" s="95">
        <f t="shared" si="189"/>
        <v>8853.5147296528721</v>
      </c>
      <c r="C559" s="95">
        <f t="shared" si="190"/>
        <v>6540.9289217047753</v>
      </c>
      <c r="D559" s="95">
        <f t="shared" si="191"/>
        <v>332.9946948600018</v>
      </c>
      <c r="E559" s="95">
        <f t="shared" si="192"/>
        <v>-307.32383510464399</v>
      </c>
      <c r="F559" s="96">
        <f t="shared" si="193"/>
        <v>34.427850965235677</v>
      </c>
      <c r="G559" s="94">
        <f t="shared" si="194"/>
        <v>-31.971814339042226</v>
      </c>
      <c r="H559" s="97">
        <f t="shared" si="195"/>
        <v>579.55072759217444</v>
      </c>
      <c r="I559" s="94">
        <f t="shared" si="196"/>
        <v>484.81245735526704</v>
      </c>
      <c r="J559" s="95">
        <f t="shared" si="197"/>
        <v>-197.53579865037625</v>
      </c>
      <c r="K559" s="94">
        <f t="shared" si="198"/>
        <v>23.681356480888098</v>
      </c>
      <c r="L559" s="94">
        <f t="shared" si="199"/>
        <v>-347.58707797656251</v>
      </c>
      <c r="M559" s="94">
        <f t="shared" si="200"/>
        <v>-540.46562817519737</v>
      </c>
      <c r="N559" s="99">
        <f t="shared" si="201"/>
        <v>1540.327001254431</v>
      </c>
      <c r="O559" s="99">
        <f t="shared" si="202"/>
        <v>28876.819354074996</v>
      </c>
      <c r="P559" s="100">
        <f t="shared" si="203"/>
        <v>25651.310229772844</v>
      </c>
      <c r="Q559" s="95">
        <f t="shared" si="204"/>
        <v>1035799379097.0896</v>
      </c>
      <c r="R559" s="95">
        <f t="shared" si="205"/>
        <v>26232860701549.898</v>
      </c>
      <c r="S559" s="95">
        <f t="shared" si="206"/>
        <v>20868679561984.035</v>
      </c>
      <c r="T559">
        <f t="shared" si="188"/>
        <v>0.5</v>
      </c>
    </row>
    <row r="560" spans="1:20" x14ac:dyDescent="0.25">
      <c r="A560">
        <v>258.5</v>
      </c>
      <c r="B560" s="95">
        <f t="shared" si="189"/>
        <v>9028.6190398241815</v>
      </c>
      <c r="C560" s="95">
        <f t="shared" si="190"/>
        <v>6379.2740505676929</v>
      </c>
      <c r="D560" s="95">
        <f t="shared" si="191"/>
        <v>350.20862034261961</v>
      </c>
      <c r="E560" s="95">
        <f t="shared" si="192"/>
        <v>-323.3097422741651</v>
      </c>
      <c r="F560" s="96">
        <f t="shared" si="193"/>
        <v>-56.58867766509934</v>
      </c>
      <c r="G560" s="94">
        <f t="shared" si="194"/>
        <v>53.425317808695354</v>
      </c>
      <c r="H560" s="97">
        <f t="shared" si="195"/>
        <v>492.03229923315655</v>
      </c>
      <c r="I560" s="94">
        <f t="shared" si="196"/>
        <v>567.67981699953418</v>
      </c>
      <c r="J560" s="95">
        <f t="shared" si="197"/>
        <v>-195.20198080391469</v>
      </c>
      <c r="K560" s="94">
        <f t="shared" si="198"/>
        <v>24.347450917582528</v>
      </c>
      <c r="L560" s="94">
        <f t="shared" si="199"/>
        <v>-353.4189960943412</v>
      </c>
      <c r="M560" s="94">
        <f t="shared" si="200"/>
        <v>-538.60195010842131</v>
      </c>
      <c r="N560" s="99">
        <f t="shared" si="201"/>
        <v>1494.7393780673913</v>
      </c>
      <c r="O560" s="99">
        <f t="shared" si="202"/>
        <v>29060.118461200291</v>
      </c>
      <c r="P560" s="100">
        <f t="shared" si="203"/>
        <v>25611.159465644003</v>
      </c>
      <c r="Q560" s="95">
        <f t="shared" si="204"/>
        <v>1033700190374.1779</v>
      </c>
      <c r="R560" s="95">
        <f t="shared" si="205"/>
        <v>26707602136617.313</v>
      </c>
      <c r="S560" s="95">
        <f t="shared" si="206"/>
        <v>20783737811948.742</v>
      </c>
      <c r="T560">
        <f t="shared" si="188"/>
        <v>0.5</v>
      </c>
    </row>
    <row r="561" spans="1:20" x14ac:dyDescent="0.25">
      <c r="A561">
        <v>259</v>
      </c>
      <c r="B561" s="95">
        <f t="shared" si="189"/>
        <v>9189.5761805792154</v>
      </c>
      <c r="C561" s="95">
        <f t="shared" si="190"/>
        <v>6230.9755088827842</v>
      </c>
      <c r="D561" s="95">
        <f t="shared" si="191"/>
        <v>321.91428151006994</v>
      </c>
      <c r="E561" s="95">
        <f t="shared" si="192"/>
        <v>-296.59708336981743</v>
      </c>
      <c r="F561" s="96">
        <f t="shared" si="193"/>
        <v>-140.85083469784368</v>
      </c>
      <c r="G561" s="94">
        <f t="shared" si="194"/>
        <v>130.9408579008192</v>
      </c>
      <c r="H561" s="97">
        <f t="shared" si="195"/>
        <v>410.71160721466555</v>
      </c>
      <c r="I561" s="94">
        <f t="shared" si="196"/>
        <v>643.12409859082391</v>
      </c>
      <c r="J561" s="95">
        <f t="shared" si="197"/>
        <v>-192.62514125712156</v>
      </c>
      <c r="K561" s="94">
        <f t="shared" si="198"/>
        <v>24.872196516715515</v>
      </c>
      <c r="L561" s="94">
        <f t="shared" si="199"/>
        <v>-358.93730065538767</v>
      </c>
      <c r="M561" s="94">
        <f t="shared" si="200"/>
        <v>-537.05543720672017</v>
      </c>
      <c r="N561" s="99">
        <f t="shared" si="201"/>
        <v>1483.1074214375171</v>
      </c>
      <c r="O561" s="99">
        <f t="shared" si="202"/>
        <v>29253.553284347108</v>
      </c>
      <c r="P561" s="100">
        <f t="shared" si="203"/>
        <v>25570.989638529725</v>
      </c>
      <c r="Q561" s="95">
        <f t="shared" si="204"/>
        <v>1033174889899.4048</v>
      </c>
      <c r="R561" s="95">
        <f t="shared" si="205"/>
        <v>27214951294952.449</v>
      </c>
      <c r="S561" s="95">
        <f t="shared" si="206"/>
        <v>20699004257412.617</v>
      </c>
      <c r="T561">
        <f t="shared" si="188"/>
        <v>0.5</v>
      </c>
    </row>
    <row r="562" spans="1:20" x14ac:dyDescent="0.25">
      <c r="A562">
        <v>259.5</v>
      </c>
      <c r="B562" s="95">
        <f t="shared" si="189"/>
        <v>9315.3206126597906</v>
      </c>
      <c r="C562" s="95">
        <f t="shared" si="190"/>
        <v>6115.4121816730803</v>
      </c>
      <c r="D562" s="95">
        <f t="shared" si="191"/>
        <v>251.48886416114811</v>
      </c>
      <c r="E562" s="95">
        <f t="shared" si="192"/>
        <v>-231.12665441940783</v>
      </c>
      <c r="F562" s="96">
        <f t="shared" si="193"/>
        <v>-206.90622795743786</v>
      </c>
      <c r="G562" s="94">
        <f t="shared" si="194"/>
        <v>190.16426798638895</v>
      </c>
      <c r="H562" s="97">
        <f t="shared" si="195"/>
        <v>346.64206587410257</v>
      </c>
      <c r="I562" s="94">
        <f t="shared" si="196"/>
        <v>700.99434947714474</v>
      </c>
      <c r="J562" s="95">
        <f t="shared" si="197"/>
        <v>-190.14596163518479</v>
      </c>
      <c r="K562" s="94">
        <f t="shared" si="198"/>
        <v>25.196336619737203</v>
      </c>
      <c r="L562" s="94">
        <f t="shared" si="199"/>
        <v>-363.40233219635564</v>
      </c>
      <c r="M562" s="94">
        <f t="shared" si="200"/>
        <v>-536.02641811049295</v>
      </c>
      <c r="N562" s="99">
        <f t="shared" si="201"/>
        <v>1505.725714112594</v>
      </c>
      <c r="O562" s="99">
        <f t="shared" si="202"/>
        <v>29431.902813383964</v>
      </c>
      <c r="P562" s="100">
        <f t="shared" si="203"/>
        <v>25536.217285323244</v>
      </c>
      <c r="Q562" s="95">
        <f t="shared" si="204"/>
        <v>1034200185672.0128</v>
      </c>
      <c r="R562" s="95">
        <f t="shared" si="205"/>
        <v>27688554547999.648</v>
      </c>
      <c r="S562" s="95">
        <f t="shared" si="206"/>
        <v>20625856470936.879</v>
      </c>
      <c r="T562">
        <f t="shared" si="188"/>
        <v>0.5</v>
      </c>
    </row>
    <row r="563" spans="1:20" x14ac:dyDescent="0.25">
      <c r="A563">
        <v>260</v>
      </c>
      <c r="B563" s="95">
        <f t="shared" si="189"/>
        <v>9389.3384877510052</v>
      </c>
      <c r="C563" s="95">
        <f t="shared" si="190"/>
        <v>6047.3899214599733</v>
      </c>
      <c r="D563" s="95">
        <f t="shared" si="191"/>
        <v>148.03575018242918</v>
      </c>
      <c r="E563" s="95">
        <f t="shared" si="192"/>
        <v>-136.04452042621335</v>
      </c>
      <c r="F563" s="96">
        <f t="shared" si="193"/>
        <v>-245.68661778101907</v>
      </c>
      <c r="G563" s="94">
        <f t="shared" si="194"/>
        <v>223.75197360658228</v>
      </c>
      <c r="H563" s="97">
        <f t="shared" si="195"/>
        <v>308.63071024000982</v>
      </c>
      <c r="I563" s="94">
        <f t="shared" si="196"/>
        <v>734.15479975231221</v>
      </c>
      <c r="J563" s="95">
        <f t="shared" si="197"/>
        <v>-188.08003233258503</v>
      </c>
      <c r="K563" s="94">
        <f t="shared" si="198"/>
        <v>25.295126383322632</v>
      </c>
      <c r="L563" s="94">
        <f t="shared" si="199"/>
        <v>-366.23729568844385</v>
      </c>
      <c r="M563" s="94">
        <f t="shared" si="200"/>
        <v>-535.6979525290526</v>
      </c>
      <c r="N563" s="99">
        <f t="shared" si="201"/>
        <v>1544.6259385714923</v>
      </c>
      <c r="O563" s="99">
        <f t="shared" si="202"/>
        <v>29571.574951992832</v>
      </c>
      <c r="P563" s="100">
        <f t="shared" si="203"/>
        <v>25510.567140798539</v>
      </c>
      <c r="Q563" s="95">
        <f t="shared" si="204"/>
        <v>1036000661988.3319</v>
      </c>
      <c r="R563" s="95">
        <f t="shared" si="205"/>
        <v>28063372595940.25</v>
      </c>
      <c r="S563" s="95">
        <f t="shared" si="206"/>
        <v>20572017384775.695</v>
      </c>
      <c r="T563">
        <f t="shared" si="188"/>
        <v>0.5</v>
      </c>
    </row>
    <row r="564" spans="1:20" x14ac:dyDescent="0.25">
      <c r="A564">
        <v>260.5</v>
      </c>
      <c r="B564" s="95">
        <f t="shared" si="189"/>
        <v>9401.9347083969642</v>
      </c>
      <c r="C564" s="95">
        <f t="shared" si="190"/>
        <v>6035.3056546485113</v>
      </c>
      <c r="D564" s="95">
        <f t="shared" si="191"/>
        <v>25.19244129191965</v>
      </c>
      <c r="E564" s="95">
        <f t="shared" si="192"/>
        <v>-24.168533622922212</v>
      </c>
      <c r="F564" s="96">
        <f t="shared" si="193"/>
        <v>-251.94745283844532</v>
      </c>
      <c r="G564" s="94">
        <f t="shared" si="194"/>
        <v>228.19649661571339</v>
      </c>
      <c r="H564" s="97">
        <f t="shared" si="195"/>
        <v>301.83498818253497</v>
      </c>
      <c r="I564" s="94">
        <f t="shared" si="196"/>
        <v>739.21026119942837</v>
      </c>
      <c r="J564" s="95">
        <f t="shared" si="197"/>
        <v>-186.67948213356215</v>
      </c>
      <c r="K564" s="94">
        <f t="shared" si="198"/>
        <v>25.172734194144837</v>
      </c>
      <c r="L564" s="94">
        <f t="shared" si="199"/>
        <v>-367.10295888741814</v>
      </c>
      <c r="M564" s="94">
        <f t="shared" si="200"/>
        <v>-536.18649877785981</v>
      </c>
      <c r="N564" s="99">
        <f t="shared" si="201"/>
        <v>1575.7485595164896</v>
      </c>
      <c r="O564" s="99">
        <f t="shared" si="202"/>
        <v>29653.943130392941</v>
      </c>
      <c r="P564" s="100">
        <f t="shared" si="203"/>
        <v>25495.993501353252</v>
      </c>
      <c r="Q564" s="95">
        <f t="shared" si="204"/>
        <v>1037475000154.1028</v>
      </c>
      <c r="R564" s="95">
        <f t="shared" si="205"/>
        <v>28286034304860.102</v>
      </c>
      <c r="S564" s="95">
        <f t="shared" si="206"/>
        <v>20541472622332.883</v>
      </c>
      <c r="T564">
        <f t="shared" si="188"/>
        <v>0.5</v>
      </c>
    </row>
    <row r="565" spans="1:20" x14ac:dyDescent="0.25">
      <c r="A565">
        <v>261</v>
      </c>
      <c r="B565" s="95">
        <f t="shared" si="189"/>
        <v>9351.5440658333118</v>
      </c>
      <c r="C565" s="95">
        <f t="shared" si="190"/>
        <v>6080.2705119909788</v>
      </c>
      <c r="D565" s="95">
        <f t="shared" si="191"/>
        <v>-100.78128512730301</v>
      </c>
      <c r="E565" s="95">
        <f t="shared" si="192"/>
        <v>89.929714684934481</v>
      </c>
      <c r="F565" s="96">
        <f t="shared" si="193"/>
        <v>-224.86277390451997</v>
      </c>
      <c r="G565" s="94">
        <f t="shared" si="194"/>
        <v>203.67136168070817</v>
      </c>
      <c r="H565" s="97">
        <f t="shared" si="195"/>
        <v>327.17051152607405</v>
      </c>
      <c r="I565" s="94">
        <f t="shared" si="196"/>
        <v>716.30715110575704</v>
      </c>
      <c r="J565" s="95">
        <f t="shared" si="197"/>
        <v>-186.10802709813115</v>
      </c>
      <c r="K565" s="94">
        <f t="shared" si="198"/>
        <v>24.85365404067085</v>
      </c>
      <c r="L565" s="94">
        <f t="shared" si="199"/>
        <v>-365.92525833246287</v>
      </c>
      <c r="M565" s="94">
        <f t="shared" si="200"/>
        <v>-537.48944346571977</v>
      </c>
      <c r="N565" s="99">
        <f t="shared" si="201"/>
        <v>1582.0909007780967</v>
      </c>
      <c r="O565" s="99">
        <f t="shared" si="202"/>
        <v>29668.039467563409</v>
      </c>
      <c r="P565" s="100">
        <f t="shared" si="203"/>
        <v>25493.132552305469</v>
      </c>
      <c r="Q565" s="95">
        <f t="shared" si="204"/>
        <v>1037779143283.4248</v>
      </c>
      <c r="R565" s="95">
        <f t="shared" si="205"/>
        <v>28324261138147.59</v>
      </c>
      <c r="S565" s="95">
        <f t="shared" si="206"/>
        <v>20535480209972.465</v>
      </c>
      <c r="T565">
        <f t="shared" si="188"/>
        <v>0.5</v>
      </c>
    </row>
    <row r="566" spans="1:20" x14ac:dyDescent="0.25">
      <c r="A566">
        <v>261.5</v>
      </c>
      <c r="B566" s="95">
        <f t="shared" si="189"/>
        <v>9244.9377297935298</v>
      </c>
      <c r="C566" s="95">
        <f t="shared" si="190"/>
        <v>6176.1532097536228</v>
      </c>
      <c r="D566" s="95">
        <f t="shared" si="191"/>
        <v>-213.21267207956299</v>
      </c>
      <c r="E566" s="95">
        <f t="shared" si="192"/>
        <v>191.76539552528857</v>
      </c>
      <c r="F566" s="96">
        <f t="shared" si="193"/>
        <v>-167.98244092761948</v>
      </c>
      <c r="G566" s="94">
        <f t="shared" si="194"/>
        <v>153.50688302847061</v>
      </c>
      <c r="H566" s="97">
        <f t="shared" si="195"/>
        <v>381.33060940304262</v>
      </c>
      <c r="I566" s="94">
        <f t="shared" si="196"/>
        <v>668.58499384808363</v>
      </c>
      <c r="J566" s="95">
        <f t="shared" si="197"/>
        <v>-186.42888636852948</v>
      </c>
      <c r="K566" s="94">
        <f t="shared" si="198"/>
        <v>24.376030659940849</v>
      </c>
      <c r="L566" s="94">
        <f t="shared" si="199"/>
        <v>-362.88416396213262</v>
      </c>
      <c r="M566" s="94">
        <f t="shared" si="200"/>
        <v>-539.45414147955387</v>
      </c>
      <c r="N566" s="99">
        <f t="shared" si="201"/>
        <v>1560.8096993798922</v>
      </c>
      <c r="O566" s="99">
        <f t="shared" si="202"/>
        <v>29612.116072778757</v>
      </c>
      <c r="P566" s="100">
        <f t="shared" si="203"/>
        <v>25501.855264515008</v>
      </c>
      <c r="Q566" s="95">
        <f t="shared" si="204"/>
        <v>1036763560102.042</v>
      </c>
      <c r="R566" s="95">
        <f t="shared" si="205"/>
        <v>28172814647522.188</v>
      </c>
      <c r="S566" s="95">
        <f t="shared" si="206"/>
        <v>20553754323024.742</v>
      </c>
      <c r="T566">
        <f t="shared" si="188"/>
        <v>0.5</v>
      </c>
    </row>
    <row r="567" spans="1:20" x14ac:dyDescent="0.25">
      <c r="A567">
        <v>262</v>
      </c>
      <c r="B567" s="95">
        <f t="shared" si="189"/>
        <v>9096.335783521843</v>
      </c>
      <c r="C567" s="95">
        <f t="shared" si="190"/>
        <v>6310.4126282733841</v>
      </c>
      <c r="D567" s="95">
        <f t="shared" si="191"/>
        <v>-297.20389254337272</v>
      </c>
      <c r="E567" s="95">
        <f t="shared" si="192"/>
        <v>268.51883703952387</v>
      </c>
      <c r="F567" s="96">
        <f t="shared" si="193"/>
        <v>-88.84302915585539</v>
      </c>
      <c r="G567" s="94">
        <f t="shared" si="194"/>
        <v>83.780490959582608</v>
      </c>
      <c r="H567" s="97">
        <f t="shared" si="195"/>
        <v>457.13848882598035</v>
      </c>
      <c r="I567" s="94">
        <f t="shared" si="196"/>
        <v>601.77902756506853</v>
      </c>
      <c r="J567" s="95">
        <f t="shared" si="197"/>
        <v>-187.60181671699829</v>
      </c>
      <c r="K567" s="94">
        <f t="shared" si="198"/>
        <v>23.789019312322043</v>
      </c>
      <c r="L567" s="94">
        <f t="shared" si="199"/>
        <v>-358.37970126483748</v>
      </c>
      <c r="M567" s="94">
        <f t="shared" si="200"/>
        <v>-541.78755591780794</v>
      </c>
      <c r="N567" s="99">
        <f t="shared" si="201"/>
        <v>1524.0371898136161</v>
      </c>
      <c r="O567" s="99">
        <f t="shared" si="202"/>
        <v>29493.866940345048</v>
      </c>
      <c r="P567" s="100">
        <f t="shared" si="203"/>
        <v>25521.514760857241</v>
      </c>
      <c r="Q567" s="95">
        <f t="shared" si="204"/>
        <v>1035041872136.2065</v>
      </c>
      <c r="R567" s="95">
        <f t="shared" si="205"/>
        <v>27854412487249.289</v>
      </c>
      <c r="S567" s="95">
        <f t="shared" si="206"/>
        <v>20594983841510.039</v>
      </c>
      <c r="T567">
        <f t="shared" si="188"/>
        <v>0.5</v>
      </c>
    </row>
    <row r="568" spans="1:20" x14ac:dyDescent="0.25">
      <c r="A568">
        <v>262.5</v>
      </c>
      <c r="B568" s="95">
        <f t="shared" si="189"/>
        <v>8925.5230799611927</v>
      </c>
      <c r="C568" s="95">
        <f t="shared" si="190"/>
        <v>6465.6171695330422</v>
      </c>
      <c r="D568" s="95">
        <f t="shared" si="191"/>
        <v>-341.62540712130044</v>
      </c>
      <c r="E568" s="95">
        <f t="shared" si="192"/>
        <v>310.40908251931518</v>
      </c>
      <c r="F568" s="96">
        <f t="shared" si="193"/>
        <v>1.8025539610268879</v>
      </c>
      <c r="G568" s="94">
        <f t="shared" si="194"/>
        <v>3.0058839569049951</v>
      </c>
      <c r="H568" s="97">
        <f t="shared" si="195"/>
        <v>544.27347119801323</v>
      </c>
      <c r="I568" s="94">
        <f t="shared" si="196"/>
        <v>523.96391507929593</v>
      </c>
      <c r="J568" s="95">
        <f t="shared" si="197"/>
        <v>-189.48629037608669</v>
      </c>
      <c r="K568" s="94">
        <f t="shared" si="198"/>
        <v>23.153154031571471</v>
      </c>
      <c r="L568" s="94">
        <f t="shared" si="199"/>
        <v>-352.98462686089965</v>
      </c>
      <c r="M568" s="94">
        <f t="shared" si="200"/>
        <v>-544.11118515396242</v>
      </c>
      <c r="N568" s="99">
        <f t="shared" si="201"/>
        <v>1493.8966266494208</v>
      </c>
      <c r="O568" s="99">
        <f t="shared" si="202"/>
        <v>29329.333626952011</v>
      </c>
      <c r="P568" s="100">
        <f t="shared" si="203"/>
        <v>25550.741063794456</v>
      </c>
      <c r="Q568" s="95">
        <f t="shared" si="204"/>
        <v>1033661990731.6262</v>
      </c>
      <c r="R568" s="95">
        <f t="shared" si="205"/>
        <v>27415499951393.555</v>
      </c>
      <c r="S568" s="95">
        <f t="shared" si="206"/>
        <v>20656386367519.746</v>
      </c>
      <c r="T568">
        <f t="shared" si="188"/>
        <v>0.5</v>
      </c>
    </row>
    <row r="569" spans="1:20" x14ac:dyDescent="0.25">
      <c r="A569">
        <v>263</v>
      </c>
      <c r="B569" s="95">
        <f t="shared" si="189"/>
        <v>8755.1610148907985</v>
      </c>
      <c r="C569" s="95">
        <f t="shared" si="190"/>
        <v>6621.573181781926</v>
      </c>
      <c r="D569" s="95">
        <f t="shared" si="191"/>
        <v>-340.724130140787</v>
      </c>
      <c r="E569" s="95">
        <f t="shared" si="192"/>
        <v>311.91202449776767</v>
      </c>
      <c r="F569" s="96">
        <f t="shared" si="193"/>
        <v>91.402552320727636</v>
      </c>
      <c r="G569" s="94">
        <f t="shared" si="194"/>
        <v>-78.494757571878779</v>
      </c>
      <c r="H569" s="97">
        <f t="shared" si="195"/>
        <v>630.63727776545602</v>
      </c>
      <c r="I569" s="94">
        <f t="shared" si="196"/>
        <v>445.0123300955434</v>
      </c>
      <c r="J569" s="95">
        <f t="shared" si="197"/>
        <v>-191.85146040067235</v>
      </c>
      <c r="K569" s="94">
        <f t="shared" si="198"/>
        <v>22.540514330498375</v>
      </c>
      <c r="L569" s="94">
        <f t="shared" si="199"/>
        <v>-347.38326504405603</v>
      </c>
      <c r="M569" s="94">
        <f t="shared" si="200"/>
        <v>-546.04760199792054</v>
      </c>
      <c r="N569" s="99">
        <f t="shared" si="201"/>
        <v>1491.4585115452983</v>
      </c>
      <c r="O569" s="99">
        <f t="shared" si="202"/>
        <v>29140.654547241509</v>
      </c>
      <c r="P569" s="100">
        <f t="shared" si="203"/>
        <v>25586.967649947961</v>
      </c>
      <c r="Q569" s="95">
        <f t="shared" si="204"/>
        <v>1033551601531.9034</v>
      </c>
      <c r="R569" s="95">
        <f t="shared" si="205"/>
        <v>26918040156447.34</v>
      </c>
      <c r="S569" s="95">
        <f t="shared" si="206"/>
        <v>20732678255646.184</v>
      </c>
      <c r="T569">
        <f t="shared" si="188"/>
        <v>0.5</v>
      </c>
    </row>
    <row r="570" spans="1:20" x14ac:dyDescent="0.25">
      <c r="A570">
        <v>263.5</v>
      </c>
      <c r="B570" s="95">
        <f t="shared" si="189"/>
        <v>8607.649587900587</v>
      </c>
      <c r="C570" s="95">
        <f t="shared" si="190"/>
        <v>6757.9055046378398</v>
      </c>
      <c r="D570" s="95">
        <f t="shared" si="191"/>
        <v>-295.02285398042318</v>
      </c>
      <c r="E570" s="95">
        <f t="shared" si="192"/>
        <v>272.66464571182826</v>
      </c>
      <c r="F570" s="96">
        <f t="shared" si="193"/>
        <v>167.67559177805424</v>
      </c>
      <c r="G570" s="94">
        <f t="shared" si="194"/>
        <v>-149.86558564041678</v>
      </c>
      <c r="H570" s="97">
        <f t="shared" si="195"/>
        <v>704.36596872751807</v>
      </c>
      <c r="I570" s="94">
        <f t="shared" si="196"/>
        <v>375.41275785955355</v>
      </c>
      <c r="J570" s="95">
        <f t="shared" si="197"/>
        <v>-194.39674202785227</v>
      </c>
      <c r="K570" s="94">
        <f t="shared" si="198"/>
        <v>22.030911882792314</v>
      </c>
      <c r="L570" s="94">
        <f t="shared" si="199"/>
        <v>-342.29363492161156</v>
      </c>
      <c r="M570" s="94">
        <f t="shared" si="200"/>
        <v>-547.30925538276267</v>
      </c>
      <c r="N570" s="99">
        <f t="shared" si="201"/>
        <v>1523.5674497088851</v>
      </c>
      <c r="O570" s="99">
        <f t="shared" si="202"/>
        <v>28952.945493651434</v>
      </c>
      <c r="P570" s="100">
        <f t="shared" si="203"/>
        <v>25626.09766235825</v>
      </c>
      <c r="Q570" s="95">
        <f t="shared" si="204"/>
        <v>1035020150527.8342</v>
      </c>
      <c r="R570" s="95">
        <f t="shared" si="205"/>
        <v>26429316861311.23</v>
      </c>
      <c r="S570" s="95">
        <f t="shared" si="206"/>
        <v>20815311580734.254</v>
      </c>
      <c r="T570">
        <f t="shared" si="188"/>
        <v>0.5</v>
      </c>
    </row>
    <row r="571" spans="1:20" x14ac:dyDescent="0.25">
      <c r="A571">
        <v>264</v>
      </c>
      <c r="B571" s="95">
        <f t="shared" si="189"/>
        <v>8502.057058854889</v>
      </c>
      <c r="C571" s="95">
        <f t="shared" si="190"/>
        <v>6856.7714310836491</v>
      </c>
      <c r="D571" s="95">
        <f t="shared" si="191"/>
        <v>-211.18505809139606</v>
      </c>
      <c r="E571" s="95">
        <f t="shared" si="192"/>
        <v>197.73185289161987</v>
      </c>
      <c r="F571" s="96">
        <f t="shared" si="193"/>
        <v>220.75645057502624</v>
      </c>
      <c r="G571" s="94">
        <f t="shared" si="194"/>
        <v>-201.45630703050688</v>
      </c>
      <c r="H571" s="97">
        <f t="shared" si="195"/>
        <v>755.9199784375229</v>
      </c>
      <c r="I571" s="94">
        <f t="shared" si="196"/>
        <v>324.59802879670832</v>
      </c>
      <c r="J571" s="95">
        <f t="shared" si="197"/>
        <v>-196.78629549621706</v>
      </c>
      <c r="K571" s="94">
        <f t="shared" si="198"/>
        <v>21.701742603969631</v>
      </c>
      <c r="L571" s="94">
        <f t="shared" si="199"/>
        <v>-338.37723236627954</v>
      </c>
      <c r="M571" s="94">
        <f t="shared" si="200"/>
        <v>-547.75607843118485</v>
      </c>
      <c r="N571" s="99">
        <f t="shared" si="201"/>
        <v>1577.765480076245</v>
      </c>
      <c r="O571" s="99">
        <f t="shared" si="202"/>
        <v>28790.776155931719</v>
      </c>
      <c r="P571" s="100">
        <f t="shared" si="203"/>
        <v>25662.707948613697</v>
      </c>
      <c r="Q571" s="95">
        <f t="shared" si="204"/>
        <v>1037571584654.8687</v>
      </c>
      <c r="R571" s="95">
        <f t="shared" si="205"/>
        <v>26012021081871.027</v>
      </c>
      <c r="S571" s="95">
        <f t="shared" si="206"/>
        <v>20892837542988.617</v>
      </c>
      <c r="T571">
        <f t="shared" si="188"/>
        <v>0.5</v>
      </c>
    </row>
    <row r="572" spans="1:20" x14ac:dyDescent="0.25">
      <c r="A572">
        <v>264.5</v>
      </c>
      <c r="B572" s="95">
        <f t="shared" si="189"/>
        <v>8451.6536424529477</v>
      </c>
      <c r="C572" s="95">
        <f t="shared" si="190"/>
        <v>6905.2732807718321</v>
      </c>
      <c r="D572" s="95">
        <f t="shared" si="191"/>
        <v>-100.80683280388294</v>
      </c>
      <c r="E572" s="95">
        <f t="shared" si="192"/>
        <v>97.003699376366427</v>
      </c>
      <c r="F572" s="96">
        <f t="shared" si="193"/>
        <v>244.5898364502234</v>
      </c>
      <c r="G572" s="94">
        <f t="shared" si="194"/>
        <v>-226.40487072260856</v>
      </c>
      <c r="H572" s="97">
        <f t="shared" si="195"/>
        <v>779.43558738027548</v>
      </c>
      <c r="I572" s="94">
        <f t="shared" si="196"/>
        <v>299.38467415438379</v>
      </c>
      <c r="J572" s="95">
        <f t="shared" si="197"/>
        <v>-198.69557962881461</v>
      </c>
      <c r="K572" s="94">
        <f t="shared" si="198"/>
        <v>21.612400003081383</v>
      </c>
      <c r="L572" s="94">
        <f t="shared" si="199"/>
        <v>-336.15017130123749</v>
      </c>
      <c r="M572" s="94">
        <f t="shared" si="200"/>
        <v>-547.40194488007376</v>
      </c>
      <c r="N572" s="99">
        <f t="shared" si="201"/>
        <v>1630.2073631279682</v>
      </c>
      <c r="O572" s="99">
        <f t="shared" si="202"/>
        <v>28674.852090685166</v>
      </c>
      <c r="P572" s="100">
        <f t="shared" si="203"/>
        <v>25690.932295485258</v>
      </c>
      <c r="Q572" s="95">
        <f t="shared" si="204"/>
        <v>1040127330776.0676</v>
      </c>
      <c r="R572" s="95">
        <f t="shared" si="205"/>
        <v>25716511189108.395</v>
      </c>
      <c r="S572" s="95">
        <f t="shared" si="206"/>
        <v>20952746653962.008</v>
      </c>
      <c r="T572">
        <f t="shared" si="188"/>
        <v>0.5</v>
      </c>
    </row>
    <row r="573" spans="1:20" x14ac:dyDescent="0.25">
      <c r="A573">
        <v>265</v>
      </c>
      <c r="B573" s="95">
        <f t="shared" si="189"/>
        <v>8462.3976851635616</v>
      </c>
      <c r="C573" s="95">
        <f t="shared" si="190"/>
        <v>6897.1739127793626</v>
      </c>
      <c r="D573" s="95">
        <f t="shared" si="191"/>
        <v>21.48808542122876</v>
      </c>
      <c r="E573" s="95">
        <f t="shared" si="192"/>
        <v>-16.198735984937855</v>
      </c>
      <c r="F573" s="96">
        <f t="shared" si="193"/>
        <v>237.19723283602559</v>
      </c>
      <c r="G573" s="94">
        <f t="shared" si="194"/>
        <v>-221.53985307648583</v>
      </c>
      <c r="H573" s="97">
        <f t="shared" si="195"/>
        <v>772.97077970659313</v>
      </c>
      <c r="I573" s="94">
        <f t="shared" si="196"/>
        <v>303.04776870473029</v>
      </c>
      <c r="J573" s="95">
        <f t="shared" si="197"/>
        <v>-199.86150592978248</v>
      </c>
      <c r="K573" s="94">
        <f t="shared" si="198"/>
        <v>21.787886645733497</v>
      </c>
      <c r="L573" s="94">
        <f t="shared" si="199"/>
        <v>-335.912040940785</v>
      </c>
      <c r="M573" s="94">
        <f t="shared" si="200"/>
        <v>-546.37550842694964</v>
      </c>
      <c r="N573" s="99">
        <f t="shared" si="201"/>
        <v>1658.6368841591352</v>
      </c>
      <c r="O573" s="99">
        <f t="shared" si="202"/>
        <v>28619.467648033056</v>
      </c>
      <c r="P573" s="100">
        <f t="shared" si="203"/>
        <v>25705.796685218957</v>
      </c>
      <c r="Q573" s="95">
        <f t="shared" si="204"/>
        <v>1041548672397.5085</v>
      </c>
      <c r="R573" s="95">
        <f t="shared" si="205"/>
        <v>25576144053654.398</v>
      </c>
      <c r="S573" s="95">
        <f t="shared" si="206"/>
        <v>20984347345296.863</v>
      </c>
      <c r="T573">
        <f t="shared" si="188"/>
        <v>0.5</v>
      </c>
    </row>
    <row r="574" spans="1:20" x14ac:dyDescent="0.25">
      <c r="A574">
        <v>265.5</v>
      </c>
      <c r="B574" s="95">
        <f t="shared" si="189"/>
        <v>8532.4410360831826</v>
      </c>
      <c r="C574" s="95">
        <f t="shared" si="190"/>
        <v>6833.6895815177722</v>
      </c>
      <c r="D574" s="95">
        <f t="shared" si="191"/>
        <v>140.08670183924156</v>
      </c>
      <c r="E574" s="95">
        <f t="shared" si="192"/>
        <v>-126.96866252318077</v>
      </c>
      <c r="F574" s="96">
        <f t="shared" si="193"/>
        <v>200.18393637931553</v>
      </c>
      <c r="G574" s="94">
        <f t="shared" si="194"/>
        <v>-187.57683937918523</v>
      </c>
      <c r="H574" s="97">
        <f t="shared" si="195"/>
        <v>738.0118598339775</v>
      </c>
      <c r="I574" s="94">
        <f t="shared" si="196"/>
        <v>335.07682025830837</v>
      </c>
      <c r="J574" s="95">
        <f t="shared" si="197"/>
        <v>-200.12448794299374</v>
      </c>
      <c r="K574" s="94">
        <f t="shared" si="198"/>
        <v>22.208273395394976</v>
      </c>
      <c r="L574" s="94">
        <f t="shared" si="199"/>
        <v>-337.70343551166826</v>
      </c>
      <c r="M574" s="94">
        <f t="shared" si="200"/>
        <v>-544.8619330328886</v>
      </c>
      <c r="N574" s="99">
        <f t="shared" si="201"/>
        <v>1651.550837856382</v>
      </c>
      <c r="O574" s="99">
        <f t="shared" si="202"/>
        <v>28631.025334694892</v>
      </c>
      <c r="P574" s="100">
        <f t="shared" si="203"/>
        <v>25704.520551840727</v>
      </c>
      <c r="Q574" s="95">
        <f t="shared" si="204"/>
        <v>1041192043713.2473</v>
      </c>
      <c r="R574" s="95">
        <f t="shared" si="205"/>
        <v>25605392479923.477</v>
      </c>
      <c r="S574" s="95">
        <f t="shared" si="206"/>
        <v>20981633031401.332</v>
      </c>
      <c r="T574">
        <f t="shared" si="188"/>
        <v>0.5</v>
      </c>
    </row>
    <row r="575" spans="1:20" x14ac:dyDescent="0.25">
      <c r="A575">
        <v>266</v>
      </c>
      <c r="B575" s="95">
        <f t="shared" si="189"/>
        <v>8652.5303710976332</v>
      </c>
      <c r="C575" s="95">
        <f t="shared" si="190"/>
        <v>6723.3110404113859</v>
      </c>
      <c r="D575" s="95">
        <f t="shared" si="191"/>
        <v>240.17867002889932</v>
      </c>
      <c r="E575" s="95">
        <f t="shared" si="192"/>
        <v>-220.75708221277338</v>
      </c>
      <c r="F575" s="96">
        <f t="shared" si="193"/>
        <v>138.15943713170628</v>
      </c>
      <c r="G575" s="94">
        <f t="shared" si="194"/>
        <v>-128.91935160405842</v>
      </c>
      <c r="H575" s="97">
        <f t="shared" si="195"/>
        <v>678.90839211246885</v>
      </c>
      <c r="I575" s="94">
        <f t="shared" si="196"/>
        <v>391.32655862184095</v>
      </c>
      <c r="J575" s="95">
        <f t="shared" si="197"/>
        <v>-199.45299249307391</v>
      </c>
      <c r="K575" s="94">
        <f t="shared" si="198"/>
        <v>22.809343886716896</v>
      </c>
      <c r="L575" s="94">
        <f t="shared" si="199"/>
        <v>-341.29596248768866</v>
      </c>
      <c r="M575" s="94">
        <f t="shared" si="200"/>
        <v>-543.05525411261624</v>
      </c>
      <c r="N575" s="99">
        <f t="shared" si="201"/>
        <v>1611.7378466582475</v>
      </c>
      <c r="O575" s="99">
        <f t="shared" si="202"/>
        <v>28707.589817742493</v>
      </c>
      <c r="P575" s="100">
        <f t="shared" si="203"/>
        <v>25687.291821777275</v>
      </c>
      <c r="Q575" s="95">
        <f t="shared" si="204"/>
        <v>1039217449726.6986</v>
      </c>
      <c r="R575" s="95">
        <f t="shared" si="205"/>
        <v>25799730372423.07</v>
      </c>
      <c r="S575" s="95">
        <f t="shared" si="206"/>
        <v>20945012457869.82</v>
      </c>
      <c r="T575">
        <f t="shared" si="188"/>
        <v>0.5</v>
      </c>
    </row>
    <row r="576" spans="1:20" x14ac:dyDescent="0.25">
      <c r="A576">
        <v>266.5</v>
      </c>
      <c r="B576" s="95">
        <f t="shared" si="189"/>
        <v>8807.159565395008</v>
      </c>
      <c r="C576" s="95">
        <f t="shared" si="190"/>
        <v>6580.7026614039851</v>
      </c>
      <c r="D576" s="95">
        <f t="shared" si="191"/>
        <v>309.25838859475243</v>
      </c>
      <c r="E576" s="95">
        <f t="shared" si="192"/>
        <v>-285.21675801480262</v>
      </c>
      <c r="F576" s="96">
        <f t="shared" si="193"/>
        <v>58.412151749968871</v>
      </c>
      <c r="G576" s="94">
        <f t="shared" si="194"/>
        <v>-53.250792056641046</v>
      </c>
      <c r="H576" s="97">
        <f t="shared" si="195"/>
        <v>602.57441226368701</v>
      </c>
      <c r="I576" s="94">
        <f t="shared" si="196"/>
        <v>464.3915794852341</v>
      </c>
      <c r="J576" s="95">
        <f t="shared" si="197"/>
        <v>-197.94661927588953</v>
      </c>
      <c r="K576" s="94">
        <f t="shared" si="198"/>
        <v>23.495490658759326</v>
      </c>
      <c r="L576" s="94">
        <f t="shared" si="199"/>
        <v>-346.21564123782861</v>
      </c>
      <c r="M576" s="94">
        <f t="shared" si="200"/>
        <v>-541.13786220063446</v>
      </c>
      <c r="N576" s="99">
        <f t="shared" si="201"/>
        <v>1555.2877999782311</v>
      </c>
      <c r="O576" s="99">
        <f t="shared" si="202"/>
        <v>28839.282016107165</v>
      </c>
      <c r="P576" s="100">
        <f t="shared" si="203"/>
        <v>25657.237343334582</v>
      </c>
      <c r="Q576" s="95">
        <f t="shared" si="204"/>
        <v>1036502344493.8519</v>
      </c>
      <c r="R576" s="95">
        <f t="shared" si="205"/>
        <v>26136359294764.664</v>
      </c>
      <c r="S576" s="95">
        <f t="shared" si="206"/>
        <v>20881239845443.637</v>
      </c>
      <c r="T576">
        <f t="shared" si="188"/>
        <v>0.5</v>
      </c>
    </row>
    <row r="577" spans="1:20" x14ac:dyDescent="0.25">
      <c r="A577">
        <v>267</v>
      </c>
      <c r="B577" s="95">
        <f t="shared" si="189"/>
        <v>8976.3917976298762</v>
      </c>
      <c r="C577" s="95">
        <f t="shared" si="190"/>
        <v>6424.7815843824228</v>
      </c>
      <c r="D577" s="95">
        <f t="shared" si="191"/>
        <v>338.46446446973687</v>
      </c>
      <c r="E577" s="95">
        <f t="shared" si="192"/>
        <v>-311.84215404312317</v>
      </c>
      <c r="F577" s="96">
        <f t="shared" si="193"/>
        <v>-29.389211053515226</v>
      </c>
      <c r="G577" s="94">
        <f t="shared" si="194"/>
        <v>29.235275062897017</v>
      </c>
      <c r="H577" s="97">
        <f t="shared" si="195"/>
        <v>518.2304040262992</v>
      </c>
      <c r="I577" s="94">
        <f t="shared" si="196"/>
        <v>544.35952413415112</v>
      </c>
      <c r="J577" s="95">
        <f t="shared" si="197"/>
        <v>-195.81860300776739</v>
      </c>
      <c r="K577" s="94">
        <f t="shared" si="198"/>
        <v>24.160850684354067</v>
      </c>
      <c r="L577" s="94">
        <f t="shared" si="199"/>
        <v>-351.80101207204706</v>
      </c>
      <c r="M577" s="94">
        <f t="shared" si="200"/>
        <v>-539.28509975560814</v>
      </c>
      <c r="N577" s="99">
        <f t="shared" si="201"/>
        <v>1505.9800460757581</v>
      </c>
      <c r="O577" s="99">
        <f t="shared" si="202"/>
        <v>29009.378423466071</v>
      </c>
      <c r="P577" s="100">
        <f t="shared" si="203"/>
        <v>25619.609337853064</v>
      </c>
      <c r="Q577" s="95">
        <f t="shared" si="204"/>
        <v>1034211804805.9825</v>
      </c>
      <c r="R577" s="95">
        <f t="shared" si="205"/>
        <v>26575601298726.281</v>
      </c>
      <c r="S577" s="95">
        <f t="shared" si="206"/>
        <v>20801593461653.875</v>
      </c>
      <c r="T577">
        <f t="shared" si="188"/>
        <v>0.5</v>
      </c>
    </row>
    <row r="578" spans="1:20" x14ac:dyDescent="0.25">
      <c r="A578">
        <v>267.5</v>
      </c>
      <c r="B578" s="95">
        <f t="shared" si="189"/>
        <v>9138.2767271013654</v>
      </c>
      <c r="C578" s="95">
        <f t="shared" si="190"/>
        <v>6276.1693261265855</v>
      </c>
      <c r="D578" s="95">
        <f t="shared" si="191"/>
        <v>323.76985894297923</v>
      </c>
      <c r="E578" s="95">
        <f t="shared" si="192"/>
        <v>-297.22451651167466</v>
      </c>
      <c r="F578" s="96">
        <f t="shared" si="193"/>
        <v>-113.97417196596638</v>
      </c>
      <c r="G578" s="94">
        <f t="shared" si="194"/>
        <v>107.21366980689163</v>
      </c>
      <c r="H578" s="97">
        <f t="shared" si="195"/>
        <v>436.68215362616758</v>
      </c>
      <c r="I578" s="94">
        <f t="shared" si="196"/>
        <v>620.1817116336274</v>
      </c>
      <c r="J578" s="95">
        <f t="shared" si="197"/>
        <v>-193.36173833598929</v>
      </c>
      <c r="K578" s="94">
        <f t="shared" si="198"/>
        <v>24.711357473632969</v>
      </c>
      <c r="L578" s="94">
        <f t="shared" si="199"/>
        <v>-357.29458725614467</v>
      </c>
      <c r="M578" s="94">
        <f t="shared" si="200"/>
        <v>-537.67939930036869</v>
      </c>
      <c r="N578" s="99">
        <f t="shared" si="201"/>
        <v>1484.5431597776364</v>
      </c>
      <c r="O578" s="99">
        <f t="shared" si="202"/>
        <v>29196.120775355124</v>
      </c>
      <c r="P578" s="100">
        <f t="shared" si="203"/>
        <v>25580.47680594222</v>
      </c>
      <c r="Q578" s="95">
        <f t="shared" si="204"/>
        <v>1033239501196.8871</v>
      </c>
      <c r="R578" s="95">
        <f t="shared" si="205"/>
        <v>27063631041936.363</v>
      </c>
      <c r="S578" s="95">
        <f t="shared" si="206"/>
        <v>20718993926636.617</v>
      </c>
      <c r="T578">
        <f t="shared" si="188"/>
        <v>0.5</v>
      </c>
    </row>
    <row r="579" spans="1:20" x14ac:dyDescent="0.25">
      <c r="A579">
        <v>268</v>
      </c>
      <c r="B579" s="95">
        <f t="shared" si="189"/>
        <v>9271.6681135813633</v>
      </c>
      <c r="C579" s="95">
        <f t="shared" si="190"/>
        <v>6154.3604853224715</v>
      </c>
      <c r="D579" s="95">
        <f t="shared" si="191"/>
        <v>266.78277295999601</v>
      </c>
      <c r="E579" s="95">
        <f t="shared" si="192"/>
        <v>-243.61768160822885</v>
      </c>
      <c r="F579" s="96">
        <f t="shared" si="193"/>
        <v>-183.97234687568599</v>
      </c>
      <c r="G579" s="94">
        <f t="shared" si="194"/>
        <v>170.11021403354982</v>
      </c>
      <c r="H579" s="97">
        <f t="shared" si="195"/>
        <v>368.88805429533642</v>
      </c>
      <c r="I579" s="94">
        <f t="shared" si="196"/>
        <v>681.54415810788066</v>
      </c>
      <c r="J579" s="95">
        <f t="shared" si="197"/>
        <v>-190.90400686755785</v>
      </c>
      <c r="K579" s="94">
        <f t="shared" si="198"/>
        <v>25.080497273728085</v>
      </c>
      <c r="L579" s="94">
        <f t="shared" si="199"/>
        <v>-361.95639430346455</v>
      </c>
      <c r="M579" s="94">
        <f t="shared" si="200"/>
        <v>-536.51444134805888</v>
      </c>
      <c r="N579" s="99">
        <f t="shared" si="201"/>
        <v>1496.7727006358014</v>
      </c>
      <c r="O579" s="99">
        <f t="shared" si="202"/>
        <v>29375.263156486235</v>
      </c>
      <c r="P579" s="100">
        <f t="shared" si="203"/>
        <v>25545.376294079244</v>
      </c>
      <c r="Q579" s="95">
        <f t="shared" si="204"/>
        <v>1033792446021.2551</v>
      </c>
      <c r="R579" s="95">
        <f t="shared" si="205"/>
        <v>27537541896415.164</v>
      </c>
      <c r="S579" s="95">
        <f t="shared" si="206"/>
        <v>20645105508901.238</v>
      </c>
      <c r="T579">
        <f t="shared" si="188"/>
        <v>0.5</v>
      </c>
    </row>
    <row r="580" spans="1:20" x14ac:dyDescent="0.25">
      <c r="A580">
        <v>268.5</v>
      </c>
      <c r="B580" s="95">
        <f t="shared" si="189"/>
        <v>9359.0664133424398</v>
      </c>
      <c r="C580" s="95">
        <f t="shared" si="190"/>
        <v>6075.0791980267441</v>
      </c>
      <c r="D580" s="95">
        <f t="shared" si="191"/>
        <v>174.79659952215303</v>
      </c>
      <c r="E580" s="95">
        <f t="shared" si="192"/>
        <v>-158.56257459145394</v>
      </c>
      <c r="F580" s="96">
        <f t="shared" si="193"/>
        <v>-229.79576832319387</v>
      </c>
      <c r="G580" s="94">
        <f t="shared" si="194"/>
        <v>209.89096602737879</v>
      </c>
      <c r="H580" s="97">
        <f t="shared" si="195"/>
        <v>324.14237674775944</v>
      </c>
      <c r="I580" s="94">
        <f t="shared" si="196"/>
        <v>720.63194228532086</v>
      </c>
      <c r="J580" s="95">
        <f t="shared" si="197"/>
        <v>-188.76206994143328</v>
      </c>
      <c r="K580" s="94">
        <f t="shared" si="198"/>
        <v>25.23500456404042</v>
      </c>
      <c r="L580" s="94">
        <f t="shared" si="199"/>
        <v>-365.17607512952003</v>
      </c>
      <c r="M580" s="94">
        <f t="shared" si="200"/>
        <v>-535.97598082198249</v>
      </c>
      <c r="N580" s="99">
        <f t="shared" si="201"/>
        <v>1530.1022973107727</v>
      </c>
      <c r="O580" s="99">
        <f t="shared" si="202"/>
        <v>29523.202695989898</v>
      </c>
      <c r="P580" s="100">
        <f t="shared" si="203"/>
        <v>25518.375306574435</v>
      </c>
      <c r="Q580" s="95">
        <f t="shared" si="204"/>
        <v>1035322948455.0708</v>
      </c>
      <c r="R580" s="95">
        <f t="shared" si="205"/>
        <v>27933171809390.211</v>
      </c>
      <c r="S580" s="95">
        <f t="shared" si="206"/>
        <v>20588395858338.059</v>
      </c>
      <c r="T580">
        <f t="shared" si="188"/>
        <v>0.5</v>
      </c>
    </row>
    <row r="581" spans="1:20" x14ac:dyDescent="0.25">
      <c r="A581">
        <v>269</v>
      </c>
      <c r="B581" s="95">
        <f t="shared" si="189"/>
        <v>9389.0157710227177</v>
      </c>
      <c r="C581" s="95">
        <f t="shared" si="190"/>
        <v>6048.2706522378621</v>
      </c>
      <c r="D581" s="95">
        <f t="shared" si="191"/>
        <v>59.898715360556096</v>
      </c>
      <c r="E581" s="95">
        <f t="shared" si="192"/>
        <v>-53.61709157776454</v>
      </c>
      <c r="F581" s="96">
        <f t="shared" si="193"/>
        <v>-245.2139445223637</v>
      </c>
      <c r="G581" s="94">
        <f t="shared" si="194"/>
        <v>222.08748315356661</v>
      </c>
      <c r="H581" s="97">
        <f t="shared" si="195"/>
        <v>308.54368887495389</v>
      </c>
      <c r="I581" s="94">
        <f t="shared" si="196"/>
        <v>733.11536855268889</v>
      </c>
      <c r="J581" s="95">
        <f t="shared" si="197"/>
        <v>-187.20103481672737</v>
      </c>
      <c r="K581" s="94">
        <f t="shared" si="198"/>
        <v>25.171575291272841</v>
      </c>
      <c r="L581" s="94">
        <f t="shared" si="199"/>
        <v>-366.55659858059022</v>
      </c>
      <c r="M581" s="94">
        <f t="shared" si="200"/>
        <v>-536.19946069039509</v>
      </c>
      <c r="N581" s="99">
        <f t="shared" si="201"/>
        <v>1562.4324479483366</v>
      </c>
      <c r="O581" s="99">
        <f t="shared" si="202"/>
        <v>29620.259687666723</v>
      </c>
      <c r="P581" s="100">
        <f t="shared" si="203"/>
        <v>25501.798984892783</v>
      </c>
      <c r="Q581" s="95">
        <f t="shared" si="204"/>
        <v>1036840505047.6613</v>
      </c>
      <c r="R581" s="95">
        <f t="shared" si="205"/>
        <v>28194833817358.02</v>
      </c>
      <c r="S581" s="95">
        <f t="shared" si="206"/>
        <v>20553636379609.969</v>
      </c>
      <c r="T581">
        <f t="shared" si="188"/>
        <v>0.5</v>
      </c>
    </row>
    <row r="582" spans="1:20" x14ac:dyDescent="0.25">
      <c r="A582">
        <v>269.5</v>
      </c>
      <c r="B582" s="95">
        <f t="shared" si="189"/>
        <v>9357.6616425724042</v>
      </c>
      <c r="C582" s="95">
        <f t="shared" si="190"/>
        <v>6076.9839772373716</v>
      </c>
      <c r="D582" s="95">
        <f t="shared" si="191"/>
        <v>-62.708256900625756</v>
      </c>
      <c r="E582" s="95">
        <f t="shared" si="192"/>
        <v>57.426649999018764</v>
      </c>
      <c r="F582" s="96">
        <f t="shared" si="193"/>
        <v>-228.17106381809742</v>
      </c>
      <c r="G582" s="94">
        <f t="shared" si="194"/>
        <v>205.88868820749042</v>
      </c>
      <c r="H582" s="97">
        <f t="shared" si="195"/>
        <v>324.18923722526</v>
      </c>
      <c r="I582" s="94">
        <f t="shared" si="196"/>
        <v>718.19855321459659</v>
      </c>
      <c r="J582" s="95">
        <f t="shared" si="197"/>
        <v>-186.40619234511337</v>
      </c>
      <c r="K582" s="94">
        <f t="shared" si="198"/>
        <v>24.90915278659693</v>
      </c>
      <c r="L582" s="94">
        <f t="shared" si="199"/>
        <v>-365.95410869824406</v>
      </c>
      <c r="M582" s="94">
        <f t="shared" si="200"/>
        <v>-537.21901779370307</v>
      </c>
      <c r="N582" s="99">
        <f t="shared" si="201"/>
        <v>1575.0618486944716</v>
      </c>
      <c r="O582" s="99">
        <f t="shared" si="202"/>
        <v>29653.505911230575</v>
      </c>
      <c r="P582" s="100">
        <f t="shared" si="203"/>
        <v>25496.538437768333</v>
      </c>
      <c r="Q582" s="95">
        <f t="shared" si="204"/>
        <v>1037442144432.5044</v>
      </c>
      <c r="R582" s="95">
        <f t="shared" si="205"/>
        <v>28284849207547.672</v>
      </c>
      <c r="S582" s="95">
        <f t="shared" si="206"/>
        <v>20542614163418.031</v>
      </c>
      <c r="T582">
        <f t="shared" si="188"/>
        <v>0.5</v>
      </c>
    </row>
    <row r="583" spans="1:20" x14ac:dyDescent="0.25">
      <c r="A583">
        <v>270</v>
      </c>
      <c r="B583" s="95">
        <f t="shared" si="189"/>
        <v>9269.2647481675667</v>
      </c>
      <c r="C583" s="95">
        <f t="shared" si="190"/>
        <v>6157.1694742887539</v>
      </c>
      <c r="D583" s="95">
        <f t="shared" si="191"/>
        <v>-176.79378880967448</v>
      </c>
      <c r="E583" s="95">
        <f t="shared" si="192"/>
        <v>160.37099410276397</v>
      </c>
      <c r="F583" s="96">
        <f t="shared" si="193"/>
        <v>-180.90773772665739</v>
      </c>
      <c r="G583" s="94">
        <f t="shared" si="194"/>
        <v>163.70921417971545</v>
      </c>
      <c r="H583" s="97">
        <f t="shared" si="195"/>
        <v>369.03687120719957</v>
      </c>
      <c r="I583" s="94">
        <f t="shared" si="196"/>
        <v>678.15802580663501</v>
      </c>
      <c r="J583" s="95">
        <f t="shared" si="197"/>
        <v>-186.4676668142481</v>
      </c>
      <c r="K583" s="94">
        <f t="shared" si="198"/>
        <v>24.481778010389132</v>
      </c>
      <c r="L583" s="94">
        <f t="shared" si="199"/>
        <v>-363.47694211960885</v>
      </c>
      <c r="M583" s="94">
        <f t="shared" si="200"/>
        <v>-538.93058963730869</v>
      </c>
      <c r="N583" s="99">
        <f t="shared" si="201"/>
        <v>1561.2729314447076</v>
      </c>
      <c r="O583" s="99">
        <f t="shared" si="202"/>
        <v>29618.614954697317</v>
      </c>
      <c r="P583" s="100">
        <f t="shared" si="203"/>
        <v>25502.582250025502</v>
      </c>
      <c r="Q583" s="95">
        <f t="shared" si="204"/>
        <v>1036785516564.6987</v>
      </c>
      <c r="R583" s="95">
        <f t="shared" si="205"/>
        <v>28190385744590.477</v>
      </c>
      <c r="S583" s="95">
        <f t="shared" si="206"/>
        <v>20555277887118.113</v>
      </c>
      <c r="T583">
        <f t="shared" si="188"/>
        <v>0.5</v>
      </c>
    </row>
    <row r="584" spans="1:20" x14ac:dyDescent="0.25">
      <c r="A584">
        <v>270.5</v>
      </c>
      <c r="B584" s="95">
        <f t="shared" si="189"/>
        <v>9135.6409193310647</v>
      </c>
      <c r="C584" s="95">
        <f t="shared" si="190"/>
        <v>6278.2822748850649</v>
      </c>
      <c r="D584" s="95">
        <f t="shared" si="191"/>
        <v>-267.24765767300318</v>
      </c>
      <c r="E584" s="95">
        <f t="shared" si="192"/>
        <v>242.2256011926217</v>
      </c>
      <c r="F584" s="96">
        <f t="shared" si="193"/>
        <v>-109.67068845641285</v>
      </c>
      <c r="G584" s="94">
        <f t="shared" si="194"/>
        <v>100.74709108597597</v>
      </c>
      <c r="H584" s="97">
        <f t="shared" si="195"/>
        <v>437.16232858150551</v>
      </c>
      <c r="I584" s="94">
        <f t="shared" si="196"/>
        <v>617.90172339857679</v>
      </c>
      <c r="J584" s="95">
        <f t="shared" si="197"/>
        <v>-187.3751164651602</v>
      </c>
      <c r="K584" s="94">
        <f t="shared" si="198"/>
        <v>23.934853333917083</v>
      </c>
      <c r="L584" s="94">
        <f t="shared" si="199"/>
        <v>-359.45790057275815</v>
      </c>
      <c r="M584" s="94">
        <f t="shared" si="200"/>
        <v>-541.08948564651791</v>
      </c>
      <c r="N584" s="99">
        <f t="shared" si="201"/>
        <v>1528.7798497666533</v>
      </c>
      <c r="O584" s="99">
        <f t="shared" si="202"/>
        <v>29520.454016624859</v>
      </c>
      <c r="P584" s="100">
        <f t="shared" si="203"/>
        <v>25519.360035413771</v>
      </c>
      <c r="Q584" s="95">
        <f t="shared" si="204"/>
        <v>1035261564700.7797</v>
      </c>
      <c r="R584" s="95">
        <f t="shared" si="205"/>
        <v>27925785805519.16</v>
      </c>
      <c r="S584" s="95">
        <f t="shared" si="206"/>
        <v>20590462098247.395</v>
      </c>
      <c r="T584">
        <f t="shared" si="188"/>
        <v>0.5</v>
      </c>
    </row>
    <row r="585" spans="1:20" x14ac:dyDescent="0.25">
      <c r="A585">
        <v>271</v>
      </c>
      <c r="B585" s="95">
        <f t="shared" si="189"/>
        <v>8974.5994183804596</v>
      </c>
      <c r="C585" s="95">
        <f t="shared" si="190"/>
        <v>6424.5818482528703</v>
      </c>
      <c r="D585" s="95">
        <f t="shared" si="191"/>
        <v>-322.08300190120963</v>
      </c>
      <c r="E585" s="95">
        <f t="shared" si="192"/>
        <v>292.59914673560968</v>
      </c>
      <c r="F585" s="96">
        <f t="shared" si="193"/>
        <v>-24.07738816936012</v>
      </c>
      <c r="G585" s="94">
        <f t="shared" si="194"/>
        <v>24.660010821321521</v>
      </c>
      <c r="H585" s="97">
        <f t="shared" si="195"/>
        <v>519.35314166934904</v>
      </c>
      <c r="I585" s="94">
        <f t="shared" si="196"/>
        <v>544.6864432590578</v>
      </c>
      <c r="J585" s="95">
        <f t="shared" si="197"/>
        <v>-189.01922956398033</v>
      </c>
      <c r="K585" s="94">
        <f t="shared" si="198"/>
        <v>23.324663601167682</v>
      </c>
      <c r="L585" s="94">
        <f t="shared" si="199"/>
        <v>-354.41130027472883</v>
      </c>
      <c r="M585" s="94">
        <f t="shared" si="200"/>
        <v>-543.35109603890396</v>
      </c>
      <c r="N585" s="99">
        <f t="shared" si="201"/>
        <v>1496.5663433990687</v>
      </c>
      <c r="O585" s="99">
        <f t="shared" si="202"/>
        <v>29372.380812689211</v>
      </c>
      <c r="P585" s="100">
        <f t="shared" si="203"/>
        <v>25545.677535934621</v>
      </c>
      <c r="Q585" s="95">
        <f t="shared" si="204"/>
        <v>1033783077364.3345</v>
      </c>
      <c r="R585" s="95">
        <f t="shared" si="205"/>
        <v>27529872125558.211</v>
      </c>
      <c r="S585" s="95">
        <f t="shared" si="206"/>
        <v>20645738833013.305</v>
      </c>
      <c r="T585">
        <f t="shared" si="188"/>
        <v>0.5</v>
      </c>
    </row>
    <row r="586" spans="1:20" x14ac:dyDescent="0.25">
      <c r="A586">
        <v>271.5</v>
      </c>
      <c r="B586" s="95">
        <f t="shared" si="189"/>
        <v>8807.5385703875145</v>
      </c>
      <c r="C586" s="95">
        <f t="shared" si="190"/>
        <v>6577.0464243260049</v>
      </c>
      <c r="D586" s="95">
        <f t="shared" si="191"/>
        <v>-334.12169598588969</v>
      </c>
      <c r="E586" s="95">
        <f t="shared" si="192"/>
        <v>304.92915214627044</v>
      </c>
      <c r="F586" s="96">
        <f t="shared" si="193"/>
        <v>64.072214104844193</v>
      </c>
      <c r="G586" s="94">
        <f t="shared" si="194"/>
        <v>-54.945265795889043</v>
      </c>
      <c r="H586" s="97">
        <f t="shared" si="195"/>
        <v>604.24882617289063</v>
      </c>
      <c r="I586" s="94">
        <f t="shared" si="196"/>
        <v>467.6827282324071</v>
      </c>
      <c r="J586" s="95">
        <f t="shared" si="197"/>
        <v>-191.19955103894063</v>
      </c>
      <c r="K586" s="94">
        <f t="shared" si="198"/>
        <v>22.718608370406166</v>
      </c>
      <c r="L586" s="94">
        <f t="shared" si="199"/>
        <v>-348.97706102910581</v>
      </c>
      <c r="M586" s="94">
        <f t="shared" si="200"/>
        <v>-545.34660239870232</v>
      </c>
      <c r="N586" s="99">
        <f t="shared" si="201"/>
        <v>1485.9241413655354</v>
      </c>
      <c r="O586" s="99">
        <f t="shared" si="202"/>
        <v>29194.366347215964</v>
      </c>
      <c r="P586" s="100">
        <f t="shared" si="203"/>
        <v>25579.330254654553</v>
      </c>
      <c r="Q586" s="95">
        <f t="shared" si="204"/>
        <v>1033301708582.2957</v>
      </c>
      <c r="R586" s="95">
        <f t="shared" si="205"/>
        <v>27059017668360.535</v>
      </c>
      <c r="S586" s="95">
        <f t="shared" si="206"/>
        <v>20716577382369.023</v>
      </c>
      <c r="T586">
        <f t="shared" si="188"/>
        <v>0.5</v>
      </c>
    </row>
    <row r="587" spans="1:20" x14ac:dyDescent="0.25">
      <c r="A587">
        <v>272</v>
      </c>
      <c r="B587" s="95">
        <f t="shared" si="189"/>
        <v>8656.4957759207809</v>
      </c>
      <c r="C587" s="95">
        <f t="shared" si="190"/>
        <v>6715.7746839501679</v>
      </c>
      <c r="D587" s="95">
        <f t="shared" si="191"/>
        <v>-302.08558893346759</v>
      </c>
      <c r="E587" s="95">
        <f t="shared" si="192"/>
        <v>277.45651924832589</v>
      </c>
      <c r="F587" s="96">
        <f t="shared" si="193"/>
        <v>142.63772742325909</v>
      </c>
      <c r="G587" s="94">
        <f t="shared" si="194"/>
        <v>-127.5747171423306</v>
      </c>
      <c r="H587" s="97">
        <f t="shared" si="195"/>
        <v>680.12857473670556</v>
      </c>
      <c r="I587" s="94">
        <f t="shared" si="196"/>
        <v>397.00213584588226</v>
      </c>
      <c r="J587" s="95">
        <f t="shared" si="197"/>
        <v>-193.64150627564291</v>
      </c>
      <c r="K587" s="94">
        <f t="shared" si="198"/>
        <v>22.192606595076764</v>
      </c>
      <c r="L587" s="94">
        <f t="shared" si="199"/>
        <v>-343.84934103780358</v>
      </c>
      <c r="M587" s="94">
        <f t="shared" si="200"/>
        <v>-546.76945958328963</v>
      </c>
      <c r="N587" s="99">
        <f t="shared" si="201"/>
        <v>1507.914972391635</v>
      </c>
      <c r="O587" s="99">
        <f t="shared" si="202"/>
        <v>29010.185963995191</v>
      </c>
      <c r="P587" s="100">
        <f t="shared" si="203"/>
        <v>25616.733862267818</v>
      </c>
      <c r="Q587" s="95">
        <f t="shared" si="204"/>
        <v>1034300267433.0322</v>
      </c>
      <c r="R587" s="95">
        <f t="shared" si="205"/>
        <v>26577698612760.516</v>
      </c>
      <c r="S587" s="95">
        <f t="shared" si="206"/>
        <v>20795515982824.918</v>
      </c>
      <c r="T587">
        <f t="shared" si="188"/>
        <v>0.5</v>
      </c>
    </row>
    <row r="588" spans="1:20" x14ac:dyDescent="0.25">
      <c r="A588">
        <v>272.5</v>
      </c>
      <c r="B588" s="95">
        <f t="shared" si="189"/>
        <v>8541.1124133098619</v>
      </c>
      <c r="C588" s="95">
        <f t="shared" si="190"/>
        <v>6822.6092642887479</v>
      </c>
      <c r="D588" s="95">
        <f t="shared" si="191"/>
        <v>-230.76672522183804</v>
      </c>
      <c r="E588" s="95">
        <f t="shared" si="192"/>
        <v>213.66916067716059</v>
      </c>
      <c r="F588" s="96">
        <f t="shared" si="193"/>
        <v>201.24101105352486</v>
      </c>
      <c r="G588" s="94">
        <f t="shared" si="194"/>
        <v>-183.43321988388544</v>
      </c>
      <c r="H588" s="97">
        <f t="shared" si="195"/>
        <v>736.95880441254405</v>
      </c>
      <c r="I588" s="94">
        <f t="shared" si="196"/>
        <v>342.18473805955273</v>
      </c>
      <c r="J588" s="95">
        <f t="shared" si="197"/>
        <v>-196.02610446520669</v>
      </c>
      <c r="K588" s="94">
        <f t="shared" si="198"/>
        <v>21.822959079718739</v>
      </c>
      <c r="L588" s="94">
        <f t="shared" si="199"/>
        <v>-339.69168889381251</v>
      </c>
      <c r="M588" s="94">
        <f t="shared" si="200"/>
        <v>-547.44091702315689</v>
      </c>
      <c r="N588" s="99">
        <f t="shared" si="201"/>
        <v>1555.6390797521653</v>
      </c>
      <c r="O588" s="99">
        <f t="shared" si="202"/>
        <v>28844.078873868519</v>
      </c>
      <c r="P588" s="100">
        <f t="shared" si="203"/>
        <v>25652.967606143215</v>
      </c>
      <c r="Q588" s="95">
        <f t="shared" si="204"/>
        <v>1036518933694.5673</v>
      </c>
      <c r="R588" s="95">
        <f t="shared" si="205"/>
        <v>26148677510198.145</v>
      </c>
      <c r="S588" s="95">
        <f t="shared" si="206"/>
        <v>20872191200604.66</v>
      </c>
      <c r="T588">
        <f t="shared" si="188"/>
        <v>0.5</v>
      </c>
    </row>
    <row r="589" spans="1:20" x14ac:dyDescent="0.25">
      <c r="A589">
        <v>273</v>
      </c>
      <c r="B589" s="95">
        <f t="shared" si="189"/>
        <v>8476.0393034623248</v>
      </c>
      <c r="C589" s="95">
        <f t="shared" si="190"/>
        <v>6883.5855396563566</v>
      </c>
      <c r="D589" s="95">
        <f t="shared" si="191"/>
        <v>-130.14621969507562</v>
      </c>
      <c r="E589" s="95">
        <f t="shared" si="192"/>
        <v>121.95255073521787</v>
      </c>
      <c r="F589" s="96">
        <f t="shared" si="193"/>
        <v>232.86765683531905</v>
      </c>
      <c r="G589" s="94">
        <f t="shared" si="194"/>
        <v>-215.03671450971945</v>
      </c>
      <c r="H589" s="97">
        <f t="shared" si="195"/>
        <v>767.94930753957908</v>
      </c>
      <c r="I589" s="94">
        <f t="shared" si="196"/>
        <v>310.62156593261039</v>
      </c>
      <c r="J589" s="95">
        <f t="shared" si="197"/>
        <v>-198.03210340584872</v>
      </c>
      <c r="K589" s="94">
        <f t="shared" si="198"/>
        <v>21.67261057935178</v>
      </c>
      <c r="L589" s="94">
        <f t="shared" si="199"/>
        <v>-337.04954729841131</v>
      </c>
      <c r="M589" s="94">
        <f t="shared" si="200"/>
        <v>-547.33089102168162</v>
      </c>
      <c r="N589" s="99">
        <f t="shared" si="201"/>
        <v>1608.4810224015721</v>
      </c>
      <c r="O589" s="99">
        <f t="shared" si="202"/>
        <v>28717.432156733201</v>
      </c>
      <c r="P589" s="100">
        <f t="shared" si="203"/>
        <v>25682.445376009575</v>
      </c>
      <c r="Q589" s="95">
        <f t="shared" si="204"/>
        <v>1039058108306.1039</v>
      </c>
      <c r="R589" s="95">
        <f t="shared" si="205"/>
        <v>25824785660840.246</v>
      </c>
      <c r="S589" s="95">
        <f t="shared" si="206"/>
        <v>20934719348429.41</v>
      </c>
      <c r="T589">
        <f t="shared" si="188"/>
        <v>0.5</v>
      </c>
    </row>
    <row r="590" spans="1:20" x14ac:dyDescent="0.25">
      <c r="A590">
        <v>273.5</v>
      </c>
      <c r="B590" s="95">
        <f t="shared" si="189"/>
        <v>8469.1831078236173</v>
      </c>
      <c r="C590" s="95">
        <f t="shared" si="190"/>
        <v>6890.8026363965355</v>
      </c>
      <c r="D590" s="95">
        <f t="shared" si="191"/>
        <v>-13.712391277416089</v>
      </c>
      <c r="E590" s="95">
        <f t="shared" si="192"/>
        <v>14.434193480358147</v>
      </c>
      <c r="F590" s="96">
        <f t="shared" si="193"/>
        <v>234.44673202770196</v>
      </c>
      <c r="G590" s="94">
        <f t="shared" si="194"/>
        <v>-218.28863546675336</v>
      </c>
      <c r="H590" s="97">
        <f t="shared" si="195"/>
        <v>770.10657904858897</v>
      </c>
      <c r="I590" s="94">
        <f t="shared" si="196"/>
        <v>306.46833076364288</v>
      </c>
      <c r="J590" s="95">
        <f t="shared" si="197"/>
        <v>-199.38423143870463</v>
      </c>
      <c r="K590" s="94">
        <f t="shared" si="198"/>
        <v>21.775297323615927</v>
      </c>
      <c r="L590" s="94">
        <f t="shared" si="199"/>
        <v>-336.27561558218235</v>
      </c>
      <c r="M590" s="94">
        <f t="shared" si="200"/>
        <v>-546.53226355401216</v>
      </c>
      <c r="N590" s="99">
        <f t="shared" si="201"/>
        <v>1643.9048000149953</v>
      </c>
      <c r="O590" s="99">
        <f t="shared" si="202"/>
        <v>28646.061745045692</v>
      </c>
      <c r="P590" s="100">
        <f t="shared" si="203"/>
        <v>25700.096330168068</v>
      </c>
      <c r="Q590" s="95">
        <f t="shared" si="204"/>
        <v>1040808989580.3567</v>
      </c>
      <c r="R590" s="95">
        <f t="shared" si="205"/>
        <v>25643478690982.25</v>
      </c>
      <c r="S590" s="95">
        <f t="shared" si="206"/>
        <v>20972224737009.48</v>
      </c>
      <c r="T590">
        <f t="shared" si="188"/>
        <v>0.5</v>
      </c>
    </row>
    <row r="591" spans="1:20" x14ac:dyDescent="0.25">
      <c r="A591">
        <v>274</v>
      </c>
      <c r="B591" s="95">
        <f t="shared" si="189"/>
        <v>8520.9385951918357</v>
      </c>
      <c r="C591" s="95">
        <f t="shared" si="190"/>
        <v>6843.4475742700261</v>
      </c>
      <c r="D591" s="95">
        <f t="shared" si="191"/>
        <v>103.51097473643489</v>
      </c>
      <c r="E591" s="95">
        <f t="shared" si="192"/>
        <v>-94.710124253018535</v>
      </c>
      <c r="F591" s="96">
        <f t="shared" si="193"/>
        <v>206.56130109782492</v>
      </c>
      <c r="G591" s="94">
        <f t="shared" si="194"/>
        <v>-192.85250629790818</v>
      </c>
      <c r="H591" s="97">
        <f t="shared" si="195"/>
        <v>743.93853320238441</v>
      </c>
      <c r="I591" s="94">
        <f t="shared" si="196"/>
        <v>330.23284021894597</v>
      </c>
      <c r="J591" s="95">
        <f t="shared" si="197"/>
        <v>-199.89679845606034</v>
      </c>
      <c r="K591" s="94">
        <f t="shared" si="198"/>
        <v>22.123560974550351</v>
      </c>
      <c r="L591" s="94">
        <f t="shared" si="199"/>
        <v>-337.48043364849917</v>
      </c>
      <c r="M591" s="94">
        <f t="shared" si="200"/>
        <v>-545.20890749140449</v>
      </c>
      <c r="N591" s="99">
        <f t="shared" si="201"/>
        <v>1647.5805853414183</v>
      </c>
      <c r="O591" s="99">
        <f t="shared" si="202"/>
        <v>28638.461814012084</v>
      </c>
      <c r="P591" s="100">
        <f t="shared" si="203"/>
        <v>25702.648378284804</v>
      </c>
      <c r="Q591" s="95">
        <f t="shared" si="204"/>
        <v>1040992912759.3313</v>
      </c>
      <c r="R591" s="95">
        <f t="shared" si="205"/>
        <v>25624223721668.418</v>
      </c>
      <c r="S591" s="95">
        <f t="shared" si="206"/>
        <v>20977651405876.434</v>
      </c>
      <c r="T591">
        <f t="shared" si="188"/>
        <v>0.5</v>
      </c>
    </row>
    <row r="592" spans="1:20" x14ac:dyDescent="0.25">
      <c r="A592">
        <v>274.5</v>
      </c>
      <c r="B592" s="95">
        <f t="shared" si="189"/>
        <v>8624.334407834509</v>
      </c>
      <c r="C592" s="95">
        <f t="shared" si="190"/>
        <v>6747.8793855690392</v>
      </c>
      <c r="D592" s="95">
        <f t="shared" si="191"/>
        <v>206.79162528534735</v>
      </c>
      <c r="E592" s="95">
        <f t="shared" si="192"/>
        <v>-191.13637740197262</v>
      </c>
      <c r="F592" s="96">
        <f t="shared" si="193"/>
        <v>152.88552166539625</v>
      </c>
      <c r="G592" s="94">
        <f t="shared" si="194"/>
        <v>-142.04791063644814</v>
      </c>
      <c r="H592" s="97">
        <f t="shared" si="195"/>
        <v>692.90203632398391</v>
      </c>
      <c r="I592" s="94">
        <f t="shared" si="196"/>
        <v>378.83182385924312</v>
      </c>
      <c r="J592" s="95">
        <f t="shared" si="197"/>
        <v>-199.50273701629123</v>
      </c>
      <c r="K592" s="94">
        <f t="shared" si="198"/>
        <v>22.666272495352771</v>
      </c>
      <c r="L592" s="94">
        <f t="shared" si="199"/>
        <v>-340.51377764229642</v>
      </c>
      <c r="M592" s="94">
        <f t="shared" si="200"/>
        <v>-543.54600699104401</v>
      </c>
      <c r="N592" s="99">
        <f t="shared" si="201"/>
        <v>1618.2347564321481</v>
      </c>
      <c r="O592" s="99">
        <f t="shared" si="202"/>
        <v>28695.082532850207</v>
      </c>
      <c r="P592" s="100">
        <f t="shared" si="203"/>
        <v>25689.530599542515</v>
      </c>
      <c r="Q592" s="95">
        <f t="shared" si="204"/>
        <v>1039536300848.4027</v>
      </c>
      <c r="R592" s="95">
        <f t="shared" si="205"/>
        <v>25767915110522.234</v>
      </c>
      <c r="S592" s="95">
        <f t="shared" si="206"/>
        <v>20949768504749.695</v>
      </c>
      <c r="T592">
        <f t="shared" si="188"/>
        <v>0.5</v>
      </c>
    </row>
    <row r="593" spans="1:20" x14ac:dyDescent="0.25">
      <c r="A593">
        <v>275</v>
      </c>
      <c r="B593" s="95">
        <f t="shared" si="189"/>
        <v>8765.9516008935316</v>
      </c>
      <c r="C593" s="95">
        <f t="shared" si="190"/>
        <v>6616.7992192089414</v>
      </c>
      <c r="D593" s="95">
        <f t="shared" si="191"/>
        <v>283.23438611804545</v>
      </c>
      <c r="E593" s="95">
        <f t="shared" si="192"/>
        <v>-262.16033272019672</v>
      </c>
      <c r="F593" s="96">
        <f t="shared" si="193"/>
        <v>79.792071886365932</v>
      </c>
      <c r="G593" s="94">
        <f t="shared" si="194"/>
        <v>-72.503798766053819</v>
      </c>
      <c r="H593" s="97">
        <f t="shared" si="195"/>
        <v>623.03307986932043</v>
      </c>
      <c r="I593" s="94">
        <f t="shared" si="196"/>
        <v>445.90090874690833</v>
      </c>
      <c r="J593" s="95">
        <f t="shared" si="197"/>
        <v>-198.26266442330689</v>
      </c>
      <c r="K593" s="94">
        <f t="shared" si="198"/>
        <v>23.317928444884551</v>
      </c>
      <c r="L593" s="94">
        <f t="shared" si="199"/>
        <v>-344.97834355964761</v>
      </c>
      <c r="M593" s="94">
        <f t="shared" si="200"/>
        <v>-541.72263595784671</v>
      </c>
      <c r="N593" s="99">
        <f t="shared" si="201"/>
        <v>1567.8460511542698</v>
      </c>
      <c r="O593" s="99">
        <f t="shared" si="202"/>
        <v>28808.485013661262</v>
      </c>
      <c r="P593" s="100">
        <f t="shared" si="203"/>
        <v>25663.061894983653</v>
      </c>
      <c r="Q593" s="95">
        <f t="shared" si="204"/>
        <v>1037097790917.8037</v>
      </c>
      <c r="R593" s="95">
        <f t="shared" si="205"/>
        <v>26057368182601.566</v>
      </c>
      <c r="S593" s="95">
        <f t="shared" si="206"/>
        <v>20893588069324.828</v>
      </c>
      <c r="T593">
        <f>A594-A593</f>
        <v>0.5</v>
      </c>
    </row>
    <row r="594" spans="1:20" x14ac:dyDescent="0.25">
      <c r="A594">
        <v>275.5</v>
      </c>
      <c r="B594" s="95">
        <f t="shared" si="189"/>
        <v>8927.5168119241462</v>
      </c>
      <c r="C594" s="95">
        <f t="shared" si="190"/>
        <v>6467.5931031573291</v>
      </c>
      <c r="D594" s="95">
        <f t="shared" si="191"/>
        <v>323.13042206122839</v>
      </c>
      <c r="E594" s="95">
        <f t="shared" si="192"/>
        <v>-298.41223210322363</v>
      </c>
      <c r="F594" s="96">
        <f t="shared" si="193"/>
        <v>-3.9338241290220139</v>
      </c>
      <c r="G594" s="94">
        <f t="shared" si="194"/>
        <v>6.4847306402639333</v>
      </c>
      <c r="H594" s="97">
        <f t="shared" si="195"/>
        <v>542.69656977418379</v>
      </c>
      <c r="I594" s="94">
        <f t="shared" si="196"/>
        <v>522.41721619239013</v>
      </c>
      <c r="J594" s="95">
        <f t="shared" si="197"/>
        <v>-196.3535345799379</v>
      </c>
      <c r="K594" s="94">
        <f t="shared" si="198"/>
        <v>23.977190447390946</v>
      </c>
      <c r="L594" s="94">
        <f t="shared" si="199"/>
        <v>-350.2768593232679</v>
      </c>
      <c r="M594" s="94">
        <f t="shared" si="200"/>
        <v>-539.90967599951716</v>
      </c>
      <c r="N594" s="99">
        <f t="shared" si="201"/>
        <v>1517.5371727002846</v>
      </c>
      <c r="O594" s="99">
        <f t="shared" si="202"/>
        <v>28964.219634371202</v>
      </c>
      <c r="P594" s="100">
        <f t="shared" si="203"/>
        <v>25627.864365993035</v>
      </c>
      <c r="Q594" s="95">
        <f t="shared" si="204"/>
        <v>1034741908097.8134</v>
      </c>
      <c r="R594" s="95">
        <f t="shared" si="205"/>
        <v>26458497214045.035</v>
      </c>
      <c r="S594" s="95">
        <f t="shared" si="206"/>
        <v>20819048006588.629</v>
      </c>
      <c r="T594">
        <f t="shared" ref="T594:T657" si="207">A595-A594</f>
        <v>0.5</v>
      </c>
    </row>
    <row r="595" spans="1:20" x14ac:dyDescent="0.25">
      <c r="A595">
        <v>276</v>
      </c>
      <c r="B595" s="95">
        <f t="shared" si="189"/>
        <v>9088.0985669225047</v>
      </c>
      <c r="C595" s="95">
        <f t="shared" si="190"/>
        <v>6320.0081697657834</v>
      </c>
      <c r="D595" s="95">
        <f t="shared" si="191"/>
        <v>321.16350999671738</v>
      </c>
      <c r="E595" s="95">
        <f t="shared" si="192"/>
        <v>-295.16986678309166</v>
      </c>
      <c r="F595" s="96">
        <f t="shared" si="193"/>
        <v>-87.704891909448691</v>
      </c>
      <c r="G595" s="94">
        <f t="shared" si="194"/>
        <v>84.125885886050924</v>
      </c>
      <c r="H595" s="97">
        <f t="shared" si="195"/>
        <v>462.02732514841142</v>
      </c>
      <c r="I595" s="94">
        <f t="shared" si="196"/>
        <v>597.85898918941848</v>
      </c>
      <c r="J595" s="95">
        <f t="shared" si="197"/>
        <v>-194.03993160676018</v>
      </c>
      <c r="K595" s="94">
        <f t="shared" si="198"/>
        <v>24.548368516052889</v>
      </c>
      <c r="L595" s="94">
        <f t="shared" si="199"/>
        <v>-355.69228545109996</v>
      </c>
      <c r="M595" s="94">
        <f t="shared" si="200"/>
        <v>-538.2814718194204</v>
      </c>
      <c r="N595" s="99">
        <f t="shared" si="201"/>
        <v>1488.6518025897328</v>
      </c>
      <c r="O595" s="99">
        <f t="shared" si="202"/>
        <v>29142.393988638196</v>
      </c>
      <c r="P595" s="100">
        <f t="shared" si="203"/>
        <v>25589.710396742626</v>
      </c>
      <c r="Q595" s="95">
        <f t="shared" si="204"/>
        <v>1033424751820.3357</v>
      </c>
      <c r="R595" s="95">
        <f t="shared" si="205"/>
        <v>26922597761842.727</v>
      </c>
      <c r="S595" s="95">
        <f t="shared" si="206"/>
        <v>20738462603409.16</v>
      </c>
      <c r="T595">
        <f t="shared" si="207"/>
        <v>0.5</v>
      </c>
    </row>
    <row r="596" spans="1:20" x14ac:dyDescent="0.25">
      <c r="A596">
        <v>276.5</v>
      </c>
      <c r="B596" s="95">
        <f t="shared" si="189"/>
        <v>9226.7540989435001</v>
      </c>
      <c r="C596" s="95">
        <f t="shared" si="190"/>
        <v>6193.4547078457499</v>
      </c>
      <c r="D596" s="95">
        <f t="shared" si="191"/>
        <v>277.31106404199306</v>
      </c>
      <c r="E596" s="95">
        <f t="shared" si="192"/>
        <v>-253.1069238400662</v>
      </c>
      <c r="F596" s="96">
        <f t="shared" si="193"/>
        <v>-160.39621660160884</v>
      </c>
      <c r="G596" s="94">
        <f t="shared" si="194"/>
        <v>149.83825544846343</v>
      </c>
      <c r="H596" s="97">
        <f t="shared" si="195"/>
        <v>391.73041576552055</v>
      </c>
      <c r="I596" s="94">
        <f t="shared" si="196"/>
        <v>661.90267521983344</v>
      </c>
      <c r="J596" s="95">
        <f t="shared" si="197"/>
        <v>-191.63346075316895</v>
      </c>
      <c r="K596" s="94">
        <f t="shared" si="198"/>
        <v>24.958688377768588</v>
      </c>
      <c r="L596" s="94">
        <f t="shared" si="199"/>
        <v>-360.49317161396044</v>
      </c>
      <c r="M596" s="94">
        <f t="shared" si="200"/>
        <v>-537.02310814913858</v>
      </c>
      <c r="N596" s="99">
        <f t="shared" si="201"/>
        <v>1491.2896911962766</v>
      </c>
      <c r="O596" s="99">
        <f t="shared" si="202"/>
        <v>29319.955970457897</v>
      </c>
      <c r="P596" s="100">
        <f t="shared" si="203"/>
        <v>25554.202581771238</v>
      </c>
      <c r="Q596" s="95">
        <f t="shared" si="204"/>
        <v>1033543964765.6348</v>
      </c>
      <c r="R596" s="95">
        <f t="shared" si="205"/>
        <v>27390627722661.676</v>
      </c>
      <c r="S596" s="95">
        <f t="shared" si="206"/>
        <v>20663667479732.152</v>
      </c>
      <c r="T596">
        <f t="shared" si="207"/>
        <v>0.5</v>
      </c>
    </row>
    <row r="597" spans="1:20" x14ac:dyDescent="0.25">
      <c r="A597">
        <v>277</v>
      </c>
      <c r="B597" s="95">
        <f t="shared" si="189"/>
        <v>9325.3105768140958</v>
      </c>
      <c r="C597" s="95">
        <f t="shared" si="190"/>
        <v>6104.3608097878323</v>
      </c>
      <c r="D597" s="95">
        <f t="shared" si="191"/>
        <v>197.11295574118864</v>
      </c>
      <c r="E597" s="95">
        <f t="shared" si="192"/>
        <v>-178.18779611583449</v>
      </c>
      <c r="F597" s="96">
        <f t="shared" si="193"/>
        <v>-212.09701076955284</v>
      </c>
      <c r="G597" s="94">
        <f t="shared" si="194"/>
        <v>195.04657717356736</v>
      </c>
      <c r="H597" s="97">
        <f t="shared" si="195"/>
        <v>341.39521273393331</v>
      </c>
      <c r="I597" s="94">
        <f t="shared" si="196"/>
        <v>706.19832158093914</v>
      </c>
      <c r="J597" s="95">
        <f t="shared" si="197"/>
        <v>-189.44767300712621</v>
      </c>
      <c r="K597" s="94">
        <f t="shared" si="198"/>
        <v>25.166648364316806</v>
      </c>
      <c r="L597" s="94">
        <f t="shared" si="199"/>
        <v>-364.04455049635993</v>
      </c>
      <c r="M597" s="94">
        <f t="shared" si="200"/>
        <v>-536.31839277168854</v>
      </c>
      <c r="N597" s="99">
        <f t="shared" si="201"/>
        <v>1518.2127070839294</v>
      </c>
      <c r="O597" s="99">
        <f t="shared" si="202"/>
        <v>29473.597374961417</v>
      </c>
      <c r="P597" s="100">
        <f t="shared" si="203"/>
        <v>25525.733185264529</v>
      </c>
      <c r="Q597" s="95">
        <f t="shared" si="204"/>
        <v>1034773021742.928</v>
      </c>
      <c r="R597" s="95">
        <f t="shared" si="205"/>
        <v>27800082675274.504</v>
      </c>
      <c r="S597" s="95">
        <f t="shared" si="206"/>
        <v>20603838370491.469</v>
      </c>
      <c r="T597">
        <f t="shared" si="207"/>
        <v>0.5</v>
      </c>
    </row>
    <row r="598" spans="1:20" x14ac:dyDescent="0.25">
      <c r="A598">
        <v>277.5</v>
      </c>
      <c r="B598" s="95">
        <f t="shared" si="189"/>
        <v>9370.8428019923012</v>
      </c>
      <c r="C598" s="95">
        <f t="shared" si="190"/>
        <v>6064.0285560233069</v>
      </c>
      <c r="D598" s="95">
        <f t="shared" si="191"/>
        <v>91.064450356412223</v>
      </c>
      <c r="E598" s="95">
        <f t="shared" si="192"/>
        <v>-80.664507529050809</v>
      </c>
      <c r="F598" s="96">
        <f t="shared" si="193"/>
        <v>-235.75656542831075</v>
      </c>
      <c r="G598" s="94">
        <f t="shared" si="194"/>
        <v>214.40969605892008</v>
      </c>
      <c r="H598" s="97">
        <f t="shared" si="195"/>
        <v>317.89864687733723</v>
      </c>
      <c r="I598" s="94">
        <f t="shared" si="196"/>
        <v>725.56330983771227</v>
      </c>
      <c r="J598" s="95">
        <f t="shared" si="197"/>
        <v>-187.75674975702788</v>
      </c>
      <c r="K598" s="94">
        <f t="shared" si="198"/>
        <v>25.161184867579323</v>
      </c>
      <c r="L598" s="94">
        <f t="shared" si="199"/>
        <v>-365.8984625486201</v>
      </c>
      <c r="M598" s="94">
        <f t="shared" si="200"/>
        <v>-536.31479864637151</v>
      </c>
      <c r="N598" s="99">
        <f t="shared" si="201"/>
        <v>1550.1659804727374</v>
      </c>
      <c r="O598" s="99">
        <f t="shared" si="202"/>
        <v>29582.931652000305</v>
      </c>
      <c r="P598" s="100">
        <f t="shared" si="203"/>
        <v>25507.029782236314</v>
      </c>
      <c r="Q598" s="95">
        <f t="shared" si="204"/>
        <v>1036260901930.791</v>
      </c>
      <c r="R598" s="95">
        <f t="shared" si="205"/>
        <v>28094000939059.785</v>
      </c>
      <c r="S598" s="95">
        <f t="shared" si="206"/>
        <v>20564600471473.535</v>
      </c>
      <c r="T598">
        <f t="shared" si="207"/>
        <v>0.5</v>
      </c>
    </row>
    <row r="599" spans="1:20" x14ac:dyDescent="0.25">
      <c r="A599">
        <v>278</v>
      </c>
      <c r="B599" s="95">
        <f t="shared" si="189"/>
        <v>9357.4358858134292</v>
      </c>
      <c r="C599" s="95">
        <f t="shared" si="190"/>
        <v>6077.2987262735114</v>
      </c>
      <c r="D599" s="95">
        <f t="shared" si="191"/>
        <v>-26.813832357743152</v>
      </c>
      <c r="E599" s="95">
        <f t="shared" si="192"/>
        <v>26.540340500409229</v>
      </c>
      <c r="F599" s="96">
        <f t="shared" si="193"/>
        <v>-228.19740042133847</v>
      </c>
      <c r="G599" s="94">
        <f t="shared" si="194"/>
        <v>206.16070931755553</v>
      </c>
      <c r="H599" s="97">
        <f t="shared" si="195"/>
        <v>324.4122273568816</v>
      </c>
      <c r="I599" s="94">
        <f t="shared" si="196"/>
        <v>718.28114717759104</v>
      </c>
      <c r="J599" s="95">
        <f t="shared" si="197"/>
        <v>-186.76439943855027</v>
      </c>
      <c r="K599" s="94">
        <f t="shared" si="198"/>
        <v>24.955208977170678</v>
      </c>
      <c r="L599" s="94">
        <f t="shared" si="199"/>
        <v>-365.8452283396698</v>
      </c>
      <c r="M599" s="94">
        <f t="shared" si="200"/>
        <v>-537.07564683720614</v>
      </c>
      <c r="N599" s="99">
        <f t="shared" si="201"/>
        <v>1567.7540520507059</v>
      </c>
      <c r="O599" s="99">
        <f t="shared" si="202"/>
        <v>29633.398018235152</v>
      </c>
      <c r="P599" s="100">
        <f t="shared" si="203"/>
        <v>25499.302379644414</v>
      </c>
      <c r="Q599" s="95">
        <f t="shared" si="204"/>
        <v>1037093410974.8409</v>
      </c>
      <c r="R599" s="95">
        <f t="shared" si="205"/>
        <v>28230382840838.156</v>
      </c>
      <c r="S599" s="95">
        <f t="shared" si="206"/>
        <v>20548404812221.074</v>
      </c>
      <c r="T599">
        <f t="shared" si="207"/>
        <v>0.5</v>
      </c>
    </row>
    <row r="600" spans="1:20" x14ac:dyDescent="0.25">
      <c r="A600">
        <v>278.5</v>
      </c>
      <c r="B600" s="95">
        <f t="shared" si="189"/>
        <v>9286.979619529222</v>
      </c>
      <c r="C600" s="95">
        <f t="shared" si="190"/>
        <v>6142.1090738531047</v>
      </c>
      <c r="D600" s="95">
        <f t="shared" si="191"/>
        <v>-140.91253256841239</v>
      </c>
      <c r="E600" s="95">
        <f t="shared" si="192"/>
        <v>129.62069515918699</v>
      </c>
      <c r="F600" s="96">
        <f t="shared" si="193"/>
        <v>-190.4148502362834</v>
      </c>
      <c r="G600" s="94">
        <f t="shared" si="194"/>
        <v>171.80862488588889</v>
      </c>
      <c r="H600" s="97">
        <f t="shared" si="195"/>
        <v>360.09367704509663</v>
      </c>
      <c r="I600" s="94">
        <f t="shared" si="196"/>
        <v>685.76993030628648</v>
      </c>
      <c r="J600" s="95">
        <f t="shared" si="197"/>
        <v>-186.5852754807938</v>
      </c>
      <c r="K600" s="94">
        <f t="shared" si="198"/>
        <v>24.578350194568269</v>
      </c>
      <c r="L600" s="94">
        <f t="shared" si="199"/>
        <v>-363.92325180058623</v>
      </c>
      <c r="M600" s="94">
        <f t="shared" si="200"/>
        <v>-538.53965561496591</v>
      </c>
      <c r="N600" s="99">
        <f t="shared" si="201"/>
        <v>1561.0789714499856</v>
      </c>
      <c r="O600" s="99">
        <f t="shared" si="202"/>
        <v>29618.3494994664</v>
      </c>
      <c r="P600" s="100">
        <f t="shared" si="203"/>
        <v>25502.715283118661</v>
      </c>
      <c r="Q600" s="95">
        <f t="shared" si="204"/>
        <v>1036776322357.8553</v>
      </c>
      <c r="R600" s="95">
        <f t="shared" si="205"/>
        <v>28189667883349.961</v>
      </c>
      <c r="S600" s="95">
        <f t="shared" si="206"/>
        <v>20555556697109.34</v>
      </c>
      <c r="T600">
        <f t="shared" si="207"/>
        <v>0.5</v>
      </c>
    </row>
    <row r="601" spans="1:20" x14ac:dyDescent="0.25">
      <c r="A601">
        <v>279</v>
      </c>
      <c r="B601" s="95">
        <f t="shared" si="189"/>
        <v>9168.9196406859464</v>
      </c>
      <c r="C601" s="95">
        <f t="shared" si="190"/>
        <v>6249.8715776541703</v>
      </c>
      <c r="D601" s="95">
        <f t="shared" si="191"/>
        <v>-236.11995768655407</v>
      </c>
      <c r="E601" s="95">
        <f t="shared" si="192"/>
        <v>215.52500760213144</v>
      </c>
      <c r="F601" s="96">
        <f t="shared" si="193"/>
        <v>-127.39754349180336</v>
      </c>
      <c r="G601" s="94">
        <f t="shared" si="194"/>
        <v>115.6946810443967</v>
      </c>
      <c r="H601" s="97">
        <f t="shared" si="195"/>
        <v>420.23812413653309</v>
      </c>
      <c r="I601" s="94">
        <f t="shared" si="196"/>
        <v>632.13095731197768</v>
      </c>
      <c r="J601" s="95">
        <f t="shared" si="197"/>
        <v>-187.23712627514126</v>
      </c>
      <c r="K601" s="94">
        <f t="shared" si="198"/>
        <v>24.072309760261316</v>
      </c>
      <c r="L601" s="94">
        <f t="shared" si="199"/>
        <v>-360.39854135319518</v>
      </c>
      <c r="M601" s="94">
        <f t="shared" si="200"/>
        <v>-540.50858602784228</v>
      </c>
      <c r="N601" s="99">
        <f t="shared" si="201"/>
        <v>1533.7098259705992</v>
      </c>
      <c r="O601" s="99">
        <f t="shared" si="202"/>
        <v>29539.981341103899</v>
      </c>
      <c r="P601" s="100">
        <f t="shared" si="203"/>
        <v>25516.789820421083</v>
      </c>
      <c r="Q601" s="95">
        <f t="shared" si="204"/>
        <v>1035490674375.9734</v>
      </c>
      <c r="R601" s="95">
        <f t="shared" si="205"/>
        <v>27978286909414.633</v>
      </c>
      <c r="S601" s="95">
        <f t="shared" si="206"/>
        <v>20585069372251.711</v>
      </c>
      <c r="T601">
        <f t="shared" si="207"/>
        <v>0.5</v>
      </c>
    </row>
    <row r="602" spans="1:20" x14ac:dyDescent="0.25">
      <c r="A602">
        <v>279.5</v>
      </c>
      <c r="B602" s="95">
        <f t="shared" si="189"/>
        <v>9019.0102759697184</v>
      </c>
      <c r="C602" s="95">
        <f t="shared" si="190"/>
        <v>6386.5577517163347</v>
      </c>
      <c r="D602" s="95">
        <f t="shared" si="191"/>
        <v>-299.81872943245577</v>
      </c>
      <c r="E602" s="95">
        <f t="shared" si="192"/>
        <v>273.37234812432979</v>
      </c>
      <c r="F602" s="96">
        <f t="shared" si="193"/>
        <v>-47.607948132652893</v>
      </c>
      <c r="G602" s="94">
        <f t="shared" si="194"/>
        <v>44.645685526954708</v>
      </c>
      <c r="H602" s="97">
        <f t="shared" si="195"/>
        <v>496.75895800705683</v>
      </c>
      <c r="I602" s="94">
        <f t="shared" si="196"/>
        <v>563.8309938518322</v>
      </c>
      <c r="J602" s="95">
        <f t="shared" si="197"/>
        <v>-188.64049354788145</v>
      </c>
      <c r="K602" s="94">
        <f t="shared" si="198"/>
        <v>23.48948233039691</v>
      </c>
      <c r="L602" s="94">
        <f t="shared" si="199"/>
        <v>-355.72641259182825</v>
      </c>
      <c r="M602" s="94">
        <f t="shared" si="200"/>
        <v>-542.67479065527436</v>
      </c>
      <c r="N602" s="99">
        <f t="shared" si="201"/>
        <v>1501.1714212555639</v>
      </c>
      <c r="O602" s="99">
        <f t="shared" si="202"/>
        <v>29409.000938299152</v>
      </c>
      <c r="P602" s="100">
        <f t="shared" si="203"/>
        <v>25540.464479938702</v>
      </c>
      <c r="Q602" s="95">
        <f t="shared" si="204"/>
        <v>1033992462737.7767</v>
      </c>
      <c r="R602" s="95">
        <f t="shared" si="205"/>
        <v>27627425382453.332</v>
      </c>
      <c r="S602" s="95">
        <f t="shared" si="206"/>
        <v>20634780988332.875</v>
      </c>
      <c r="T602">
        <f t="shared" si="207"/>
        <v>0.5</v>
      </c>
    </row>
    <row r="603" spans="1:20" x14ac:dyDescent="0.25">
      <c r="A603">
        <v>280</v>
      </c>
      <c r="B603" s="95">
        <f t="shared" si="189"/>
        <v>8857.1989242203272</v>
      </c>
      <c r="C603" s="95">
        <f t="shared" si="190"/>
        <v>6534.4053471602383</v>
      </c>
      <c r="D603" s="95">
        <f t="shared" si="191"/>
        <v>-323.62270349878224</v>
      </c>
      <c r="E603" s="95">
        <f t="shared" si="192"/>
        <v>295.69519088780714</v>
      </c>
      <c r="F603" s="96">
        <f t="shared" si="193"/>
        <v>38.009781987957524</v>
      </c>
      <c r="G603" s="94">
        <f t="shared" si="194"/>
        <v>-32.460263083095924</v>
      </c>
      <c r="H603" s="97">
        <f t="shared" si="195"/>
        <v>579.13467514774788</v>
      </c>
      <c r="I603" s="94">
        <f t="shared" si="196"/>
        <v>489.33218339441862</v>
      </c>
      <c r="J603" s="95">
        <f t="shared" si="197"/>
        <v>-190.62464005988917</v>
      </c>
      <c r="K603" s="94">
        <f t="shared" si="198"/>
        <v>22.892995783335724</v>
      </c>
      <c r="L603" s="94">
        <f t="shared" si="199"/>
        <v>-350.50025309990116</v>
      </c>
      <c r="M603" s="94">
        <f t="shared" si="200"/>
        <v>-544.68544226085032</v>
      </c>
      <c r="N603" s="99">
        <f t="shared" si="201"/>
        <v>1483.9455781517029</v>
      </c>
      <c r="O603" s="99">
        <f t="shared" si="202"/>
        <v>29243.117519828789</v>
      </c>
      <c r="P603" s="100">
        <f t="shared" si="203"/>
        <v>25571.810682570809</v>
      </c>
      <c r="Q603" s="95">
        <f t="shared" si="204"/>
        <v>1033212600986.1185</v>
      </c>
      <c r="R603" s="95">
        <f t="shared" si="205"/>
        <v>27187412648101.258</v>
      </c>
      <c r="S603" s="95">
        <f t="shared" si="206"/>
        <v>20700733667874.984</v>
      </c>
      <c r="T603">
        <f t="shared" si="207"/>
        <v>0.5</v>
      </c>
    </row>
    <row r="604" spans="1:20" x14ac:dyDescent="0.25">
      <c r="A604">
        <v>280.5</v>
      </c>
      <c r="B604" s="95">
        <f t="shared" si="189"/>
        <v>8704.8900179679258</v>
      </c>
      <c r="C604" s="95">
        <f t="shared" si="190"/>
        <v>6674.137876833368</v>
      </c>
      <c r="D604" s="95">
        <f t="shared" si="191"/>
        <v>-304.61781250480351</v>
      </c>
      <c r="E604" s="95">
        <f t="shared" si="192"/>
        <v>279.46505934625918</v>
      </c>
      <c r="F604" s="96">
        <f t="shared" si="193"/>
        <v>117.64309702596</v>
      </c>
      <c r="G604" s="94">
        <f t="shared" si="194"/>
        <v>-105.57176378115338</v>
      </c>
      <c r="H604" s="97">
        <f t="shared" si="195"/>
        <v>655.97065981039907</v>
      </c>
      <c r="I604" s="94">
        <f t="shared" si="196"/>
        <v>418.29754180106079</v>
      </c>
      <c r="J604" s="95">
        <f t="shared" si="197"/>
        <v>-192.94156812885774</v>
      </c>
      <c r="K604" s="94">
        <f t="shared" si="198"/>
        <v>22.354973421687724</v>
      </c>
      <c r="L604" s="94">
        <f t="shared" si="199"/>
        <v>-345.38599465558133</v>
      </c>
      <c r="M604" s="94">
        <f t="shared" si="200"/>
        <v>-546.22427900390187</v>
      </c>
      <c r="N604" s="99">
        <f t="shared" si="201"/>
        <v>1496.1174193210629</v>
      </c>
      <c r="O604" s="99">
        <f t="shared" si="202"/>
        <v>29064.553601419968</v>
      </c>
      <c r="P604" s="100">
        <f t="shared" si="203"/>
        <v>25607.666345866357</v>
      </c>
      <c r="Q604" s="95">
        <f t="shared" si="204"/>
        <v>1033762700687.1486</v>
      </c>
      <c r="R604" s="95">
        <f t="shared" si="205"/>
        <v>26719161539982.559</v>
      </c>
      <c r="S604" s="95">
        <f t="shared" si="206"/>
        <v>20776359621278.563</v>
      </c>
      <c r="T604">
        <f t="shared" si="207"/>
        <v>0.5</v>
      </c>
    </row>
    <row r="605" spans="1:20" x14ac:dyDescent="0.25">
      <c r="A605">
        <v>281</v>
      </c>
      <c r="B605" s="95">
        <f t="shared" si="189"/>
        <v>8581.9918859720146</v>
      </c>
      <c r="C605" s="95">
        <f t="shared" si="190"/>
        <v>6787.4774655612091</v>
      </c>
      <c r="D605" s="95">
        <f t="shared" si="191"/>
        <v>-245.79626399182351</v>
      </c>
      <c r="E605" s="95">
        <f t="shared" si="192"/>
        <v>226.67917745568249</v>
      </c>
      <c r="F605" s="96">
        <f t="shared" si="193"/>
        <v>180.61111048299625</v>
      </c>
      <c r="G605" s="94">
        <f t="shared" si="194"/>
        <v>-164.88011148759483</v>
      </c>
      <c r="H605" s="97">
        <f t="shared" si="195"/>
        <v>716.94527610647026</v>
      </c>
      <c r="I605" s="94">
        <f t="shared" si="196"/>
        <v>360.25158116635362</v>
      </c>
      <c r="J605" s="95">
        <f t="shared" si="197"/>
        <v>-195.29143823556785</v>
      </c>
      <c r="K605" s="94">
        <f t="shared" si="198"/>
        <v>21.9501198033241</v>
      </c>
      <c r="L605" s="94">
        <f t="shared" si="199"/>
        <v>-341.04272738790615</v>
      </c>
      <c r="M605" s="94">
        <f t="shared" si="200"/>
        <v>-547.08181245727258</v>
      </c>
      <c r="N605" s="99">
        <f t="shared" si="201"/>
        <v>1536.0202186300858</v>
      </c>
      <c r="O605" s="99">
        <f t="shared" si="202"/>
        <v>28896.921458971181</v>
      </c>
      <c r="P605" s="100">
        <f t="shared" si="203"/>
        <v>25643.561825701589</v>
      </c>
      <c r="Q605" s="95">
        <f t="shared" si="204"/>
        <v>1035598304414.0258</v>
      </c>
      <c r="R605" s="95">
        <f t="shared" si="205"/>
        <v>26284639814050.664</v>
      </c>
      <c r="S605" s="95">
        <f t="shared" si="206"/>
        <v>20852267914196.727</v>
      </c>
      <c r="T605">
        <f t="shared" si="207"/>
        <v>0.5</v>
      </c>
    </row>
    <row r="606" spans="1:20" x14ac:dyDescent="0.25">
      <c r="A606">
        <v>281.5</v>
      </c>
      <c r="B606" s="95">
        <f t="shared" si="189"/>
        <v>8504.2465315968529</v>
      </c>
      <c r="C606" s="95">
        <f t="shared" si="190"/>
        <v>6859.5970264171519</v>
      </c>
      <c r="D606" s="95">
        <f t="shared" si="191"/>
        <v>-155.49070875032538</v>
      </c>
      <c r="E606" s="95">
        <f t="shared" si="192"/>
        <v>144.23912171188508</v>
      </c>
      <c r="F606" s="96">
        <f t="shared" si="193"/>
        <v>219.09591333456694</v>
      </c>
      <c r="G606" s="94">
        <f t="shared" si="194"/>
        <v>-202.40989098128875</v>
      </c>
      <c r="H606" s="97">
        <f t="shared" si="195"/>
        <v>754.49381986947731</v>
      </c>
      <c r="I606" s="94">
        <f t="shared" si="196"/>
        <v>323.03457488227235</v>
      </c>
      <c r="J606" s="95">
        <f t="shared" si="197"/>
        <v>-197.36032162156511</v>
      </c>
      <c r="K606" s="94">
        <f t="shared" si="198"/>
        <v>21.743810705559063</v>
      </c>
      <c r="L606" s="94">
        <f t="shared" si="199"/>
        <v>-338.03758491334531</v>
      </c>
      <c r="M606" s="94">
        <f t="shared" si="200"/>
        <v>-547.18827656912015</v>
      </c>
      <c r="N606" s="99">
        <f t="shared" si="201"/>
        <v>1586.9578991051658</v>
      </c>
      <c r="O606" s="99">
        <f t="shared" si="202"/>
        <v>28761.963792551564</v>
      </c>
      <c r="P606" s="100">
        <f t="shared" si="203"/>
        <v>25674.202575794774</v>
      </c>
      <c r="Q606" s="95">
        <f t="shared" si="204"/>
        <v>1038013385965.5481</v>
      </c>
      <c r="R606" s="95">
        <f t="shared" si="205"/>
        <v>25938357021359.973</v>
      </c>
      <c r="S606" s="95">
        <f t="shared" si="206"/>
        <v>20917221234834.762</v>
      </c>
      <c r="T606">
        <f t="shared" si="207"/>
        <v>0.5</v>
      </c>
    </row>
    <row r="607" spans="1:20" x14ac:dyDescent="0.25">
      <c r="A607">
        <v>282</v>
      </c>
      <c r="B607" s="95">
        <f t="shared" si="189"/>
        <v>8481.2751555553314</v>
      </c>
      <c r="C607" s="95">
        <f t="shared" si="190"/>
        <v>6881.1141145277725</v>
      </c>
      <c r="D607" s="95">
        <f t="shared" si="191"/>
        <v>-45.94275208304191</v>
      </c>
      <c r="E607" s="95">
        <f t="shared" si="192"/>
        <v>43.034176221240699</v>
      </c>
      <c r="F607" s="96">
        <f t="shared" si="193"/>
        <v>229.00313045381279</v>
      </c>
      <c r="G607" s="94">
        <f t="shared" si="194"/>
        <v>-213.23133595344564</v>
      </c>
      <c r="H607" s="97">
        <f t="shared" si="195"/>
        <v>764.63790840289153</v>
      </c>
      <c r="I607" s="94">
        <f t="shared" si="196"/>
        <v>311.59272249911254</v>
      </c>
      <c r="J607" s="95">
        <f t="shared" si="197"/>
        <v>-198.86578903042965</v>
      </c>
      <c r="K607" s="94">
        <f t="shared" si="198"/>
        <v>21.777104400093044</v>
      </c>
      <c r="L607" s="94">
        <f t="shared" si="199"/>
        <v>-336.76898891864914</v>
      </c>
      <c r="M607" s="94">
        <f t="shared" si="200"/>
        <v>-546.60116285265121</v>
      </c>
      <c r="N607" s="99">
        <f t="shared" si="201"/>
        <v>1627.0815612051531</v>
      </c>
      <c r="O607" s="99">
        <f t="shared" si="202"/>
        <v>28676.718800632319</v>
      </c>
      <c r="P607" s="100">
        <f t="shared" si="203"/>
        <v>25694.486890060507</v>
      </c>
      <c r="Q607" s="95">
        <f t="shared" si="204"/>
        <v>1039972593933.8981</v>
      </c>
      <c r="R607" s="95">
        <f t="shared" si="205"/>
        <v>25721251397590.965</v>
      </c>
      <c r="S607" s="95">
        <f t="shared" si="206"/>
        <v>20960300375690.695</v>
      </c>
      <c r="T607">
        <f t="shared" si="207"/>
        <v>0.5</v>
      </c>
    </row>
    <row r="608" spans="1:20" x14ac:dyDescent="0.25">
      <c r="A608">
        <v>282.5</v>
      </c>
      <c r="B608" s="95">
        <f t="shared" si="189"/>
        <v>8515.5545621272631</v>
      </c>
      <c r="C608" s="95">
        <f t="shared" si="190"/>
        <v>6849.3233686500316</v>
      </c>
      <c r="D608" s="95">
        <f t="shared" si="191"/>
        <v>68.558813143864484</v>
      </c>
      <c r="E608" s="95">
        <f t="shared" si="192"/>
        <v>-63.581491755482119</v>
      </c>
      <c r="F608" s="96">
        <f t="shared" si="193"/>
        <v>209.90662857197367</v>
      </c>
      <c r="G608" s="94">
        <f t="shared" si="194"/>
        <v>-196.010484323659</v>
      </c>
      <c r="H608" s="97">
        <f t="shared" si="195"/>
        <v>746.91901871267703</v>
      </c>
      <c r="I608" s="94">
        <f t="shared" si="196"/>
        <v>327.39684368840659</v>
      </c>
      <c r="J608" s="95">
        <f t="shared" si="197"/>
        <v>-199.6010020729224</v>
      </c>
      <c r="K608" s="94">
        <f t="shared" si="198"/>
        <v>22.053865775433088</v>
      </c>
      <c r="L608" s="94">
        <f t="shared" si="199"/>
        <v>-337.41138806778099</v>
      </c>
      <c r="M608" s="94">
        <f t="shared" si="200"/>
        <v>-545.4611937874987</v>
      </c>
      <c r="N608" s="99">
        <f t="shared" si="201"/>
        <v>1639.9831988073006</v>
      </c>
      <c r="O608" s="99">
        <f t="shared" si="202"/>
        <v>28651.535450182269</v>
      </c>
      <c r="P608" s="100">
        <f t="shared" si="203"/>
        <v>25700.738018834789</v>
      </c>
      <c r="Q608" s="95">
        <f t="shared" si="204"/>
        <v>1040613231474.8805</v>
      </c>
      <c r="R608" s="95">
        <f t="shared" si="205"/>
        <v>25657352867056.559</v>
      </c>
      <c r="S608" s="95">
        <f t="shared" si="206"/>
        <v>20973589127466.633</v>
      </c>
      <c r="T608">
        <f t="shared" si="207"/>
        <v>0.5</v>
      </c>
    </row>
    <row r="609" spans="1:20" x14ac:dyDescent="0.25">
      <c r="A609">
        <v>283</v>
      </c>
      <c r="B609" s="95">
        <f t="shared" si="189"/>
        <v>8602.3106258421885</v>
      </c>
      <c r="C609" s="95">
        <f t="shared" si="190"/>
        <v>6768.5300016913761</v>
      </c>
      <c r="D609" s="95">
        <f t="shared" si="191"/>
        <v>173.51212742985132</v>
      </c>
      <c r="E609" s="95">
        <f t="shared" si="192"/>
        <v>-161.58673391731162</v>
      </c>
      <c r="F609" s="96">
        <f t="shared" si="193"/>
        <v>164.55393201079295</v>
      </c>
      <c r="G609" s="94">
        <f t="shared" si="194"/>
        <v>-153.02123494410586</v>
      </c>
      <c r="H609" s="97">
        <f t="shared" si="195"/>
        <v>703.90994266554787</v>
      </c>
      <c r="I609" s="94">
        <f t="shared" si="196"/>
        <v>368.38586175933563</v>
      </c>
      <c r="J609" s="95">
        <f t="shared" si="197"/>
        <v>-199.46725484054863</v>
      </c>
      <c r="K609" s="94">
        <f t="shared" si="198"/>
        <v>22.535677557457277</v>
      </c>
      <c r="L609" s="94">
        <f t="shared" si="199"/>
        <v>-339.88875581420626</v>
      </c>
      <c r="M609" s="94">
        <f t="shared" si="200"/>
        <v>-543.94277426089877</v>
      </c>
      <c r="N609" s="99">
        <f t="shared" si="201"/>
        <v>1620.7894177240064</v>
      </c>
      <c r="O609" s="99">
        <f t="shared" si="202"/>
        <v>28689.085297739828</v>
      </c>
      <c r="P609" s="100">
        <f t="shared" si="203"/>
        <v>25691.694120662334</v>
      </c>
      <c r="Q609" s="95">
        <f t="shared" si="204"/>
        <v>1039662037169.8597</v>
      </c>
      <c r="R609" s="95">
        <f t="shared" si="205"/>
        <v>25752669270884.086</v>
      </c>
      <c r="S609" s="95">
        <f t="shared" si="206"/>
        <v>20954365412699.59</v>
      </c>
      <c r="T609">
        <f t="shared" si="207"/>
        <v>0.5</v>
      </c>
    </row>
    <row r="610" spans="1:20" x14ac:dyDescent="0.25">
      <c r="A610">
        <v>283.5</v>
      </c>
      <c r="B610" s="95">
        <f t="shared" si="189"/>
        <v>8730.2051725598121</v>
      </c>
      <c r="C610" s="95">
        <f t="shared" si="190"/>
        <v>6649.4813259966941</v>
      </c>
      <c r="D610" s="95">
        <f t="shared" si="191"/>
        <v>255.78909343524779</v>
      </c>
      <c r="E610" s="95">
        <f t="shared" si="192"/>
        <v>-238.09735138936455</v>
      </c>
      <c r="F610" s="96">
        <f t="shared" si="193"/>
        <v>98.427150936410442</v>
      </c>
      <c r="G610" s="94">
        <f t="shared" si="194"/>
        <v>-89.863900506750269</v>
      </c>
      <c r="H610" s="97">
        <f t="shared" si="195"/>
        <v>640.79473822650436</v>
      </c>
      <c r="I610" s="94">
        <f t="shared" si="196"/>
        <v>429.20941185703009</v>
      </c>
      <c r="J610" s="95">
        <f t="shared" si="197"/>
        <v>-198.48839376791611</v>
      </c>
      <c r="K610" s="94">
        <f t="shared" si="198"/>
        <v>23.14773131267097</v>
      </c>
      <c r="L610" s="94">
        <f t="shared" si="199"/>
        <v>-343.87919352217779</v>
      </c>
      <c r="M610" s="94">
        <f t="shared" si="200"/>
        <v>-542.22104367645136</v>
      </c>
      <c r="N610" s="99">
        <f t="shared" si="201"/>
        <v>1577.5246258170657</v>
      </c>
      <c r="O610" s="99">
        <f t="shared" si="202"/>
        <v>28784.276462804028</v>
      </c>
      <c r="P610" s="100">
        <f t="shared" si="203"/>
        <v>25668.886863213153</v>
      </c>
      <c r="Q610" s="95">
        <f t="shared" si="204"/>
        <v>1037560044186.4484</v>
      </c>
      <c r="R610" s="95">
        <f t="shared" si="205"/>
        <v>25995390905021.434</v>
      </c>
      <c r="S610" s="95">
        <f t="shared" si="206"/>
        <v>20905942413762.52</v>
      </c>
      <c r="T610">
        <f t="shared" si="207"/>
        <v>0.5</v>
      </c>
    </row>
    <row r="611" spans="1:20" x14ac:dyDescent="0.25">
      <c r="A611">
        <v>284</v>
      </c>
      <c r="B611" s="95">
        <f t="shared" si="189"/>
        <v>8882.7065070115386</v>
      </c>
      <c r="C611" s="95">
        <f t="shared" si="190"/>
        <v>6507.9666751753248</v>
      </c>
      <c r="D611" s="95">
        <f t="shared" si="191"/>
        <v>305.00266890345301</v>
      </c>
      <c r="E611" s="95">
        <f t="shared" si="192"/>
        <v>-283.02930164273971</v>
      </c>
      <c r="F611" s="96">
        <f t="shared" si="193"/>
        <v>19.442185792581654</v>
      </c>
      <c r="G611" s="94">
        <f t="shared" si="194"/>
        <v>-14.922799238791072</v>
      </c>
      <c r="H611" s="97">
        <f t="shared" si="195"/>
        <v>565.09928411951114</v>
      </c>
      <c r="I611" s="94">
        <f t="shared" si="196"/>
        <v>501.74580376519913</v>
      </c>
      <c r="J611" s="95">
        <f t="shared" si="197"/>
        <v>-196.80537264812392</v>
      </c>
      <c r="K611" s="94">
        <f t="shared" si="198"/>
        <v>23.794547080445909</v>
      </c>
      <c r="L611" s="94">
        <f t="shared" si="199"/>
        <v>-348.85172567880556</v>
      </c>
      <c r="M611" s="94">
        <f t="shared" si="200"/>
        <v>-540.46315008443605</v>
      </c>
      <c r="N611" s="99">
        <f t="shared" si="201"/>
        <v>1528.3196388917465</v>
      </c>
      <c r="O611" s="99">
        <f t="shared" si="202"/>
        <v>28924.914254708303</v>
      </c>
      <c r="P611" s="100">
        <f t="shared" si="203"/>
        <v>25636.274607775362</v>
      </c>
      <c r="Q611" s="95">
        <f t="shared" si="204"/>
        <v>1035240215928.1132</v>
      </c>
      <c r="R611" s="95">
        <f t="shared" si="205"/>
        <v>26356860582235.152</v>
      </c>
      <c r="S611" s="95">
        <f t="shared" si="206"/>
        <v>20836841540392.594</v>
      </c>
      <c r="T611">
        <f t="shared" si="207"/>
        <v>0.5</v>
      </c>
    </row>
    <row r="612" spans="1:20" x14ac:dyDescent="0.25">
      <c r="A612">
        <v>284.5</v>
      </c>
      <c r="B612" s="95">
        <f t="shared" si="189"/>
        <v>9040.0683879114113</v>
      </c>
      <c r="C612" s="95">
        <f t="shared" si="190"/>
        <v>6362.7213245442572</v>
      </c>
      <c r="D612" s="95">
        <f t="shared" si="191"/>
        <v>314.72376179974384</v>
      </c>
      <c r="E612" s="95">
        <f t="shared" si="192"/>
        <v>-290.49070126213525</v>
      </c>
      <c r="F612" s="96">
        <f t="shared" si="193"/>
        <v>-62.543006754431076</v>
      </c>
      <c r="G612" s="94">
        <f t="shared" si="194"/>
        <v>61.623266240340854</v>
      </c>
      <c r="H612" s="97">
        <f t="shared" si="195"/>
        <v>486.24551059745261</v>
      </c>
      <c r="I612" s="94">
        <f t="shared" si="196"/>
        <v>576.07921572181544</v>
      </c>
      <c r="J612" s="95">
        <f t="shared" si="197"/>
        <v>-194.65299088473427</v>
      </c>
      <c r="K612" s="94">
        <f t="shared" si="198"/>
        <v>24.380354873869688</v>
      </c>
      <c r="L612" s="94">
        <f t="shared" si="199"/>
        <v>-354.13552646714942</v>
      </c>
      <c r="M612" s="94">
        <f t="shared" si="200"/>
        <v>-538.83630435534428</v>
      </c>
      <c r="N612" s="99">
        <f t="shared" si="201"/>
        <v>1494.1468692993526</v>
      </c>
      <c r="O612" s="99">
        <f t="shared" si="202"/>
        <v>29093.040953325122</v>
      </c>
      <c r="P612" s="100">
        <f t="shared" si="203"/>
        <v>25599.261131139563</v>
      </c>
      <c r="Q612" s="95">
        <f t="shared" si="204"/>
        <v>1033673331256.2936</v>
      </c>
      <c r="R612" s="95">
        <f t="shared" si="205"/>
        <v>26793490582687.273</v>
      </c>
      <c r="S612" s="95">
        <f t="shared" si="206"/>
        <v>20758613772992.156</v>
      </c>
      <c r="T612">
        <f t="shared" si="207"/>
        <v>0.5</v>
      </c>
    </row>
    <row r="613" spans="1:20" x14ac:dyDescent="0.25">
      <c r="A613">
        <v>285</v>
      </c>
      <c r="B613" s="95">
        <f t="shared" si="189"/>
        <v>9181.7945171226766</v>
      </c>
      <c r="C613" s="95">
        <f t="shared" si="190"/>
        <v>6232.881790473275</v>
      </c>
      <c r="D613" s="95">
        <f t="shared" si="191"/>
        <v>283.4522584225283</v>
      </c>
      <c r="E613" s="95">
        <f t="shared" si="192"/>
        <v>-259.67906814196482</v>
      </c>
      <c r="F613" s="96">
        <f t="shared" si="193"/>
        <v>-136.77732224194492</v>
      </c>
      <c r="G613" s="94">
        <f t="shared" si="194"/>
        <v>129.32491242566971</v>
      </c>
      <c r="H613" s="97">
        <f t="shared" si="195"/>
        <v>414.5623689258158</v>
      </c>
      <c r="I613" s="94">
        <f t="shared" si="196"/>
        <v>642.01418548694494</v>
      </c>
      <c r="J613" s="95">
        <f t="shared" si="197"/>
        <v>-192.32344215748222</v>
      </c>
      <c r="K613" s="94">
        <f t="shared" si="198"/>
        <v>24.827299110930319</v>
      </c>
      <c r="L613" s="94">
        <f t="shared" si="199"/>
        <v>-359.0162490102785</v>
      </c>
      <c r="M613" s="94">
        <f t="shared" si="200"/>
        <v>-537.51657217220554</v>
      </c>
      <c r="N613" s="99">
        <f t="shared" si="201"/>
        <v>1488.2444307079954</v>
      </c>
      <c r="O613" s="99">
        <f t="shared" si="202"/>
        <v>29266.967183797791</v>
      </c>
      <c r="P613" s="100">
        <f t="shared" si="203"/>
        <v>25563.438397980957</v>
      </c>
      <c r="Q613" s="95">
        <f t="shared" si="204"/>
        <v>1033406360863.0233</v>
      </c>
      <c r="R613" s="95">
        <f t="shared" si="205"/>
        <v>27250376946666.59</v>
      </c>
      <c r="S613" s="95">
        <f t="shared" si="206"/>
        <v>20683103523650.012</v>
      </c>
      <c r="T613">
        <f t="shared" si="207"/>
        <v>0.5</v>
      </c>
    </row>
    <row r="614" spans="1:20" x14ac:dyDescent="0.25">
      <c r="A614">
        <v>285.5</v>
      </c>
      <c r="B614" s="95">
        <f t="shared" si="189"/>
        <v>9289.3263157734546</v>
      </c>
      <c r="C614" s="95">
        <f t="shared" si="190"/>
        <v>6135.3734845087101</v>
      </c>
      <c r="D614" s="95">
        <f t="shared" si="191"/>
        <v>215.06359730155583</v>
      </c>
      <c r="E614" s="95">
        <f t="shared" si="192"/>
        <v>-195.01661192912997</v>
      </c>
      <c r="F614" s="96">
        <f t="shared" si="193"/>
        <v>-193.20579431558374</v>
      </c>
      <c r="G614" s="94">
        <f t="shared" si="194"/>
        <v>179.21215599938239</v>
      </c>
      <c r="H614" s="97">
        <f t="shared" si="195"/>
        <v>359.76119200827173</v>
      </c>
      <c r="I614" s="94">
        <f t="shared" si="196"/>
        <v>690.80883780514534</v>
      </c>
      <c r="J614" s="95">
        <f t="shared" si="197"/>
        <v>-190.12334986472669</v>
      </c>
      <c r="K614" s="94">
        <f t="shared" si="198"/>
        <v>25.086126296648729</v>
      </c>
      <c r="L614" s="94">
        <f t="shared" si="199"/>
        <v>-362.84363645912879</v>
      </c>
      <c r="M614" s="94">
        <f t="shared" si="200"/>
        <v>-536.68280810241174</v>
      </c>
      <c r="N614" s="99">
        <f t="shared" si="201"/>
        <v>1508.3264796206183</v>
      </c>
      <c r="O614" s="99">
        <f t="shared" si="202"/>
        <v>29423.941116786493</v>
      </c>
      <c r="P614" s="100">
        <f t="shared" si="203"/>
        <v>25533.479293940778</v>
      </c>
      <c r="Q614" s="95">
        <f t="shared" si="204"/>
        <v>1034319096047.4572</v>
      </c>
      <c r="R614" s="95">
        <f t="shared" si="205"/>
        <v>27667292865009.402</v>
      </c>
      <c r="S614" s="95">
        <f t="shared" si="206"/>
        <v>20620104671192.988</v>
      </c>
      <c r="T614">
        <f t="shared" si="207"/>
        <v>0.5</v>
      </c>
    </row>
    <row r="615" spans="1:20" x14ac:dyDescent="0.25">
      <c r="A615">
        <v>286</v>
      </c>
      <c r="B615" s="95">
        <f t="shared" si="189"/>
        <v>9348.5566658453372</v>
      </c>
      <c r="C615" s="95">
        <f t="shared" si="190"/>
        <v>6082.668217543991</v>
      </c>
      <c r="D615" s="95">
        <f t="shared" si="191"/>
        <v>118.46070014376396</v>
      </c>
      <c r="E615" s="95">
        <f t="shared" si="192"/>
        <v>-105.41053392943877</v>
      </c>
      <c r="F615" s="96">
        <f t="shared" si="193"/>
        <v>-224.12686764079663</v>
      </c>
      <c r="G615" s="94">
        <f t="shared" si="194"/>
        <v>205.16931279217602</v>
      </c>
      <c r="H615" s="97">
        <f t="shared" si="195"/>
        <v>329.33177267345684</v>
      </c>
      <c r="I615" s="94">
        <f t="shared" si="196"/>
        <v>716.52032327319603</v>
      </c>
      <c r="J615" s="95">
        <f t="shared" si="197"/>
        <v>-188.33214502555037</v>
      </c>
      <c r="K615" s="94">
        <f t="shared" si="198"/>
        <v>25.137845985635042</v>
      </c>
      <c r="L615" s="94">
        <f t="shared" si="199"/>
        <v>-365.1264952887031</v>
      </c>
      <c r="M615" s="94">
        <f t="shared" si="200"/>
        <v>-536.48885646665508</v>
      </c>
      <c r="N615" s="99">
        <f t="shared" si="201"/>
        <v>1538.5911127502432</v>
      </c>
      <c r="O615" s="99">
        <f t="shared" si="202"/>
        <v>29543.188286576278</v>
      </c>
      <c r="P615" s="100">
        <f t="shared" si="203"/>
        <v>25512.523569579109</v>
      </c>
      <c r="Q615" s="95">
        <f t="shared" si="204"/>
        <v>1035718264794.5166</v>
      </c>
      <c r="R615" s="95">
        <f t="shared" si="205"/>
        <v>27986915555329.633</v>
      </c>
      <c r="S615" s="95">
        <f t="shared" si="206"/>
        <v>20576120327556.723</v>
      </c>
      <c r="T615">
        <f t="shared" si="207"/>
        <v>0.5</v>
      </c>
    </row>
    <row r="616" spans="1:20" x14ac:dyDescent="0.25">
      <c r="A616">
        <v>286.5</v>
      </c>
      <c r="B616" s="95">
        <f t="shared" si="189"/>
        <v>9351.7552990070199</v>
      </c>
      <c r="C616" s="95">
        <f t="shared" si="190"/>
        <v>6081.2552787773157</v>
      </c>
      <c r="D616" s="95">
        <f t="shared" si="191"/>
        <v>6.3972663233656419</v>
      </c>
      <c r="E616" s="95">
        <f t="shared" si="192"/>
        <v>-2.8258775333507629</v>
      </c>
      <c r="F616" s="96">
        <f t="shared" si="193"/>
        <v>-225.36445326244854</v>
      </c>
      <c r="G616" s="94">
        <f t="shared" si="194"/>
        <v>204.5107854230896</v>
      </c>
      <c r="H616" s="97">
        <f t="shared" si="195"/>
        <v>327.39831333941191</v>
      </c>
      <c r="I616" s="94">
        <f t="shared" si="196"/>
        <v>716.54211453790344</v>
      </c>
      <c r="J616" s="95">
        <f t="shared" si="197"/>
        <v>-187.16868999826005</v>
      </c>
      <c r="K616" s="94">
        <f t="shared" si="198"/>
        <v>24.988839966707545</v>
      </c>
      <c r="L616" s="94">
        <f t="shared" si="199"/>
        <v>-365.5940766036004</v>
      </c>
      <c r="M616" s="94">
        <f t="shared" si="200"/>
        <v>-537.02016908152143</v>
      </c>
      <c r="N616" s="99">
        <f t="shared" si="201"/>
        <v>1559.8742895421001</v>
      </c>
      <c r="O616" s="99">
        <f t="shared" si="202"/>
        <v>29608.837644564413</v>
      </c>
      <c r="P616" s="100">
        <f t="shared" si="203"/>
        <v>25502.15633165192</v>
      </c>
      <c r="Q616" s="95">
        <f t="shared" si="204"/>
        <v>1036719243498.7742</v>
      </c>
      <c r="R616" s="95">
        <f t="shared" si="205"/>
        <v>28163953574568.438</v>
      </c>
      <c r="S616" s="95">
        <f t="shared" si="206"/>
        <v>20554385268102.203</v>
      </c>
      <c r="T616">
        <f t="shared" si="207"/>
        <v>0.5</v>
      </c>
    </row>
    <row r="617" spans="1:20" x14ac:dyDescent="0.25">
      <c r="A617">
        <v>287</v>
      </c>
      <c r="B617" s="95">
        <f t="shared" si="189"/>
        <v>9298.6128188530911</v>
      </c>
      <c r="C617" s="95">
        <f t="shared" si="190"/>
        <v>6130.9700363664124</v>
      </c>
      <c r="D617" s="95">
        <f t="shared" si="191"/>
        <v>-106.28496030785863</v>
      </c>
      <c r="E617" s="95">
        <f t="shared" si="192"/>
        <v>99.429515178194038</v>
      </c>
      <c r="F617" s="96">
        <f t="shared" si="193"/>
        <v>-196.74761323039829</v>
      </c>
      <c r="G617" s="94">
        <f t="shared" si="194"/>
        <v>177.84697327200877</v>
      </c>
      <c r="H617" s="97">
        <f t="shared" si="195"/>
        <v>354.23889193747641</v>
      </c>
      <c r="I617" s="94">
        <f t="shared" si="196"/>
        <v>691.43501675316156</v>
      </c>
      <c r="J617" s="95">
        <f t="shared" si="197"/>
        <v>-186.76963473201803</v>
      </c>
      <c r="K617" s="94">
        <f t="shared" si="198"/>
        <v>24.663874619008851</v>
      </c>
      <c r="L617" s="94">
        <f t="shared" si="199"/>
        <v>-364.21687043585666</v>
      </c>
      <c r="M617" s="94">
        <f t="shared" si="200"/>
        <v>-538.25191810016167</v>
      </c>
      <c r="N617" s="99">
        <f t="shared" si="201"/>
        <v>1559.8262006911893</v>
      </c>
      <c r="O617" s="99">
        <f t="shared" si="202"/>
        <v>29612.19511152284</v>
      </c>
      <c r="P617" s="100">
        <f t="shared" si="203"/>
        <v>25502.788167013281</v>
      </c>
      <c r="Q617" s="95">
        <f t="shared" si="204"/>
        <v>1036716965944.2222</v>
      </c>
      <c r="R617" s="95">
        <f t="shared" si="205"/>
        <v>28173028300329.113</v>
      </c>
      <c r="S617" s="95">
        <f t="shared" si="206"/>
        <v>20555709447907.438</v>
      </c>
      <c r="T617">
        <f t="shared" si="207"/>
        <v>0.5</v>
      </c>
    </row>
    <row r="618" spans="1:20" x14ac:dyDescent="0.25">
      <c r="A618">
        <v>287.5</v>
      </c>
      <c r="B618" s="95">
        <f t="shared" si="189"/>
        <v>9196.2834353915623</v>
      </c>
      <c r="C618" s="95">
        <f t="shared" si="190"/>
        <v>6225.1465372735111</v>
      </c>
      <c r="D618" s="95">
        <f t="shared" si="191"/>
        <v>-204.65876692305778</v>
      </c>
      <c r="E618" s="95">
        <f t="shared" si="192"/>
        <v>188.35300181419842</v>
      </c>
      <c r="F618" s="96">
        <f t="shared" si="193"/>
        <v>-142.05457692326758</v>
      </c>
      <c r="G618" s="94">
        <f t="shared" si="194"/>
        <v>128.6736572970417</v>
      </c>
      <c r="H618" s="97">
        <f t="shared" si="195"/>
        <v>406.31864483415831</v>
      </c>
      <c r="I618" s="94">
        <f t="shared" si="196"/>
        <v>644.5017486849033</v>
      </c>
      <c r="J618" s="95">
        <f t="shared" si="197"/>
        <v>-187.17887589479136</v>
      </c>
      <c r="K618" s="94">
        <f t="shared" si="198"/>
        <v>24.200779848718746</v>
      </c>
      <c r="L618" s="94">
        <f t="shared" si="199"/>
        <v>-361.19434586263452</v>
      </c>
      <c r="M618" s="94">
        <f t="shared" si="200"/>
        <v>-540.02887123658036</v>
      </c>
      <c r="N618" s="99">
        <f t="shared" si="201"/>
        <v>1538.2415347414687</v>
      </c>
      <c r="O618" s="99">
        <f t="shared" si="202"/>
        <v>29552.97118681229</v>
      </c>
      <c r="P618" s="100">
        <f t="shared" si="203"/>
        <v>25514.078921671564</v>
      </c>
      <c r="Q618" s="95">
        <f t="shared" si="204"/>
        <v>1035701941093.0836</v>
      </c>
      <c r="R618" s="95">
        <f t="shared" si="205"/>
        <v>28013248811863.059</v>
      </c>
      <c r="S618" s="95">
        <f t="shared" si="206"/>
        <v>20579382567755.727</v>
      </c>
      <c r="T618">
        <f t="shared" si="207"/>
        <v>0.5</v>
      </c>
    </row>
    <row r="619" spans="1:20" x14ac:dyDescent="0.25">
      <c r="A619">
        <v>288</v>
      </c>
      <c r="B619" s="95">
        <f t="shared" si="189"/>
        <v>9058.4404076992159</v>
      </c>
      <c r="C619" s="95">
        <f t="shared" si="190"/>
        <v>6351.4914525048707</v>
      </c>
      <c r="D619" s="95">
        <f t="shared" si="191"/>
        <v>-275.6860553846916</v>
      </c>
      <c r="E619" s="95">
        <f t="shared" si="192"/>
        <v>252.68983046271927</v>
      </c>
      <c r="F619" s="96">
        <f t="shared" si="193"/>
        <v>-68.598857751210915</v>
      </c>
      <c r="G619" s="94">
        <f t="shared" si="194"/>
        <v>63.004168574297751</v>
      </c>
      <c r="H619" s="97">
        <f t="shared" si="195"/>
        <v>476.66836763212194</v>
      </c>
      <c r="I619" s="94">
        <f t="shared" si="196"/>
        <v>581.43711669728873</v>
      </c>
      <c r="J619" s="95">
        <f t="shared" si="197"/>
        <v>-188.34530444344719</v>
      </c>
      <c r="K619" s="94">
        <f t="shared" si="198"/>
        <v>23.648187703852717</v>
      </c>
      <c r="L619" s="94">
        <f t="shared" si="199"/>
        <v>-356.92192093988564</v>
      </c>
      <c r="M619" s="94">
        <f t="shared" si="200"/>
        <v>-542.08113582684371</v>
      </c>
      <c r="N619" s="99">
        <f t="shared" si="201"/>
        <v>1507.0539697209613</v>
      </c>
      <c r="O619" s="99">
        <f t="shared" si="202"/>
        <v>29439.301708851348</v>
      </c>
      <c r="P619" s="100">
        <f t="shared" si="203"/>
        <v>25535.099547616934</v>
      </c>
      <c r="Q619" s="95">
        <f t="shared" si="204"/>
        <v>1034260889033.8741</v>
      </c>
      <c r="R619" s="95">
        <f t="shared" si="205"/>
        <v>27708323311201.613</v>
      </c>
      <c r="S619" s="95">
        <f t="shared" si="206"/>
        <v>20623508258918.98</v>
      </c>
      <c r="T619">
        <f t="shared" si="207"/>
        <v>0.5</v>
      </c>
    </row>
    <row r="620" spans="1:20" x14ac:dyDescent="0.25">
      <c r="A620">
        <v>288.5</v>
      </c>
      <c r="B620" s="95">
        <f t="shared" si="189"/>
        <v>8903.4476655690669</v>
      </c>
      <c r="C620" s="95">
        <f t="shared" si="190"/>
        <v>6493.5874098798049</v>
      </c>
      <c r="D620" s="95">
        <f t="shared" si="191"/>
        <v>-309.98548426029708</v>
      </c>
      <c r="E620" s="95">
        <f t="shared" si="192"/>
        <v>284.19191474986815</v>
      </c>
      <c r="F620" s="96">
        <f t="shared" si="193"/>
        <v>13.597506851461901</v>
      </c>
      <c r="G620" s="94">
        <f t="shared" si="194"/>
        <v>-11.020521381642538</v>
      </c>
      <c r="H620" s="97">
        <f t="shared" si="195"/>
        <v>555.66866567441252</v>
      </c>
      <c r="I620" s="94">
        <f t="shared" si="196"/>
        <v>509.99110896082982</v>
      </c>
      <c r="J620" s="95">
        <f t="shared" si="197"/>
        <v>-190.1269503817679</v>
      </c>
      <c r="K620" s="94">
        <f t="shared" si="198"/>
        <v>23.065190708509999</v>
      </c>
      <c r="L620" s="94">
        <f t="shared" si="199"/>
        <v>-351.94420844118275</v>
      </c>
      <c r="M620" s="94">
        <f t="shared" si="200"/>
        <v>-544.0768210509824</v>
      </c>
      <c r="N620" s="99">
        <f t="shared" si="201"/>
        <v>1485.1283949621966</v>
      </c>
      <c r="O620" s="99">
        <f t="shared" si="202"/>
        <v>29286.593751219199</v>
      </c>
      <c r="P620" s="100">
        <f t="shared" si="203"/>
        <v>25564.153299947538</v>
      </c>
      <c r="Q620" s="95">
        <f t="shared" si="204"/>
        <v>1033265856354.6055</v>
      </c>
      <c r="R620" s="95">
        <f t="shared" si="205"/>
        <v>27302267005338.047</v>
      </c>
      <c r="S620" s="95">
        <f t="shared" si="206"/>
        <v>20684608525114.004</v>
      </c>
      <c r="T620">
        <f t="shared" si="207"/>
        <v>0.5</v>
      </c>
    </row>
    <row r="621" spans="1:20" x14ac:dyDescent="0.25">
      <c r="A621">
        <v>289</v>
      </c>
      <c r="B621" s="95">
        <f t="shared" ref="B621:B684" si="208">B620+(D620*$T620)+(F620*($T620)^2)</f>
        <v>8751.8543001517828</v>
      </c>
      <c r="C621" s="95">
        <f t="shared" ref="C621:C684" si="209">C620+(E620*$T620)+(G620*($T620)^2)</f>
        <v>6632.9282369093289</v>
      </c>
      <c r="D621" s="95">
        <f t="shared" ref="D621:D684" si="210">D620+(F620*$T620)</f>
        <v>-303.18673083456611</v>
      </c>
      <c r="E621" s="95">
        <f t="shared" ref="E621:E684" si="211">E620+(G620*$T620)</f>
        <v>278.68165405904688</v>
      </c>
      <c r="F621" s="96">
        <f t="shared" ref="F621:F684" si="212">SUM(H621,J621,L621)</f>
        <v>93.200196857965125</v>
      </c>
      <c r="G621" s="94">
        <f t="shared" ref="G621:G684" si="213">SUM(I621,K621,M621)</f>
        <v>-83.858308889064062</v>
      </c>
      <c r="H621" s="97">
        <f t="shared" ref="H621:H684" si="214">$D$22*(($D$18-$B621)/$Q621)</f>
        <v>632.39741823010627</v>
      </c>
      <c r="I621" s="94">
        <f t="shared" ref="I621:I684" si="215">$D$22*(($E$18-$C621)/$Q621)</f>
        <v>439.3188587401678</v>
      </c>
      <c r="J621" s="95">
        <f t="shared" ref="J621:J684" si="216">$D$30*(($D$26-$B621)/$R621)</f>
        <v>-192.30243509872804</v>
      </c>
      <c r="K621" s="94">
        <f t="shared" ref="K621:K684" si="217">$D$30*(($E$26-$C621)/$R621)</f>
        <v>22.520150959136064</v>
      </c>
      <c r="L621" s="94">
        <f t="shared" ref="L621:L684" si="218">$D$38*(($D$34-$B621)/$S621)</f>
        <v>-346.8947862734131</v>
      </c>
      <c r="M621" s="94">
        <f t="shared" ref="M621:M684" si="219">$D$38*(($E$34-$C621)/$S621)</f>
        <v>-545.69731858836792</v>
      </c>
      <c r="N621" s="99">
        <f t="shared" ref="N621:N684" si="220">SQRT(($D$18-$B620)^2+($E$18-$C620)^2)</f>
        <v>1488.3861473751926</v>
      </c>
      <c r="O621" s="99">
        <f t="shared" ref="O621:O684" si="221">SQRT(($D$26-$B620)^2+($E$26-$C620)^2)</f>
        <v>29115.360485634439</v>
      </c>
      <c r="P621" s="100">
        <f t="shared" ref="P621:P684" si="222">SQRT(($D$34-$B620)^2+($E$34-$C620)^2)</f>
        <v>25598.44051373758</v>
      </c>
      <c r="Q621" s="95">
        <f t="shared" ref="Q621:Q684" si="223">(N621^2+$D$39^2)^(3/2)</f>
        <v>1033412758132.1237</v>
      </c>
      <c r="R621" s="95">
        <f t="shared" ref="R621:R684" si="224">(O621^2+$D$31^2)^(3/2)</f>
        <v>26851825589747.973</v>
      </c>
      <c r="S621" s="95">
        <f t="shared" ref="S621:S684" si="225">(P621^2+$D$23^2)^(3/2)</f>
        <v>20756881794384.973</v>
      </c>
      <c r="T621">
        <f t="shared" si="207"/>
        <v>0.5</v>
      </c>
    </row>
    <row r="622" spans="1:20" x14ac:dyDescent="0.25">
      <c r="A622">
        <v>289.5</v>
      </c>
      <c r="B622" s="95">
        <f t="shared" si="208"/>
        <v>8623.5609839489916</v>
      </c>
      <c r="C622" s="95">
        <f t="shared" si="209"/>
        <v>6751.3044867165863</v>
      </c>
      <c r="D622" s="95">
        <f t="shared" si="210"/>
        <v>-256.58663240558354</v>
      </c>
      <c r="E622" s="95">
        <f t="shared" si="211"/>
        <v>236.75249961451485</v>
      </c>
      <c r="F622" s="96">
        <f t="shared" si="212"/>
        <v>159.42005136160424</v>
      </c>
      <c r="G622" s="94">
        <f t="shared" si="213"/>
        <v>-145.80732729712503</v>
      </c>
      <c r="H622" s="97">
        <f t="shared" si="214"/>
        <v>696.43485771217922</v>
      </c>
      <c r="I622" s="94">
        <f t="shared" si="215"/>
        <v>378.81638574822148</v>
      </c>
      <c r="J622" s="95">
        <f t="shared" si="216"/>
        <v>-194.59261282598425</v>
      </c>
      <c r="K622" s="94">
        <f t="shared" si="217"/>
        <v>22.085726809475926</v>
      </c>
      <c r="L622" s="94">
        <f t="shared" si="218"/>
        <v>-342.42219352459074</v>
      </c>
      <c r="M622" s="94">
        <f t="shared" si="219"/>
        <v>-546.70943985482245</v>
      </c>
      <c r="N622" s="99">
        <f t="shared" si="220"/>
        <v>1519.7635113394322</v>
      </c>
      <c r="O622" s="99">
        <f t="shared" si="221"/>
        <v>28948.33843167789</v>
      </c>
      <c r="P622" s="100">
        <f t="shared" si="222"/>
        <v>25633.904907287768</v>
      </c>
      <c r="Q622" s="95">
        <f t="shared" si="223"/>
        <v>1034844501979.0852</v>
      </c>
      <c r="R622" s="95">
        <f t="shared" si="224"/>
        <v>26417398967588.031</v>
      </c>
      <c r="S622" s="95">
        <f t="shared" si="225"/>
        <v>20831826865720.305</v>
      </c>
      <c r="T622">
        <f t="shared" si="207"/>
        <v>0.5</v>
      </c>
    </row>
    <row r="623" spans="1:20" x14ac:dyDescent="0.25">
      <c r="A623">
        <v>290</v>
      </c>
      <c r="B623" s="95">
        <f t="shared" si="208"/>
        <v>8535.1226805866008</v>
      </c>
      <c r="C623" s="95">
        <f t="shared" si="209"/>
        <v>6833.2289046995629</v>
      </c>
      <c r="D623" s="95">
        <f t="shared" si="210"/>
        <v>-176.87660672478142</v>
      </c>
      <c r="E623" s="95">
        <f t="shared" si="211"/>
        <v>163.84883596595233</v>
      </c>
      <c r="F623" s="96">
        <f t="shared" si="212"/>
        <v>203.80211224278605</v>
      </c>
      <c r="G623" s="94">
        <f t="shared" si="213"/>
        <v>-188.53228120337127</v>
      </c>
      <c r="H623" s="97">
        <f t="shared" si="214"/>
        <v>739.604114241763</v>
      </c>
      <c r="I623" s="94">
        <f t="shared" si="215"/>
        <v>336.64706170696076</v>
      </c>
      <c r="J623" s="95">
        <f t="shared" si="216"/>
        <v>-196.69406635923602</v>
      </c>
      <c r="K623" s="94">
        <f t="shared" si="217"/>
        <v>21.828715822809631</v>
      </c>
      <c r="L623" s="94">
        <f t="shared" si="218"/>
        <v>-339.10793563974096</v>
      </c>
      <c r="M623" s="94">
        <f t="shared" si="219"/>
        <v>-547.00805873314164</v>
      </c>
      <c r="N623" s="99">
        <f t="shared" si="220"/>
        <v>1566.8852339971113</v>
      </c>
      <c r="O623" s="99">
        <f t="shared" si="221"/>
        <v>28807.3300730886</v>
      </c>
      <c r="P623" s="100">
        <f t="shared" si="222"/>
        <v>25665.553973316735</v>
      </c>
      <c r="Q623" s="95">
        <f t="shared" si="223"/>
        <v>1037052060794.585</v>
      </c>
      <c r="R623" s="95">
        <f t="shared" si="224"/>
        <v>26054409071732.945</v>
      </c>
      <c r="S623" s="95">
        <f t="shared" si="225"/>
        <v>20898872949575.902</v>
      </c>
      <c r="T623">
        <f t="shared" si="207"/>
        <v>0.5</v>
      </c>
    </row>
    <row r="624" spans="1:20" x14ac:dyDescent="0.25">
      <c r="A624">
        <v>290.5</v>
      </c>
      <c r="B624" s="95">
        <f t="shared" si="208"/>
        <v>8497.6349052849073</v>
      </c>
      <c r="C624" s="95">
        <f t="shared" si="209"/>
        <v>6868.020252381697</v>
      </c>
      <c r="D624" s="95">
        <f t="shared" si="210"/>
        <v>-74.975550603388399</v>
      </c>
      <c r="E624" s="95">
        <f t="shared" si="211"/>
        <v>69.582695364266698</v>
      </c>
      <c r="F624" s="96">
        <f t="shared" si="212"/>
        <v>221.32064136833088</v>
      </c>
      <c r="G624" s="94">
        <f t="shared" si="213"/>
        <v>-206.36991490693561</v>
      </c>
      <c r="H624" s="97">
        <f t="shared" si="214"/>
        <v>757.03107965913466</v>
      </c>
      <c r="I624" s="94">
        <f t="shared" si="215"/>
        <v>318.45009734662409</v>
      </c>
      <c r="J624" s="95">
        <f t="shared" si="216"/>
        <v>-198.32161352557543</v>
      </c>
      <c r="K624" s="94">
        <f t="shared" si="217"/>
        <v>21.796169371300902</v>
      </c>
      <c r="L624" s="94">
        <f t="shared" si="218"/>
        <v>-337.38882476522832</v>
      </c>
      <c r="M624" s="94">
        <f t="shared" si="219"/>
        <v>-546.61618162486059</v>
      </c>
      <c r="N624" s="99">
        <f t="shared" si="220"/>
        <v>1609.4872644603097</v>
      </c>
      <c r="O624" s="99">
        <f t="shared" si="221"/>
        <v>28710.305912096414</v>
      </c>
      <c r="P624" s="100">
        <f t="shared" si="222"/>
        <v>25688.313108951672</v>
      </c>
      <c r="Q624" s="95">
        <f t="shared" si="223"/>
        <v>1039107303822.5068</v>
      </c>
      <c r="R624" s="95">
        <f t="shared" si="224"/>
        <v>25806642968251.594</v>
      </c>
      <c r="S624" s="95">
        <f t="shared" si="225"/>
        <v>20947181978531.277</v>
      </c>
      <c r="T624">
        <f t="shared" si="207"/>
        <v>0.5</v>
      </c>
    </row>
    <row r="625" spans="1:20" x14ac:dyDescent="0.25">
      <c r="A625">
        <v>291</v>
      </c>
      <c r="B625" s="95">
        <f t="shared" si="208"/>
        <v>8515.4772903252961</v>
      </c>
      <c r="C625" s="95">
        <f t="shared" si="209"/>
        <v>6851.2191213370961</v>
      </c>
      <c r="D625" s="95">
        <f t="shared" si="210"/>
        <v>35.684770080777042</v>
      </c>
      <c r="E625" s="95">
        <f t="shared" si="211"/>
        <v>-33.602262089201105</v>
      </c>
      <c r="F625" s="96">
        <f t="shared" si="212"/>
        <v>210.56965574636195</v>
      </c>
      <c r="G625" s="94">
        <f t="shared" si="213"/>
        <v>-197.04728652252294</v>
      </c>
      <c r="H625" s="97">
        <f t="shared" si="214"/>
        <v>747.31860202682583</v>
      </c>
      <c r="I625" s="94">
        <f t="shared" si="215"/>
        <v>326.600607794231</v>
      </c>
      <c r="J625" s="95">
        <f t="shared" si="216"/>
        <v>-199.25197344322328</v>
      </c>
      <c r="K625" s="94">
        <f t="shared" si="217"/>
        <v>22.002114768274776</v>
      </c>
      <c r="L625" s="94">
        <f t="shared" si="218"/>
        <v>-337.49697283724061</v>
      </c>
      <c r="M625" s="94">
        <f t="shared" si="219"/>
        <v>-545.65000908502873</v>
      </c>
      <c r="N625" s="99">
        <f t="shared" si="220"/>
        <v>1629.87707487957</v>
      </c>
      <c r="O625" s="99">
        <f t="shared" si="221"/>
        <v>28669.225527286289</v>
      </c>
      <c r="P625" s="100">
        <f t="shared" si="222"/>
        <v>25698.180048301896</v>
      </c>
      <c r="Q625" s="95">
        <f t="shared" si="223"/>
        <v>1040110966093.2032</v>
      </c>
      <c r="R625" s="95">
        <f t="shared" si="224"/>
        <v>25702227068184.988</v>
      </c>
      <c r="S625" s="95">
        <f t="shared" si="225"/>
        <v>20968150621764.844</v>
      </c>
      <c r="T625">
        <f t="shared" si="207"/>
        <v>0.5</v>
      </c>
    </row>
    <row r="626" spans="1:20" x14ac:dyDescent="0.25">
      <c r="A626">
        <v>291.5</v>
      </c>
      <c r="B626" s="95">
        <f t="shared" si="208"/>
        <v>8585.9620893022748</v>
      </c>
      <c r="C626" s="95">
        <f t="shared" si="209"/>
        <v>6785.1561686618643</v>
      </c>
      <c r="D626" s="95">
        <f t="shared" si="210"/>
        <v>140.96959795395802</v>
      </c>
      <c r="E626" s="95">
        <f t="shared" si="211"/>
        <v>-132.12590535046257</v>
      </c>
      <c r="F626" s="96">
        <f t="shared" si="212"/>
        <v>173.38171497650751</v>
      </c>
      <c r="G626" s="94">
        <f t="shared" si="213"/>
        <v>-161.82683569179119</v>
      </c>
      <c r="H626" s="97">
        <f t="shared" si="214"/>
        <v>712.16671242471682</v>
      </c>
      <c r="I626" s="94">
        <f t="shared" si="215"/>
        <v>360.02428040275862</v>
      </c>
      <c r="J626" s="95">
        <f t="shared" si="216"/>
        <v>-199.35884937806367</v>
      </c>
      <c r="K626" s="94">
        <f t="shared" si="217"/>
        <v>22.420360215393391</v>
      </c>
      <c r="L626" s="94">
        <f t="shared" si="218"/>
        <v>-339.4261480701457</v>
      </c>
      <c r="M626" s="94">
        <f t="shared" si="219"/>
        <v>-544.27147630994318</v>
      </c>
      <c r="N626" s="99">
        <f t="shared" si="220"/>
        <v>1620.1000907532025</v>
      </c>
      <c r="O626" s="99">
        <f t="shared" si="221"/>
        <v>28688.800360365207</v>
      </c>
      <c r="P626" s="100">
        <f t="shared" si="222"/>
        <v>25693.265722246884</v>
      </c>
      <c r="Q626" s="95">
        <f t="shared" si="223"/>
        <v>1039628089566.4189</v>
      </c>
      <c r="R626" s="95">
        <f t="shared" si="224"/>
        <v>25751945072975.617</v>
      </c>
      <c r="S626" s="95">
        <f t="shared" si="225"/>
        <v>20957705102358.48</v>
      </c>
      <c r="T626">
        <f t="shared" si="207"/>
        <v>0.5</v>
      </c>
    </row>
    <row r="627" spans="1:20" x14ac:dyDescent="0.25">
      <c r="A627">
        <v>292</v>
      </c>
      <c r="B627" s="95">
        <f t="shared" si="208"/>
        <v>8699.7923170233807</v>
      </c>
      <c r="C627" s="95">
        <f t="shared" si="209"/>
        <v>6678.6365070636857</v>
      </c>
      <c r="D627" s="95">
        <f t="shared" si="210"/>
        <v>227.66045544221177</v>
      </c>
      <c r="E627" s="95">
        <f t="shared" si="211"/>
        <v>-213.03932319635817</v>
      </c>
      <c r="F627" s="96">
        <f t="shared" si="212"/>
        <v>114.3720279065904</v>
      </c>
      <c r="G627" s="94">
        <f t="shared" si="213"/>
        <v>-105.3005693987933</v>
      </c>
      <c r="H627" s="97">
        <f t="shared" si="214"/>
        <v>655.93195862694813</v>
      </c>
      <c r="I627" s="94">
        <f t="shared" si="215"/>
        <v>414.36346802149779</v>
      </c>
      <c r="J627" s="95">
        <f t="shared" si="216"/>
        <v>-198.63200552922211</v>
      </c>
      <c r="K627" s="94">
        <f t="shared" si="217"/>
        <v>22.987242709145388</v>
      </c>
      <c r="L627" s="94">
        <f t="shared" si="218"/>
        <v>-342.92792519113561</v>
      </c>
      <c r="M627" s="94">
        <f t="shared" si="219"/>
        <v>-542.65128012943649</v>
      </c>
      <c r="N627" s="99">
        <f t="shared" si="220"/>
        <v>1584.4572938683368</v>
      </c>
      <c r="O627" s="99">
        <f t="shared" si="221"/>
        <v>28766.168487146835</v>
      </c>
      <c r="P627" s="100">
        <f t="shared" si="222"/>
        <v>25674.333393195328</v>
      </c>
      <c r="Q627" s="95">
        <f t="shared" si="223"/>
        <v>1037892942821.5996</v>
      </c>
      <c r="R627" s="95">
        <f t="shared" si="224"/>
        <v>25949098154846.438</v>
      </c>
      <c r="S627" s="95">
        <f t="shared" si="225"/>
        <v>20917498856782.645</v>
      </c>
      <c r="T627">
        <f t="shared" si="207"/>
        <v>0.5</v>
      </c>
    </row>
    <row r="628" spans="1:20" x14ac:dyDescent="0.25">
      <c r="A628">
        <v>292.5</v>
      </c>
      <c r="B628" s="95">
        <f t="shared" si="208"/>
        <v>8842.215551721134</v>
      </c>
      <c r="C628" s="95">
        <f t="shared" si="209"/>
        <v>6545.7917031158076</v>
      </c>
      <c r="D628" s="95">
        <f t="shared" si="210"/>
        <v>284.84646939550697</v>
      </c>
      <c r="E628" s="95">
        <f t="shared" si="211"/>
        <v>-265.68960789575482</v>
      </c>
      <c r="F628" s="96">
        <f t="shared" si="212"/>
        <v>40.609989528342282</v>
      </c>
      <c r="G628" s="94">
        <f t="shared" si="213"/>
        <v>-34.932616959093991</v>
      </c>
      <c r="H628" s="97">
        <f t="shared" si="214"/>
        <v>585.32620117126169</v>
      </c>
      <c r="I628" s="94">
        <f t="shared" si="215"/>
        <v>482.40682311082219</v>
      </c>
      <c r="J628" s="95">
        <f t="shared" si="216"/>
        <v>-197.17736088994013</v>
      </c>
      <c r="K628" s="94">
        <f t="shared" si="217"/>
        <v>23.614402115620976</v>
      </c>
      <c r="L628" s="94">
        <f t="shared" si="218"/>
        <v>-347.53885075297927</v>
      </c>
      <c r="M628" s="94">
        <f t="shared" si="219"/>
        <v>-540.95384218553716</v>
      </c>
      <c r="N628" s="99">
        <f t="shared" si="220"/>
        <v>1537.9135237067042</v>
      </c>
      <c r="O628" s="99">
        <f t="shared" si="221"/>
        <v>28891.340129742759</v>
      </c>
      <c r="P628" s="100">
        <f t="shared" si="222"/>
        <v>25644.64057722329</v>
      </c>
      <c r="Q628" s="95">
        <f t="shared" si="223"/>
        <v>1035686627922.1844</v>
      </c>
      <c r="R628" s="95">
        <f t="shared" si="224"/>
        <v>26270256368836.016</v>
      </c>
      <c r="S628" s="95">
        <f t="shared" si="225"/>
        <v>20854552228465.598</v>
      </c>
      <c r="T628">
        <f t="shared" si="207"/>
        <v>0.5</v>
      </c>
    </row>
    <row r="629" spans="1:20" x14ac:dyDescent="0.25">
      <c r="A629">
        <v>293</v>
      </c>
      <c r="B629" s="95">
        <f t="shared" si="208"/>
        <v>8994.7912838009725</v>
      </c>
      <c r="C629" s="95">
        <f t="shared" si="209"/>
        <v>6404.2137449281572</v>
      </c>
      <c r="D629" s="95">
        <f t="shared" si="210"/>
        <v>305.15146415967808</v>
      </c>
      <c r="E629" s="95">
        <f t="shared" si="211"/>
        <v>-283.15591637530179</v>
      </c>
      <c r="F629" s="96">
        <f t="shared" si="212"/>
        <v>-38.796209740704342</v>
      </c>
      <c r="G629" s="94">
        <f t="shared" si="213"/>
        <v>39.777584519361994</v>
      </c>
      <c r="H629" s="97">
        <f t="shared" si="214"/>
        <v>509.04205116968575</v>
      </c>
      <c r="I629" s="94">
        <f t="shared" si="215"/>
        <v>554.91090948208296</v>
      </c>
      <c r="J629" s="95">
        <f t="shared" si="216"/>
        <v>-195.19911436709998</v>
      </c>
      <c r="K629" s="94">
        <f t="shared" si="217"/>
        <v>24.207599412365987</v>
      </c>
      <c r="L629" s="94">
        <f t="shared" si="218"/>
        <v>-352.63914654329011</v>
      </c>
      <c r="M629" s="94">
        <f t="shared" si="219"/>
        <v>-539.34092437508696</v>
      </c>
      <c r="N629" s="99">
        <f t="shared" si="220"/>
        <v>1500.3260654001278</v>
      </c>
      <c r="O629" s="99">
        <f t="shared" si="221"/>
        <v>29048.320999503707</v>
      </c>
      <c r="P629" s="100">
        <f t="shared" si="222"/>
        <v>25609.140389602388</v>
      </c>
      <c r="Q629" s="95">
        <f t="shared" si="223"/>
        <v>1033953976519.5182</v>
      </c>
      <c r="R629" s="95">
        <f t="shared" si="224"/>
        <v>26676870853659.113</v>
      </c>
      <c r="S629" s="95">
        <f t="shared" si="225"/>
        <v>20779472876963.727</v>
      </c>
      <c r="T629">
        <f t="shared" si="207"/>
        <v>0.5</v>
      </c>
    </row>
    <row r="630" spans="1:20" x14ac:dyDescent="0.25">
      <c r="A630">
        <v>293.5</v>
      </c>
      <c r="B630" s="95">
        <f t="shared" si="208"/>
        <v>9137.6679634456341</v>
      </c>
      <c r="C630" s="95">
        <f t="shared" si="209"/>
        <v>6272.5801828703461</v>
      </c>
      <c r="D630" s="95">
        <f t="shared" si="210"/>
        <v>285.75335928932589</v>
      </c>
      <c r="E630" s="95">
        <f t="shared" si="211"/>
        <v>-263.26712411562079</v>
      </c>
      <c r="F630" s="96">
        <f t="shared" si="212"/>
        <v>-113.56356934047056</v>
      </c>
      <c r="G630" s="94">
        <f t="shared" si="213"/>
        <v>108.63852443121789</v>
      </c>
      <c r="H630" s="97">
        <f t="shared" si="214"/>
        <v>436.94368099097295</v>
      </c>
      <c r="I630" s="94">
        <f t="shared" si="215"/>
        <v>621.93367552579139</v>
      </c>
      <c r="J630" s="95">
        <f t="shared" si="216"/>
        <v>-192.96769917424388</v>
      </c>
      <c r="K630" s="94">
        <f t="shared" si="217"/>
        <v>24.685284590048354</v>
      </c>
      <c r="L630" s="94">
        <f t="shared" si="218"/>
        <v>-357.53955115719964</v>
      </c>
      <c r="M630" s="94">
        <f t="shared" si="219"/>
        <v>-537.98043568462185</v>
      </c>
      <c r="N630" s="99">
        <f t="shared" si="220"/>
        <v>1487.0077605469551</v>
      </c>
      <c r="O630" s="99">
        <f t="shared" si="221"/>
        <v>29216.906071371493</v>
      </c>
      <c r="P630" s="100">
        <f t="shared" si="222"/>
        <v>25573.317131645694</v>
      </c>
      <c r="Q630" s="95">
        <f t="shared" si="223"/>
        <v>1033350562422.6697</v>
      </c>
      <c r="R630" s="95">
        <f t="shared" si="224"/>
        <v>27118328278848.98</v>
      </c>
      <c r="S630" s="95">
        <f t="shared" si="225"/>
        <v>20703907054525.508</v>
      </c>
      <c r="T630">
        <f t="shared" si="207"/>
        <v>0.5</v>
      </c>
    </row>
    <row r="631" spans="1:20" x14ac:dyDescent="0.25">
      <c r="A631">
        <v>294</v>
      </c>
      <c r="B631" s="95">
        <f t="shared" si="208"/>
        <v>9252.1537507551802</v>
      </c>
      <c r="C631" s="95">
        <f t="shared" si="209"/>
        <v>6168.1062519203406</v>
      </c>
      <c r="D631" s="95">
        <f t="shared" si="210"/>
        <v>228.9715746190906</v>
      </c>
      <c r="E631" s="95">
        <f t="shared" si="211"/>
        <v>-208.94786190001184</v>
      </c>
      <c r="F631" s="96">
        <f t="shared" si="212"/>
        <v>-173.64637159101648</v>
      </c>
      <c r="G631" s="94">
        <f t="shared" si="213"/>
        <v>162.43097137600182</v>
      </c>
      <c r="H631" s="97">
        <f t="shared" si="214"/>
        <v>378.71703993938416</v>
      </c>
      <c r="I631" s="94">
        <f t="shared" si="215"/>
        <v>674.48470630942927</v>
      </c>
      <c r="J631" s="95">
        <f t="shared" si="216"/>
        <v>-190.77947849938278</v>
      </c>
      <c r="K631" s="94">
        <f t="shared" si="217"/>
        <v>24.991209097033064</v>
      </c>
      <c r="L631" s="94">
        <f t="shared" si="218"/>
        <v>-361.58393303101786</v>
      </c>
      <c r="M631" s="94">
        <f t="shared" si="219"/>
        <v>-537.04494403046056</v>
      </c>
      <c r="N631" s="99">
        <f t="shared" si="220"/>
        <v>1500.0586484369846</v>
      </c>
      <c r="O631" s="99">
        <f t="shared" si="221"/>
        <v>29375.114516221667</v>
      </c>
      <c r="P631" s="100">
        <f t="shared" si="222"/>
        <v>25542.050095504965</v>
      </c>
      <c r="Q631" s="95">
        <f t="shared" si="223"/>
        <v>1033941806534.6124</v>
      </c>
      <c r="R631" s="95">
        <f t="shared" si="224"/>
        <v>27537146336378.344</v>
      </c>
      <c r="S631" s="95">
        <f t="shared" si="225"/>
        <v>20638113510685.125</v>
      </c>
      <c r="T631">
        <f t="shared" si="207"/>
        <v>0.5</v>
      </c>
    </row>
    <row r="632" spans="1:20" x14ac:dyDescent="0.25">
      <c r="A632">
        <v>294.5</v>
      </c>
      <c r="B632" s="95">
        <f t="shared" si="208"/>
        <v>9323.2279451669729</v>
      </c>
      <c r="C632" s="95">
        <f t="shared" si="209"/>
        <v>6104.2400638143354</v>
      </c>
      <c r="D632" s="95">
        <f t="shared" si="210"/>
        <v>142.14838882358237</v>
      </c>
      <c r="E632" s="95">
        <f t="shared" si="211"/>
        <v>-127.73237621201093</v>
      </c>
      <c r="F632" s="96">
        <f t="shared" si="212"/>
        <v>-210.85463584413662</v>
      </c>
      <c r="G632" s="94">
        <f t="shared" si="213"/>
        <v>194.37489421433588</v>
      </c>
      <c r="H632" s="97">
        <f t="shared" si="214"/>
        <v>342.30726162089445</v>
      </c>
      <c r="I632" s="94">
        <f t="shared" si="215"/>
        <v>705.96703605580547</v>
      </c>
      <c r="J632" s="95">
        <f t="shared" si="216"/>
        <v>-188.91553564710097</v>
      </c>
      <c r="K632" s="94">
        <f t="shared" si="217"/>
        <v>25.098518364801389</v>
      </c>
      <c r="L632" s="94">
        <f t="shared" si="218"/>
        <v>-364.24636181793011</v>
      </c>
      <c r="M632" s="94">
        <f t="shared" si="219"/>
        <v>-536.69066020627099</v>
      </c>
      <c r="N632" s="99">
        <f t="shared" si="220"/>
        <v>1527.48648723425</v>
      </c>
      <c r="O632" s="99">
        <f t="shared" si="221"/>
        <v>29502.066177716981</v>
      </c>
      <c r="P632" s="100">
        <f t="shared" si="222"/>
        <v>25518.86770269704</v>
      </c>
      <c r="Q632" s="95">
        <f t="shared" si="223"/>
        <v>1035201583488.9545</v>
      </c>
      <c r="R632" s="95">
        <f t="shared" si="224"/>
        <v>27876410085904.961</v>
      </c>
      <c r="S632" s="95">
        <f t="shared" si="225"/>
        <v>20589429026208.035</v>
      </c>
      <c r="T632">
        <f t="shared" si="207"/>
        <v>0.5</v>
      </c>
    </row>
    <row r="633" spans="1:20" x14ac:dyDescent="0.25">
      <c r="A633">
        <v>295</v>
      </c>
      <c r="B633" s="95">
        <f t="shared" si="208"/>
        <v>9341.5884806177291</v>
      </c>
      <c r="C633" s="95">
        <f t="shared" si="209"/>
        <v>6088.9675992619141</v>
      </c>
      <c r="D633" s="95">
        <f t="shared" si="210"/>
        <v>36.721070901514054</v>
      </c>
      <c r="E633" s="95">
        <f t="shared" si="211"/>
        <v>-30.544929104842993</v>
      </c>
      <c r="F633" s="96">
        <f t="shared" si="212"/>
        <v>-220.14269484147499</v>
      </c>
      <c r="G633" s="94">
        <f t="shared" si="213"/>
        <v>200.9166771966344</v>
      </c>
      <c r="H633" s="97">
        <f t="shared" si="214"/>
        <v>332.66482423399759</v>
      </c>
      <c r="I633" s="94">
        <f t="shared" si="215"/>
        <v>712.92927259293435</v>
      </c>
      <c r="J633" s="95">
        <f t="shared" si="216"/>
        <v>-187.60664367403987</v>
      </c>
      <c r="K633" s="94">
        <f t="shared" si="217"/>
        <v>25.006678233783461</v>
      </c>
      <c r="L633" s="94">
        <f t="shared" si="218"/>
        <v>-365.20087540143271</v>
      </c>
      <c r="M633" s="94">
        <f t="shared" si="219"/>
        <v>-537.01927363008338</v>
      </c>
      <c r="N633" s="99">
        <f t="shared" si="220"/>
        <v>1551.1821987322858</v>
      </c>
      <c r="O633" s="99">
        <f t="shared" si="221"/>
        <v>29580.883059919135</v>
      </c>
      <c r="P633" s="100">
        <f t="shared" si="222"/>
        <v>25505.760279597984</v>
      </c>
      <c r="Q633" s="95">
        <f t="shared" si="223"/>
        <v>1036308741635.6316</v>
      </c>
      <c r="R633" s="95">
        <f t="shared" si="224"/>
        <v>28088474315621.816</v>
      </c>
      <c r="S633" s="95">
        <f t="shared" si="225"/>
        <v>20561939125506.953</v>
      </c>
      <c r="T633">
        <f t="shared" si="207"/>
        <v>0.5</v>
      </c>
    </row>
    <row r="634" spans="1:20" x14ac:dyDescent="0.25">
      <c r="A634">
        <v>295.5</v>
      </c>
      <c r="B634" s="95">
        <f t="shared" si="208"/>
        <v>9304.913342358117</v>
      </c>
      <c r="C634" s="95">
        <f t="shared" si="209"/>
        <v>6123.9243040086512</v>
      </c>
      <c r="D634" s="95">
        <f t="shared" si="210"/>
        <v>-73.350276519223442</v>
      </c>
      <c r="E634" s="95">
        <f t="shared" si="211"/>
        <v>69.913409493474205</v>
      </c>
      <c r="F634" s="96">
        <f t="shared" si="212"/>
        <v>-200.26111130941109</v>
      </c>
      <c r="G634" s="94">
        <f t="shared" si="213"/>
        <v>181.7791257678125</v>
      </c>
      <c r="H634" s="97">
        <f t="shared" si="214"/>
        <v>351.10068771885705</v>
      </c>
      <c r="I634" s="94">
        <f t="shared" si="215"/>
        <v>695.0804160949491</v>
      </c>
      <c r="J634" s="95">
        <f t="shared" si="216"/>
        <v>-187.00884714263435</v>
      </c>
      <c r="K634" s="94">
        <f t="shared" si="217"/>
        <v>24.73511656139905</v>
      </c>
      <c r="L634" s="94">
        <f t="shared" si="218"/>
        <v>-364.35295188563379</v>
      </c>
      <c r="M634" s="94">
        <f t="shared" si="219"/>
        <v>-538.03640688853568</v>
      </c>
      <c r="N634" s="99">
        <f t="shared" si="220"/>
        <v>1557.0864345912069</v>
      </c>
      <c r="O634" s="99">
        <f t="shared" si="221"/>
        <v>29601.097766899493</v>
      </c>
      <c r="P634" s="100">
        <f t="shared" si="222"/>
        <v>25503.445150608692</v>
      </c>
      <c r="Q634" s="95">
        <f t="shared" si="223"/>
        <v>1036587325535.0416</v>
      </c>
      <c r="R634" s="95">
        <f t="shared" si="224"/>
        <v>28143041486940.25</v>
      </c>
      <c r="S634" s="95">
        <f t="shared" si="225"/>
        <v>20557086397503.688</v>
      </c>
      <c r="T634">
        <f t="shared" si="207"/>
        <v>0.5</v>
      </c>
    </row>
    <row r="635" spans="1:20" x14ac:dyDescent="0.25">
      <c r="A635">
        <v>296</v>
      </c>
      <c r="B635" s="95">
        <f t="shared" si="208"/>
        <v>9218.1729262711524</v>
      </c>
      <c r="C635" s="95">
        <f t="shared" si="209"/>
        <v>6204.3257901973411</v>
      </c>
      <c r="D635" s="95">
        <f t="shared" si="210"/>
        <v>-173.480832173929</v>
      </c>
      <c r="E635" s="95">
        <f t="shared" si="211"/>
        <v>160.80297237738046</v>
      </c>
      <c r="F635" s="96">
        <f t="shared" si="212"/>
        <v>-153.83501294269087</v>
      </c>
      <c r="G635" s="94">
        <f t="shared" si="213"/>
        <v>139.61821757028861</v>
      </c>
      <c r="H635" s="97">
        <f t="shared" si="214"/>
        <v>395.1913668059691</v>
      </c>
      <c r="I635" s="94">
        <f t="shared" si="215"/>
        <v>654.92649092469469</v>
      </c>
      <c r="J635" s="95">
        <f t="shared" si="216"/>
        <v>-187.190183998387</v>
      </c>
      <c r="K635" s="94">
        <f t="shared" si="217"/>
        <v>24.317501149842364</v>
      </c>
      <c r="L635" s="94">
        <f t="shared" si="218"/>
        <v>-361.83619575027296</v>
      </c>
      <c r="M635" s="94">
        <f t="shared" si="219"/>
        <v>-539.6257745042484</v>
      </c>
      <c r="N635" s="99">
        <f t="shared" si="220"/>
        <v>1541.6646142173204</v>
      </c>
      <c r="O635" s="99">
        <f t="shared" si="221"/>
        <v>29560.140541008484</v>
      </c>
      <c r="P635" s="100">
        <f t="shared" si="222"/>
        <v>25511.776177558917</v>
      </c>
      <c r="Q635" s="95">
        <f t="shared" si="223"/>
        <v>1035861946688.2604</v>
      </c>
      <c r="R635" s="95">
        <f t="shared" si="224"/>
        <v>28032557798834.91</v>
      </c>
      <c r="S635" s="95">
        <f t="shared" si="225"/>
        <v>20574552858107.316</v>
      </c>
      <c r="T635">
        <f t="shared" si="207"/>
        <v>0.5</v>
      </c>
    </row>
    <row r="636" spans="1:20" x14ac:dyDescent="0.25">
      <c r="A636">
        <v>296.5</v>
      </c>
      <c r="B636" s="95">
        <f t="shared" si="208"/>
        <v>9092.9737569485151</v>
      </c>
      <c r="C636" s="95">
        <f t="shared" si="209"/>
        <v>6319.6318307786032</v>
      </c>
      <c r="D636" s="95">
        <f t="shared" si="210"/>
        <v>-250.39833864527444</v>
      </c>
      <c r="E636" s="95">
        <f t="shared" si="211"/>
        <v>230.61208116252476</v>
      </c>
      <c r="F636" s="96">
        <f t="shared" si="212"/>
        <v>-87.052613636748617</v>
      </c>
      <c r="G636" s="94">
        <f t="shared" si="213"/>
        <v>79.645360520102827</v>
      </c>
      <c r="H636" s="97">
        <f t="shared" si="214"/>
        <v>459.05904241787738</v>
      </c>
      <c r="I636" s="94">
        <f t="shared" si="215"/>
        <v>597.40132726519164</v>
      </c>
      <c r="J636" s="95">
        <f t="shared" si="216"/>
        <v>-188.12633140201734</v>
      </c>
      <c r="K636" s="94">
        <f t="shared" si="217"/>
        <v>23.798672754070555</v>
      </c>
      <c r="L636" s="94">
        <f t="shared" si="218"/>
        <v>-357.98532465260865</v>
      </c>
      <c r="M636" s="94">
        <f t="shared" si="219"/>
        <v>-541.55463949915941</v>
      </c>
      <c r="N636" s="99">
        <f t="shared" si="220"/>
        <v>1513.2829316301552</v>
      </c>
      <c r="O636" s="99">
        <f t="shared" si="221"/>
        <v>29463.68564617206</v>
      </c>
      <c r="P636" s="100">
        <f t="shared" si="222"/>
        <v>25529.979897723737</v>
      </c>
      <c r="Q636" s="95">
        <f t="shared" si="223"/>
        <v>1034546292337.2045</v>
      </c>
      <c r="R636" s="95">
        <f t="shared" si="224"/>
        <v>27773542098947.766</v>
      </c>
      <c r="S636" s="95">
        <f t="shared" si="225"/>
        <v>20612755036363.273</v>
      </c>
      <c r="T636">
        <f t="shared" si="207"/>
        <v>0.5</v>
      </c>
    </row>
    <row r="637" spans="1:20" x14ac:dyDescent="0.25">
      <c r="A637">
        <v>297</v>
      </c>
      <c r="B637" s="95">
        <f t="shared" si="208"/>
        <v>8946.0114342166908</v>
      </c>
      <c r="C637" s="95">
        <f t="shared" si="209"/>
        <v>6454.8492114898909</v>
      </c>
      <c r="D637" s="95">
        <f t="shared" si="210"/>
        <v>-293.92464546364874</v>
      </c>
      <c r="E637" s="95">
        <f t="shared" si="211"/>
        <v>270.43476142257617</v>
      </c>
      <c r="F637" s="96">
        <f t="shared" si="212"/>
        <v>-8.9783566501610039</v>
      </c>
      <c r="G637" s="94">
        <f t="shared" si="213"/>
        <v>9.2594174986750204</v>
      </c>
      <c r="H637" s="97">
        <f t="shared" si="214"/>
        <v>534.01864219167351</v>
      </c>
      <c r="I637" s="94">
        <f t="shared" si="215"/>
        <v>529.54085374819147</v>
      </c>
      <c r="J637" s="95">
        <f t="shared" si="216"/>
        <v>-189.70299229174003</v>
      </c>
      <c r="K637" s="94">
        <f t="shared" si="217"/>
        <v>23.233795586455333</v>
      </c>
      <c r="L637" s="94">
        <f t="shared" si="218"/>
        <v>-353.29400655009448</v>
      </c>
      <c r="M637" s="94">
        <f t="shared" si="219"/>
        <v>-543.5152318359718</v>
      </c>
      <c r="N637" s="99">
        <f t="shared" si="220"/>
        <v>1488.6119778152947</v>
      </c>
      <c r="O637" s="99">
        <f t="shared" si="221"/>
        <v>29324.839844123839</v>
      </c>
      <c r="P637" s="100">
        <f t="shared" si="222"/>
        <v>25556.576662651587</v>
      </c>
      <c r="Q637" s="95">
        <f t="shared" si="223"/>
        <v>1033422953689.0735</v>
      </c>
      <c r="R637" s="95">
        <f t="shared" si="224"/>
        <v>27403579221781.512</v>
      </c>
      <c r="S637" s="95">
        <f t="shared" si="225"/>
        <v>20668662292747.809</v>
      </c>
      <c r="T637">
        <f t="shared" si="207"/>
        <v>0.5</v>
      </c>
    </row>
    <row r="638" spans="1:20" x14ac:dyDescent="0.25">
      <c r="A638">
        <v>297.5</v>
      </c>
      <c r="B638" s="95">
        <f t="shared" si="208"/>
        <v>8796.8045223223271</v>
      </c>
      <c r="C638" s="95">
        <f t="shared" si="209"/>
        <v>6592.3814465758469</v>
      </c>
      <c r="D638" s="95">
        <f t="shared" si="210"/>
        <v>-298.41382378872925</v>
      </c>
      <c r="E638" s="95">
        <f t="shared" si="211"/>
        <v>275.06447017191368</v>
      </c>
      <c r="F638" s="96">
        <f t="shared" si="212"/>
        <v>69.64574868881283</v>
      </c>
      <c r="G638" s="94">
        <f t="shared" si="213"/>
        <v>-62.560850968671787</v>
      </c>
      <c r="H638" s="97">
        <f t="shared" si="214"/>
        <v>609.73042723078822</v>
      </c>
      <c r="I638" s="94">
        <f t="shared" si="215"/>
        <v>459.94408939272239</v>
      </c>
      <c r="J638" s="95">
        <f t="shared" si="216"/>
        <v>-191.72510386861663</v>
      </c>
      <c r="K638" s="94">
        <f t="shared" si="217"/>
        <v>22.687448553308549</v>
      </c>
      <c r="L638" s="94">
        <f t="shared" si="218"/>
        <v>-348.35957467335874</v>
      </c>
      <c r="M638" s="94">
        <f t="shared" si="219"/>
        <v>-545.19238891470275</v>
      </c>
      <c r="N638" s="99">
        <f t="shared" si="220"/>
        <v>1484.3288272903885</v>
      </c>
      <c r="O638" s="99">
        <f t="shared" si="221"/>
        <v>29162.298813075031</v>
      </c>
      <c r="P638" s="100">
        <f t="shared" si="222"/>
        <v>25589.095130759724</v>
      </c>
      <c r="Q638" s="95">
        <f t="shared" si="223"/>
        <v>1033229851720.9844</v>
      </c>
      <c r="R638" s="95">
        <f t="shared" si="224"/>
        <v>26974789167838.203</v>
      </c>
      <c r="S638" s="95">
        <f t="shared" si="225"/>
        <v>20737164930318.5</v>
      </c>
      <c r="T638">
        <f t="shared" si="207"/>
        <v>0.5</v>
      </c>
    </row>
    <row r="639" spans="1:20" x14ac:dyDescent="0.25">
      <c r="A639">
        <v>298</v>
      </c>
      <c r="B639" s="95">
        <f t="shared" si="208"/>
        <v>8665.0090476001642</v>
      </c>
      <c r="C639" s="95">
        <f t="shared" si="209"/>
        <v>6714.2734689196359</v>
      </c>
      <c r="D639" s="95">
        <f t="shared" si="210"/>
        <v>-263.59094944432286</v>
      </c>
      <c r="E639" s="95">
        <f t="shared" si="211"/>
        <v>243.78404468757779</v>
      </c>
      <c r="F639" s="96">
        <f t="shared" si="212"/>
        <v>138.09278562983263</v>
      </c>
      <c r="G639" s="94">
        <f t="shared" si="213"/>
        <v>-126.32964085981405</v>
      </c>
      <c r="H639" s="97">
        <f t="shared" si="214"/>
        <v>675.84222119466995</v>
      </c>
      <c r="I639" s="94">
        <f t="shared" si="215"/>
        <v>397.7758523848716</v>
      </c>
      <c r="J639" s="95">
        <f t="shared" si="216"/>
        <v>-193.93517060783591</v>
      </c>
      <c r="K639" s="94">
        <f t="shared" si="217"/>
        <v>22.229818044627869</v>
      </c>
      <c r="L639" s="94">
        <f t="shared" si="218"/>
        <v>-343.8142649570014</v>
      </c>
      <c r="M639" s="94">
        <f t="shared" si="219"/>
        <v>-546.33531128931349</v>
      </c>
      <c r="N639" s="99">
        <f t="shared" si="220"/>
        <v>1507.1333039992699</v>
      </c>
      <c r="O639" s="99">
        <f t="shared" si="221"/>
        <v>28997.720857034335</v>
      </c>
      <c r="P639" s="100">
        <f t="shared" si="222"/>
        <v>25623.87073729507</v>
      </c>
      <c r="Q639" s="95">
        <f t="shared" si="223"/>
        <v>1034264516466.2191</v>
      </c>
      <c r="R639" s="95">
        <f t="shared" si="224"/>
        <v>26545337353349.008</v>
      </c>
      <c r="S639" s="95">
        <f t="shared" si="225"/>
        <v>20810602511672.832</v>
      </c>
      <c r="T639">
        <f t="shared" si="207"/>
        <v>0.5</v>
      </c>
    </row>
    <row r="640" spans="1:20" x14ac:dyDescent="0.25">
      <c r="A640">
        <v>298.5</v>
      </c>
      <c r="B640" s="95">
        <f t="shared" si="208"/>
        <v>8567.7367692854605</v>
      </c>
      <c r="C640" s="95">
        <f t="shared" si="209"/>
        <v>6804.5830810484713</v>
      </c>
      <c r="D640" s="95">
        <f t="shared" si="210"/>
        <v>-194.54455662940654</v>
      </c>
      <c r="E640" s="95">
        <f t="shared" si="211"/>
        <v>180.61922425767077</v>
      </c>
      <c r="F640" s="96">
        <f t="shared" si="212"/>
        <v>187.43654024415576</v>
      </c>
      <c r="G640" s="94">
        <f t="shared" si="213"/>
        <v>-173.48350502077164</v>
      </c>
      <c r="H640" s="97">
        <f t="shared" si="214"/>
        <v>723.72618264302582</v>
      </c>
      <c r="I640" s="94">
        <f t="shared" si="215"/>
        <v>351.3959035638149</v>
      </c>
      <c r="J640" s="95">
        <f t="shared" si="216"/>
        <v>-196.04276205288596</v>
      </c>
      <c r="K640" s="94">
        <f t="shared" si="217"/>
        <v>21.928175961607653</v>
      </c>
      <c r="L640" s="94">
        <f t="shared" si="218"/>
        <v>-340.24688034598404</v>
      </c>
      <c r="M640" s="94">
        <f t="shared" si="219"/>
        <v>-546.80758454619422</v>
      </c>
      <c r="N640" s="99">
        <f t="shared" si="220"/>
        <v>1549.0535899809934</v>
      </c>
      <c r="O640" s="99">
        <f t="shared" si="221"/>
        <v>28852.707715846092</v>
      </c>
      <c r="P640" s="100">
        <f t="shared" si="222"/>
        <v>25656.23013137397</v>
      </c>
      <c r="Q640" s="95">
        <f t="shared" si="223"/>
        <v>1036208571586.9374</v>
      </c>
      <c r="R640" s="95">
        <f t="shared" si="224"/>
        <v>26170846198148.199</v>
      </c>
      <c r="S640" s="95">
        <f t="shared" si="225"/>
        <v>20879105056934.098</v>
      </c>
      <c r="T640">
        <f t="shared" si="207"/>
        <v>0.5</v>
      </c>
    </row>
    <row r="641" spans="1:20" x14ac:dyDescent="0.25">
      <c r="A641">
        <v>299</v>
      </c>
      <c r="B641" s="95">
        <f t="shared" si="208"/>
        <v>8517.3236260317954</v>
      </c>
      <c r="C641" s="95">
        <f t="shared" si="209"/>
        <v>6851.5218169221134</v>
      </c>
      <c r="D641" s="95">
        <f t="shared" si="210"/>
        <v>-100.82628650732866</v>
      </c>
      <c r="E641" s="95">
        <f t="shared" si="211"/>
        <v>93.877471747284943</v>
      </c>
      <c r="F641" s="96">
        <f t="shared" si="212"/>
        <v>211.82739618104335</v>
      </c>
      <c r="G641" s="94">
        <f t="shared" si="213"/>
        <v>-197.73577097513908</v>
      </c>
      <c r="H641" s="97">
        <f t="shared" si="214"/>
        <v>747.71638246318878</v>
      </c>
      <c r="I641" s="94">
        <f t="shared" si="215"/>
        <v>327.02872297046315</v>
      </c>
      <c r="J641" s="95">
        <f t="shared" si="216"/>
        <v>-197.76369152552692</v>
      </c>
      <c r="K641" s="94">
        <f t="shared" si="217"/>
        <v>21.834260337273783</v>
      </c>
      <c r="L641" s="94">
        <f t="shared" si="218"/>
        <v>-338.12529475661847</v>
      </c>
      <c r="M641" s="94">
        <f t="shared" si="219"/>
        <v>-546.59875428287603</v>
      </c>
      <c r="N641" s="99">
        <f t="shared" si="220"/>
        <v>1592.1628852667327</v>
      </c>
      <c r="O641" s="99">
        <f t="shared" si="221"/>
        <v>28745.891417820152</v>
      </c>
      <c r="P641" s="100">
        <f t="shared" si="222"/>
        <v>25681.186194935894</v>
      </c>
      <c r="Q641" s="95">
        <f t="shared" si="223"/>
        <v>1038264711361.3257</v>
      </c>
      <c r="R641" s="95">
        <f t="shared" si="224"/>
        <v>25897327346749.832</v>
      </c>
      <c r="S641" s="95">
        <f t="shared" si="225"/>
        <v>20932045634298.605</v>
      </c>
      <c r="T641">
        <f t="shared" si="207"/>
        <v>0.5</v>
      </c>
    </row>
    <row r="642" spans="1:20" x14ac:dyDescent="0.25">
      <c r="A642">
        <v>299.5</v>
      </c>
      <c r="B642" s="95">
        <f t="shared" si="208"/>
        <v>8519.8673318233905</v>
      </c>
      <c r="C642" s="95">
        <f t="shared" si="209"/>
        <v>6849.0266100519711</v>
      </c>
      <c r="D642" s="95">
        <f t="shared" si="210"/>
        <v>5.0874115831930169</v>
      </c>
      <c r="E642" s="95">
        <f t="shared" si="211"/>
        <v>-4.9904137402845947</v>
      </c>
      <c r="F642" s="96">
        <f t="shared" si="212"/>
        <v>208.92336442737542</v>
      </c>
      <c r="G642" s="94">
        <f t="shared" si="213"/>
        <v>-195.94348630489418</v>
      </c>
      <c r="H642" s="97">
        <f t="shared" si="214"/>
        <v>745.51868221992356</v>
      </c>
      <c r="I642" s="94">
        <f t="shared" si="215"/>
        <v>327.88467835937485</v>
      </c>
      <c r="J642" s="95">
        <f t="shared" si="216"/>
        <v>-198.86253504661175</v>
      </c>
      <c r="K642" s="94">
        <f t="shared" si="217"/>
        <v>21.971019321337746</v>
      </c>
      <c r="L642" s="94">
        <f t="shared" si="218"/>
        <v>-337.73278274593645</v>
      </c>
      <c r="M642" s="94">
        <f t="shared" si="219"/>
        <v>-545.79918398560676</v>
      </c>
      <c r="N642" s="99">
        <f t="shared" si="220"/>
        <v>1618.2871141585169</v>
      </c>
      <c r="O642" s="99">
        <f t="shared" si="221"/>
        <v>28690.602323080435</v>
      </c>
      <c r="P642" s="100">
        <f t="shared" si="222"/>
        <v>25694.494424415134</v>
      </c>
      <c r="Q642" s="95">
        <f t="shared" si="223"/>
        <v>1039538875769.8453</v>
      </c>
      <c r="R642" s="95">
        <f t="shared" si="224"/>
        <v>25756525183601.277</v>
      </c>
      <c r="S642" s="95">
        <f t="shared" si="225"/>
        <v>20960316388709.645</v>
      </c>
      <c r="T642">
        <f t="shared" si="207"/>
        <v>0.5</v>
      </c>
    </row>
    <row r="643" spans="1:20" x14ac:dyDescent="0.25">
      <c r="A643">
        <v>300</v>
      </c>
      <c r="B643" s="95">
        <f t="shared" si="208"/>
        <v>8574.6418787218317</v>
      </c>
      <c r="C643" s="95">
        <f t="shared" si="209"/>
        <v>6797.545531605605</v>
      </c>
      <c r="D643" s="95">
        <f t="shared" si="210"/>
        <v>109.54909379688073</v>
      </c>
      <c r="E643" s="95">
        <f t="shared" si="211"/>
        <v>-102.96215689273168</v>
      </c>
      <c r="F643" s="96">
        <f t="shared" si="212"/>
        <v>179.65730587385764</v>
      </c>
      <c r="G643" s="94">
        <f t="shared" si="213"/>
        <v>-168.39554996588646</v>
      </c>
      <c r="H643" s="97">
        <f t="shared" si="214"/>
        <v>717.97470168649977</v>
      </c>
      <c r="I643" s="94">
        <f t="shared" si="215"/>
        <v>353.83706723581241</v>
      </c>
      <c r="J643" s="95">
        <f t="shared" si="216"/>
        <v>-199.18937411788974</v>
      </c>
      <c r="K643" s="94">
        <f t="shared" si="217"/>
        <v>22.323810877767421</v>
      </c>
      <c r="L643" s="94">
        <f t="shared" si="218"/>
        <v>-339.12802169475236</v>
      </c>
      <c r="M643" s="94">
        <f t="shared" si="219"/>
        <v>-544.55642807946629</v>
      </c>
      <c r="N643" s="99">
        <f t="shared" si="220"/>
        <v>1616.9598231941443</v>
      </c>
      <c r="O643" s="99">
        <f t="shared" si="221"/>
        <v>28693.404571938961</v>
      </c>
      <c r="P643" s="100">
        <f t="shared" si="222"/>
        <v>25693.71083508306</v>
      </c>
      <c r="Q643" s="95">
        <f t="shared" si="223"/>
        <v>1039473626768.838</v>
      </c>
      <c r="R643" s="95">
        <f t="shared" si="224"/>
        <v>25763648866918.164</v>
      </c>
      <c r="S643" s="95">
        <f t="shared" si="225"/>
        <v>20958651046777.023</v>
      </c>
      <c r="T643">
        <f t="shared" si="207"/>
        <v>0.5</v>
      </c>
    </row>
    <row r="644" spans="1:20" x14ac:dyDescent="0.25">
      <c r="A644">
        <v>300.5</v>
      </c>
      <c r="B644" s="95">
        <f t="shared" si="208"/>
        <v>8674.3307520887374</v>
      </c>
      <c r="C644" s="95">
        <f t="shared" si="209"/>
        <v>6703.9655656677669</v>
      </c>
      <c r="D644" s="95">
        <f t="shared" si="210"/>
        <v>199.37774673380954</v>
      </c>
      <c r="E644" s="95">
        <f t="shared" si="211"/>
        <v>-187.15993187567491</v>
      </c>
      <c r="F644" s="96">
        <f t="shared" si="212"/>
        <v>127.79797730938759</v>
      </c>
      <c r="G644" s="94">
        <f t="shared" si="213"/>
        <v>-118.69577140861725</v>
      </c>
      <c r="H644" s="97">
        <f t="shared" si="214"/>
        <v>668.63418644959268</v>
      </c>
      <c r="I644" s="94">
        <f t="shared" si="215"/>
        <v>401.49972342212948</v>
      </c>
      <c r="J644" s="95">
        <f t="shared" si="216"/>
        <v>-198.70280889352799</v>
      </c>
      <c r="K644" s="94">
        <f t="shared" si="217"/>
        <v>22.840334303666278</v>
      </c>
      <c r="L644" s="94">
        <f t="shared" si="218"/>
        <v>-342.13340024667713</v>
      </c>
      <c r="M644" s="94">
        <f t="shared" si="219"/>
        <v>-543.03582913441301</v>
      </c>
      <c r="N644" s="99">
        <f t="shared" si="220"/>
        <v>1589.0525649143522</v>
      </c>
      <c r="O644" s="99">
        <f t="shared" si="221"/>
        <v>28753.536706279156</v>
      </c>
      <c r="P644" s="100">
        <f t="shared" si="222"/>
        <v>25678.860826328881</v>
      </c>
      <c r="Q644" s="95">
        <f t="shared" si="223"/>
        <v>1038114426575.141</v>
      </c>
      <c r="R644" s="95">
        <f t="shared" si="224"/>
        <v>25916838734585.617</v>
      </c>
      <c r="S644" s="95">
        <f t="shared" si="225"/>
        <v>20927108647555.566</v>
      </c>
      <c r="T644">
        <f t="shared" si="207"/>
        <v>0.5</v>
      </c>
    </row>
    <row r="645" spans="1:20" x14ac:dyDescent="0.25">
      <c r="A645">
        <v>301</v>
      </c>
      <c r="B645" s="95">
        <f t="shared" si="208"/>
        <v>8805.9691197829907</v>
      </c>
      <c r="C645" s="95">
        <f t="shared" si="209"/>
        <v>6580.7116568777756</v>
      </c>
      <c r="D645" s="95">
        <f t="shared" si="210"/>
        <v>263.27673538850331</v>
      </c>
      <c r="E645" s="95">
        <f t="shared" si="211"/>
        <v>-246.50781757998354</v>
      </c>
      <c r="F645" s="96">
        <f t="shared" si="212"/>
        <v>59.593519472423509</v>
      </c>
      <c r="G645" s="94">
        <f t="shared" si="213"/>
        <v>-53.382837679344505</v>
      </c>
      <c r="H645" s="97">
        <f t="shared" si="214"/>
        <v>603.42188930929797</v>
      </c>
      <c r="I645" s="94">
        <f t="shared" si="215"/>
        <v>464.5765180930743</v>
      </c>
      <c r="J645" s="95">
        <f t="shared" si="216"/>
        <v>-197.47515692017845</v>
      </c>
      <c r="K645" s="94">
        <f t="shared" si="217"/>
        <v>23.440436921446128</v>
      </c>
      <c r="L645" s="94">
        <f t="shared" si="218"/>
        <v>-346.35321291669601</v>
      </c>
      <c r="M645" s="94">
        <f t="shared" si="219"/>
        <v>-541.39979269386492</v>
      </c>
      <c r="N645" s="99">
        <f t="shared" si="220"/>
        <v>1546.3084347892081</v>
      </c>
      <c r="O645" s="99">
        <f t="shared" si="221"/>
        <v>28863.144095411466</v>
      </c>
      <c r="P645" s="100">
        <f t="shared" si="222"/>
        <v>25652.474399036284</v>
      </c>
      <c r="Q645" s="95">
        <f t="shared" si="223"/>
        <v>1036079595362.0564</v>
      </c>
      <c r="R645" s="95">
        <f t="shared" si="224"/>
        <v>26197675930082.316</v>
      </c>
      <c r="S645" s="95">
        <f t="shared" si="225"/>
        <v>20871146152193.91</v>
      </c>
      <c r="T645">
        <f t="shared" si="207"/>
        <v>0.5</v>
      </c>
    </row>
    <row r="646" spans="1:20" x14ac:dyDescent="0.25">
      <c r="A646">
        <v>301.5</v>
      </c>
      <c r="B646" s="95">
        <f t="shared" si="208"/>
        <v>8952.5058673453477</v>
      </c>
      <c r="C646" s="95">
        <f t="shared" si="209"/>
        <v>6444.1120386679477</v>
      </c>
      <c r="D646" s="95">
        <f t="shared" si="210"/>
        <v>293.07349512471507</v>
      </c>
      <c r="E646" s="95">
        <f t="shared" si="211"/>
        <v>-273.19923641965579</v>
      </c>
      <c r="F646" s="96">
        <f t="shared" si="212"/>
        <v>-16.60085867010929</v>
      </c>
      <c r="G646" s="94">
        <f t="shared" si="213"/>
        <v>18.77734421514765</v>
      </c>
      <c r="H646" s="97">
        <f t="shared" si="214"/>
        <v>530.30135459232861</v>
      </c>
      <c r="I646" s="94">
        <f t="shared" si="215"/>
        <v>534.55079005843515</v>
      </c>
      <c r="J646" s="95">
        <f t="shared" si="216"/>
        <v>-195.67981034280001</v>
      </c>
      <c r="K646" s="94">
        <f t="shared" si="217"/>
        <v>24.032996834947234</v>
      </c>
      <c r="L646" s="94">
        <f t="shared" si="218"/>
        <v>-351.22240291963789</v>
      </c>
      <c r="M646" s="94">
        <f t="shared" si="219"/>
        <v>-539.8064426782347</v>
      </c>
      <c r="N646" s="99">
        <f t="shared" si="220"/>
        <v>1506.9176489484123</v>
      </c>
      <c r="O646" s="99">
        <f t="shared" si="221"/>
        <v>29008.195216236785</v>
      </c>
      <c r="P646" s="100">
        <f t="shared" si="222"/>
        <v>25618.975368927262</v>
      </c>
      <c r="Q646" s="95">
        <f t="shared" si="223"/>
        <v>1034254656441.5509</v>
      </c>
      <c r="R646" s="95">
        <f t="shared" si="224"/>
        <v>26572528522273.352</v>
      </c>
      <c r="S646" s="95">
        <f t="shared" si="225"/>
        <v>20800253423303.574</v>
      </c>
      <c r="T646">
        <f t="shared" si="207"/>
        <v>0.5</v>
      </c>
    </row>
    <row r="647" spans="1:20" x14ac:dyDescent="0.25">
      <c r="A647">
        <v>302</v>
      </c>
      <c r="B647" s="95">
        <f t="shared" si="208"/>
        <v>9094.8924002401782</v>
      </c>
      <c r="C647" s="95">
        <f t="shared" si="209"/>
        <v>6312.2067565119069</v>
      </c>
      <c r="D647" s="95">
        <f t="shared" si="210"/>
        <v>284.77306578966045</v>
      </c>
      <c r="E647" s="95">
        <f t="shared" si="211"/>
        <v>-263.81056431208196</v>
      </c>
      <c r="F647" s="96">
        <f t="shared" si="212"/>
        <v>-91.035859635656834</v>
      </c>
      <c r="G647" s="94">
        <f t="shared" si="213"/>
        <v>87.963660270542732</v>
      </c>
      <c r="H647" s="97">
        <f t="shared" si="214"/>
        <v>458.6116583912787</v>
      </c>
      <c r="I647" s="94">
        <f t="shared" si="215"/>
        <v>601.84648694429336</v>
      </c>
      <c r="J647" s="95">
        <f t="shared" si="216"/>
        <v>-193.56371920688574</v>
      </c>
      <c r="K647" s="94">
        <f t="shared" si="217"/>
        <v>24.534305405085025</v>
      </c>
      <c r="L647" s="94">
        <f t="shared" si="218"/>
        <v>-356.08379882004976</v>
      </c>
      <c r="M647" s="94">
        <f t="shared" si="219"/>
        <v>-538.41713207883561</v>
      </c>
      <c r="N647" s="99">
        <f t="shared" si="220"/>
        <v>1487.3275849092156</v>
      </c>
      <c r="O647" s="99">
        <f t="shared" si="221"/>
        <v>29170.052025874291</v>
      </c>
      <c r="P647" s="100">
        <f t="shared" si="222"/>
        <v>25583.634634376129</v>
      </c>
      <c r="Q647" s="95">
        <f t="shared" si="223"/>
        <v>1033364988324.4445</v>
      </c>
      <c r="R647" s="95">
        <f t="shared" si="224"/>
        <v>26995137229627.645</v>
      </c>
      <c r="S647" s="95">
        <f t="shared" si="225"/>
        <v>20725650612049.074</v>
      </c>
      <c r="T647">
        <f t="shared" si="207"/>
        <v>0.5</v>
      </c>
    </row>
    <row r="648" spans="1:20" x14ac:dyDescent="0.25">
      <c r="A648">
        <v>302.5</v>
      </c>
      <c r="B648" s="95">
        <f t="shared" si="208"/>
        <v>9214.5199682260936</v>
      </c>
      <c r="C648" s="95">
        <f t="shared" si="209"/>
        <v>6202.2923894235018</v>
      </c>
      <c r="D648" s="95">
        <f t="shared" si="210"/>
        <v>239.25513597183203</v>
      </c>
      <c r="E648" s="95">
        <f t="shared" si="211"/>
        <v>-219.8287341768106</v>
      </c>
      <c r="F648" s="96">
        <f t="shared" si="212"/>
        <v>-153.80209479846255</v>
      </c>
      <c r="G648" s="94">
        <f t="shared" si="213"/>
        <v>144.85038530824386</v>
      </c>
      <c r="H648" s="97">
        <f t="shared" si="214"/>
        <v>397.89251348071463</v>
      </c>
      <c r="I648" s="94">
        <f t="shared" si="215"/>
        <v>657.36635184630848</v>
      </c>
      <c r="J648" s="95">
        <f t="shared" si="216"/>
        <v>-191.41016335663963</v>
      </c>
      <c r="K648" s="94">
        <f t="shared" si="217"/>
        <v>24.88214199349515</v>
      </c>
      <c r="L648" s="94">
        <f t="shared" si="218"/>
        <v>-360.28444492253755</v>
      </c>
      <c r="M648" s="94">
        <f t="shared" si="219"/>
        <v>-537.39810853155973</v>
      </c>
      <c r="N648" s="99">
        <f t="shared" si="220"/>
        <v>1493.3427457951341</v>
      </c>
      <c r="O648" s="99">
        <f t="shared" si="221"/>
        <v>29327.676055021304</v>
      </c>
      <c r="P648" s="100">
        <f t="shared" si="222"/>
        <v>25551.44122366995</v>
      </c>
      <c r="Q648" s="95">
        <f t="shared" si="223"/>
        <v>1033636896798.9248</v>
      </c>
      <c r="R648" s="95">
        <f t="shared" si="224"/>
        <v>27411102470029.563</v>
      </c>
      <c r="S648" s="95">
        <f t="shared" si="225"/>
        <v>20657858966631.105</v>
      </c>
      <c r="T648">
        <f t="shared" si="207"/>
        <v>0.5</v>
      </c>
    </row>
    <row r="649" spans="1:20" x14ac:dyDescent="0.25">
      <c r="A649">
        <v>303</v>
      </c>
      <c r="B649" s="95">
        <f t="shared" si="208"/>
        <v>9295.6970125123935</v>
      </c>
      <c r="C649" s="95">
        <f t="shared" si="209"/>
        <v>6128.5906186621578</v>
      </c>
      <c r="D649" s="95">
        <f t="shared" si="210"/>
        <v>162.35408857260074</v>
      </c>
      <c r="E649" s="95">
        <f t="shared" si="211"/>
        <v>-147.40354152268867</v>
      </c>
      <c r="F649" s="96">
        <f t="shared" si="212"/>
        <v>-196.37079974880822</v>
      </c>
      <c r="G649" s="94">
        <f t="shared" si="213"/>
        <v>182.11473328899524</v>
      </c>
      <c r="H649" s="97">
        <f t="shared" si="214"/>
        <v>356.40039939596625</v>
      </c>
      <c r="I649" s="94">
        <f t="shared" si="215"/>
        <v>693.97810307141822</v>
      </c>
      <c r="J649" s="95">
        <f t="shared" si="216"/>
        <v>-189.49858604304904</v>
      </c>
      <c r="K649" s="94">
        <f t="shared" si="217"/>
        <v>25.04212831816152</v>
      </c>
      <c r="L649" s="94">
        <f t="shared" si="218"/>
        <v>-363.27261310172543</v>
      </c>
      <c r="M649" s="94">
        <f t="shared" si="219"/>
        <v>-536.90549810058451</v>
      </c>
      <c r="N649" s="99">
        <f t="shared" si="220"/>
        <v>1516.912628618966</v>
      </c>
      <c r="O649" s="99">
        <f t="shared" si="221"/>
        <v>29460.325186075454</v>
      </c>
      <c r="P649" s="100">
        <f t="shared" si="222"/>
        <v>25526.25668784407</v>
      </c>
      <c r="Q649" s="95">
        <f t="shared" si="223"/>
        <v>1034713155551.2743</v>
      </c>
      <c r="R649" s="95">
        <f t="shared" si="224"/>
        <v>27764547759316.746</v>
      </c>
      <c r="S649" s="95">
        <f t="shared" si="225"/>
        <v>20604937399945.703</v>
      </c>
      <c r="T649">
        <f t="shared" si="207"/>
        <v>0.5</v>
      </c>
    </row>
    <row r="650" spans="1:20" x14ac:dyDescent="0.25">
      <c r="A650">
        <v>303.5</v>
      </c>
      <c r="B650" s="95">
        <f t="shared" si="208"/>
        <v>9327.7813568614911</v>
      </c>
      <c r="C650" s="95">
        <f t="shared" si="209"/>
        <v>6100.4175312230627</v>
      </c>
      <c r="D650" s="95">
        <f t="shared" si="210"/>
        <v>64.168688698196632</v>
      </c>
      <c r="E650" s="95">
        <f t="shared" si="211"/>
        <v>-56.34617487819105</v>
      </c>
      <c r="F650" s="96">
        <f t="shared" si="212"/>
        <v>-212.95549398192691</v>
      </c>
      <c r="G650" s="94">
        <f t="shared" si="213"/>
        <v>195.40229339081691</v>
      </c>
      <c r="H650" s="97">
        <f t="shared" si="214"/>
        <v>339.78703875051855</v>
      </c>
      <c r="I650" s="94">
        <f t="shared" si="215"/>
        <v>707.44836878150636</v>
      </c>
      <c r="J650" s="95">
        <f t="shared" si="216"/>
        <v>-188.06853413367384</v>
      </c>
      <c r="K650" s="94">
        <f t="shared" si="217"/>
        <v>25.006622550555424</v>
      </c>
      <c r="L650" s="94">
        <f t="shared" si="218"/>
        <v>-364.67399859877162</v>
      </c>
      <c r="M650" s="94">
        <f t="shared" si="219"/>
        <v>-537.0526979412449</v>
      </c>
      <c r="N650" s="99">
        <f t="shared" si="220"/>
        <v>1541.6894594584899</v>
      </c>
      <c r="O650" s="99">
        <f t="shared" si="221"/>
        <v>29550.392113250175</v>
      </c>
      <c r="P650" s="100">
        <f t="shared" si="222"/>
        <v>25510.474213635745</v>
      </c>
      <c r="Q650" s="95">
        <f t="shared" si="223"/>
        <v>1035863109363.9261</v>
      </c>
      <c r="R650" s="95">
        <f t="shared" si="224"/>
        <v>28006304907462.996</v>
      </c>
      <c r="S650" s="95">
        <f t="shared" si="225"/>
        <v>20571822516325.898</v>
      </c>
      <c r="T650">
        <f t="shared" si="207"/>
        <v>0.5</v>
      </c>
    </row>
    <row r="651" spans="1:20" x14ac:dyDescent="0.25">
      <c r="A651">
        <v>304</v>
      </c>
      <c r="B651" s="95">
        <f t="shared" si="208"/>
        <v>9306.6268277151066</v>
      </c>
      <c r="C651" s="95">
        <f t="shared" si="209"/>
        <v>6121.0950171316717</v>
      </c>
      <c r="D651" s="95">
        <f t="shared" si="210"/>
        <v>-42.309058292766821</v>
      </c>
      <c r="E651" s="95">
        <f t="shared" si="211"/>
        <v>41.354971817217404</v>
      </c>
      <c r="F651" s="96">
        <f t="shared" si="212"/>
        <v>-201.31989414793583</v>
      </c>
      <c r="G651" s="94">
        <f t="shared" si="213"/>
        <v>183.56917013273164</v>
      </c>
      <c r="H651" s="97">
        <f t="shared" si="214"/>
        <v>350.30601719337761</v>
      </c>
      <c r="I651" s="94">
        <f t="shared" si="215"/>
        <v>696.65042136680131</v>
      </c>
      <c r="J651" s="95">
        <f t="shared" si="216"/>
        <v>-187.29283917152782</v>
      </c>
      <c r="K651" s="94">
        <f t="shared" si="217"/>
        <v>24.789312375962599</v>
      </c>
      <c r="L651" s="94">
        <f t="shared" si="218"/>
        <v>-364.33307216978562</v>
      </c>
      <c r="M651" s="94">
        <f t="shared" si="219"/>
        <v>-537.87056361003226</v>
      </c>
      <c r="N651" s="99">
        <f t="shared" si="220"/>
        <v>1552.6458034885886</v>
      </c>
      <c r="O651" s="99">
        <f t="shared" si="221"/>
        <v>29585.900404528249</v>
      </c>
      <c r="P651" s="100">
        <f t="shared" si="222"/>
        <v>25505.155137775051</v>
      </c>
      <c r="Q651" s="95">
        <f t="shared" si="223"/>
        <v>1036377698989.5844</v>
      </c>
      <c r="R651" s="95">
        <f t="shared" si="224"/>
        <v>28102011263122.18</v>
      </c>
      <c r="S651" s="95">
        <f t="shared" si="225"/>
        <v>20560670611979.188</v>
      </c>
      <c r="T651">
        <f t="shared" si="207"/>
        <v>0.5</v>
      </c>
    </row>
    <row r="652" spans="1:20" x14ac:dyDescent="0.25">
      <c r="A652">
        <v>304.5</v>
      </c>
      <c r="B652" s="95">
        <f t="shared" si="208"/>
        <v>9235.1423250317403</v>
      </c>
      <c r="C652" s="95">
        <f t="shared" si="209"/>
        <v>6187.6647955734634</v>
      </c>
      <c r="D652" s="95">
        <f t="shared" si="210"/>
        <v>-142.96900536673473</v>
      </c>
      <c r="E652" s="95">
        <f t="shared" si="211"/>
        <v>133.13955688358323</v>
      </c>
      <c r="F652" s="96">
        <f t="shared" si="212"/>
        <v>-162.99758133131854</v>
      </c>
      <c r="G652" s="94">
        <f t="shared" si="213"/>
        <v>148.43718441666942</v>
      </c>
      <c r="H652" s="97">
        <f t="shared" si="214"/>
        <v>386.58314336752591</v>
      </c>
      <c r="I652" s="94">
        <f t="shared" si="215"/>
        <v>663.29551899983016</v>
      </c>
      <c r="J652" s="95">
        <f t="shared" si="216"/>
        <v>-187.26165087627055</v>
      </c>
      <c r="K652" s="94">
        <f t="shared" si="217"/>
        <v>24.419384593294009</v>
      </c>
      <c r="L652" s="94">
        <f t="shared" si="218"/>
        <v>-362.3190738225739</v>
      </c>
      <c r="M652" s="94">
        <f t="shared" si="219"/>
        <v>-539.27771917645475</v>
      </c>
      <c r="N652" s="99">
        <f t="shared" si="220"/>
        <v>1543.420003700717</v>
      </c>
      <c r="O652" s="99">
        <f t="shared" si="221"/>
        <v>29562.210334903437</v>
      </c>
      <c r="P652" s="100">
        <f t="shared" si="222"/>
        <v>25510.394467945847</v>
      </c>
      <c r="Q652" s="95">
        <f t="shared" si="223"/>
        <v>1035944140325.8655</v>
      </c>
      <c r="R652" s="95">
        <f t="shared" si="224"/>
        <v>28038134003359.613</v>
      </c>
      <c r="S652" s="95">
        <f t="shared" si="225"/>
        <v>20571655290508.078</v>
      </c>
      <c r="T652">
        <f t="shared" si="207"/>
        <v>0.5</v>
      </c>
    </row>
    <row r="653" spans="1:20" x14ac:dyDescent="0.25">
      <c r="A653">
        <v>305</v>
      </c>
      <c r="B653" s="95">
        <f t="shared" si="208"/>
        <v>9122.9084270155417</v>
      </c>
      <c r="C653" s="95">
        <f t="shared" si="209"/>
        <v>6291.3438701194227</v>
      </c>
      <c r="D653" s="95">
        <f t="shared" si="210"/>
        <v>-224.46779603239401</v>
      </c>
      <c r="E653" s="95">
        <f t="shared" si="211"/>
        <v>207.35814909191794</v>
      </c>
      <c r="F653" s="96">
        <f t="shared" si="212"/>
        <v>-103.08488815537169</v>
      </c>
      <c r="G653" s="94">
        <f t="shared" si="213"/>
        <v>94.424442198919678</v>
      </c>
      <c r="H653" s="97">
        <f t="shared" si="214"/>
        <v>443.79669673138773</v>
      </c>
      <c r="I653" s="94">
        <f t="shared" si="215"/>
        <v>611.56396258597749</v>
      </c>
      <c r="J653" s="95">
        <f t="shared" si="216"/>
        <v>-187.97586067954404</v>
      </c>
      <c r="K653" s="94">
        <f t="shared" si="217"/>
        <v>23.937781823057076</v>
      </c>
      <c r="L653" s="94">
        <f t="shared" si="218"/>
        <v>-358.90572420721537</v>
      </c>
      <c r="M653" s="94">
        <f t="shared" si="219"/>
        <v>-541.07730221011491</v>
      </c>
      <c r="N653" s="99">
        <f t="shared" si="220"/>
        <v>1518.9571921996655</v>
      </c>
      <c r="O653" s="99">
        <f t="shared" si="221"/>
        <v>29482.663490189825</v>
      </c>
      <c r="P653" s="100">
        <f t="shared" si="222"/>
        <v>25525.603156507255</v>
      </c>
      <c r="Q653" s="95">
        <f t="shared" si="223"/>
        <v>1034807327509.7183</v>
      </c>
      <c r="R653" s="95">
        <f t="shared" si="224"/>
        <v>27824374176124.195</v>
      </c>
      <c r="S653" s="95">
        <f t="shared" si="225"/>
        <v>20603565397588.531</v>
      </c>
      <c r="T653">
        <f t="shared" si="207"/>
        <v>0.5</v>
      </c>
    </row>
    <row r="654" spans="1:20" x14ac:dyDescent="0.25">
      <c r="A654">
        <v>305.5</v>
      </c>
      <c r="B654" s="95">
        <f t="shared" si="208"/>
        <v>8984.903306960503</v>
      </c>
      <c r="C654" s="95">
        <f t="shared" si="209"/>
        <v>6418.6290552151122</v>
      </c>
      <c r="D654" s="95">
        <f t="shared" si="210"/>
        <v>-276.01024011007985</v>
      </c>
      <c r="E654" s="95">
        <f t="shared" si="211"/>
        <v>254.57037019137778</v>
      </c>
      <c r="F654" s="96">
        <f t="shared" si="212"/>
        <v>-29.67509442270989</v>
      </c>
      <c r="G654" s="94">
        <f t="shared" si="213"/>
        <v>28.186413043791276</v>
      </c>
      <c r="H654" s="97">
        <f t="shared" si="214"/>
        <v>514.20655259002899</v>
      </c>
      <c r="I654" s="94">
        <f t="shared" si="215"/>
        <v>547.77838347979343</v>
      </c>
      <c r="J654" s="95">
        <f t="shared" si="216"/>
        <v>-189.34769764704455</v>
      </c>
      <c r="K654" s="94">
        <f t="shared" si="217"/>
        <v>23.395777299425831</v>
      </c>
      <c r="L654" s="94">
        <f t="shared" si="218"/>
        <v>-354.5339493656943</v>
      </c>
      <c r="M654" s="94">
        <f t="shared" si="219"/>
        <v>-542.987747735428</v>
      </c>
      <c r="N654" s="99">
        <f t="shared" si="220"/>
        <v>1493.3650818531435</v>
      </c>
      <c r="O654" s="99">
        <f t="shared" si="221"/>
        <v>29358.098125356039</v>
      </c>
      <c r="P654" s="100">
        <f t="shared" si="222"/>
        <v>25549.517925658376</v>
      </c>
      <c r="Q654" s="95">
        <f t="shared" si="223"/>
        <v>1033637908564.585</v>
      </c>
      <c r="R654" s="95">
        <f t="shared" si="224"/>
        <v>27491888226456.051</v>
      </c>
      <c r="S654" s="95">
        <f t="shared" si="225"/>
        <v>20653814004232.746</v>
      </c>
      <c r="T654">
        <f t="shared" si="207"/>
        <v>0.5</v>
      </c>
    </row>
    <row r="655" spans="1:20" x14ac:dyDescent="0.25">
      <c r="A655">
        <v>306</v>
      </c>
      <c r="B655" s="95">
        <f t="shared" si="208"/>
        <v>8839.4794132997849</v>
      </c>
      <c r="C655" s="95">
        <f t="shared" si="209"/>
        <v>6552.9608435717482</v>
      </c>
      <c r="D655" s="95">
        <f t="shared" si="210"/>
        <v>-290.84778732143479</v>
      </c>
      <c r="E655" s="95">
        <f t="shared" si="211"/>
        <v>268.66357671327341</v>
      </c>
      <c r="F655" s="96">
        <f t="shared" si="212"/>
        <v>47.16502363205467</v>
      </c>
      <c r="G655" s="94">
        <f t="shared" si="213"/>
        <v>-41.902791574190189</v>
      </c>
      <c r="H655" s="97">
        <f t="shared" si="214"/>
        <v>588.13429116694624</v>
      </c>
      <c r="I655" s="94">
        <f t="shared" si="215"/>
        <v>479.94512924323749</v>
      </c>
      <c r="J655" s="95">
        <f t="shared" si="216"/>
        <v>-191.20791228884036</v>
      </c>
      <c r="K655" s="94">
        <f t="shared" si="217"/>
        <v>22.854128232792458</v>
      </c>
      <c r="L655" s="94">
        <f t="shared" si="218"/>
        <v>-349.76135524605121</v>
      </c>
      <c r="M655" s="94">
        <f t="shared" si="219"/>
        <v>-544.70204905022013</v>
      </c>
      <c r="N655" s="99">
        <f t="shared" si="220"/>
        <v>1483.1670224370159</v>
      </c>
      <c r="O655" s="99">
        <f t="shared" si="221"/>
        <v>29205.322075916218</v>
      </c>
      <c r="P655" s="100">
        <f t="shared" si="222"/>
        <v>25579.976370394477</v>
      </c>
      <c r="Q655" s="95">
        <f t="shared" si="223"/>
        <v>1033177570801.3715</v>
      </c>
      <c r="R655" s="95">
        <f t="shared" si="224"/>
        <v>27087835245027.449</v>
      </c>
      <c r="S655" s="95">
        <f t="shared" si="225"/>
        <v>20717939152036.84</v>
      </c>
      <c r="T655">
        <f t="shared" si="207"/>
        <v>0.5</v>
      </c>
    </row>
    <row r="656" spans="1:20" x14ac:dyDescent="0.25">
      <c r="A656">
        <v>306.5</v>
      </c>
      <c r="B656" s="95">
        <f t="shared" si="208"/>
        <v>8705.8467755470811</v>
      </c>
      <c r="C656" s="95">
        <f t="shared" si="209"/>
        <v>6676.8169340348377</v>
      </c>
      <c r="D656" s="95">
        <f t="shared" si="210"/>
        <v>-267.26527550540743</v>
      </c>
      <c r="E656" s="95">
        <f t="shared" si="211"/>
        <v>247.71218092617832</v>
      </c>
      <c r="F656" s="96">
        <f t="shared" si="212"/>
        <v>116.91510499220266</v>
      </c>
      <c r="G656" s="94">
        <f t="shared" si="213"/>
        <v>-106.66900382541951</v>
      </c>
      <c r="H656" s="97">
        <f t="shared" si="214"/>
        <v>655.434867572499</v>
      </c>
      <c r="I656" s="94">
        <f t="shared" si="215"/>
        <v>416.90803966190509</v>
      </c>
      <c r="J656" s="95">
        <f t="shared" si="216"/>
        <v>-193.32120556223455</v>
      </c>
      <c r="K656" s="94">
        <f t="shared" si="217"/>
        <v>22.380170898273189</v>
      </c>
      <c r="L656" s="94">
        <f t="shared" si="218"/>
        <v>-345.19855701806176</v>
      </c>
      <c r="M656" s="94">
        <f t="shared" si="219"/>
        <v>-545.95721438559781</v>
      </c>
      <c r="N656" s="99">
        <f t="shared" si="220"/>
        <v>1497.8955891394253</v>
      </c>
      <c r="O656" s="99">
        <f t="shared" si="221"/>
        <v>29044.752568684275</v>
      </c>
      <c r="P656" s="100">
        <f t="shared" si="222"/>
        <v>25613.693828803483</v>
      </c>
      <c r="Q656" s="95">
        <f t="shared" si="223"/>
        <v>1033843448502.8158</v>
      </c>
      <c r="R656" s="95">
        <f t="shared" si="224"/>
        <v>26667580206234.141</v>
      </c>
      <c r="S656" s="95">
        <f t="shared" si="225"/>
        <v>20789092087192.172</v>
      </c>
      <c r="T656">
        <f t="shared" si="207"/>
        <v>0.5</v>
      </c>
    </row>
    <row r="657" spans="1:20" x14ac:dyDescent="0.25">
      <c r="A657">
        <v>307</v>
      </c>
      <c r="B657" s="95">
        <f t="shared" si="208"/>
        <v>8601.4429140424272</v>
      </c>
      <c r="C657" s="95">
        <f t="shared" si="209"/>
        <v>6774.0057735415721</v>
      </c>
      <c r="D657" s="95">
        <f t="shared" si="210"/>
        <v>-208.8077230093061</v>
      </c>
      <c r="E657" s="95">
        <f t="shared" si="211"/>
        <v>194.37767901346857</v>
      </c>
      <c r="F657" s="96">
        <f t="shared" si="212"/>
        <v>170.33535785203196</v>
      </c>
      <c r="G657" s="94">
        <f t="shared" si="213"/>
        <v>-157.44871704888726</v>
      </c>
      <c r="H657" s="97">
        <f t="shared" si="214"/>
        <v>707.18228634910759</v>
      </c>
      <c r="I657" s="94">
        <f t="shared" si="215"/>
        <v>367.09996474087285</v>
      </c>
      <c r="J657" s="95">
        <f t="shared" si="216"/>
        <v>-195.41203444761175</v>
      </c>
      <c r="K657" s="94">
        <f t="shared" si="217"/>
        <v>22.040779439102522</v>
      </c>
      <c r="L657" s="94">
        <f t="shared" si="218"/>
        <v>-341.43489404946388</v>
      </c>
      <c r="M657" s="94">
        <f t="shared" si="219"/>
        <v>-546.58946122886266</v>
      </c>
      <c r="N657" s="99">
        <f t="shared" si="220"/>
        <v>1533.7740799914739</v>
      </c>
      <c r="O657" s="99">
        <f t="shared" si="221"/>
        <v>28897.563648015457</v>
      </c>
      <c r="P657" s="100">
        <f t="shared" si="222"/>
        <v>25646.337520714998</v>
      </c>
      <c r="Q657" s="95">
        <f t="shared" si="223"/>
        <v>1035493665419.9667</v>
      </c>
      <c r="R657" s="95">
        <f t="shared" si="224"/>
        <v>26286295123211.422</v>
      </c>
      <c r="S657" s="95">
        <f t="shared" si="225"/>
        <v>20858145960708.535</v>
      </c>
      <c r="T657">
        <f t="shared" si="207"/>
        <v>0.5</v>
      </c>
    </row>
    <row r="658" spans="1:20" x14ac:dyDescent="0.25">
      <c r="A658">
        <v>307.5</v>
      </c>
      <c r="B658" s="95">
        <f t="shared" si="208"/>
        <v>8539.6228920007816</v>
      </c>
      <c r="C658" s="95">
        <f t="shared" si="209"/>
        <v>6831.8324337860849</v>
      </c>
      <c r="D658" s="95">
        <f t="shared" si="210"/>
        <v>-123.64004408329012</v>
      </c>
      <c r="E658" s="95">
        <f t="shared" si="211"/>
        <v>115.65332048902494</v>
      </c>
      <c r="F658" s="96">
        <f t="shared" si="212"/>
        <v>200.86851324653543</v>
      </c>
      <c r="G658" s="94">
        <f t="shared" si="213"/>
        <v>-187.45054026561468</v>
      </c>
      <c r="H658" s="97">
        <f t="shared" si="214"/>
        <v>737.03091692159035</v>
      </c>
      <c r="I658" s="94">
        <f t="shared" si="215"/>
        <v>337.21437516820674</v>
      </c>
      <c r="J658" s="95">
        <f t="shared" si="216"/>
        <v>-197.20036766322139</v>
      </c>
      <c r="K658" s="94">
        <f t="shared" si="217"/>
        <v>21.891102459212558</v>
      </c>
      <c r="L658" s="94">
        <f t="shared" si="218"/>
        <v>-338.9620360118335</v>
      </c>
      <c r="M658" s="94">
        <f t="shared" si="219"/>
        <v>-546.55601789303398</v>
      </c>
      <c r="N658" s="99">
        <f t="shared" si="220"/>
        <v>1575.763160989972</v>
      </c>
      <c r="O658" s="99">
        <f t="shared" si="221"/>
        <v>28782.799994343339</v>
      </c>
      <c r="P658" s="100">
        <f t="shared" si="222"/>
        <v>25673.071042829619</v>
      </c>
      <c r="Q658" s="95">
        <f t="shared" si="223"/>
        <v>1037475698921.7638</v>
      </c>
      <c r="R658" s="95">
        <f t="shared" si="224"/>
        <v>25991614216148.293</v>
      </c>
      <c r="S658" s="95">
        <f t="shared" si="225"/>
        <v>20914819994964.898</v>
      </c>
      <c r="T658">
        <f t="shared" ref="T658:T721" si="226">A659-A658</f>
        <v>0.5</v>
      </c>
    </row>
    <row r="659" spans="1:20" x14ac:dyDescent="0.25">
      <c r="A659">
        <v>308</v>
      </c>
      <c r="B659" s="95">
        <f t="shared" si="208"/>
        <v>8528.0199982707691</v>
      </c>
      <c r="C659" s="95">
        <f t="shared" si="209"/>
        <v>6842.7964589641942</v>
      </c>
      <c r="D659" s="95">
        <f t="shared" si="210"/>
        <v>-23.205787460022407</v>
      </c>
      <c r="E659" s="95">
        <f t="shared" si="211"/>
        <v>21.928050356217597</v>
      </c>
      <c r="F659" s="96">
        <f t="shared" si="212"/>
        <v>205.29260065219637</v>
      </c>
      <c r="G659" s="94">
        <f t="shared" si="213"/>
        <v>-192.74349909916953</v>
      </c>
      <c r="H659" s="97">
        <f t="shared" si="214"/>
        <v>741.84281213084125</v>
      </c>
      <c r="I659" s="94">
        <f t="shared" si="215"/>
        <v>331.2149094767604</v>
      </c>
      <c r="J659" s="95">
        <f t="shared" si="216"/>
        <v>-198.44249964110261</v>
      </c>
      <c r="K659" s="94">
        <f t="shared" si="217"/>
        <v>21.961684077509148</v>
      </c>
      <c r="L659" s="94">
        <f t="shared" si="218"/>
        <v>-338.1077118375423</v>
      </c>
      <c r="M659" s="94">
        <f t="shared" si="219"/>
        <v>-545.92009265343904</v>
      </c>
      <c r="N659" s="99">
        <f t="shared" si="220"/>
        <v>1605.9729742770853</v>
      </c>
      <c r="O659" s="99">
        <f t="shared" si="221"/>
        <v>28714.932710093974</v>
      </c>
      <c r="P659" s="100">
        <f t="shared" si="222"/>
        <v>25689.497766100951</v>
      </c>
      <c r="Q659" s="95">
        <f t="shared" si="223"/>
        <v>1038935626264.0063</v>
      </c>
      <c r="R659" s="95">
        <f t="shared" si="224"/>
        <v>25818421327816.48</v>
      </c>
      <c r="S659" s="95">
        <f t="shared" si="225"/>
        <v>20949698747975.66</v>
      </c>
      <c r="T659">
        <f t="shared" si="226"/>
        <v>0.5</v>
      </c>
    </row>
    <row r="660" spans="1:20" x14ac:dyDescent="0.25">
      <c r="A660">
        <v>308.5</v>
      </c>
      <c r="B660" s="95">
        <f t="shared" si="208"/>
        <v>8567.7402547038073</v>
      </c>
      <c r="C660" s="95">
        <f t="shared" si="209"/>
        <v>6805.5746093675107</v>
      </c>
      <c r="D660" s="95">
        <f t="shared" si="210"/>
        <v>79.440512866075778</v>
      </c>
      <c r="E660" s="95">
        <f t="shared" si="211"/>
        <v>-74.443699193367166</v>
      </c>
      <c r="F660" s="96">
        <f t="shared" si="212"/>
        <v>183.66020770333409</v>
      </c>
      <c r="G660" s="94">
        <f t="shared" si="213"/>
        <v>-172.68994289284166</v>
      </c>
      <c r="H660" s="97">
        <f t="shared" si="214"/>
        <v>721.6190538777887</v>
      </c>
      <c r="I660" s="94">
        <f t="shared" si="215"/>
        <v>349.87410281038137</v>
      </c>
      <c r="J660" s="95">
        <f t="shared" si="216"/>
        <v>-198.96866570304718</v>
      </c>
      <c r="K660" s="94">
        <f t="shared" si="217"/>
        <v>22.248541606556682</v>
      </c>
      <c r="L660" s="94">
        <f t="shared" si="218"/>
        <v>-338.99018047140737</v>
      </c>
      <c r="M660" s="94">
        <f t="shared" si="219"/>
        <v>-544.8125873097797</v>
      </c>
      <c r="N660" s="99">
        <f t="shared" si="220"/>
        <v>1612.0302788225749</v>
      </c>
      <c r="O660" s="99">
        <f t="shared" si="221"/>
        <v>28702.19258560687</v>
      </c>
      <c r="P660" s="100">
        <f t="shared" si="222"/>
        <v>25692.704844397998</v>
      </c>
      <c r="Q660" s="95">
        <f t="shared" si="223"/>
        <v>1039231773254.734</v>
      </c>
      <c r="R660" s="95">
        <f t="shared" si="224"/>
        <v>25785997919717.742</v>
      </c>
      <c r="S660" s="95">
        <f t="shared" si="225"/>
        <v>20956513180174.156</v>
      </c>
      <c r="T660">
        <f t="shared" si="226"/>
        <v>0.5</v>
      </c>
    </row>
    <row r="661" spans="1:20" x14ac:dyDescent="0.25">
      <c r="A661">
        <v>309</v>
      </c>
      <c r="B661" s="95">
        <f t="shared" si="208"/>
        <v>8653.3755630626783</v>
      </c>
      <c r="C661" s="95">
        <f t="shared" si="209"/>
        <v>6725.1802740476169</v>
      </c>
      <c r="D661" s="95">
        <f t="shared" si="210"/>
        <v>171.27061671774283</v>
      </c>
      <c r="E661" s="95">
        <f t="shared" si="211"/>
        <v>-160.78867063978799</v>
      </c>
      <c r="F661" s="96">
        <f t="shared" si="212"/>
        <v>138.91035125357195</v>
      </c>
      <c r="G661" s="94">
        <f t="shared" si="213"/>
        <v>-129.93032616151436</v>
      </c>
      <c r="H661" s="97">
        <f t="shared" si="214"/>
        <v>679.11893421066532</v>
      </c>
      <c r="I661" s="94">
        <f t="shared" si="215"/>
        <v>390.75092658419788</v>
      </c>
      <c r="J661" s="95">
        <f t="shared" si="216"/>
        <v>-198.70928247975527</v>
      </c>
      <c r="K661" s="94">
        <f t="shared" si="217"/>
        <v>22.710660269759554</v>
      </c>
      <c r="L661" s="94">
        <f t="shared" si="218"/>
        <v>-341.49930047733807</v>
      </c>
      <c r="M661" s="94">
        <f t="shared" si="219"/>
        <v>-543.3919130154718</v>
      </c>
      <c r="N661" s="99">
        <f t="shared" si="220"/>
        <v>1591.7269241773226</v>
      </c>
      <c r="O661" s="99">
        <f t="shared" si="221"/>
        <v>28745.784679436772</v>
      </c>
      <c r="P661" s="100">
        <f t="shared" si="222"/>
        <v>25682.029897650285</v>
      </c>
      <c r="Q661" s="95">
        <f t="shared" si="223"/>
        <v>1038243628401.6318</v>
      </c>
      <c r="R661" s="95">
        <f t="shared" si="224"/>
        <v>25897055013247.691</v>
      </c>
      <c r="S661" s="95">
        <f t="shared" si="225"/>
        <v>20933837104822.281</v>
      </c>
      <c r="T661">
        <f t="shared" si="226"/>
        <v>0.5</v>
      </c>
    </row>
    <row r="662" spans="1:20" x14ac:dyDescent="0.25">
      <c r="A662">
        <v>309.5</v>
      </c>
      <c r="B662" s="95">
        <f t="shared" si="208"/>
        <v>8773.7384592349426</v>
      </c>
      <c r="C662" s="95">
        <f t="shared" si="209"/>
        <v>6612.3033571873448</v>
      </c>
      <c r="D662" s="95">
        <f t="shared" si="210"/>
        <v>240.7257923445288</v>
      </c>
      <c r="E662" s="95">
        <f t="shared" si="211"/>
        <v>-225.75383372054517</v>
      </c>
      <c r="F662" s="96">
        <f t="shared" si="212"/>
        <v>76.493221035744682</v>
      </c>
      <c r="G662" s="94">
        <f t="shared" si="213"/>
        <v>-70.079355510149981</v>
      </c>
      <c r="H662" s="97">
        <f t="shared" si="214"/>
        <v>619.5043663674187</v>
      </c>
      <c r="I662" s="94">
        <f t="shared" si="215"/>
        <v>448.46219827545065</v>
      </c>
      <c r="J662" s="95">
        <f t="shared" si="216"/>
        <v>-197.70478252908174</v>
      </c>
      <c r="K662" s="94">
        <f t="shared" si="217"/>
        <v>23.276913738222134</v>
      </c>
      <c r="L662" s="94">
        <f t="shared" si="218"/>
        <v>-345.30636280259228</v>
      </c>
      <c r="M662" s="94">
        <f t="shared" si="219"/>
        <v>-541.81846752382273</v>
      </c>
      <c r="N662" s="99">
        <f t="shared" si="220"/>
        <v>1553.6225352001318</v>
      </c>
      <c r="O662" s="99">
        <f t="shared" si="221"/>
        <v>28839.909420721215</v>
      </c>
      <c r="P662" s="100">
        <f t="shared" si="222"/>
        <v>25659.269713027781</v>
      </c>
      <c r="Q662" s="95">
        <f t="shared" si="223"/>
        <v>1036423754480.9587</v>
      </c>
      <c r="R662" s="95">
        <f t="shared" si="224"/>
        <v>26137970228301.172</v>
      </c>
      <c r="S662" s="95">
        <f t="shared" si="225"/>
        <v>20885547935268.09</v>
      </c>
      <c r="T662">
        <f t="shared" si="226"/>
        <v>0.5</v>
      </c>
    </row>
    <row r="663" spans="1:20" x14ac:dyDescent="0.25">
      <c r="A663">
        <v>310</v>
      </c>
      <c r="B663" s="95">
        <f t="shared" si="208"/>
        <v>8913.2246606661429</v>
      </c>
      <c r="C663" s="95">
        <f t="shared" si="209"/>
        <v>6481.9066014495347</v>
      </c>
      <c r="D663" s="95">
        <f t="shared" si="210"/>
        <v>278.97240286240117</v>
      </c>
      <c r="E663" s="95">
        <f t="shared" si="211"/>
        <v>-260.79351147562016</v>
      </c>
      <c r="F663" s="96">
        <f t="shared" si="212"/>
        <v>4.0174939179016746</v>
      </c>
      <c r="G663" s="94">
        <f t="shared" si="213"/>
        <v>-1.1284948495966773</v>
      </c>
      <c r="H663" s="97">
        <f t="shared" si="214"/>
        <v>550.0189572640686</v>
      </c>
      <c r="I663" s="94">
        <f t="shared" si="215"/>
        <v>515.2589032903478</v>
      </c>
      <c r="J663" s="95">
        <f t="shared" si="216"/>
        <v>-196.09798842830278</v>
      </c>
      <c r="K663" s="94">
        <f t="shared" si="217"/>
        <v>23.860743540556118</v>
      </c>
      <c r="L663" s="94">
        <f t="shared" si="218"/>
        <v>-349.90347491786417</v>
      </c>
      <c r="M663" s="94">
        <f t="shared" si="219"/>
        <v>-540.24814168050057</v>
      </c>
      <c r="N663" s="99">
        <f t="shared" si="220"/>
        <v>1513.8436828220908</v>
      </c>
      <c r="O663" s="99">
        <f t="shared" si="221"/>
        <v>28972.478552312023</v>
      </c>
      <c r="P663" s="100">
        <f t="shared" si="222"/>
        <v>25628.256428140001</v>
      </c>
      <c r="Q663" s="95">
        <f t="shared" si="223"/>
        <v>1034572044309.4387</v>
      </c>
      <c r="R663" s="95">
        <f t="shared" si="224"/>
        <v>26479887423757.219</v>
      </c>
      <c r="S663" s="95">
        <f t="shared" si="225"/>
        <v>20819877249458.316</v>
      </c>
      <c r="T663">
        <f t="shared" si="226"/>
        <v>0.5</v>
      </c>
    </row>
    <row r="664" spans="1:20" x14ac:dyDescent="0.25">
      <c r="A664">
        <v>310.5</v>
      </c>
      <c r="B664" s="95">
        <f t="shared" si="208"/>
        <v>9053.7152355768194</v>
      </c>
      <c r="C664" s="95">
        <f t="shared" si="209"/>
        <v>6351.2277219993257</v>
      </c>
      <c r="D664" s="95">
        <f t="shared" si="210"/>
        <v>280.98114982135201</v>
      </c>
      <c r="E664" s="95">
        <f t="shared" si="211"/>
        <v>-261.3577589004185</v>
      </c>
      <c r="F664" s="96">
        <f t="shared" si="212"/>
        <v>-69.345010710440476</v>
      </c>
      <c r="G664" s="94">
        <f t="shared" si="213"/>
        <v>67.568657815726397</v>
      </c>
      <c r="H664" s="97">
        <f t="shared" si="214"/>
        <v>479.43748172771762</v>
      </c>
      <c r="I664" s="94">
        <f t="shared" si="215"/>
        <v>582.02827388749301</v>
      </c>
      <c r="J664" s="95">
        <f t="shared" si="216"/>
        <v>-194.11115697942844</v>
      </c>
      <c r="K664" s="94">
        <f t="shared" si="217"/>
        <v>24.377860204600918</v>
      </c>
      <c r="L664" s="94">
        <f t="shared" si="218"/>
        <v>-354.67133545872963</v>
      </c>
      <c r="M664" s="94">
        <f t="shared" si="219"/>
        <v>-538.83747627636751</v>
      </c>
      <c r="N664" s="99">
        <f t="shared" si="220"/>
        <v>1489.1590937023004</v>
      </c>
      <c r="O664" s="99">
        <f t="shared" si="221"/>
        <v>29126.474922981619</v>
      </c>
      <c r="P664" s="100">
        <f t="shared" si="222"/>
        <v>25593.947169039198</v>
      </c>
      <c r="Q664" s="95">
        <f t="shared" si="223"/>
        <v>1033447660858.2965</v>
      </c>
      <c r="R664" s="95">
        <f t="shared" si="224"/>
        <v>26880907086967.996</v>
      </c>
      <c r="S664" s="95">
        <f t="shared" si="225"/>
        <v>20747400069525.59</v>
      </c>
      <c r="T664">
        <f t="shared" si="226"/>
        <v>0.5</v>
      </c>
    </row>
    <row r="665" spans="1:20" x14ac:dyDescent="0.25">
      <c r="A665">
        <v>311</v>
      </c>
      <c r="B665" s="95">
        <f t="shared" si="208"/>
        <v>9176.869557809885</v>
      </c>
      <c r="C665" s="95">
        <f t="shared" si="209"/>
        <v>6237.4410070030481</v>
      </c>
      <c r="D665" s="95">
        <f t="shared" si="210"/>
        <v>246.30864446613177</v>
      </c>
      <c r="E665" s="95">
        <f t="shared" si="211"/>
        <v>-227.5734299925553</v>
      </c>
      <c r="F665" s="96">
        <f t="shared" si="212"/>
        <v>-133.92443665423443</v>
      </c>
      <c r="G665" s="94">
        <f t="shared" si="213"/>
        <v>126.71587970695498</v>
      </c>
      <c r="H665" s="97">
        <f t="shared" si="214"/>
        <v>417.05611317577069</v>
      </c>
      <c r="I665" s="94">
        <f t="shared" si="215"/>
        <v>639.70170374625388</v>
      </c>
      <c r="J665" s="95">
        <f t="shared" si="216"/>
        <v>-192.01212697336572</v>
      </c>
      <c r="K665" s="94">
        <f t="shared" si="217"/>
        <v>24.761290914937341</v>
      </c>
      <c r="L665" s="94">
        <f t="shared" si="218"/>
        <v>-358.96842285663939</v>
      </c>
      <c r="M665" s="94">
        <f t="shared" si="219"/>
        <v>-537.74711495423628</v>
      </c>
      <c r="N665" s="99">
        <f t="shared" si="220"/>
        <v>1488.3321544877988</v>
      </c>
      <c r="O665" s="99">
        <f t="shared" si="221"/>
        <v>29281.938257681897</v>
      </c>
      <c r="P665" s="100">
        <f t="shared" si="222"/>
        <v>25561.334807856896</v>
      </c>
      <c r="Q665" s="95">
        <f t="shared" si="223"/>
        <v>1033410320751.7001</v>
      </c>
      <c r="R665" s="95">
        <f t="shared" si="224"/>
        <v>27289952369436.605</v>
      </c>
      <c r="S665" s="95">
        <f t="shared" si="225"/>
        <v>20678675531442.383</v>
      </c>
      <c r="T665">
        <f t="shared" si="226"/>
        <v>0.5</v>
      </c>
    </row>
    <row r="666" spans="1:20" x14ac:dyDescent="0.25">
      <c r="A666">
        <v>311.5</v>
      </c>
      <c r="B666" s="95">
        <f t="shared" si="208"/>
        <v>9266.5427708793923</v>
      </c>
      <c r="C666" s="95">
        <f t="shared" si="209"/>
        <v>6155.3332619335088</v>
      </c>
      <c r="D666" s="95">
        <f t="shared" si="210"/>
        <v>179.34642613901457</v>
      </c>
      <c r="E666" s="95">
        <f t="shared" si="211"/>
        <v>-164.21549013907782</v>
      </c>
      <c r="F666" s="96">
        <f t="shared" si="212"/>
        <v>-180.98824410981524</v>
      </c>
      <c r="G666" s="94">
        <f t="shared" si="213"/>
        <v>168.57705068247537</v>
      </c>
      <c r="H666" s="97">
        <f t="shared" si="214"/>
        <v>371.31359202095888</v>
      </c>
      <c r="I666" s="94">
        <f t="shared" si="215"/>
        <v>680.73913073460517</v>
      </c>
      <c r="J666" s="95">
        <f t="shared" si="216"/>
        <v>-190.07572864639258</v>
      </c>
      <c r="K666" s="94">
        <f t="shared" si="217"/>
        <v>24.969735488117561</v>
      </c>
      <c r="L666" s="94">
        <f t="shared" si="218"/>
        <v>-362.22610748438154</v>
      </c>
      <c r="M666" s="94">
        <f t="shared" si="219"/>
        <v>-537.13181554024732</v>
      </c>
      <c r="N666" s="99">
        <f t="shared" si="220"/>
        <v>1507.1824493595896</v>
      </c>
      <c r="O666" s="99">
        <f t="shared" si="221"/>
        <v>29418.473233144432</v>
      </c>
      <c r="P666" s="100">
        <f t="shared" si="222"/>
        <v>25534.53604405397</v>
      </c>
      <c r="Q666" s="95">
        <f t="shared" si="223"/>
        <v>1034266763656.7263</v>
      </c>
      <c r="R666" s="95">
        <f t="shared" si="224"/>
        <v>27652697385377.906</v>
      </c>
      <c r="S666" s="95">
        <f t="shared" si="225"/>
        <v>20622324488787.16</v>
      </c>
      <c r="T666">
        <f t="shared" si="226"/>
        <v>0.5</v>
      </c>
    </row>
    <row r="667" spans="1:20" x14ac:dyDescent="0.25">
      <c r="A667">
        <v>312</v>
      </c>
      <c r="B667" s="95">
        <f t="shared" si="208"/>
        <v>9310.9689229214455</v>
      </c>
      <c r="C667" s="95">
        <f t="shared" si="209"/>
        <v>6115.3697795345879</v>
      </c>
      <c r="D667" s="95">
        <f t="shared" si="210"/>
        <v>88.852304084106947</v>
      </c>
      <c r="E667" s="95">
        <f t="shared" si="211"/>
        <v>-79.926964797840128</v>
      </c>
      <c r="F667" s="96">
        <f t="shared" si="212"/>
        <v>-204.13451608699566</v>
      </c>
      <c r="G667" s="94">
        <f t="shared" si="213"/>
        <v>188.08067081452714</v>
      </c>
      <c r="H667" s="97">
        <f t="shared" si="214"/>
        <v>348.44205049787723</v>
      </c>
      <c r="I667" s="94">
        <f t="shared" si="215"/>
        <v>700.20556292744936</v>
      </c>
      <c r="J667" s="95">
        <f t="shared" si="216"/>
        <v>-188.54729167575303</v>
      </c>
      <c r="K667" s="94">
        <f t="shared" si="217"/>
        <v>24.988478175409778</v>
      </c>
      <c r="L667" s="94">
        <f t="shared" si="218"/>
        <v>-364.02927490911986</v>
      </c>
      <c r="M667" s="94">
        <f t="shared" si="219"/>
        <v>-537.11337028833202</v>
      </c>
      <c r="N667" s="99">
        <f t="shared" si="220"/>
        <v>1531.694533323031</v>
      </c>
      <c r="O667" s="99">
        <f t="shared" si="221"/>
        <v>29517.994310022281</v>
      </c>
      <c r="P667" s="100">
        <f t="shared" si="222"/>
        <v>25516.315722627383</v>
      </c>
      <c r="Q667" s="95">
        <f t="shared" si="223"/>
        <v>1035396926955.3076</v>
      </c>
      <c r="R667" s="95">
        <f t="shared" si="224"/>
        <v>27919177438251.031</v>
      </c>
      <c r="S667" s="95">
        <f t="shared" si="225"/>
        <v>20584074749311.461</v>
      </c>
      <c r="T667">
        <f t="shared" si="226"/>
        <v>0.5</v>
      </c>
    </row>
    <row r="668" spans="1:20" x14ac:dyDescent="0.25">
      <c r="A668">
        <v>312.5</v>
      </c>
      <c r="B668" s="95">
        <f t="shared" si="208"/>
        <v>9304.3614459417495</v>
      </c>
      <c r="C668" s="95">
        <f t="shared" si="209"/>
        <v>6122.4264648393</v>
      </c>
      <c r="D668" s="95">
        <f t="shared" si="210"/>
        <v>-13.214953959390883</v>
      </c>
      <c r="E668" s="95">
        <f t="shared" si="211"/>
        <v>14.113370609423441</v>
      </c>
      <c r="F668" s="96">
        <f t="shared" si="212"/>
        <v>-200.23320373159351</v>
      </c>
      <c r="G668" s="94">
        <f t="shared" si="213"/>
        <v>183.25052951702696</v>
      </c>
      <c r="H668" s="97">
        <f t="shared" si="214"/>
        <v>351.54704496030564</v>
      </c>
      <c r="I668" s="94">
        <f t="shared" si="215"/>
        <v>696.16886912900122</v>
      </c>
      <c r="J668" s="95">
        <f t="shared" si="216"/>
        <v>-187.61385378018701</v>
      </c>
      <c r="K668" s="94">
        <f t="shared" si="217"/>
        <v>24.825195921418356</v>
      </c>
      <c r="L668" s="94">
        <f t="shared" si="218"/>
        <v>-364.16639491171213</v>
      </c>
      <c r="M668" s="94">
        <f t="shared" si="219"/>
        <v>-537.74353553339256</v>
      </c>
      <c r="N668" s="99">
        <f t="shared" si="220"/>
        <v>1546.5977733742309</v>
      </c>
      <c r="O668" s="99">
        <f t="shared" si="221"/>
        <v>29567.266548502921</v>
      </c>
      <c r="P668" s="100">
        <f t="shared" si="222"/>
        <v>25508.090333055236</v>
      </c>
      <c r="Q668" s="95">
        <f t="shared" si="223"/>
        <v>1036093178382.4211</v>
      </c>
      <c r="R668" s="95">
        <f t="shared" si="224"/>
        <v>28051759078684.184</v>
      </c>
      <c r="S668" s="95">
        <f t="shared" si="225"/>
        <v>20566823966902.309</v>
      </c>
      <c r="T668">
        <f t="shared" si="226"/>
        <v>0.5</v>
      </c>
    </row>
    <row r="669" spans="1:20" x14ac:dyDescent="0.25">
      <c r="A669">
        <v>313</v>
      </c>
      <c r="B669" s="95">
        <f t="shared" si="208"/>
        <v>9247.6956680291551</v>
      </c>
      <c r="C669" s="95">
        <f t="shared" si="209"/>
        <v>6175.2957825232688</v>
      </c>
      <c r="D669" s="95">
        <f t="shared" si="210"/>
        <v>-113.33155582518764</v>
      </c>
      <c r="E669" s="95">
        <f t="shared" si="211"/>
        <v>105.73863536793692</v>
      </c>
      <c r="F669" s="96">
        <f t="shared" si="212"/>
        <v>-169.78923160699813</v>
      </c>
      <c r="G669" s="94">
        <f t="shared" si="213"/>
        <v>155.08452837601567</v>
      </c>
      <c r="H669" s="97">
        <f t="shared" si="214"/>
        <v>380.2412048652514</v>
      </c>
      <c r="I669" s="94">
        <f t="shared" si="215"/>
        <v>669.55234249927605</v>
      </c>
      <c r="J669" s="95">
        <f t="shared" si="216"/>
        <v>-187.38564037951224</v>
      </c>
      <c r="K669" s="94">
        <f t="shared" si="217"/>
        <v>24.504311628130143</v>
      </c>
      <c r="L669" s="94">
        <f t="shared" si="218"/>
        <v>-362.64479609273729</v>
      </c>
      <c r="M669" s="94">
        <f t="shared" si="219"/>
        <v>-538.97212575139054</v>
      </c>
      <c r="N669" s="99">
        <f t="shared" si="220"/>
        <v>1543.2504147633986</v>
      </c>
      <c r="O669" s="99">
        <f t="shared" si="221"/>
        <v>29559.78985505438</v>
      </c>
      <c r="P669" s="100">
        <f t="shared" si="222"/>
        <v>25510.226501124769</v>
      </c>
      <c r="Q669" s="95">
        <f t="shared" si="223"/>
        <v>1035936195386.351</v>
      </c>
      <c r="R669" s="95">
        <f t="shared" si="224"/>
        <v>28031613095719.641</v>
      </c>
      <c r="S669" s="95">
        <f t="shared" si="225"/>
        <v>20571303069159.512</v>
      </c>
      <c r="T669">
        <f t="shared" si="226"/>
        <v>0.5</v>
      </c>
    </row>
    <row r="670" spans="1:20" x14ac:dyDescent="0.25">
      <c r="A670">
        <v>313.5</v>
      </c>
      <c r="B670" s="95">
        <f t="shared" si="208"/>
        <v>9148.5825822148108</v>
      </c>
      <c r="C670" s="95">
        <f t="shared" si="209"/>
        <v>6266.9362323012419</v>
      </c>
      <c r="D670" s="95">
        <f t="shared" si="210"/>
        <v>-198.2261716286867</v>
      </c>
      <c r="E670" s="95">
        <f t="shared" si="211"/>
        <v>183.28089955594476</v>
      </c>
      <c r="F670" s="96">
        <f t="shared" si="212"/>
        <v>-116.84464121760237</v>
      </c>
      <c r="G670" s="94">
        <f t="shared" si="213"/>
        <v>107.21590700317779</v>
      </c>
      <c r="H670" s="97">
        <f t="shared" si="214"/>
        <v>430.72020277690194</v>
      </c>
      <c r="I670" s="94">
        <f t="shared" si="215"/>
        <v>623.78977099345241</v>
      </c>
      <c r="J670" s="95">
        <f t="shared" si="216"/>
        <v>-187.88719198893369</v>
      </c>
      <c r="K670" s="94">
        <f t="shared" si="217"/>
        <v>24.06274359482952</v>
      </c>
      <c r="L670" s="94">
        <f t="shared" si="218"/>
        <v>-359.67765200557062</v>
      </c>
      <c r="M670" s="94">
        <f t="shared" si="219"/>
        <v>-540.63660758510412</v>
      </c>
      <c r="N670" s="99">
        <f t="shared" si="220"/>
        <v>1523.4182195650471</v>
      </c>
      <c r="O670" s="99">
        <f t="shared" si="221"/>
        <v>29496.712770083985</v>
      </c>
      <c r="P670" s="100">
        <f t="shared" si="222"/>
        <v>25522.342825965734</v>
      </c>
      <c r="Q670" s="95">
        <f t="shared" si="223"/>
        <v>1035013251296.9209</v>
      </c>
      <c r="R670" s="95">
        <f t="shared" si="224"/>
        <v>27862046168217.609</v>
      </c>
      <c r="S670" s="95">
        <f t="shared" si="225"/>
        <v>20596721745682.313</v>
      </c>
      <c r="T670">
        <f t="shared" si="226"/>
        <v>0.5</v>
      </c>
    </row>
    <row r="671" spans="1:20" x14ac:dyDescent="0.25">
      <c r="A671">
        <v>314</v>
      </c>
      <c r="B671" s="95">
        <f t="shared" si="208"/>
        <v>9020.2583360960652</v>
      </c>
      <c r="C671" s="95">
        <f t="shared" si="209"/>
        <v>6385.3806588300085</v>
      </c>
      <c r="D671" s="95">
        <f t="shared" si="210"/>
        <v>-256.64849223748786</v>
      </c>
      <c r="E671" s="95">
        <f t="shared" si="211"/>
        <v>236.88885305753365</v>
      </c>
      <c r="F671" s="96">
        <f t="shared" si="212"/>
        <v>-48.521737512613527</v>
      </c>
      <c r="G671" s="94">
        <f t="shared" si="213"/>
        <v>45.559438927937435</v>
      </c>
      <c r="H671" s="97">
        <f t="shared" si="214"/>
        <v>496.18633573339503</v>
      </c>
      <c r="I671" s="94">
        <f t="shared" si="215"/>
        <v>564.49460812859468</v>
      </c>
      <c r="J671" s="95">
        <f t="shared" si="216"/>
        <v>-189.05610883819352</v>
      </c>
      <c r="K671" s="94">
        <f t="shared" si="217"/>
        <v>23.547890568668269</v>
      </c>
      <c r="L671" s="94">
        <f t="shared" si="218"/>
        <v>-355.65196440781506</v>
      </c>
      <c r="M671" s="94">
        <f t="shared" si="219"/>
        <v>-542.48305976932556</v>
      </c>
      <c r="N671" s="99">
        <f t="shared" si="220"/>
        <v>1498.4518258921294</v>
      </c>
      <c r="O671" s="99">
        <f t="shared" si="221"/>
        <v>29386.657374493989</v>
      </c>
      <c r="P671" s="100">
        <f t="shared" si="222"/>
        <v>25543.393779889931</v>
      </c>
      <c r="Q671" s="95">
        <f t="shared" si="223"/>
        <v>1033868727691.7976</v>
      </c>
      <c r="R671" s="95">
        <f t="shared" si="224"/>
        <v>27567875675726.281</v>
      </c>
      <c r="S671" s="95">
        <f t="shared" si="225"/>
        <v>20640937863439.035</v>
      </c>
      <c r="T671">
        <f t="shared" si="226"/>
        <v>0.5</v>
      </c>
    </row>
    <row r="672" spans="1:20" x14ac:dyDescent="0.25">
      <c r="A672">
        <v>314.5</v>
      </c>
      <c r="B672" s="95">
        <f t="shared" si="208"/>
        <v>8879.8036555991675</v>
      </c>
      <c r="C672" s="95">
        <f t="shared" si="209"/>
        <v>6515.2149450907591</v>
      </c>
      <c r="D672" s="95">
        <f t="shared" si="210"/>
        <v>-280.90936099379462</v>
      </c>
      <c r="E672" s="95">
        <f t="shared" si="211"/>
        <v>259.66857252150237</v>
      </c>
      <c r="F672" s="96">
        <f t="shared" si="212"/>
        <v>25.846783784967329</v>
      </c>
      <c r="G672" s="94">
        <f t="shared" si="213"/>
        <v>-22.144021577740773</v>
      </c>
      <c r="H672" s="97">
        <f t="shared" si="214"/>
        <v>567.67786495016969</v>
      </c>
      <c r="I672" s="94">
        <f t="shared" si="215"/>
        <v>499.05597371390428</v>
      </c>
      <c r="J672" s="95">
        <f t="shared" si="216"/>
        <v>-190.74834661229411</v>
      </c>
      <c r="K672" s="94">
        <f t="shared" si="217"/>
        <v>23.016672670289989</v>
      </c>
      <c r="L672" s="94">
        <f t="shared" si="218"/>
        <v>-351.08273455290828</v>
      </c>
      <c r="M672" s="94">
        <f t="shared" si="219"/>
        <v>-544.21666796193506</v>
      </c>
      <c r="N672" s="99">
        <f t="shared" si="220"/>
        <v>1484.0047182200858</v>
      </c>
      <c r="O672" s="99">
        <f t="shared" si="221"/>
        <v>29244.501481053037</v>
      </c>
      <c r="P672" s="100">
        <f t="shared" si="222"/>
        <v>25571.510509430838</v>
      </c>
      <c r="Q672" s="95">
        <f t="shared" si="223"/>
        <v>1033215262690.314</v>
      </c>
      <c r="R672" s="95">
        <f t="shared" si="224"/>
        <v>27191063645043.535</v>
      </c>
      <c r="S672" s="95">
        <f t="shared" si="225"/>
        <v>20700101384567.828</v>
      </c>
      <c r="T672">
        <f t="shared" si="226"/>
        <v>0.5</v>
      </c>
    </row>
    <row r="673" spans="1:20" x14ac:dyDescent="0.25">
      <c r="A673">
        <v>315</v>
      </c>
      <c r="B673" s="95">
        <f t="shared" si="208"/>
        <v>8745.8106710485117</v>
      </c>
      <c r="C673" s="95">
        <f t="shared" si="209"/>
        <v>6639.5132259570755</v>
      </c>
      <c r="D673" s="95">
        <f t="shared" si="210"/>
        <v>-267.98596910131096</v>
      </c>
      <c r="E673" s="95">
        <f t="shared" si="211"/>
        <v>248.59656173263198</v>
      </c>
      <c r="F673" s="96">
        <f t="shared" si="212"/>
        <v>96.067064460241625</v>
      </c>
      <c r="G673" s="94">
        <f t="shared" si="213"/>
        <v>-87.111389619457952</v>
      </c>
      <c r="H673" s="97">
        <f t="shared" si="214"/>
        <v>635.37237680602959</v>
      </c>
      <c r="I673" s="94">
        <f t="shared" si="215"/>
        <v>435.92264278860983</v>
      </c>
      <c r="J673" s="95">
        <f t="shared" si="216"/>
        <v>-192.75107499696281</v>
      </c>
      <c r="K673" s="94">
        <f t="shared" si="217"/>
        <v>22.533281305655485</v>
      </c>
      <c r="L673" s="94">
        <f t="shared" si="218"/>
        <v>-346.55423734882515</v>
      </c>
      <c r="M673" s="94">
        <f t="shared" si="219"/>
        <v>-545.56731371372325</v>
      </c>
      <c r="N673" s="99">
        <f t="shared" si="220"/>
        <v>1491.5231994111205</v>
      </c>
      <c r="O673" s="99">
        <f t="shared" si="221"/>
        <v>29089.289885882015</v>
      </c>
      <c r="P673" s="100">
        <f t="shared" si="222"/>
        <v>25603.777526986927</v>
      </c>
      <c r="Q673" s="95">
        <f t="shared" si="223"/>
        <v>1033554527989.7024</v>
      </c>
      <c r="R673" s="95">
        <f t="shared" si="224"/>
        <v>26783695219413.367</v>
      </c>
      <c r="S673" s="95">
        <f t="shared" si="225"/>
        <v>20768147843255.426</v>
      </c>
      <c r="T673">
        <f t="shared" si="226"/>
        <v>0.5</v>
      </c>
    </row>
    <row r="674" spans="1:20" x14ac:dyDescent="0.25">
      <c r="A674">
        <v>315.5</v>
      </c>
      <c r="B674" s="95">
        <f t="shared" si="208"/>
        <v>8635.8344526129167</v>
      </c>
      <c r="C674" s="95">
        <f t="shared" si="209"/>
        <v>6742.0336594185273</v>
      </c>
      <c r="D674" s="95">
        <f t="shared" si="210"/>
        <v>-219.95243687119014</v>
      </c>
      <c r="E674" s="95">
        <f t="shared" si="211"/>
        <v>205.04086692290301</v>
      </c>
      <c r="F674" s="96">
        <f t="shared" si="212"/>
        <v>152.73178886900058</v>
      </c>
      <c r="G674" s="94">
        <f t="shared" si="213"/>
        <v>-140.69836142914022</v>
      </c>
      <c r="H674" s="97">
        <f t="shared" si="214"/>
        <v>690.18694963168184</v>
      </c>
      <c r="I674" s="94">
        <f t="shared" si="215"/>
        <v>383.48606408616041</v>
      </c>
      <c r="J674" s="95">
        <f t="shared" si="216"/>
        <v>-194.80510744624451</v>
      </c>
      <c r="K674" s="94">
        <f t="shared" si="217"/>
        <v>22.163435959356534</v>
      </c>
      <c r="L674" s="94">
        <f t="shared" si="218"/>
        <v>-342.65005331643675</v>
      </c>
      <c r="M674" s="94">
        <f t="shared" si="219"/>
        <v>-546.34786147465718</v>
      </c>
      <c r="N674" s="99">
        <f t="shared" si="220"/>
        <v>1520.9958452141095</v>
      </c>
      <c r="O674" s="99">
        <f t="shared" si="221"/>
        <v>28941.570491151371</v>
      </c>
      <c r="P674" s="100">
        <f t="shared" si="222"/>
        <v>25636.221321807203</v>
      </c>
      <c r="Q674" s="95">
        <f t="shared" si="223"/>
        <v>1034901356373.7084</v>
      </c>
      <c r="R674" s="95">
        <f t="shared" si="224"/>
        <v>26399897839352.445</v>
      </c>
      <c r="S674" s="95">
        <f t="shared" si="225"/>
        <v>20836728769032.809</v>
      </c>
      <c r="T674">
        <f t="shared" si="226"/>
        <v>0.5</v>
      </c>
    </row>
    <row r="675" spans="1:20" x14ac:dyDescent="0.25">
      <c r="A675">
        <v>316</v>
      </c>
      <c r="B675" s="95">
        <f t="shared" si="208"/>
        <v>8564.041181394572</v>
      </c>
      <c r="C675" s="95">
        <f t="shared" si="209"/>
        <v>6809.3795025226946</v>
      </c>
      <c r="D675" s="95">
        <f t="shared" si="210"/>
        <v>-143.58654243668985</v>
      </c>
      <c r="E675" s="95">
        <f t="shared" si="211"/>
        <v>134.6916862083329</v>
      </c>
      <c r="F675" s="96">
        <f t="shared" si="212"/>
        <v>188.69640004610795</v>
      </c>
      <c r="G675" s="94">
        <f t="shared" si="213"/>
        <v>-175.73135493301208</v>
      </c>
      <c r="H675" s="97">
        <f t="shared" si="214"/>
        <v>725.21223168160407</v>
      </c>
      <c r="I675" s="94">
        <f t="shared" si="215"/>
        <v>348.78885503623809</v>
      </c>
      <c r="J675" s="95">
        <f t="shared" si="216"/>
        <v>-196.63724488260581</v>
      </c>
      <c r="K675" s="94">
        <f t="shared" si="217"/>
        <v>21.964497954111806</v>
      </c>
      <c r="L675" s="94">
        <f t="shared" si="218"/>
        <v>-339.87858675289027</v>
      </c>
      <c r="M675" s="94">
        <f t="shared" si="219"/>
        <v>-546.48470792336195</v>
      </c>
      <c r="N675" s="99">
        <f t="shared" si="220"/>
        <v>1560.5962367417042</v>
      </c>
      <c r="O675" s="99">
        <f t="shared" si="221"/>
        <v>28820.571810320049</v>
      </c>
      <c r="P675" s="100">
        <f t="shared" si="222"/>
        <v>25664.216505990469</v>
      </c>
      <c r="Q675" s="95">
        <f t="shared" si="223"/>
        <v>1036753444557.8406</v>
      </c>
      <c r="R675" s="95">
        <f t="shared" si="224"/>
        <v>26088349997950.555</v>
      </c>
      <c r="S675" s="95">
        <f t="shared" si="225"/>
        <v>20896036501136.551</v>
      </c>
      <c r="T675">
        <f t="shared" si="226"/>
        <v>0.5</v>
      </c>
    </row>
    <row r="676" spans="1:20" x14ac:dyDescent="0.25">
      <c r="A676">
        <v>316.5</v>
      </c>
      <c r="B676" s="95">
        <f t="shared" si="208"/>
        <v>8539.4220101877545</v>
      </c>
      <c r="C676" s="95">
        <f t="shared" si="209"/>
        <v>6832.7925068936074</v>
      </c>
      <c r="D676" s="95">
        <f t="shared" si="210"/>
        <v>-49.238342413635877</v>
      </c>
      <c r="E676" s="95">
        <f t="shared" si="211"/>
        <v>46.826008741826854</v>
      </c>
      <c r="F676" s="96">
        <f t="shared" si="212"/>
        <v>199.92535431782443</v>
      </c>
      <c r="G676" s="94">
        <f t="shared" si="213"/>
        <v>-187.58505012471755</v>
      </c>
      <c r="H676" s="97">
        <f t="shared" si="214"/>
        <v>736.52954757482496</v>
      </c>
      <c r="I676" s="94">
        <f t="shared" si="215"/>
        <v>336.45449709902533</v>
      </c>
      <c r="J676" s="95">
        <f t="shared" si="216"/>
        <v>-197.99896624306982</v>
      </c>
      <c r="K676" s="94">
        <f t="shared" si="217"/>
        <v>21.9732484171723</v>
      </c>
      <c r="L676" s="94">
        <f t="shared" si="218"/>
        <v>-338.60522701393069</v>
      </c>
      <c r="M676" s="94">
        <f t="shared" si="219"/>
        <v>-546.01279564091521</v>
      </c>
      <c r="N676" s="99">
        <f t="shared" si="220"/>
        <v>1593.403401611311</v>
      </c>
      <c r="O676" s="99">
        <f t="shared" si="221"/>
        <v>28741.685889511202</v>
      </c>
      <c r="P676" s="100">
        <f t="shared" si="222"/>
        <v>25683.30678584097</v>
      </c>
      <c r="Q676" s="95">
        <f t="shared" si="223"/>
        <v>1038324734764.0507</v>
      </c>
      <c r="R676" s="95">
        <f t="shared" si="224"/>
        <v>25886598801976.242</v>
      </c>
      <c r="S676" s="95">
        <f t="shared" si="225"/>
        <v>20936548585977.102</v>
      </c>
      <c r="T676">
        <f t="shared" si="226"/>
        <v>0.5</v>
      </c>
    </row>
    <row r="677" spans="1:20" x14ac:dyDescent="0.25">
      <c r="A677">
        <v>317</v>
      </c>
      <c r="B677" s="95">
        <f t="shared" si="208"/>
        <v>8564.7841775603938</v>
      </c>
      <c r="C677" s="95">
        <f t="shared" si="209"/>
        <v>6809.3092487333415</v>
      </c>
      <c r="D677" s="95">
        <f t="shared" si="210"/>
        <v>50.724334745276337</v>
      </c>
      <c r="E677" s="95">
        <f t="shared" si="211"/>
        <v>-46.966516320531923</v>
      </c>
      <c r="F677" s="96">
        <f t="shared" si="212"/>
        <v>185.61552276369144</v>
      </c>
      <c r="G677" s="94">
        <f t="shared" si="213"/>
        <v>-174.7533985871637</v>
      </c>
      <c r="H677" s="97">
        <f t="shared" si="214"/>
        <v>723.32189674619337</v>
      </c>
      <c r="I677" s="94">
        <f t="shared" si="215"/>
        <v>348.09520384330591</v>
      </c>
      <c r="J677" s="95">
        <f t="shared" si="216"/>
        <v>-198.70422090455043</v>
      </c>
      <c r="K677" s="94">
        <f t="shared" si="217"/>
        <v>22.195291794847503</v>
      </c>
      <c r="L677" s="94">
        <f t="shared" si="218"/>
        <v>-339.0021530779515</v>
      </c>
      <c r="M677" s="94">
        <f t="shared" si="219"/>
        <v>-545.0438942253171</v>
      </c>
      <c r="N677" s="99">
        <f t="shared" si="220"/>
        <v>1605.7564893785411</v>
      </c>
      <c r="O677" s="99">
        <f t="shared" si="221"/>
        <v>28714.627143321544</v>
      </c>
      <c r="P677" s="100">
        <f t="shared" si="222"/>
        <v>25690.207804123078</v>
      </c>
      <c r="Q677" s="95">
        <f t="shared" si="223"/>
        <v>1038925063279.7714</v>
      </c>
      <c r="R677" s="95">
        <f t="shared" si="224"/>
        <v>25817643337985.16</v>
      </c>
      <c r="S677" s="95">
        <f t="shared" si="225"/>
        <v>20951207306912.359</v>
      </c>
      <c r="T677">
        <f t="shared" si="226"/>
        <v>0.5</v>
      </c>
    </row>
    <row r="678" spans="1:20" x14ac:dyDescent="0.25">
      <c r="A678">
        <v>317.5</v>
      </c>
      <c r="B678" s="95">
        <f t="shared" si="208"/>
        <v>8636.5502256239542</v>
      </c>
      <c r="C678" s="95">
        <f t="shared" si="209"/>
        <v>6742.1376409262848</v>
      </c>
      <c r="D678" s="95">
        <f t="shared" si="210"/>
        <v>143.53209612712206</v>
      </c>
      <c r="E678" s="95">
        <f t="shared" si="211"/>
        <v>-134.34321561411377</v>
      </c>
      <c r="F678" s="96">
        <f t="shared" si="212"/>
        <v>147.88993449663548</v>
      </c>
      <c r="G678" s="94">
        <f t="shared" si="213"/>
        <v>-138.94609359309749</v>
      </c>
      <c r="H678" s="97">
        <f t="shared" si="214"/>
        <v>687.57092473454816</v>
      </c>
      <c r="I678" s="94">
        <f t="shared" si="215"/>
        <v>382.18065149358637</v>
      </c>
      <c r="J678" s="95">
        <f t="shared" si="216"/>
        <v>-198.6582092355012</v>
      </c>
      <c r="K678" s="94">
        <f t="shared" si="217"/>
        <v>22.600526148928889</v>
      </c>
      <c r="L678" s="94">
        <f t="shared" si="218"/>
        <v>-341.02278100241148</v>
      </c>
      <c r="M678" s="94">
        <f t="shared" si="219"/>
        <v>-543.72727123561276</v>
      </c>
      <c r="N678" s="99">
        <f t="shared" si="220"/>
        <v>1592.7643174262462</v>
      </c>
      <c r="O678" s="99">
        <f t="shared" si="221"/>
        <v>28742.432092306026</v>
      </c>
      <c r="P678" s="100">
        <f t="shared" si="222"/>
        <v>25683.639533576203</v>
      </c>
      <c r="Q678" s="95">
        <f t="shared" si="223"/>
        <v>1038293806167.9839</v>
      </c>
      <c r="R678" s="95">
        <f t="shared" si="224"/>
        <v>25888502185571.992</v>
      </c>
      <c r="S678" s="95">
        <f t="shared" si="225"/>
        <v>20937255219530.094</v>
      </c>
      <c r="T678">
        <f t="shared" si="226"/>
        <v>0.5</v>
      </c>
    </row>
    <row r="679" spans="1:20" x14ac:dyDescent="0.25">
      <c r="A679">
        <v>318</v>
      </c>
      <c r="B679" s="95">
        <f t="shared" si="208"/>
        <v>8745.2887573116732</v>
      </c>
      <c r="C679" s="95">
        <f t="shared" si="209"/>
        <v>6640.2295097209535</v>
      </c>
      <c r="D679" s="95">
        <f t="shared" si="210"/>
        <v>217.4770633754398</v>
      </c>
      <c r="E679" s="95">
        <f t="shared" si="211"/>
        <v>-203.81626241066252</v>
      </c>
      <c r="F679" s="96">
        <f t="shared" si="212"/>
        <v>91.419933103822359</v>
      </c>
      <c r="G679" s="94">
        <f t="shared" si="213"/>
        <v>-84.863871330704228</v>
      </c>
      <c r="H679" s="97">
        <f t="shared" si="214"/>
        <v>633.69509181349929</v>
      </c>
      <c r="I679" s="94">
        <f t="shared" si="215"/>
        <v>434.22926426367832</v>
      </c>
      <c r="J679" s="95">
        <f t="shared" si="216"/>
        <v>-197.87136440460392</v>
      </c>
      <c r="K679" s="94">
        <f t="shared" si="217"/>
        <v>23.127350593364291</v>
      </c>
      <c r="L679" s="94">
        <f t="shared" si="218"/>
        <v>-344.40379430507301</v>
      </c>
      <c r="M679" s="94">
        <f t="shared" si="219"/>
        <v>-542.22048618774681</v>
      </c>
      <c r="N679" s="99">
        <f t="shared" si="220"/>
        <v>1559.9200756919781</v>
      </c>
      <c r="O679" s="99">
        <f t="shared" si="221"/>
        <v>28821.271241486778</v>
      </c>
      <c r="P679" s="100">
        <f t="shared" si="222"/>
        <v>25664.684904610622</v>
      </c>
      <c r="Q679" s="95">
        <f t="shared" si="223"/>
        <v>1036721412061.0187</v>
      </c>
      <c r="R679" s="95">
        <f t="shared" si="224"/>
        <v>26090143607655.977</v>
      </c>
      <c r="S679" s="95">
        <f t="shared" si="225"/>
        <v>20897029831205.445</v>
      </c>
      <c r="T679">
        <f t="shared" si="226"/>
        <v>0.5</v>
      </c>
    </row>
    <row r="680" spans="1:20" x14ac:dyDescent="0.25">
      <c r="A680">
        <v>318.5</v>
      </c>
      <c r="B680" s="95">
        <f t="shared" si="208"/>
        <v>8876.8822722753503</v>
      </c>
      <c r="C680" s="95">
        <f t="shared" si="209"/>
        <v>6517.1054106829461</v>
      </c>
      <c r="D680" s="95">
        <f t="shared" si="210"/>
        <v>263.18702992735098</v>
      </c>
      <c r="E680" s="95">
        <f t="shared" si="211"/>
        <v>-246.24819807601463</v>
      </c>
      <c r="F680" s="96">
        <f t="shared" si="212"/>
        <v>23.078143234199956</v>
      </c>
      <c r="G680" s="94">
        <f t="shared" si="213"/>
        <v>-19.697030422899047</v>
      </c>
      <c r="H680" s="97">
        <f t="shared" si="214"/>
        <v>568.23038985033611</v>
      </c>
      <c r="I680" s="94">
        <f t="shared" si="215"/>
        <v>497.28586939938612</v>
      </c>
      <c r="J680" s="95">
        <f t="shared" si="216"/>
        <v>-196.45649080557982</v>
      </c>
      <c r="K680" s="94">
        <f t="shared" si="217"/>
        <v>23.694983496189426</v>
      </c>
      <c r="L680" s="94">
        <f t="shared" si="218"/>
        <v>-348.69575581055631</v>
      </c>
      <c r="M680" s="94">
        <f t="shared" si="219"/>
        <v>-540.67788331847464</v>
      </c>
      <c r="N680" s="99">
        <f t="shared" si="220"/>
        <v>1521.0212353820566</v>
      </c>
      <c r="O680" s="99">
        <f t="shared" si="221"/>
        <v>28940.968945226745</v>
      </c>
      <c r="P680" s="100">
        <f t="shared" si="222"/>
        <v>25636.546106199181</v>
      </c>
      <c r="Q680" s="95">
        <f t="shared" si="223"/>
        <v>1034902528258.402</v>
      </c>
      <c r="R680" s="95">
        <f t="shared" si="224"/>
        <v>26398342694755.82</v>
      </c>
      <c r="S680" s="95">
        <f t="shared" si="225"/>
        <v>20837416130847.973</v>
      </c>
      <c r="T680">
        <f t="shared" si="226"/>
        <v>0.5</v>
      </c>
    </row>
    <row r="681" spans="1:20" x14ac:dyDescent="0.25">
      <c r="A681">
        <v>319</v>
      </c>
      <c r="B681" s="95">
        <f t="shared" si="208"/>
        <v>9014.2453230475749</v>
      </c>
      <c r="C681" s="95">
        <f t="shared" si="209"/>
        <v>6389.0570540392137</v>
      </c>
      <c r="D681" s="95">
        <f t="shared" si="210"/>
        <v>274.72610154445096</v>
      </c>
      <c r="E681" s="95">
        <f t="shared" si="211"/>
        <v>-256.09671328746413</v>
      </c>
      <c r="F681" s="96">
        <f t="shared" si="212"/>
        <v>-48.569463032570297</v>
      </c>
      <c r="G681" s="94">
        <f t="shared" si="213"/>
        <v>47.747788719128607</v>
      </c>
      <c r="H681" s="97">
        <f t="shared" si="214"/>
        <v>499.36260442472224</v>
      </c>
      <c r="I681" s="94">
        <f t="shared" si="215"/>
        <v>562.78035076370816</v>
      </c>
      <c r="J681" s="95">
        <f t="shared" si="216"/>
        <v>-194.61034068643451</v>
      </c>
      <c r="K681" s="94">
        <f t="shared" si="217"/>
        <v>24.220062561975116</v>
      </c>
      <c r="L681" s="94">
        <f t="shared" si="218"/>
        <v>-353.32172677085805</v>
      </c>
      <c r="M681" s="94">
        <f t="shared" si="219"/>
        <v>-539.25262460655472</v>
      </c>
      <c r="N681" s="99">
        <f t="shared" si="220"/>
        <v>1492.4728486770273</v>
      </c>
      <c r="O681" s="99">
        <f t="shared" si="221"/>
        <v>29086.163110440408</v>
      </c>
      <c r="P681" s="100">
        <f t="shared" si="222"/>
        <v>25603.782666884035</v>
      </c>
      <c r="Q681" s="95">
        <f t="shared" si="223"/>
        <v>1033597504737.4485</v>
      </c>
      <c r="R681" s="95">
        <f t="shared" si="224"/>
        <v>26775531980765.711</v>
      </c>
      <c r="S681" s="95">
        <f t="shared" si="225"/>
        <v>20768158695320.629</v>
      </c>
      <c r="T681">
        <f t="shared" si="226"/>
        <v>0.5</v>
      </c>
    </row>
    <row r="682" spans="1:20" x14ac:dyDescent="0.25">
      <c r="A682">
        <v>319.5</v>
      </c>
      <c r="B682" s="95">
        <f t="shared" si="208"/>
        <v>9139.4660080616577</v>
      </c>
      <c r="C682" s="95">
        <f t="shared" si="209"/>
        <v>6272.945644575263</v>
      </c>
      <c r="D682" s="95">
        <f t="shared" si="210"/>
        <v>250.44137002816581</v>
      </c>
      <c r="E682" s="95">
        <f t="shared" si="211"/>
        <v>-232.22281892789982</v>
      </c>
      <c r="F682" s="96">
        <f t="shared" si="212"/>
        <v>-114.17572857341008</v>
      </c>
      <c r="G682" s="94">
        <f t="shared" si="213"/>
        <v>108.32820652445457</v>
      </c>
      <c r="H682" s="97">
        <f t="shared" si="214"/>
        <v>436.0664362123461</v>
      </c>
      <c r="I682" s="94">
        <f t="shared" si="215"/>
        <v>621.7967271736095</v>
      </c>
      <c r="J682" s="95">
        <f t="shared" si="216"/>
        <v>-192.58334741433328</v>
      </c>
      <c r="K682" s="94">
        <f t="shared" si="217"/>
        <v>24.63218109639655</v>
      </c>
      <c r="L682" s="94">
        <f t="shared" si="218"/>
        <v>-357.65881737142291</v>
      </c>
      <c r="M682" s="94">
        <f t="shared" si="219"/>
        <v>-538.10070174555153</v>
      </c>
      <c r="N682" s="99">
        <f t="shared" si="220"/>
        <v>1485.2294476994491</v>
      </c>
      <c r="O682" s="99">
        <f t="shared" si="221"/>
        <v>29238.08031702786</v>
      </c>
      <c r="P682" s="100">
        <f t="shared" si="222"/>
        <v>25571.289244688181</v>
      </c>
      <c r="Q682" s="95">
        <f t="shared" si="223"/>
        <v>1033270408182.0721</v>
      </c>
      <c r="R682" s="95">
        <f t="shared" si="224"/>
        <v>27174126955381.332</v>
      </c>
      <c r="S682" s="95">
        <f t="shared" si="225"/>
        <v>20699635322415.473</v>
      </c>
      <c r="T682">
        <f t="shared" si="226"/>
        <v>0.5</v>
      </c>
    </row>
    <row r="683" spans="1:20" x14ac:dyDescent="0.25">
      <c r="A683">
        <v>320</v>
      </c>
      <c r="B683" s="95">
        <f t="shared" si="208"/>
        <v>9236.1427609323873</v>
      </c>
      <c r="C683" s="95">
        <f t="shared" si="209"/>
        <v>6183.9162867424266</v>
      </c>
      <c r="D683" s="95">
        <f t="shared" si="210"/>
        <v>193.35350574146076</v>
      </c>
      <c r="E683" s="95">
        <f t="shared" si="211"/>
        <v>-178.05871566567254</v>
      </c>
      <c r="F683" s="96">
        <f t="shared" si="212"/>
        <v>-164.92513548847347</v>
      </c>
      <c r="G683" s="94">
        <f t="shared" si="213"/>
        <v>154.02639904127773</v>
      </c>
      <c r="H683" s="97">
        <f t="shared" si="214"/>
        <v>386.84784040697167</v>
      </c>
      <c r="I683" s="94">
        <f t="shared" si="215"/>
        <v>666.51740172016014</v>
      </c>
      <c r="J683" s="95">
        <f t="shared" si="216"/>
        <v>-190.64305013553599</v>
      </c>
      <c r="K683" s="94">
        <f t="shared" si="217"/>
        <v>24.883920037499653</v>
      </c>
      <c r="L683" s="94">
        <f t="shared" si="218"/>
        <v>-361.12992575990916</v>
      </c>
      <c r="M683" s="94">
        <f t="shared" si="219"/>
        <v>-537.37492271638212</v>
      </c>
      <c r="N683" s="99">
        <f t="shared" si="220"/>
        <v>1498.7265068878162</v>
      </c>
      <c r="O683" s="99">
        <f t="shared" si="221"/>
        <v>29376.851659142634</v>
      </c>
      <c r="P683" s="100">
        <f t="shared" si="222"/>
        <v>25543.349729238424</v>
      </c>
      <c r="Q683" s="95">
        <f t="shared" si="223"/>
        <v>1033881214606.0804</v>
      </c>
      <c r="R683" s="95">
        <f t="shared" si="224"/>
        <v>27541769447622.949</v>
      </c>
      <c r="S683" s="95">
        <f t="shared" si="225"/>
        <v>20640845266926.066</v>
      </c>
      <c r="T683">
        <f t="shared" si="226"/>
        <v>0.5</v>
      </c>
    </row>
    <row r="684" spans="1:20" x14ac:dyDescent="0.25">
      <c r="A684">
        <v>320.5</v>
      </c>
      <c r="B684" s="95">
        <f t="shared" si="208"/>
        <v>9291.5882299309978</v>
      </c>
      <c r="C684" s="95">
        <f t="shared" si="209"/>
        <v>6133.3935286699098</v>
      </c>
      <c r="D684" s="95">
        <f t="shared" si="210"/>
        <v>110.89093799722403</v>
      </c>
      <c r="E684" s="95">
        <f t="shared" si="211"/>
        <v>-101.04551614503367</v>
      </c>
      <c r="F684" s="96">
        <f t="shared" si="212"/>
        <v>-193.92139735082836</v>
      </c>
      <c r="G684" s="94">
        <f t="shared" si="213"/>
        <v>179.15104033261809</v>
      </c>
      <c r="H684" s="97">
        <f t="shared" si="214"/>
        <v>358.4032168002467</v>
      </c>
      <c r="I684" s="94">
        <f t="shared" si="215"/>
        <v>691.40036362895307</v>
      </c>
      <c r="J684" s="95">
        <f t="shared" si="216"/>
        <v>-189.03772093962047</v>
      </c>
      <c r="K684" s="94">
        <f t="shared" si="217"/>
        <v>24.953733111806411</v>
      </c>
      <c r="L684" s="94">
        <f t="shared" si="218"/>
        <v>-363.28689321145458</v>
      </c>
      <c r="M684" s="94">
        <f t="shared" si="219"/>
        <v>-537.20305640814138</v>
      </c>
      <c r="N684" s="99">
        <f t="shared" si="220"/>
        <v>1521.6945232134599</v>
      </c>
      <c r="O684" s="99">
        <f t="shared" si="221"/>
        <v>29484.140456255613</v>
      </c>
      <c r="P684" s="100">
        <f t="shared" si="222"/>
        <v>25523.049777668784</v>
      </c>
      <c r="Q684" s="95">
        <f t="shared" si="223"/>
        <v>1034933611196.5885</v>
      </c>
      <c r="R684" s="95">
        <f t="shared" si="224"/>
        <v>27828332896243.004</v>
      </c>
      <c r="S684" s="95">
        <f t="shared" si="225"/>
        <v>20598205546026.523</v>
      </c>
      <c r="T684">
        <f t="shared" si="226"/>
        <v>0.5</v>
      </c>
    </row>
    <row r="685" spans="1:20" x14ac:dyDescent="0.25">
      <c r="A685">
        <v>321</v>
      </c>
      <c r="B685" s="95">
        <f t="shared" ref="B685:B748" si="227">B684+(D684*$T684)+(F684*($T684)^2)</f>
        <v>9298.5533495919026</v>
      </c>
      <c r="C685" s="95">
        <f t="shared" ref="C685:C748" si="228">C684+(E684*$T684)+(G684*($T684)^2)</f>
        <v>6127.6585306805473</v>
      </c>
      <c r="D685" s="95">
        <f t="shared" ref="D685:D748" si="229">D684+(F684*$T684)</f>
        <v>13.93023932180985</v>
      </c>
      <c r="E685" s="95">
        <f t="shared" ref="E685:E748" si="230">E684+(G684*$T684)</f>
        <v>-11.469995978724626</v>
      </c>
      <c r="F685" s="96">
        <f t="shared" ref="F685:F748" si="231">SUM(H685,J685,L685)</f>
        <v>-197.23484921422801</v>
      </c>
      <c r="G685" s="94">
        <f t="shared" ref="G685:G748" si="232">SUM(I685,K685,M685)</f>
        <v>180.94249094254769</v>
      </c>
      <c r="H685" s="97">
        <f t="shared" ref="H685:H748" si="233">$D$22*(($D$18-$B685)/$Q685)</f>
        <v>354.59911417158014</v>
      </c>
      <c r="I685" s="94">
        <f t="shared" ref="I685:I748" si="234">$D$22*(($E$18-$C685)/$Q685)</f>
        <v>693.75350082359603</v>
      </c>
      <c r="J685" s="95">
        <f t="shared" ref="J685:J748" si="235">$D$30*(($D$26-$B685)/$R685)</f>
        <v>-187.96605663780048</v>
      </c>
      <c r="K685" s="94">
        <f t="shared" ref="K685:K748" si="236">$D$30*(($E$26-$C685)/$R685)</f>
        <v>24.843163662657158</v>
      </c>
      <c r="L685" s="94">
        <f t="shared" ref="L685:L748" si="237">$D$38*(($D$34-$B685)/$S685)</f>
        <v>-363.86790674800767</v>
      </c>
      <c r="M685" s="94">
        <f t="shared" ref="M685:M748" si="238">$D$38*(($E$34-$C685)/$S685)</f>
        <v>-537.6541735437055</v>
      </c>
      <c r="N685" s="99">
        <f t="shared" ref="N685:N748" si="239">SQRT(($D$18-$B684)^2+($E$18-$C684)^2)</f>
        <v>1539.3051950323488</v>
      </c>
      <c r="O685" s="99">
        <f t="shared" ref="O685:O748" si="240">SQRT(($D$26-$B684)^2+($E$26-$C684)^2)</f>
        <v>29545.689814860707</v>
      </c>
      <c r="P685" s="100">
        <f t="shared" ref="P685:P748" si="241">SQRT(($D$34-$B684)^2+($E$34-$C684)^2)</f>
        <v>25512.150363533245</v>
      </c>
      <c r="Q685" s="95">
        <f t="shared" ref="Q685:Q748" si="242">(N685^2+$D$39^2)^(3/2)</f>
        <v>1035751620979.7787</v>
      </c>
      <c r="R685" s="95">
        <f t="shared" ref="R685:R748" si="243">(O685^2+$D$31^2)^(3/2)</f>
        <v>27993647463389.984</v>
      </c>
      <c r="S685" s="95">
        <f t="shared" ref="S685:S748" si="244">(P685^2+$D$23^2)^(3/2)</f>
        <v>20575337609695</v>
      </c>
      <c r="T685">
        <f t="shared" si="226"/>
        <v>0.5</v>
      </c>
    </row>
    <row r="686" spans="1:20" x14ac:dyDescent="0.25">
      <c r="A686">
        <v>321.5</v>
      </c>
      <c r="B686" s="95">
        <f t="shared" si="227"/>
        <v>9256.2097569492507</v>
      </c>
      <c r="C686" s="95">
        <f t="shared" si="228"/>
        <v>6167.1591554268216</v>
      </c>
      <c r="D686" s="95">
        <f t="shared" si="229"/>
        <v>-84.687185285304153</v>
      </c>
      <c r="E686" s="95">
        <f t="shared" si="230"/>
        <v>79.001249492549221</v>
      </c>
      <c r="F686" s="96">
        <f t="shared" si="231"/>
        <v>-174.40555868100418</v>
      </c>
      <c r="G686" s="94">
        <f t="shared" si="232"/>
        <v>159.59255199782501</v>
      </c>
      <c r="H686" s="97">
        <f t="shared" si="233"/>
        <v>375.97243880478618</v>
      </c>
      <c r="I686" s="94">
        <f t="shared" si="234"/>
        <v>673.72680342973752</v>
      </c>
      <c r="J686" s="95">
        <f t="shared" si="235"/>
        <v>-187.55631035276028</v>
      </c>
      <c r="K686" s="94">
        <f t="shared" si="236"/>
        <v>24.571654802507293</v>
      </c>
      <c r="L686" s="94">
        <f t="shared" si="237"/>
        <v>-362.82168713303008</v>
      </c>
      <c r="M686" s="94">
        <f t="shared" si="238"/>
        <v>-538.70590623441979</v>
      </c>
      <c r="N686" s="99">
        <f t="shared" si="239"/>
        <v>1541.2165687477584</v>
      </c>
      <c r="O686" s="99">
        <f t="shared" si="240"/>
        <v>29553.345949890241</v>
      </c>
      <c r="P686" s="100">
        <f t="shared" si="241"/>
        <v>25511.303041596373</v>
      </c>
      <c r="Q686" s="95">
        <f t="shared" si="242"/>
        <v>1035840982922.5378</v>
      </c>
      <c r="R686" s="95">
        <f t="shared" si="243"/>
        <v>28014257923132.285</v>
      </c>
      <c r="S686" s="95">
        <f t="shared" si="244"/>
        <v>20573560617048.359</v>
      </c>
      <c r="T686">
        <f t="shared" si="226"/>
        <v>0.5</v>
      </c>
    </row>
    <row r="687" spans="1:20" x14ac:dyDescent="0.25">
      <c r="A687">
        <v>322</v>
      </c>
      <c r="B687" s="95">
        <f t="shared" si="227"/>
        <v>9170.2647746363473</v>
      </c>
      <c r="C687" s="95">
        <f t="shared" si="228"/>
        <v>6246.5579181725525</v>
      </c>
      <c r="D687" s="95">
        <f t="shared" si="229"/>
        <v>-171.88996462580624</v>
      </c>
      <c r="E687" s="95">
        <f t="shared" si="230"/>
        <v>158.79752549146173</v>
      </c>
      <c r="F687" s="96">
        <f t="shared" si="231"/>
        <v>-128.46038314569972</v>
      </c>
      <c r="G687" s="94">
        <f t="shared" si="232"/>
        <v>117.95988606750711</v>
      </c>
      <c r="H687" s="97">
        <f t="shared" si="233"/>
        <v>419.69681279079231</v>
      </c>
      <c r="I687" s="94">
        <f t="shared" si="234"/>
        <v>634.01628697910644</v>
      </c>
      <c r="J687" s="95">
        <f t="shared" si="235"/>
        <v>-187.8551028256141</v>
      </c>
      <c r="K687" s="94">
        <f t="shared" si="236"/>
        <v>24.171986565057583</v>
      </c>
      <c r="L687" s="94">
        <f t="shared" si="237"/>
        <v>-360.30209311087793</v>
      </c>
      <c r="M687" s="94">
        <f t="shared" si="238"/>
        <v>-540.22838747665696</v>
      </c>
      <c r="N687" s="99">
        <f t="shared" si="239"/>
        <v>1526.3317603391592</v>
      </c>
      <c r="O687" s="99">
        <f t="shared" si="240"/>
        <v>29506.210842506378</v>
      </c>
      <c r="P687" s="100">
        <f t="shared" si="241"/>
        <v>25520.347633707981</v>
      </c>
      <c r="Q687" s="95">
        <f t="shared" si="242"/>
        <v>1035148075541.2551</v>
      </c>
      <c r="R687" s="95">
        <f t="shared" si="243"/>
        <v>27887534268266.703</v>
      </c>
      <c r="S687" s="95">
        <f t="shared" si="244"/>
        <v>20592534508590.926</v>
      </c>
      <c r="T687">
        <f t="shared" si="226"/>
        <v>0.5</v>
      </c>
    </row>
    <row r="688" spans="1:20" x14ac:dyDescent="0.25">
      <c r="A688">
        <v>322.5</v>
      </c>
      <c r="B688" s="95">
        <f t="shared" si="227"/>
        <v>9052.2046965370191</v>
      </c>
      <c r="C688" s="95">
        <f t="shared" si="228"/>
        <v>6355.4466524351601</v>
      </c>
      <c r="D688" s="95">
        <f t="shared" si="229"/>
        <v>-236.1201561986561</v>
      </c>
      <c r="E688" s="95">
        <f t="shared" si="230"/>
        <v>217.77746852521528</v>
      </c>
      <c r="F688" s="96">
        <f t="shared" si="231"/>
        <v>-65.558872294637411</v>
      </c>
      <c r="G688" s="94">
        <f t="shared" si="232"/>
        <v>61.225033679911121</v>
      </c>
      <c r="H688" s="97">
        <f t="shared" si="233"/>
        <v>479.90710862731481</v>
      </c>
      <c r="I688" s="94">
        <f t="shared" si="234"/>
        <v>579.53366691377596</v>
      </c>
      <c r="J688" s="95">
        <f t="shared" si="235"/>
        <v>-188.82424870550065</v>
      </c>
      <c r="K688" s="94">
        <f t="shared" si="236"/>
        <v>23.687704768343398</v>
      </c>
      <c r="L688" s="94">
        <f t="shared" si="237"/>
        <v>-356.64173221645154</v>
      </c>
      <c r="M688" s="94">
        <f t="shared" si="238"/>
        <v>-541.99633800220829</v>
      </c>
      <c r="N688" s="99">
        <f t="shared" si="239"/>
        <v>1503.1891420261115</v>
      </c>
      <c r="O688" s="99">
        <f t="shared" si="240"/>
        <v>29410.757801934029</v>
      </c>
      <c r="P688" s="100">
        <f t="shared" si="241"/>
        <v>25538.453891211982</v>
      </c>
      <c r="Q688" s="95">
        <f t="shared" si="242"/>
        <v>1034084412357.4398</v>
      </c>
      <c r="R688" s="95">
        <f t="shared" si="243"/>
        <v>27632111483325.16</v>
      </c>
      <c r="S688" s="95">
        <f t="shared" si="244"/>
        <v>20630555846161.973</v>
      </c>
      <c r="T688">
        <f t="shared" si="226"/>
        <v>0.5</v>
      </c>
    </row>
    <row r="689" spans="1:20" x14ac:dyDescent="0.25">
      <c r="A689">
        <v>323</v>
      </c>
      <c r="B689" s="95">
        <f t="shared" si="227"/>
        <v>8917.7549003640324</v>
      </c>
      <c r="C689" s="95">
        <f t="shared" si="228"/>
        <v>6479.6416451177456</v>
      </c>
      <c r="D689" s="95">
        <f t="shared" si="229"/>
        <v>-268.89959234597484</v>
      </c>
      <c r="E689" s="95">
        <f t="shared" si="230"/>
        <v>248.38998536517084</v>
      </c>
      <c r="F689" s="96">
        <f t="shared" si="231"/>
        <v>5.7416836509499944</v>
      </c>
      <c r="G689" s="94">
        <f t="shared" si="232"/>
        <v>-3.5213562770157978</v>
      </c>
      <c r="H689" s="97">
        <f t="shared" si="233"/>
        <v>548.39676774475902</v>
      </c>
      <c r="I689" s="94">
        <f t="shared" si="234"/>
        <v>517.03742890312594</v>
      </c>
      <c r="J689" s="95">
        <f t="shared" si="235"/>
        <v>-190.34423899471457</v>
      </c>
      <c r="K689" s="94">
        <f t="shared" si="236"/>
        <v>23.171921000005181</v>
      </c>
      <c r="L689" s="94">
        <f t="shared" si="237"/>
        <v>-352.31084509909442</v>
      </c>
      <c r="M689" s="94">
        <f t="shared" si="238"/>
        <v>-543.73070618014697</v>
      </c>
      <c r="N689" s="99">
        <f t="shared" si="239"/>
        <v>1486.0411510750182</v>
      </c>
      <c r="O689" s="99">
        <f t="shared" si="240"/>
        <v>29279.914050979274</v>
      </c>
      <c r="P689" s="100">
        <f t="shared" si="241"/>
        <v>25564.028605804309</v>
      </c>
      <c r="Q689" s="95">
        <f t="shared" si="242"/>
        <v>1033306982090.7367</v>
      </c>
      <c r="R689" s="95">
        <f t="shared" si="243"/>
        <v>27284599159004.992</v>
      </c>
      <c r="S689" s="95">
        <f t="shared" si="244"/>
        <v>20684346015116.645</v>
      </c>
      <c r="T689">
        <f t="shared" si="226"/>
        <v>0.5</v>
      </c>
    </row>
    <row r="690" spans="1:20" x14ac:dyDescent="0.25">
      <c r="A690">
        <v>323.5</v>
      </c>
      <c r="B690" s="95">
        <f t="shared" si="227"/>
        <v>8784.7405251037835</v>
      </c>
      <c r="C690" s="95">
        <f t="shared" si="228"/>
        <v>6602.9562987310774</v>
      </c>
      <c r="D690" s="95">
        <f t="shared" si="229"/>
        <v>-266.02875052049984</v>
      </c>
      <c r="E690" s="95">
        <f t="shared" si="230"/>
        <v>246.62930722666295</v>
      </c>
      <c r="F690" s="96">
        <f t="shared" si="231"/>
        <v>75.67307040547081</v>
      </c>
      <c r="G690" s="94">
        <f t="shared" si="232"/>
        <v>-67.949530667325007</v>
      </c>
      <c r="H690" s="97">
        <f t="shared" si="233"/>
        <v>615.76124392827046</v>
      </c>
      <c r="I690" s="94">
        <f t="shared" si="234"/>
        <v>454.5241216066583</v>
      </c>
      <c r="J690" s="95">
        <f t="shared" si="235"/>
        <v>-192.22479508429973</v>
      </c>
      <c r="K690" s="94">
        <f t="shared" si="236"/>
        <v>22.685492988875058</v>
      </c>
      <c r="L690" s="94">
        <f t="shared" si="237"/>
        <v>-347.86337843849992</v>
      </c>
      <c r="M690" s="94">
        <f t="shared" si="238"/>
        <v>-545.15914526285837</v>
      </c>
      <c r="N690" s="99">
        <f t="shared" si="239"/>
        <v>1487.4090318618096</v>
      </c>
      <c r="O690" s="99">
        <f t="shared" si="240"/>
        <v>29131.245620884754</v>
      </c>
      <c r="P690" s="100">
        <f t="shared" si="241"/>
        <v>25594.509307062006</v>
      </c>
      <c r="Q690" s="95">
        <f t="shared" si="242"/>
        <v>1033368662552.6136</v>
      </c>
      <c r="R690" s="95">
        <f t="shared" si="243"/>
        <v>26893396487531.996</v>
      </c>
      <c r="S690" s="95">
        <f t="shared" si="244"/>
        <v>20748586106659.203</v>
      </c>
      <c r="T690">
        <f t="shared" si="226"/>
        <v>0.5</v>
      </c>
    </row>
    <row r="691" spans="1:20" x14ac:dyDescent="0.25">
      <c r="A691">
        <v>324</v>
      </c>
      <c r="B691" s="95">
        <f t="shared" si="227"/>
        <v>8670.6444174449007</v>
      </c>
      <c r="C691" s="95">
        <f t="shared" si="228"/>
        <v>6709.2835696775783</v>
      </c>
      <c r="D691" s="95">
        <f t="shared" si="229"/>
        <v>-228.19221531776444</v>
      </c>
      <c r="E691" s="95">
        <f t="shared" si="230"/>
        <v>212.65454189300044</v>
      </c>
      <c r="F691" s="96">
        <f t="shared" si="231"/>
        <v>134.79398603524726</v>
      </c>
      <c r="G691" s="94">
        <f t="shared" si="232"/>
        <v>-123.54033324779789</v>
      </c>
      <c r="H691" s="97">
        <f t="shared" si="233"/>
        <v>672.8896982404616</v>
      </c>
      <c r="I691" s="94">
        <f t="shared" si="234"/>
        <v>400.24275459149112</v>
      </c>
      <c r="J691" s="95">
        <f t="shared" si="235"/>
        <v>-194.22422955593757</v>
      </c>
      <c r="K691" s="94">
        <f t="shared" si="236"/>
        <v>22.292378715336763</v>
      </c>
      <c r="L691" s="94">
        <f t="shared" si="237"/>
        <v>-343.8714826492768</v>
      </c>
      <c r="M691" s="94">
        <f t="shared" si="238"/>
        <v>-546.07546655462579</v>
      </c>
      <c r="N691" s="99">
        <f t="shared" si="239"/>
        <v>1510.4777367810741</v>
      </c>
      <c r="O691" s="99">
        <f t="shared" si="240"/>
        <v>28984.499185010653</v>
      </c>
      <c r="P691" s="100">
        <f t="shared" si="241"/>
        <v>25626.2910345864</v>
      </c>
      <c r="Q691" s="95">
        <f t="shared" si="242"/>
        <v>1034417612843.1016</v>
      </c>
      <c r="R691" s="95">
        <f t="shared" si="243"/>
        <v>26511041495648.418</v>
      </c>
      <c r="S691" s="95">
        <f t="shared" si="244"/>
        <v>20815720522874.602</v>
      </c>
      <c r="T691">
        <f t="shared" si="226"/>
        <v>0.5</v>
      </c>
    </row>
    <row r="692" spans="1:20" x14ac:dyDescent="0.25">
      <c r="A692">
        <v>324.5</v>
      </c>
      <c r="B692" s="95">
        <f t="shared" si="227"/>
        <v>8590.2468062948301</v>
      </c>
      <c r="C692" s="95">
        <f t="shared" si="228"/>
        <v>6784.7257573121287</v>
      </c>
      <c r="D692" s="95">
        <f t="shared" si="229"/>
        <v>-160.79522230014081</v>
      </c>
      <c r="E692" s="95">
        <f t="shared" si="230"/>
        <v>150.8843752691015</v>
      </c>
      <c r="F692" s="96">
        <f t="shared" si="231"/>
        <v>175.49432790816132</v>
      </c>
      <c r="G692" s="94">
        <f t="shared" si="232"/>
        <v>-162.85851089190476</v>
      </c>
      <c r="H692" s="97">
        <f t="shared" si="233"/>
        <v>712.42640285848267</v>
      </c>
      <c r="I692" s="94">
        <f t="shared" si="234"/>
        <v>361.46770800082123</v>
      </c>
      <c r="J692" s="95">
        <f t="shared" si="235"/>
        <v>-196.07846375514677</v>
      </c>
      <c r="K692" s="94">
        <f t="shared" si="236"/>
        <v>22.051087502991507</v>
      </c>
      <c r="L692" s="94">
        <f t="shared" si="237"/>
        <v>-340.85361119517455</v>
      </c>
      <c r="M692" s="94">
        <f t="shared" si="238"/>
        <v>-546.37730639571748</v>
      </c>
      <c r="N692" s="99">
        <f t="shared" si="239"/>
        <v>1546.7445613456155</v>
      </c>
      <c r="O692" s="99">
        <f t="shared" si="240"/>
        <v>28858.874994295224</v>
      </c>
      <c r="P692" s="100">
        <f t="shared" si="241"/>
        <v>25655.009489315929</v>
      </c>
      <c r="Q692" s="95">
        <f t="shared" si="242"/>
        <v>1036100070348.5219</v>
      </c>
      <c r="R692" s="95">
        <f t="shared" si="243"/>
        <v>26186698690679.746</v>
      </c>
      <c r="S692" s="95">
        <f t="shared" si="244"/>
        <v>20876518112580.887</v>
      </c>
      <c r="T692">
        <f t="shared" si="226"/>
        <v>0.5</v>
      </c>
    </row>
    <row r="693" spans="1:20" x14ac:dyDescent="0.25">
      <c r="A693">
        <v>325</v>
      </c>
      <c r="B693" s="95">
        <f t="shared" si="227"/>
        <v>8553.7227771218004</v>
      </c>
      <c r="C693" s="95">
        <f t="shared" si="228"/>
        <v>6819.4533172237034</v>
      </c>
      <c r="D693" s="95">
        <f t="shared" si="229"/>
        <v>-73.048058346060145</v>
      </c>
      <c r="E693" s="95">
        <f t="shared" si="230"/>
        <v>69.455119823149118</v>
      </c>
      <c r="F693" s="96">
        <f t="shared" si="231"/>
        <v>193.00071007264847</v>
      </c>
      <c r="G693" s="94">
        <f t="shared" si="232"/>
        <v>-180.68587397611998</v>
      </c>
      <c r="H693" s="97">
        <f t="shared" si="233"/>
        <v>729.74409764609652</v>
      </c>
      <c r="I693" s="94">
        <f t="shared" si="234"/>
        <v>343.38155719573058</v>
      </c>
      <c r="J693" s="95">
        <f t="shared" si="235"/>
        <v>-197.53729399232847</v>
      </c>
      <c r="K693" s="94">
        <f t="shared" si="236"/>
        <v>22.003315996165046</v>
      </c>
      <c r="L693" s="94">
        <f t="shared" si="237"/>
        <v>-339.20609358111955</v>
      </c>
      <c r="M693" s="94">
        <f t="shared" si="238"/>
        <v>-546.0707471680156</v>
      </c>
      <c r="N693" s="99">
        <f t="shared" si="239"/>
        <v>1580.829310651417</v>
      </c>
      <c r="O693" s="99">
        <f t="shared" si="240"/>
        <v>28770.474464293144</v>
      </c>
      <c r="P693" s="100">
        <f t="shared" si="241"/>
        <v>25676.235794549506</v>
      </c>
      <c r="Q693" s="95">
        <f t="shared" si="242"/>
        <v>1037718544784.9767</v>
      </c>
      <c r="R693" s="95">
        <f t="shared" si="243"/>
        <v>25960101184290.883</v>
      </c>
      <c r="S693" s="95">
        <f t="shared" si="244"/>
        <v>20921536449941.762</v>
      </c>
      <c r="T693">
        <f t="shared" si="226"/>
        <v>0.5</v>
      </c>
    </row>
    <row r="694" spans="1:20" x14ac:dyDescent="0.25">
      <c r="A694">
        <v>325.5</v>
      </c>
      <c r="B694" s="95">
        <f t="shared" si="227"/>
        <v>8565.4489254669334</v>
      </c>
      <c r="C694" s="95">
        <f t="shared" si="228"/>
        <v>6809.0094086412482</v>
      </c>
      <c r="D694" s="95">
        <f t="shared" si="229"/>
        <v>23.452296690264092</v>
      </c>
      <c r="E694" s="95">
        <f t="shared" si="230"/>
        <v>-20.887817164910871</v>
      </c>
      <c r="F694" s="96">
        <f t="shared" si="231"/>
        <v>185.68544136968978</v>
      </c>
      <c r="G694" s="94">
        <f t="shared" si="232"/>
        <v>-174.71649274365808</v>
      </c>
      <c r="H694" s="97">
        <f t="shared" si="233"/>
        <v>723.23637068786115</v>
      </c>
      <c r="I694" s="94">
        <f t="shared" si="234"/>
        <v>348.36649342472981</v>
      </c>
      <c r="J694" s="95">
        <f t="shared" si="235"/>
        <v>-198.40175347453069</v>
      </c>
      <c r="K694" s="94">
        <f t="shared" si="236"/>
        <v>22.163072959160829</v>
      </c>
      <c r="L694" s="94">
        <f t="shared" si="237"/>
        <v>-339.14917584364071</v>
      </c>
      <c r="M694" s="94">
        <f t="shared" si="238"/>
        <v>-545.24605912754873</v>
      </c>
      <c r="N694" s="99">
        <f t="shared" si="239"/>
        <v>1598.3934411946575</v>
      </c>
      <c r="O694" s="99">
        <f t="shared" si="240"/>
        <v>28730.31433232229</v>
      </c>
      <c r="P694" s="100">
        <f t="shared" si="241"/>
        <v>25686.415557285814</v>
      </c>
      <c r="Q694" s="95">
        <f t="shared" si="242"/>
        <v>1038566665894.233</v>
      </c>
      <c r="R694" s="95">
        <f t="shared" si="243"/>
        <v>25857604583684.406</v>
      </c>
      <c r="S694" s="95">
        <f t="shared" si="244"/>
        <v>20943151137393.301</v>
      </c>
      <c r="T694">
        <f t="shared" si="226"/>
        <v>0.5</v>
      </c>
    </row>
    <row r="695" spans="1:20" x14ac:dyDescent="0.25">
      <c r="A695">
        <v>326</v>
      </c>
      <c r="B695" s="95">
        <f t="shared" si="227"/>
        <v>8623.5964341544877</v>
      </c>
      <c r="C695" s="95">
        <f t="shared" si="228"/>
        <v>6754.8863768728788</v>
      </c>
      <c r="D695" s="95">
        <f t="shared" si="229"/>
        <v>116.29501737510898</v>
      </c>
      <c r="E695" s="95">
        <f t="shared" si="230"/>
        <v>-108.24606353673991</v>
      </c>
      <c r="F695" s="96">
        <f t="shared" si="231"/>
        <v>154.86825815668954</v>
      </c>
      <c r="G695" s="94">
        <f t="shared" si="232"/>
        <v>-145.77039106745821</v>
      </c>
      <c r="H695" s="97">
        <f t="shared" si="233"/>
        <v>694.11852626475536</v>
      </c>
      <c r="I695" s="94">
        <f t="shared" si="234"/>
        <v>375.7598300517916</v>
      </c>
      <c r="J695" s="95">
        <f t="shared" si="235"/>
        <v>-198.5547697075225</v>
      </c>
      <c r="K695" s="94">
        <f t="shared" si="236"/>
        <v>22.510546136191092</v>
      </c>
      <c r="L695" s="94">
        <f t="shared" si="237"/>
        <v>-340.69549840054333</v>
      </c>
      <c r="M695" s="94">
        <f t="shared" si="238"/>
        <v>-544.04076725544087</v>
      </c>
      <c r="N695" s="99">
        <f t="shared" si="239"/>
        <v>1592.2954445674627</v>
      </c>
      <c r="O695" s="99">
        <f t="shared" si="240"/>
        <v>28743.12601766899</v>
      </c>
      <c r="P695" s="100">
        <f t="shared" si="241"/>
        <v>25683.736019817181</v>
      </c>
      <c r="Q695" s="95">
        <f t="shared" si="242"/>
        <v>1038271123066.0265</v>
      </c>
      <c r="R695" s="95">
        <f t="shared" si="243"/>
        <v>25890272308237.242</v>
      </c>
      <c r="S695" s="95">
        <f t="shared" si="244"/>
        <v>20937460123944.109</v>
      </c>
      <c r="T695">
        <f t="shared" si="226"/>
        <v>0.5</v>
      </c>
    </row>
    <row r="696" spans="1:20" x14ac:dyDescent="0.25">
      <c r="A696">
        <v>326.5</v>
      </c>
      <c r="B696" s="95">
        <f t="shared" si="227"/>
        <v>8720.4610073812146</v>
      </c>
      <c r="C696" s="95">
        <f t="shared" si="228"/>
        <v>6664.3207473376442</v>
      </c>
      <c r="D696" s="95">
        <f t="shared" si="229"/>
        <v>193.72914645345375</v>
      </c>
      <c r="E696" s="95">
        <f t="shared" si="230"/>
        <v>-181.13125907046901</v>
      </c>
      <c r="F696" s="96">
        <f t="shared" si="231"/>
        <v>104.4562609392612</v>
      </c>
      <c r="G696" s="94">
        <f t="shared" si="232"/>
        <v>-97.653176989083875</v>
      </c>
      <c r="H696" s="97">
        <f t="shared" si="233"/>
        <v>646.07990164908074</v>
      </c>
      <c r="I696" s="94">
        <f t="shared" si="234"/>
        <v>421.96101289984665</v>
      </c>
      <c r="J696" s="95">
        <f t="shared" si="235"/>
        <v>-197.97878678681477</v>
      </c>
      <c r="K696" s="94">
        <f t="shared" si="236"/>
        <v>22.993841616341729</v>
      </c>
      <c r="L696" s="94">
        <f t="shared" si="237"/>
        <v>-343.64485392300475</v>
      </c>
      <c r="M696" s="94">
        <f t="shared" si="238"/>
        <v>-542.60803150527227</v>
      </c>
      <c r="N696" s="99">
        <f t="shared" si="239"/>
        <v>1565.1457080546422</v>
      </c>
      <c r="O696" s="99">
        <f t="shared" si="240"/>
        <v>28806.961576194506</v>
      </c>
      <c r="P696" s="100">
        <f t="shared" si="241"/>
        <v>25668.608475555429</v>
      </c>
      <c r="Q696" s="95">
        <f t="shared" si="242"/>
        <v>1036969341029.5393</v>
      </c>
      <c r="R696" s="95">
        <f t="shared" si="243"/>
        <v>26053464982371.324</v>
      </c>
      <c r="S696" s="95">
        <f t="shared" si="244"/>
        <v>20905351854093.586</v>
      </c>
      <c r="T696">
        <f t="shared" si="226"/>
        <v>0.5</v>
      </c>
    </row>
    <row r="697" spans="1:20" x14ac:dyDescent="0.25">
      <c r="A697">
        <v>327</v>
      </c>
      <c r="B697" s="95">
        <f t="shared" si="227"/>
        <v>8843.4396458427564</v>
      </c>
      <c r="C697" s="95">
        <f t="shared" si="228"/>
        <v>6549.3418235551389</v>
      </c>
      <c r="D697" s="95">
        <f t="shared" si="229"/>
        <v>245.95727692308435</v>
      </c>
      <c r="E697" s="95">
        <f t="shared" si="230"/>
        <v>-229.95784756501095</v>
      </c>
      <c r="F697" s="96">
        <f t="shared" si="231"/>
        <v>40.597082229866828</v>
      </c>
      <c r="G697" s="94">
        <f t="shared" si="232"/>
        <v>-36.741106717122193</v>
      </c>
      <c r="H697" s="97">
        <f t="shared" si="233"/>
        <v>584.96103925483635</v>
      </c>
      <c r="I697" s="94">
        <f t="shared" si="234"/>
        <v>480.82055801965311</v>
      </c>
      <c r="J697" s="95">
        <f t="shared" si="235"/>
        <v>-196.75738518233706</v>
      </c>
      <c r="K697" s="94">
        <f t="shared" si="236"/>
        <v>23.538887465982206</v>
      </c>
      <c r="L697" s="94">
        <f t="shared" si="237"/>
        <v>-347.60657184263243</v>
      </c>
      <c r="M697" s="94">
        <f t="shared" si="238"/>
        <v>-541.10055220275751</v>
      </c>
      <c r="N697" s="99">
        <f t="shared" si="239"/>
        <v>1528.2603989380245</v>
      </c>
      <c r="O697" s="99">
        <f t="shared" si="240"/>
        <v>28913.519961311296</v>
      </c>
      <c r="P697" s="100">
        <f t="shared" si="241"/>
        <v>25643.59264414003</v>
      </c>
      <c r="Q697" s="95">
        <f t="shared" si="242"/>
        <v>1035237468317.0164</v>
      </c>
      <c r="R697" s="95">
        <f t="shared" si="243"/>
        <v>26327447156982.844</v>
      </c>
      <c r="S697" s="95">
        <f t="shared" si="244"/>
        <v>20852333171404.184</v>
      </c>
      <c r="T697">
        <f t="shared" si="226"/>
        <v>0.5</v>
      </c>
    </row>
    <row r="698" spans="1:20" x14ac:dyDescent="0.25">
      <c r="A698">
        <v>327.5</v>
      </c>
      <c r="B698" s="95">
        <f t="shared" si="227"/>
        <v>8976.5675548617655</v>
      </c>
      <c r="C698" s="95">
        <f t="shared" si="228"/>
        <v>6425.1776230933528</v>
      </c>
      <c r="D698" s="95">
        <f t="shared" si="229"/>
        <v>266.25581803801776</v>
      </c>
      <c r="E698" s="95">
        <f t="shared" si="230"/>
        <v>-248.32840092357205</v>
      </c>
      <c r="F698" s="96">
        <f t="shared" si="231"/>
        <v>-28.767101313406613</v>
      </c>
      <c r="G698" s="94">
        <f t="shared" si="232"/>
        <v>28.766935770831765</v>
      </c>
      <c r="H698" s="97">
        <f t="shared" si="233"/>
        <v>518.34358872772293</v>
      </c>
      <c r="I698" s="94">
        <f t="shared" si="234"/>
        <v>544.37133661069515</v>
      </c>
      <c r="J698" s="95">
        <f t="shared" si="235"/>
        <v>-195.06132029567667</v>
      </c>
      <c r="K698" s="94">
        <f t="shared" si="236"/>
        <v>24.064602245994561</v>
      </c>
      <c r="L698" s="94">
        <f t="shared" si="237"/>
        <v>-352.04936974545291</v>
      </c>
      <c r="M698" s="94">
        <f t="shared" si="238"/>
        <v>-539.66900308585798</v>
      </c>
      <c r="N698" s="99">
        <f t="shared" si="239"/>
        <v>1497.1248515904736</v>
      </c>
      <c r="O698" s="99">
        <f t="shared" si="240"/>
        <v>29049.114486573246</v>
      </c>
      <c r="P698" s="100">
        <f t="shared" si="241"/>
        <v>25612.788880879682</v>
      </c>
      <c r="Q698" s="95">
        <f t="shared" si="242"/>
        <v>1033808436788.5083</v>
      </c>
      <c r="R698" s="95">
        <f t="shared" si="243"/>
        <v>26678937051849.887</v>
      </c>
      <c r="S698" s="95">
        <f t="shared" si="244"/>
        <v>20787180116481.52</v>
      </c>
      <c r="T698">
        <f t="shared" si="226"/>
        <v>0.5</v>
      </c>
    </row>
    <row r="699" spans="1:20" x14ac:dyDescent="0.25">
      <c r="A699">
        <v>328</v>
      </c>
      <c r="B699" s="95">
        <f t="shared" si="227"/>
        <v>9102.5036885524223</v>
      </c>
      <c r="C699" s="95">
        <f t="shared" si="228"/>
        <v>6308.205156574275</v>
      </c>
      <c r="D699" s="95">
        <f t="shared" si="229"/>
        <v>251.87226738131446</v>
      </c>
      <c r="E699" s="95">
        <f t="shared" si="230"/>
        <v>-233.94493303815617</v>
      </c>
      <c r="F699" s="96">
        <f t="shared" si="231"/>
        <v>-94.678641239539445</v>
      </c>
      <c r="G699" s="94">
        <f t="shared" si="232"/>
        <v>89.991054471342522</v>
      </c>
      <c r="H699" s="97">
        <f t="shared" si="233"/>
        <v>454.8183876730476</v>
      </c>
      <c r="I699" s="94">
        <f t="shared" si="234"/>
        <v>603.95814691390115</v>
      </c>
      <c r="J699" s="95">
        <f t="shared" si="235"/>
        <v>-193.12198497597157</v>
      </c>
      <c r="K699" s="94">
        <f t="shared" si="236"/>
        <v>24.498467757840377</v>
      </c>
      <c r="L699" s="94">
        <f t="shared" si="237"/>
        <v>-356.37504393661544</v>
      </c>
      <c r="M699" s="94">
        <f t="shared" si="238"/>
        <v>-538.46556020039895</v>
      </c>
      <c r="N699" s="99">
        <f t="shared" si="239"/>
        <v>1484.1351392851259</v>
      </c>
      <c r="O699" s="99">
        <f t="shared" si="240"/>
        <v>29196.246715766396</v>
      </c>
      <c r="P699" s="100">
        <f t="shared" si="241"/>
        <v>25580.904534373189</v>
      </c>
      <c r="Q699" s="95">
        <f t="shared" si="242"/>
        <v>1033221132905.8123</v>
      </c>
      <c r="R699" s="95">
        <f t="shared" si="243"/>
        <v>27063962230519.566</v>
      </c>
      <c r="S699" s="95">
        <f t="shared" si="244"/>
        <v>20719895486031.461</v>
      </c>
      <c r="T699">
        <f t="shared" si="226"/>
        <v>0.5</v>
      </c>
    </row>
    <row r="700" spans="1:20" x14ac:dyDescent="0.25">
      <c r="A700">
        <v>328.5</v>
      </c>
      <c r="B700" s="95">
        <f t="shared" si="227"/>
        <v>9204.7701619331947</v>
      </c>
      <c r="C700" s="95">
        <f t="shared" si="228"/>
        <v>6213.7304536730326</v>
      </c>
      <c r="D700" s="95">
        <f t="shared" si="229"/>
        <v>204.53294676154474</v>
      </c>
      <c r="E700" s="95">
        <f t="shared" si="230"/>
        <v>-188.9494058024849</v>
      </c>
      <c r="F700" s="96">
        <f t="shared" si="231"/>
        <v>-148.34673841393888</v>
      </c>
      <c r="G700" s="94">
        <f t="shared" si="232"/>
        <v>138.75948595376997</v>
      </c>
      <c r="H700" s="97">
        <f t="shared" si="233"/>
        <v>402.85618632745064</v>
      </c>
      <c r="I700" s="94">
        <f t="shared" si="234"/>
        <v>651.612426015246</v>
      </c>
      <c r="J700" s="95">
        <f t="shared" si="235"/>
        <v>-191.1972098150392</v>
      </c>
      <c r="K700" s="94">
        <f t="shared" si="236"/>
        <v>24.787874338725857</v>
      </c>
      <c r="L700" s="94">
        <f t="shared" si="237"/>
        <v>-360.00571492635032</v>
      </c>
      <c r="M700" s="94">
        <f t="shared" si="238"/>
        <v>-537.64081440020186</v>
      </c>
      <c r="N700" s="99">
        <f t="shared" si="239"/>
        <v>1491.936519386182</v>
      </c>
      <c r="O700" s="99">
        <f t="shared" si="240"/>
        <v>29335.730263761157</v>
      </c>
      <c r="P700" s="100">
        <f t="shared" si="241"/>
        <v>25552.303561133056</v>
      </c>
      <c r="Q700" s="95">
        <f t="shared" si="242"/>
        <v>1033573229511.1598</v>
      </c>
      <c r="R700" s="95">
        <f t="shared" si="243"/>
        <v>27432474544117.516</v>
      </c>
      <c r="S700" s="95">
        <f t="shared" si="244"/>
        <v>20659672766486.633</v>
      </c>
      <c r="T700">
        <f t="shared" si="226"/>
        <v>0.5</v>
      </c>
    </row>
    <row r="701" spans="1:20" x14ac:dyDescent="0.25">
      <c r="A701">
        <v>329</v>
      </c>
      <c r="B701" s="95">
        <f t="shared" si="227"/>
        <v>9269.9499507104829</v>
      </c>
      <c r="C701" s="95">
        <f t="shared" si="228"/>
        <v>6153.945622260233</v>
      </c>
      <c r="D701" s="95">
        <f t="shared" si="229"/>
        <v>130.35957755457531</v>
      </c>
      <c r="E701" s="95">
        <f t="shared" si="230"/>
        <v>-119.56966282559992</v>
      </c>
      <c r="F701" s="96">
        <f t="shared" si="231"/>
        <v>-182.49743750260635</v>
      </c>
      <c r="G701" s="94">
        <f t="shared" si="232"/>
        <v>168.86713082419089</v>
      </c>
      <c r="H701" s="97">
        <f t="shared" si="233"/>
        <v>369.50588554438878</v>
      </c>
      <c r="I701" s="94">
        <f t="shared" si="234"/>
        <v>681.28892713818436</v>
      </c>
      <c r="J701" s="95">
        <f t="shared" si="235"/>
        <v>-189.53550898031116</v>
      </c>
      <c r="K701" s="94">
        <f t="shared" si="236"/>
        <v>24.904855501236216</v>
      </c>
      <c r="L701" s="94">
        <f t="shared" si="237"/>
        <v>-362.46781406668396</v>
      </c>
      <c r="M701" s="94">
        <f t="shared" si="238"/>
        <v>-537.32665181522964</v>
      </c>
      <c r="N701" s="99">
        <f t="shared" si="239"/>
        <v>1512.2433141396061</v>
      </c>
      <c r="O701" s="99">
        <f t="shared" si="240"/>
        <v>29449.18398341092</v>
      </c>
      <c r="P701" s="100">
        <f t="shared" si="241"/>
        <v>25530.33206040302</v>
      </c>
      <c r="Q701" s="95">
        <f t="shared" si="242"/>
        <v>1034498574685.2164</v>
      </c>
      <c r="R701" s="95">
        <f t="shared" si="243"/>
        <v>27734742387820.219</v>
      </c>
      <c r="S701" s="95">
        <f t="shared" si="244"/>
        <v>20613494583732.68</v>
      </c>
      <c r="T701">
        <f t="shared" si="226"/>
        <v>0.5</v>
      </c>
    </row>
    <row r="702" spans="1:20" x14ac:dyDescent="0.25">
      <c r="A702">
        <v>329.5</v>
      </c>
      <c r="B702" s="95">
        <f t="shared" si="227"/>
        <v>9289.5053801121194</v>
      </c>
      <c r="C702" s="95">
        <f t="shared" si="228"/>
        <v>6136.3775735534809</v>
      </c>
      <c r="D702" s="95">
        <f t="shared" si="229"/>
        <v>39.110858803272137</v>
      </c>
      <c r="E702" s="95">
        <f t="shared" si="230"/>
        <v>-35.136097413504473</v>
      </c>
      <c r="F702" s="96">
        <f t="shared" si="231"/>
        <v>-192.49733361450464</v>
      </c>
      <c r="G702" s="94">
        <f t="shared" si="232"/>
        <v>176.83305448939745</v>
      </c>
      <c r="H702" s="97">
        <f t="shared" si="233"/>
        <v>359.30273062446003</v>
      </c>
      <c r="I702" s="94">
        <f t="shared" si="234"/>
        <v>689.59461148390278</v>
      </c>
      <c r="J702" s="95">
        <f t="shared" si="235"/>
        <v>-188.34471903515308</v>
      </c>
      <c r="K702" s="94">
        <f t="shared" si="236"/>
        <v>24.844833360043605</v>
      </c>
      <c r="L702" s="94">
        <f t="shared" si="237"/>
        <v>-363.45534520381159</v>
      </c>
      <c r="M702" s="94">
        <f t="shared" si="238"/>
        <v>-537.60639035454892</v>
      </c>
      <c r="N702" s="99">
        <f t="shared" si="239"/>
        <v>1531.2855587055008</v>
      </c>
      <c r="O702" s="99">
        <f t="shared" si="240"/>
        <v>29521.553217837776</v>
      </c>
      <c r="P702" s="100">
        <f t="shared" si="241"/>
        <v>25517.070501633312</v>
      </c>
      <c r="Q702" s="95">
        <f t="shared" si="242"/>
        <v>1035377917657.1268</v>
      </c>
      <c r="R702" s="95">
        <f t="shared" si="243"/>
        <v>27928739319476.992</v>
      </c>
      <c r="S702" s="95">
        <f t="shared" si="244"/>
        <v>20585658237427.801</v>
      </c>
      <c r="T702">
        <f t="shared" si="226"/>
        <v>0.5</v>
      </c>
    </row>
    <row r="703" spans="1:20" x14ac:dyDescent="0.25">
      <c r="A703">
        <v>330</v>
      </c>
      <c r="B703" s="95">
        <f t="shared" si="227"/>
        <v>9260.9364761101297</v>
      </c>
      <c r="C703" s="95">
        <f t="shared" si="228"/>
        <v>6163.0177884690784</v>
      </c>
      <c r="D703" s="95">
        <f t="shared" si="229"/>
        <v>-57.137808003980183</v>
      </c>
      <c r="E703" s="95">
        <f t="shared" si="230"/>
        <v>53.280429831194255</v>
      </c>
      <c r="F703" s="96">
        <f t="shared" si="231"/>
        <v>-176.98757592352248</v>
      </c>
      <c r="G703" s="94">
        <f t="shared" si="232"/>
        <v>162.06970140480689</v>
      </c>
      <c r="H703" s="97">
        <f t="shared" si="233"/>
        <v>373.64382417347178</v>
      </c>
      <c r="I703" s="94">
        <f t="shared" si="234"/>
        <v>675.92991701043434</v>
      </c>
      <c r="J703" s="95">
        <f t="shared" si="235"/>
        <v>-187.76904493168209</v>
      </c>
      <c r="K703" s="94">
        <f t="shared" si="236"/>
        <v>24.622126700122323</v>
      </c>
      <c r="L703" s="94">
        <f t="shared" si="237"/>
        <v>-362.86235516531218</v>
      </c>
      <c r="M703" s="94">
        <f t="shared" si="238"/>
        <v>-538.48234230574974</v>
      </c>
      <c r="N703" s="99">
        <f t="shared" si="239"/>
        <v>1537.6178741148647</v>
      </c>
      <c r="O703" s="99">
        <f t="shared" si="240"/>
        <v>29543.234482123942</v>
      </c>
      <c r="P703" s="100">
        <f t="shared" si="241"/>
        <v>25513.455684012461</v>
      </c>
      <c r="Q703" s="95">
        <f t="shared" si="242"/>
        <v>1035672828405.8032</v>
      </c>
      <c r="R703" s="95">
        <f t="shared" si="243"/>
        <v>27987039862947.398</v>
      </c>
      <c r="S703" s="95">
        <f t="shared" si="244"/>
        <v>20578075326592.023</v>
      </c>
      <c r="T703">
        <f t="shared" si="226"/>
        <v>0.5</v>
      </c>
    </row>
    <row r="704" spans="1:20" x14ac:dyDescent="0.25">
      <c r="A704">
        <v>330.5</v>
      </c>
      <c r="B704" s="95">
        <f t="shared" si="227"/>
        <v>9188.1206781272595</v>
      </c>
      <c r="C704" s="95">
        <f t="shared" si="228"/>
        <v>6230.1754287358772</v>
      </c>
      <c r="D704" s="95">
        <f t="shared" si="229"/>
        <v>-145.63159596574144</v>
      </c>
      <c r="E704" s="95">
        <f t="shared" si="230"/>
        <v>134.3152805335977</v>
      </c>
      <c r="F704" s="96">
        <f t="shared" si="231"/>
        <v>-138.0203095268869</v>
      </c>
      <c r="G704" s="94">
        <f t="shared" si="232"/>
        <v>126.67455416362429</v>
      </c>
      <c r="H704" s="97">
        <f t="shared" si="233"/>
        <v>410.64057188026072</v>
      </c>
      <c r="I704" s="94">
        <f t="shared" si="234"/>
        <v>642.26477271118461</v>
      </c>
      <c r="J704" s="95">
        <f t="shared" si="235"/>
        <v>-187.87559089133217</v>
      </c>
      <c r="K704" s="94">
        <f t="shared" si="236"/>
        <v>24.265283355966737</v>
      </c>
      <c r="L704" s="94">
        <f t="shared" si="237"/>
        <v>-360.78529051581546</v>
      </c>
      <c r="M704" s="94">
        <f t="shared" si="238"/>
        <v>-539.85550190352706</v>
      </c>
      <c r="N704" s="99">
        <f t="shared" si="239"/>
        <v>1527.657136367525</v>
      </c>
      <c r="O704" s="99">
        <f t="shared" si="240"/>
        <v>29511.435680945058</v>
      </c>
      <c r="P704" s="100">
        <f t="shared" si="241"/>
        <v>25519.553896780937</v>
      </c>
      <c r="Q704" s="95">
        <f t="shared" si="242"/>
        <v>1035209494570.1062</v>
      </c>
      <c r="R704" s="95">
        <f t="shared" si="243"/>
        <v>27901561946210.516</v>
      </c>
      <c r="S704" s="95">
        <f t="shared" si="244"/>
        <v>20590868891819.977</v>
      </c>
      <c r="T704">
        <f t="shared" si="226"/>
        <v>0.5</v>
      </c>
    </row>
    <row r="705" spans="1:20" x14ac:dyDescent="0.25">
      <c r="A705">
        <v>331</v>
      </c>
      <c r="B705" s="95">
        <f t="shared" si="227"/>
        <v>9080.7998027626672</v>
      </c>
      <c r="C705" s="95">
        <f t="shared" si="228"/>
        <v>6329.0017075435817</v>
      </c>
      <c r="D705" s="95">
        <f t="shared" si="229"/>
        <v>-214.64175072918488</v>
      </c>
      <c r="E705" s="95">
        <f t="shared" si="230"/>
        <v>197.65255761540985</v>
      </c>
      <c r="F705" s="96">
        <f t="shared" si="231"/>
        <v>-80.805607959961037</v>
      </c>
      <c r="G705" s="94">
        <f t="shared" si="232"/>
        <v>75.103464282078335</v>
      </c>
      <c r="H705" s="97">
        <f t="shared" si="233"/>
        <v>465.34616573844323</v>
      </c>
      <c r="I705" s="94">
        <f t="shared" si="234"/>
        <v>592.81924342338129</v>
      </c>
      <c r="J705" s="95">
        <f t="shared" si="235"/>
        <v>-188.64921067698887</v>
      </c>
      <c r="K705" s="94">
        <f t="shared" si="236"/>
        <v>23.814026263565385</v>
      </c>
      <c r="L705" s="94">
        <f t="shared" si="237"/>
        <v>-357.50256302141537</v>
      </c>
      <c r="M705" s="94">
        <f t="shared" si="238"/>
        <v>-541.5298054048684</v>
      </c>
      <c r="N705" s="99">
        <f t="shared" si="239"/>
        <v>1507.1836235411579</v>
      </c>
      <c r="O705" s="99">
        <f t="shared" si="240"/>
        <v>29430.561768661955</v>
      </c>
      <c r="P705" s="100">
        <f t="shared" si="241"/>
        <v>25534.743333583814</v>
      </c>
      <c r="Q705" s="95">
        <f t="shared" si="242"/>
        <v>1034266817347.5436</v>
      </c>
      <c r="R705" s="95">
        <f t="shared" si="243"/>
        <v>27684972508591.93</v>
      </c>
      <c r="S705" s="95">
        <f t="shared" si="244"/>
        <v>20622759942925.656</v>
      </c>
      <c r="T705">
        <f t="shared" si="226"/>
        <v>0.5</v>
      </c>
    </row>
    <row r="706" spans="1:20" x14ac:dyDescent="0.25">
      <c r="A706">
        <v>331.5</v>
      </c>
      <c r="B706" s="95">
        <f t="shared" si="227"/>
        <v>8953.2775254080843</v>
      </c>
      <c r="C706" s="95">
        <f t="shared" si="228"/>
        <v>6446.6038524218056</v>
      </c>
      <c r="D706" s="95">
        <f t="shared" si="229"/>
        <v>-255.0445547091654</v>
      </c>
      <c r="E706" s="95">
        <f t="shared" si="230"/>
        <v>235.20428975644901</v>
      </c>
      <c r="F706" s="96">
        <f t="shared" si="231"/>
        <v>-13.096812493490518</v>
      </c>
      <c r="G706" s="94">
        <f t="shared" si="232"/>
        <v>13.789560935830423</v>
      </c>
      <c r="H706" s="97">
        <f t="shared" si="233"/>
        <v>530.33561187246448</v>
      </c>
      <c r="I706" s="94">
        <f t="shared" si="234"/>
        <v>533.71691544865325</v>
      </c>
      <c r="J706" s="95">
        <f t="shared" si="235"/>
        <v>-189.99420775796398</v>
      </c>
      <c r="K706" s="94">
        <f t="shared" si="236"/>
        <v>23.317729238662576</v>
      </c>
      <c r="L706" s="94">
        <f t="shared" si="237"/>
        <v>-353.43821660799102</v>
      </c>
      <c r="M706" s="94">
        <f t="shared" si="238"/>
        <v>-543.24508375148537</v>
      </c>
      <c r="N706" s="99">
        <f t="shared" si="239"/>
        <v>1488.6792816241511</v>
      </c>
      <c r="O706" s="99">
        <f t="shared" si="240"/>
        <v>29311.587224706531</v>
      </c>
      <c r="P706" s="100">
        <f t="shared" si="241"/>
        <v>25557.684498519782</v>
      </c>
      <c r="Q706" s="95">
        <f t="shared" si="242"/>
        <v>1033425992556.8549</v>
      </c>
      <c r="R706" s="95">
        <f t="shared" si="243"/>
        <v>27368444482489.785</v>
      </c>
      <c r="S706" s="95">
        <f t="shared" si="244"/>
        <v>20670993357773.047</v>
      </c>
      <c r="T706">
        <f t="shared" si="226"/>
        <v>0.5</v>
      </c>
    </row>
    <row r="707" spans="1:20" x14ac:dyDescent="0.25">
      <c r="A707">
        <v>332</v>
      </c>
      <c r="B707" s="95">
        <f t="shared" si="227"/>
        <v>8822.4810449301294</v>
      </c>
      <c r="C707" s="95">
        <f t="shared" si="228"/>
        <v>6567.6533875339883</v>
      </c>
      <c r="D707" s="95">
        <f t="shared" si="229"/>
        <v>-261.59296095591066</v>
      </c>
      <c r="E707" s="95">
        <f t="shared" si="230"/>
        <v>242.09907022436423</v>
      </c>
      <c r="F707" s="96">
        <f t="shared" si="231"/>
        <v>55.845304457559394</v>
      </c>
      <c r="G707" s="94">
        <f t="shared" si="232"/>
        <v>-49.436543989046015</v>
      </c>
      <c r="H707" s="97">
        <f t="shared" si="233"/>
        <v>596.700752601928</v>
      </c>
      <c r="I707" s="94">
        <f t="shared" si="234"/>
        <v>472.46112085840366</v>
      </c>
      <c r="J707" s="95">
        <f t="shared" si="235"/>
        <v>-191.74279008505161</v>
      </c>
      <c r="K707" s="94">
        <f t="shared" si="236"/>
        <v>22.83383290242368</v>
      </c>
      <c r="L707" s="94">
        <f t="shared" si="237"/>
        <v>-349.11265805931697</v>
      </c>
      <c r="M707" s="94">
        <f t="shared" si="238"/>
        <v>-544.73149774987337</v>
      </c>
      <c r="N707" s="99">
        <f t="shared" si="239"/>
        <v>1485.0156169375475</v>
      </c>
      <c r="O707" s="99">
        <f t="shared" si="240"/>
        <v>29170.514284889192</v>
      </c>
      <c r="P707" s="100">
        <f t="shared" si="241"/>
        <v>25586.144111682246</v>
      </c>
      <c r="Q707" s="95">
        <f t="shared" si="242"/>
        <v>1033260776745.9691</v>
      </c>
      <c r="R707" s="95">
        <f t="shared" si="243"/>
        <v>26996350746230.461</v>
      </c>
      <c r="S707" s="95">
        <f t="shared" si="244"/>
        <v>20730941671059.125</v>
      </c>
      <c r="T707">
        <f t="shared" si="226"/>
        <v>0.5</v>
      </c>
    </row>
    <row r="708" spans="1:20" x14ac:dyDescent="0.25">
      <c r="A708">
        <v>332.5</v>
      </c>
      <c r="B708" s="95">
        <f t="shared" si="227"/>
        <v>8705.645890566564</v>
      </c>
      <c r="C708" s="95">
        <f t="shared" si="228"/>
        <v>6676.3437866489085</v>
      </c>
      <c r="D708" s="95">
        <f t="shared" si="229"/>
        <v>-233.67030872713096</v>
      </c>
      <c r="E708" s="95">
        <f t="shared" si="230"/>
        <v>217.38079822984122</v>
      </c>
      <c r="F708" s="96">
        <f t="shared" si="231"/>
        <v>116.66665861743894</v>
      </c>
      <c r="G708" s="94">
        <f t="shared" si="232"/>
        <v>-106.27088617333163</v>
      </c>
      <c r="H708" s="97">
        <f t="shared" si="233"/>
        <v>655.419968285712</v>
      </c>
      <c r="I708" s="94">
        <f t="shared" si="234"/>
        <v>417.07344636098145</v>
      </c>
      <c r="J708" s="95">
        <f t="shared" si="235"/>
        <v>-193.67164801743922</v>
      </c>
      <c r="K708" s="94">
        <f t="shared" si="236"/>
        <v>22.424089628118896</v>
      </c>
      <c r="L708" s="94">
        <f t="shared" si="237"/>
        <v>-345.08166165083384</v>
      </c>
      <c r="M708" s="94">
        <f t="shared" si="238"/>
        <v>-545.76842216243199</v>
      </c>
      <c r="N708" s="99">
        <f t="shared" si="239"/>
        <v>1501.9391117238031</v>
      </c>
      <c r="O708" s="99">
        <f t="shared" si="240"/>
        <v>29026.133343135174</v>
      </c>
      <c r="P708" s="100">
        <f t="shared" si="241"/>
        <v>25616.882224077523</v>
      </c>
      <c r="Q708" s="95">
        <f t="shared" si="242"/>
        <v>1034027432308.1647</v>
      </c>
      <c r="R708" s="95">
        <f t="shared" si="243"/>
        <v>26619139816577.684</v>
      </c>
      <c r="S708" s="95">
        <f t="shared" si="244"/>
        <v>20795829522652.84</v>
      </c>
      <c r="T708">
        <f t="shared" si="226"/>
        <v>0.5</v>
      </c>
    </row>
    <row r="709" spans="1:20" x14ac:dyDescent="0.25">
      <c r="A709">
        <v>333</v>
      </c>
      <c r="B709" s="95">
        <f t="shared" si="227"/>
        <v>8617.9774008573586</v>
      </c>
      <c r="C709" s="95">
        <f t="shared" si="228"/>
        <v>6758.4664642204962</v>
      </c>
      <c r="D709" s="95">
        <f t="shared" si="229"/>
        <v>-175.33697941841149</v>
      </c>
      <c r="E709" s="95">
        <f t="shared" si="230"/>
        <v>164.2453551431754</v>
      </c>
      <c r="F709" s="96">
        <f t="shared" si="231"/>
        <v>161.41294544601993</v>
      </c>
      <c r="G709" s="94">
        <f t="shared" si="232"/>
        <v>-149.12995306499232</v>
      </c>
      <c r="H709" s="97">
        <f t="shared" si="233"/>
        <v>698.80829536620354</v>
      </c>
      <c r="I709" s="94">
        <f t="shared" si="234"/>
        <v>374.95029850916745</v>
      </c>
      <c r="J709" s="95">
        <f t="shared" si="235"/>
        <v>-195.52778488043478</v>
      </c>
      <c r="K709" s="94">
        <f t="shared" si="236"/>
        <v>22.147262994470804</v>
      </c>
      <c r="L709" s="94">
        <f t="shared" si="237"/>
        <v>-341.86756503974885</v>
      </c>
      <c r="M709" s="94">
        <f t="shared" si="238"/>
        <v>-546.22751456863057</v>
      </c>
      <c r="N709" s="99">
        <f t="shared" si="239"/>
        <v>1534.1975486876133</v>
      </c>
      <c r="O709" s="99">
        <f t="shared" si="240"/>
        <v>28897.418511333297</v>
      </c>
      <c r="P709" s="100">
        <f t="shared" si="241"/>
        <v>25645.83025044416</v>
      </c>
      <c r="Q709" s="95">
        <f t="shared" si="242"/>
        <v>1035513381221.4648</v>
      </c>
      <c r="R709" s="95">
        <f t="shared" si="243"/>
        <v>26285921012037.273</v>
      </c>
      <c r="S709" s="95">
        <f t="shared" si="244"/>
        <v>20857071633529.117</v>
      </c>
      <c r="T709">
        <f t="shared" si="226"/>
        <v>0.5</v>
      </c>
    </row>
    <row r="710" spans="1:20" x14ac:dyDescent="0.25">
      <c r="A710">
        <v>333.5</v>
      </c>
      <c r="B710" s="95">
        <f t="shared" si="227"/>
        <v>8570.6621475096581</v>
      </c>
      <c r="C710" s="95">
        <f t="shared" si="228"/>
        <v>6803.3066535258358</v>
      </c>
      <c r="D710" s="95">
        <f t="shared" si="229"/>
        <v>-94.630506695401522</v>
      </c>
      <c r="E710" s="95">
        <f t="shared" si="230"/>
        <v>89.680378610679242</v>
      </c>
      <c r="F710" s="96">
        <f t="shared" si="231"/>
        <v>184.65726957532235</v>
      </c>
      <c r="G710" s="94">
        <f t="shared" si="232"/>
        <v>-172.30722320048409</v>
      </c>
      <c r="H710" s="97">
        <f t="shared" si="233"/>
        <v>721.61057669464878</v>
      </c>
      <c r="I710" s="94">
        <f t="shared" si="234"/>
        <v>351.73019916363222</v>
      </c>
      <c r="J710" s="95">
        <f t="shared" si="235"/>
        <v>-197.06216018234812</v>
      </c>
      <c r="K710" s="94">
        <f t="shared" si="236"/>
        <v>22.048746824429031</v>
      </c>
      <c r="L710" s="94">
        <f t="shared" si="237"/>
        <v>-339.89114693697837</v>
      </c>
      <c r="M710" s="94">
        <f t="shared" si="238"/>
        <v>-546.08616918854534</v>
      </c>
      <c r="N710" s="99">
        <f t="shared" si="239"/>
        <v>1568.3935887482564</v>
      </c>
      <c r="O710" s="99">
        <f t="shared" si="240"/>
        <v>28800.975160219241</v>
      </c>
      <c r="P710" s="100">
        <f t="shared" si="241"/>
        <v>25668.661269432607</v>
      </c>
      <c r="Q710" s="95">
        <f t="shared" si="242"/>
        <v>1037123863827.3617</v>
      </c>
      <c r="R710" s="95">
        <f t="shared" si="243"/>
        <v>26038131068322.641</v>
      </c>
      <c r="S710" s="95">
        <f t="shared" si="244"/>
        <v>20905463847846.953</v>
      </c>
      <c r="T710">
        <f t="shared" si="226"/>
        <v>0.5</v>
      </c>
    </row>
    <row r="711" spans="1:20" x14ac:dyDescent="0.25">
      <c r="A711">
        <v>334</v>
      </c>
      <c r="B711" s="95">
        <f t="shared" si="227"/>
        <v>8569.5112115557877</v>
      </c>
      <c r="C711" s="95">
        <f t="shared" si="228"/>
        <v>6805.0700370310542</v>
      </c>
      <c r="D711" s="95">
        <f t="shared" si="229"/>
        <v>-2.3018719077403489</v>
      </c>
      <c r="E711" s="95">
        <f t="shared" si="230"/>
        <v>3.5267670104371973</v>
      </c>
      <c r="F711" s="96">
        <f t="shared" si="231"/>
        <v>183.98676673081934</v>
      </c>
      <c r="G711" s="94">
        <f t="shared" si="232"/>
        <v>-172.7732477305853</v>
      </c>
      <c r="H711" s="97">
        <f t="shared" si="233"/>
        <v>721.46768706719911</v>
      </c>
      <c r="I711" s="94">
        <f t="shared" si="234"/>
        <v>350.4882506644355</v>
      </c>
      <c r="J711" s="95">
        <f t="shared" si="235"/>
        <v>-198.06609915974295</v>
      </c>
      <c r="K711" s="94">
        <f t="shared" si="236"/>
        <v>22.149742435841304</v>
      </c>
      <c r="L711" s="94">
        <f t="shared" si="237"/>
        <v>-339.41482117663679</v>
      </c>
      <c r="M711" s="94">
        <f t="shared" si="238"/>
        <v>-545.41124083086208</v>
      </c>
      <c r="N711" s="99">
        <f t="shared" si="239"/>
        <v>1590.0906626928768</v>
      </c>
      <c r="O711" s="99">
        <f t="shared" si="240"/>
        <v>28748.940570019851</v>
      </c>
      <c r="P711" s="100">
        <f t="shared" si="241"/>
        <v>25681.64815874432</v>
      </c>
      <c r="Q711" s="95">
        <f t="shared" si="242"/>
        <v>1038164552013.7061</v>
      </c>
      <c r="R711" s="95">
        <f t="shared" si="243"/>
        <v>25905107817908.422</v>
      </c>
      <c r="S711" s="95">
        <f t="shared" si="244"/>
        <v>20933026528445.133</v>
      </c>
      <c r="T711">
        <f t="shared" si="226"/>
        <v>0.5</v>
      </c>
    </row>
    <row r="712" spans="1:20" x14ac:dyDescent="0.25">
      <c r="A712">
        <v>334.5</v>
      </c>
      <c r="B712" s="95">
        <f t="shared" si="227"/>
        <v>8614.3569672846224</v>
      </c>
      <c r="C712" s="95">
        <f t="shared" si="228"/>
        <v>6763.6401086036267</v>
      </c>
      <c r="D712" s="95">
        <f t="shared" si="229"/>
        <v>89.691511457669321</v>
      </c>
      <c r="E712" s="95">
        <f t="shared" si="230"/>
        <v>-82.859856854855451</v>
      </c>
      <c r="F712" s="96">
        <f t="shared" si="231"/>
        <v>159.93211142179672</v>
      </c>
      <c r="G712" s="94">
        <f t="shared" si="232"/>
        <v>-150.50703394783386</v>
      </c>
      <c r="H712" s="97">
        <f t="shared" si="233"/>
        <v>698.84114643599764</v>
      </c>
      <c r="I712" s="94">
        <f t="shared" si="234"/>
        <v>371.37890390463286</v>
      </c>
      <c r="J712" s="95">
        <f t="shared" si="235"/>
        <v>-198.40319059021988</v>
      </c>
      <c r="K712" s="94">
        <f t="shared" si="236"/>
        <v>22.439928637410539</v>
      </c>
      <c r="L712" s="94">
        <f t="shared" si="237"/>
        <v>-340.50584442398105</v>
      </c>
      <c r="M712" s="94">
        <f t="shared" si="238"/>
        <v>-544.32586648987728</v>
      </c>
      <c r="N712" s="99">
        <f t="shared" si="239"/>
        <v>1590.3539943347866</v>
      </c>
      <c r="O712" s="99">
        <f t="shared" si="240"/>
        <v>28747.600740505084</v>
      </c>
      <c r="P712" s="100">
        <f t="shared" si="241"/>
        <v>25682.5371379147</v>
      </c>
      <c r="Q712" s="95">
        <f t="shared" si="242"/>
        <v>1038177272540.6217</v>
      </c>
      <c r="R712" s="95">
        <f t="shared" si="243"/>
        <v>25901688799535.414</v>
      </c>
      <c r="S712" s="95">
        <f t="shared" si="244"/>
        <v>20934914202977.352</v>
      </c>
      <c r="T712">
        <f t="shared" si="226"/>
        <v>0.5</v>
      </c>
    </row>
    <row r="713" spans="1:20" x14ac:dyDescent="0.25">
      <c r="A713">
        <v>335</v>
      </c>
      <c r="B713" s="95">
        <f t="shared" si="227"/>
        <v>8699.1857508689063</v>
      </c>
      <c r="C713" s="95">
        <f t="shared" si="228"/>
        <v>6684.5834216892408</v>
      </c>
      <c r="D713" s="95">
        <f t="shared" si="229"/>
        <v>169.65756716856768</v>
      </c>
      <c r="E713" s="95">
        <f t="shared" si="230"/>
        <v>-158.11337382877238</v>
      </c>
      <c r="F713" s="96">
        <f t="shared" si="231"/>
        <v>115.64741836791512</v>
      </c>
      <c r="G713" s="94">
        <f t="shared" si="232"/>
        <v>-108.44565334296834</v>
      </c>
      <c r="H713" s="97">
        <f t="shared" si="233"/>
        <v>656.70176936050404</v>
      </c>
      <c r="I713" s="94">
        <f t="shared" si="234"/>
        <v>411.65409288855221</v>
      </c>
      <c r="J713" s="95">
        <f t="shared" si="235"/>
        <v>-198.03002272276535</v>
      </c>
      <c r="K713" s="94">
        <f t="shared" si="236"/>
        <v>22.877026060519317</v>
      </c>
      <c r="L713" s="94">
        <f t="shared" si="237"/>
        <v>-343.02432826982357</v>
      </c>
      <c r="M713" s="94">
        <f t="shared" si="238"/>
        <v>-542.97677229203987</v>
      </c>
      <c r="N713" s="99">
        <f t="shared" si="239"/>
        <v>1569.1502489468457</v>
      </c>
      <c r="O713" s="99">
        <f t="shared" si="240"/>
        <v>28796.795828665192</v>
      </c>
      <c r="P713" s="100">
        <f t="shared" si="241"/>
        <v>25671.126707051091</v>
      </c>
      <c r="Q713" s="95">
        <f t="shared" si="242"/>
        <v>1037159910181.3303</v>
      </c>
      <c r="R713" s="95">
        <f t="shared" si="243"/>
        <v>26027429585841.285</v>
      </c>
      <c r="S713" s="95">
        <f t="shared" si="244"/>
        <v>20910694358116.848</v>
      </c>
      <c r="T713">
        <f t="shared" si="226"/>
        <v>0.5</v>
      </c>
    </row>
    <row r="714" spans="1:20" x14ac:dyDescent="0.25">
      <c r="A714">
        <v>335.5</v>
      </c>
      <c r="B714" s="95">
        <f t="shared" si="227"/>
        <v>8812.9263890451693</v>
      </c>
      <c r="C714" s="95">
        <f t="shared" si="228"/>
        <v>6578.4153214391126</v>
      </c>
      <c r="D714" s="95">
        <f t="shared" si="229"/>
        <v>227.48127635252524</v>
      </c>
      <c r="E714" s="95">
        <f t="shared" si="230"/>
        <v>-212.33620050025655</v>
      </c>
      <c r="F714" s="96">
        <f t="shared" si="231"/>
        <v>56.565411637712486</v>
      </c>
      <c r="G714" s="94">
        <f t="shared" si="232"/>
        <v>-52.150524254334357</v>
      </c>
      <c r="H714" s="97">
        <f t="shared" si="233"/>
        <v>600.20527861597623</v>
      </c>
      <c r="I714" s="94">
        <f t="shared" si="234"/>
        <v>465.96940885488175</v>
      </c>
      <c r="J714" s="95">
        <f t="shared" si="235"/>
        <v>-197.00196747514622</v>
      </c>
      <c r="K714" s="94">
        <f t="shared" si="236"/>
        <v>23.39432324429189</v>
      </c>
      <c r="L714" s="94">
        <f t="shared" si="237"/>
        <v>-346.63789950311752</v>
      </c>
      <c r="M714" s="94">
        <f t="shared" si="238"/>
        <v>-541.51425635350802</v>
      </c>
      <c r="N714" s="99">
        <f t="shared" si="239"/>
        <v>1535.2595568588777</v>
      </c>
      <c r="O714" s="99">
        <f t="shared" si="240"/>
        <v>28890.054514497107</v>
      </c>
      <c r="P714" s="100">
        <f t="shared" si="241"/>
        <v>25649.344015179209</v>
      </c>
      <c r="Q714" s="95">
        <f t="shared" si="242"/>
        <v>1035562850553.8043</v>
      </c>
      <c r="R714" s="95">
        <f t="shared" si="243"/>
        <v>26266944021001.543</v>
      </c>
      <c r="S714" s="95">
        <f t="shared" si="244"/>
        <v>20864514108528.508</v>
      </c>
      <c r="T714">
        <f t="shared" si="226"/>
        <v>0.5</v>
      </c>
    </row>
    <row r="715" spans="1:20" x14ac:dyDescent="0.25">
      <c r="A715">
        <v>336</v>
      </c>
      <c r="B715" s="95">
        <f t="shared" si="227"/>
        <v>8940.8083801308603</v>
      </c>
      <c r="C715" s="95">
        <f t="shared" si="228"/>
        <v>6459.2095901254006</v>
      </c>
      <c r="D715" s="95">
        <f t="shared" si="229"/>
        <v>255.76398217138149</v>
      </c>
      <c r="E715" s="95">
        <f t="shared" si="230"/>
        <v>-238.41146262742373</v>
      </c>
      <c r="F715" s="96">
        <f t="shared" si="231"/>
        <v>-10.006425541104875</v>
      </c>
      <c r="G715" s="94">
        <f t="shared" si="232"/>
        <v>10.830268103345929</v>
      </c>
      <c r="H715" s="97">
        <f t="shared" si="233"/>
        <v>536.32034637752622</v>
      </c>
      <c r="I715" s="94">
        <f t="shared" si="234"/>
        <v>527.00291680868509</v>
      </c>
      <c r="J715" s="95">
        <f t="shared" si="235"/>
        <v>-195.4635734610346</v>
      </c>
      <c r="K715" s="94">
        <f t="shared" si="236"/>
        <v>23.914174659537313</v>
      </c>
      <c r="L715" s="94">
        <f t="shared" si="237"/>
        <v>-350.86319845759652</v>
      </c>
      <c r="M715" s="94">
        <f t="shared" si="238"/>
        <v>-540.08682336487652</v>
      </c>
      <c r="N715" s="99">
        <f t="shared" si="239"/>
        <v>1502.8180454012104</v>
      </c>
      <c r="O715" s="99">
        <f t="shared" si="240"/>
        <v>29015.374697099778</v>
      </c>
      <c r="P715" s="100">
        <f t="shared" si="241"/>
        <v>25620.79122926727</v>
      </c>
      <c r="Q715" s="95">
        <f t="shared" si="242"/>
        <v>1034067491627.6115</v>
      </c>
      <c r="R715" s="95">
        <f t="shared" si="243"/>
        <v>26591177305161.836</v>
      </c>
      <c r="S715" s="95">
        <f t="shared" si="244"/>
        <v>20804091824891.652</v>
      </c>
      <c r="T715">
        <f t="shared" si="226"/>
        <v>0.5</v>
      </c>
    </row>
    <row r="716" spans="1:20" x14ac:dyDescent="0.25">
      <c r="A716">
        <v>336.5</v>
      </c>
      <c r="B716" s="95">
        <f t="shared" si="227"/>
        <v>9066.188764831275</v>
      </c>
      <c r="C716" s="95">
        <f t="shared" si="228"/>
        <v>6342.711425837525</v>
      </c>
      <c r="D716" s="95">
        <f t="shared" si="229"/>
        <v>250.76076940082905</v>
      </c>
      <c r="E716" s="95">
        <f t="shared" si="230"/>
        <v>-232.99632857575077</v>
      </c>
      <c r="F716" s="96">
        <f t="shared" si="231"/>
        <v>-75.553247277604839</v>
      </c>
      <c r="G716" s="94">
        <f t="shared" si="232"/>
        <v>71.970143726955939</v>
      </c>
      <c r="H716" s="97">
        <f t="shared" si="233"/>
        <v>473.20428075452168</v>
      </c>
      <c r="I716" s="94">
        <f t="shared" si="234"/>
        <v>586.45033036364259</v>
      </c>
      <c r="J716" s="95">
        <f t="shared" si="235"/>
        <v>-193.6258506818636</v>
      </c>
      <c r="K716" s="94">
        <f t="shared" si="236"/>
        <v>24.363208299881826</v>
      </c>
      <c r="L716" s="94">
        <f t="shared" si="237"/>
        <v>-355.13167735026292</v>
      </c>
      <c r="M716" s="94">
        <f t="shared" si="238"/>
        <v>-538.84339493656853</v>
      </c>
      <c r="N716" s="99">
        <f t="shared" si="239"/>
        <v>1484.9685400330704</v>
      </c>
      <c r="O716" s="99">
        <f t="shared" si="240"/>
        <v>29156.604507763117</v>
      </c>
      <c r="P716" s="100">
        <f t="shared" si="241"/>
        <v>25589.916266460441</v>
      </c>
      <c r="Q716" s="95">
        <f t="shared" si="242"/>
        <v>1033258656482.7002</v>
      </c>
      <c r="R716" s="95">
        <f t="shared" si="243"/>
        <v>26959851345665.758</v>
      </c>
      <c r="S716" s="95">
        <f t="shared" si="244"/>
        <v>20738896821463.031</v>
      </c>
      <c r="T716">
        <f t="shared" si="226"/>
        <v>0.5</v>
      </c>
    </row>
    <row r="717" spans="1:20" x14ac:dyDescent="0.25">
      <c r="A717">
        <v>337</v>
      </c>
      <c r="B717" s="95">
        <f t="shared" si="227"/>
        <v>9172.6808377122888</v>
      </c>
      <c r="C717" s="95">
        <f t="shared" si="228"/>
        <v>6244.2057974813888</v>
      </c>
      <c r="D717" s="95">
        <f t="shared" si="229"/>
        <v>212.98414576202663</v>
      </c>
      <c r="E717" s="95">
        <f t="shared" si="230"/>
        <v>-197.0112567122728</v>
      </c>
      <c r="F717" s="96">
        <f t="shared" si="231"/>
        <v>-131.4044102874976</v>
      </c>
      <c r="G717" s="94">
        <f t="shared" si="232"/>
        <v>123.06223419029038</v>
      </c>
      <c r="H717" s="97">
        <f t="shared" si="233"/>
        <v>419.20186744895642</v>
      </c>
      <c r="I717" s="94">
        <f t="shared" si="234"/>
        <v>636.30978082470847</v>
      </c>
      <c r="J717" s="95">
        <f t="shared" si="235"/>
        <v>-191.73474199301401</v>
      </c>
      <c r="K717" s="94">
        <f t="shared" si="236"/>
        <v>24.684609426359291</v>
      </c>
      <c r="L717" s="94">
        <f t="shared" si="237"/>
        <v>-358.87153574344001</v>
      </c>
      <c r="M717" s="94">
        <f t="shared" si="238"/>
        <v>-537.9321560607774</v>
      </c>
      <c r="N717" s="99">
        <f t="shared" si="239"/>
        <v>1487.050862214993</v>
      </c>
      <c r="O717" s="99">
        <f t="shared" si="240"/>
        <v>29295.376581083634</v>
      </c>
      <c r="P717" s="100">
        <f t="shared" si="241"/>
        <v>25561.083650237546</v>
      </c>
      <c r="Q717" s="95">
        <f t="shared" si="242"/>
        <v>1033352506368.7886</v>
      </c>
      <c r="R717" s="95">
        <f t="shared" si="243"/>
        <v>27325509578536.43</v>
      </c>
      <c r="S717" s="95">
        <f t="shared" si="244"/>
        <v>20678146897882.734</v>
      </c>
      <c r="T717">
        <f t="shared" si="226"/>
        <v>0.5</v>
      </c>
    </row>
    <row r="718" spans="1:20" x14ac:dyDescent="0.25">
      <c r="A718">
        <v>337.5</v>
      </c>
      <c r="B718" s="95">
        <f t="shared" si="227"/>
        <v>9246.3218080214283</v>
      </c>
      <c r="C718" s="95">
        <f t="shared" si="228"/>
        <v>6176.4657276728249</v>
      </c>
      <c r="D718" s="95">
        <f t="shared" si="229"/>
        <v>147.28194061827782</v>
      </c>
      <c r="E718" s="95">
        <f t="shared" si="230"/>
        <v>-135.48013961712761</v>
      </c>
      <c r="F718" s="96">
        <f t="shared" si="231"/>
        <v>-170.02036938061275</v>
      </c>
      <c r="G718" s="94">
        <f t="shared" si="232"/>
        <v>157.49724079607336</v>
      </c>
      <c r="H718" s="97">
        <f t="shared" si="233"/>
        <v>381.60713435383025</v>
      </c>
      <c r="I718" s="94">
        <f t="shared" si="234"/>
        <v>670.14028833172767</v>
      </c>
      <c r="J718" s="95">
        <f t="shared" si="235"/>
        <v>-190.03643595218603</v>
      </c>
      <c r="K718" s="94">
        <f t="shared" si="236"/>
        <v>24.844519957884174</v>
      </c>
      <c r="L718" s="94">
        <f t="shared" si="237"/>
        <v>-361.59106778225697</v>
      </c>
      <c r="M718" s="94">
        <f t="shared" si="238"/>
        <v>-537.48756749353845</v>
      </c>
      <c r="N718" s="99">
        <f t="shared" si="239"/>
        <v>1503.8204930668403</v>
      </c>
      <c r="O718" s="99">
        <f t="shared" si="240"/>
        <v>29413.454359369254</v>
      </c>
      <c r="P718" s="100">
        <f t="shared" si="241"/>
        <v>25537.837850793061</v>
      </c>
      <c r="Q718" s="95">
        <f t="shared" si="242"/>
        <v>1034113209605.8226</v>
      </c>
      <c r="R718" s="95">
        <f t="shared" si="243"/>
        <v>27639305099351.34</v>
      </c>
      <c r="S718" s="95">
        <f t="shared" si="244"/>
        <v>20629261395226.832</v>
      </c>
      <c r="T718">
        <f t="shared" si="226"/>
        <v>0.5</v>
      </c>
    </row>
    <row r="719" spans="1:20" x14ac:dyDescent="0.25">
      <c r="A719">
        <v>338</v>
      </c>
      <c r="B719" s="95">
        <f t="shared" si="227"/>
        <v>9277.4576859854151</v>
      </c>
      <c r="C719" s="95">
        <f t="shared" si="228"/>
        <v>6148.0999680632794</v>
      </c>
      <c r="D719" s="95">
        <f t="shared" si="229"/>
        <v>62.271755927971441</v>
      </c>
      <c r="E719" s="95">
        <f t="shared" si="230"/>
        <v>-56.731519219090927</v>
      </c>
      <c r="F719" s="96">
        <f t="shared" si="231"/>
        <v>-186.16212105416247</v>
      </c>
      <c r="G719" s="94">
        <f t="shared" si="232"/>
        <v>171.14561137288399</v>
      </c>
      <c r="H719" s="97">
        <f t="shared" si="233"/>
        <v>365.52959980873493</v>
      </c>
      <c r="I719" s="94">
        <f t="shared" si="234"/>
        <v>683.91770014077065</v>
      </c>
      <c r="J719" s="95">
        <f t="shared" si="235"/>
        <v>-188.74541244340577</v>
      </c>
      <c r="K719" s="94">
        <f t="shared" si="236"/>
        <v>24.832363110772402</v>
      </c>
      <c r="L719" s="94">
        <f t="shared" si="237"/>
        <v>-362.94630841949163</v>
      </c>
      <c r="M719" s="94">
        <f t="shared" si="238"/>
        <v>-537.60445187865901</v>
      </c>
      <c r="N719" s="99">
        <f t="shared" si="239"/>
        <v>1523.0803613364312</v>
      </c>
      <c r="O719" s="99">
        <f t="shared" si="240"/>
        <v>29495.19882336802</v>
      </c>
      <c r="P719" s="100">
        <f t="shared" si="241"/>
        <v>25522.5466161394</v>
      </c>
      <c r="Q719" s="95">
        <f t="shared" si="242"/>
        <v>1034997633937.0522</v>
      </c>
      <c r="R719" s="95">
        <f t="shared" si="243"/>
        <v>27857984964546.086</v>
      </c>
      <c r="S719" s="95">
        <f t="shared" si="244"/>
        <v>20597149467072.559</v>
      </c>
      <c r="T719">
        <f t="shared" si="226"/>
        <v>0.5</v>
      </c>
    </row>
    <row r="720" spans="1:20" x14ac:dyDescent="0.25">
      <c r="A720">
        <v>338.5</v>
      </c>
      <c r="B720" s="95">
        <f t="shared" si="227"/>
        <v>9262.0530336858592</v>
      </c>
      <c r="C720" s="95">
        <f t="shared" si="228"/>
        <v>6162.5206112969554</v>
      </c>
      <c r="D720" s="95">
        <f t="shared" si="229"/>
        <v>-30.809304599109794</v>
      </c>
      <c r="E720" s="95">
        <f t="shared" si="230"/>
        <v>28.841286467351068</v>
      </c>
      <c r="F720" s="96">
        <f t="shared" si="231"/>
        <v>-177.64168973195467</v>
      </c>
      <c r="G720" s="94">
        <f t="shared" si="232"/>
        <v>162.67612028770418</v>
      </c>
      <c r="H720" s="97">
        <f t="shared" si="233"/>
        <v>373.15898750159852</v>
      </c>
      <c r="I720" s="94">
        <f t="shared" si="234"/>
        <v>676.32564029028549</v>
      </c>
      <c r="J720" s="95">
        <f t="shared" si="235"/>
        <v>-188.01970965443775</v>
      </c>
      <c r="K720" s="94">
        <f t="shared" si="236"/>
        <v>24.657250112910223</v>
      </c>
      <c r="L720" s="94">
        <f t="shared" si="237"/>
        <v>-362.78096757911544</v>
      </c>
      <c r="M720" s="94">
        <f t="shared" si="238"/>
        <v>-538.30677011549153</v>
      </c>
      <c r="N720" s="99">
        <f t="shared" si="239"/>
        <v>1532.8734755001983</v>
      </c>
      <c r="O720" s="99">
        <f t="shared" si="240"/>
        <v>29529.758929098974</v>
      </c>
      <c r="P720" s="100">
        <f t="shared" si="241"/>
        <v>25516.42471496158</v>
      </c>
      <c r="Q720" s="95">
        <f t="shared" si="242"/>
        <v>1035451753702.9924</v>
      </c>
      <c r="R720" s="95">
        <f t="shared" si="243"/>
        <v>27950794534545.703</v>
      </c>
      <c r="S720" s="95">
        <f t="shared" si="244"/>
        <v>20584303404305.195</v>
      </c>
      <c r="T720">
        <f t="shared" si="226"/>
        <v>0.5</v>
      </c>
    </row>
    <row r="721" spans="1:20" x14ac:dyDescent="0.25">
      <c r="A721">
        <v>339</v>
      </c>
      <c r="B721" s="95">
        <f t="shared" si="227"/>
        <v>9202.2379589533157</v>
      </c>
      <c r="C721" s="95">
        <f t="shared" si="228"/>
        <v>6217.6102846025569</v>
      </c>
      <c r="D721" s="95">
        <f t="shared" si="229"/>
        <v>-119.63014946508713</v>
      </c>
      <c r="E721" s="95">
        <f t="shared" si="230"/>
        <v>110.17934661120316</v>
      </c>
      <c r="F721" s="96">
        <f t="shared" si="231"/>
        <v>-145.57966882340492</v>
      </c>
      <c r="G721" s="94">
        <f t="shared" si="232"/>
        <v>133.44220504784755</v>
      </c>
      <c r="H721" s="97">
        <f t="shared" si="233"/>
        <v>403.50207975568151</v>
      </c>
      <c r="I721" s="94">
        <f t="shared" si="234"/>
        <v>648.62313646969358</v>
      </c>
      <c r="J721" s="95">
        <f t="shared" si="235"/>
        <v>-187.94526483649349</v>
      </c>
      <c r="K721" s="94">
        <f t="shared" si="236"/>
        <v>24.343416342761749</v>
      </c>
      <c r="L721" s="94">
        <f t="shared" si="237"/>
        <v>-361.13648374259293</v>
      </c>
      <c r="M721" s="94">
        <f t="shared" si="238"/>
        <v>-539.5243477646078</v>
      </c>
      <c r="N721" s="99">
        <f t="shared" si="239"/>
        <v>1527.5525654777689</v>
      </c>
      <c r="O721" s="99">
        <f t="shared" si="240"/>
        <v>29512.607404378294</v>
      </c>
      <c r="P721" s="100">
        <f t="shared" si="241"/>
        <v>25519.765581980497</v>
      </c>
      <c r="Q721" s="95">
        <f t="shared" si="242"/>
        <v>1035204646686.7367</v>
      </c>
      <c r="R721" s="95">
        <f t="shared" si="243"/>
        <v>27904708460176.84</v>
      </c>
      <c r="S721" s="95">
        <f t="shared" si="244"/>
        <v>20591313093040.992</v>
      </c>
      <c r="T721">
        <f t="shared" si="226"/>
        <v>0.5</v>
      </c>
    </row>
    <row r="722" spans="1:20" x14ac:dyDescent="0.25">
      <c r="A722">
        <v>339.5</v>
      </c>
      <c r="B722" s="95">
        <f t="shared" si="227"/>
        <v>9106.0279670149212</v>
      </c>
      <c r="C722" s="95">
        <f t="shared" si="228"/>
        <v>6306.06050917012</v>
      </c>
      <c r="D722" s="95">
        <f t="shared" si="229"/>
        <v>-192.41998387678959</v>
      </c>
      <c r="E722" s="95">
        <f t="shared" si="230"/>
        <v>176.90044913512693</v>
      </c>
      <c r="F722" s="96">
        <f t="shared" si="231"/>
        <v>-94.25421005916661</v>
      </c>
      <c r="G722" s="94">
        <f t="shared" si="232"/>
        <v>87.186791296792194</v>
      </c>
      <c r="H722" s="97">
        <f t="shared" si="233"/>
        <v>452.51235368673497</v>
      </c>
      <c r="I722" s="94">
        <f t="shared" si="234"/>
        <v>604.35041502465936</v>
      </c>
      <c r="J722" s="95">
        <f t="shared" si="235"/>
        <v>-188.52875170170856</v>
      </c>
      <c r="K722" s="94">
        <f t="shared" si="236"/>
        <v>23.926789387305927</v>
      </c>
      <c r="L722" s="94">
        <f t="shared" si="237"/>
        <v>-358.23781204419305</v>
      </c>
      <c r="M722" s="94">
        <f t="shared" si="238"/>
        <v>-541.09041311517308</v>
      </c>
      <c r="N722" s="99">
        <f t="shared" si="239"/>
        <v>1510.2806548095975</v>
      </c>
      <c r="O722" s="99">
        <f t="shared" si="240"/>
        <v>29446.174178838213</v>
      </c>
      <c r="P722" s="100">
        <f t="shared" si="241"/>
        <v>25532.14736821027</v>
      </c>
      <c r="Q722" s="95">
        <f t="shared" si="242"/>
        <v>1034408581503.9502</v>
      </c>
      <c r="R722" s="95">
        <f t="shared" si="243"/>
        <v>27726694208153.586</v>
      </c>
      <c r="S722" s="95">
        <f t="shared" si="244"/>
        <v>20617307061860.996</v>
      </c>
      <c r="T722">
        <f t="shared" ref="T722:T785" si="245">A723-A722</f>
        <v>0.5</v>
      </c>
    </row>
    <row r="723" spans="1:20" x14ac:dyDescent="0.25">
      <c r="A723">
        <v>340</v>
      </c>
      <c r="B723" s="95">
        <f t="shared" si="227"/>
        <v>8986.2544225617348</v>
      </c>
      <c r="C723" s="95">
        <f t="shared" si="228"/>
        <v>6416.3074315618815</v>
      </c>
      <c r="D723" s="95">
        <f t="shared" si="229"/>
        <v>-239.54708890637289</v>
      </c>
      <c r="E723" s="95">
        <f t="shared" si="230"/>
        <v>220.49384478352303</v>
      </c>
      <c r="F723" s="96">
        <f t="shared" si="231"/>
        <v>-30.596198928322451</v>
      </c>
      <c r="G723" s="94">
        <f t="shared" si="232"/>
        <v>29.685267947238003</v>
      </c>
      <c r="H723" s="97">
        <f t="shared" si="233"/>
        <v>513.56328859839766</v>
      </c>
      <c r="I723" s="94">
        <f t="shared" si="234"/>
        <v>548.99841899494413</v>
      </c>
      <c r="J723" s="95">
        <f t="shared" si="235"/>
        <v>-189.69750085521207</v>
      </c>
      <c r="K723" s="94">
        <f t="shared" si="236"/>
        <v>23.453100016156778</v>
      </c>
      <c r="L723" s="94">
        <f t="shared" si="237"/>
        <v>-354.46198667150804</v>
      </c>
      <c r="M723" s="94">
        <f t="shared" si="238"/>
        <v>-542.76625106386291</v>
      </c>
      <c r="N723" s="99">
        <f t="shared" si="239"/>
        <v>1491.5352840354089</v>
      </c>
      <c r="O723" s="99">
        <f t="shared" si="240"/>
        <v>29339.496467706587</v>
      </c>
      <c r="P723" s="100">
        <f t="shared" si="241"/>
        <v>25552.460535663209</v>
      </c>
      <c r="Q723" s="95">
        <f t="shared" si="242"/>
        <v>1033555074708.5121</v>
      </c>
      <c r="R723" s="95">
        <f t="shared" si="243"/>
        <v>27442472193618.594</v>
      </c>
      <c r="S723" s="95">
        <f t="shared" si="244"/>
        <v>20660002951589.449</v>
      </c>
      <c r="T723">
        <f t="shared" si="245"/>
        <v>0.5</v>
      </c>
    </row>
    <row r="724" spans="1:20" x14ac:dyDescent="0.25">
      <c r="A724">
        <v>340.5</v>
      </c>
      <c r="B724" s="95">
        <f t="shared" si="227"/>
        <v>8858.8318283764675</v>
      </c>
      <c r="C724" s="95">
        <f t="shared" si="228"/>
        <v>6533.9756709404528</v>
      </c>
      <c r="D724" s="95">
        <f t="shared" si="229"/>
        <v>-254.84518837053412</v>
      </c>
      <c r="E724" s="95">
        <f t="shared" si="230"/>
        <v>235.33647875714203</v>
      </c>
      <c r="F724" s="96">
        <f t="shared" si="231"/>
        <v>36.707986475532721</v>
      </c>
      <c r="G724" s="94">
        <f t="shared" si="232"/>
        <v>-31.762490144304707</v>
      </c>
      <c r="H724" s="97">
        <f t="shared" si="233"/>
        <v>578.30738255794085</v>
      </c>
      <c r="I724" s="94">
        <f t="shared" si="234"/>
        <v>489.55010761552973</v>
      </c>
      <c r="J724" s="95">
        <f t="shared" si="235"/>
        <v>-191.30600747993876</v>
      </c>
      <c r="K724" s="94">
        <f t="shared" si="236"/>
        <v>22.976372715430816</v>
      </c>
      <c r="L724" s="94">
        <f t="shared" si="237"/>
        <v>-350.29338860246935</v>
      </c>
      <c r="M724" s="94">
        <f t="shared" si="238"/>
        <v>-544.28897047526527</v>
      </c>
      <c r="N724" s="99">
        <f t="shared" si="239"/>
        <v>1483.9372219415643</v>
      </c>
      <c r="O724" s="99">
        <f t="shared" si="240"/>
        <v>29206.947767176192</v>
      </c>
      <c r="P724" s="100">
        <f t="shared" si="241"/>
        <v>25578.771213172073</v>
      </c>
      <c r="Q724" s="95">
        <f t="shared" si="242"/>
        <v>1033212224908.7246</v>
      </c>
      <c r="R724" s="95">
        <f t="shared" si="243"/>
        <v>27092113200663.875</v>
      </c>
      <c r="S724" s="95">
        <f t="shared" si="244"/>
        <v>20715399184412.406</v>
      </c>
      <c r="T724">
        <f t="shared" si="245"/>
        <v>0.5</v>
      </c>
    </row>
    <row r="725" spans="1:20" x14ac:dyDescent="0.25">
      <c r="A725">
        <v>341</v>
      </c>
      <c r="B725" s="95">
        <f t="shared" si="227"/>
        <v>8740.5862308100841</v>
      </c>
      <c r="C725" s="95">
        <f t="shared" si="228"/>
        <v>6643.7032877829479</v>
      </c>
      <c r="D725" s="95">
        <f t="shared" si="229"/>
        <v>-236.49119513276776</v>
      </c>
      <c r="E725" s="95">
        <f t="shared" si="230"/>
        <v>219.45523368498968</v>
      </c>
      <c r="F725" s="96">
        <f t="shared" si="231"/>
        <v>98.500538156978621</v>
      </c>
      <c r="G725" s="94">
        <f t="shared" si="232"/>
        <v>-89.141402783678529</v>
      </c>
      <c r="H725" s="97">
        <f t="shared" si="233"/>
        <v>637.9177354970019</v>
      </c>
      <c r="I725" s="94">
        <f t="shared" si="234"/>
        <v>433.73105244227122</v>
      </c>
      <c r="J725" s="95">
        <f t="shared" si="235"/>
        <v>-193.14998475877024</v>
      </c>
      <c r="K725" s="94">
        <f t="shared" si="236"/>
        <v>22.555860677458497</v>
      </c>
      <c r="L725" s="94">
        <f t="shared" si="237"/>
        <v>-346.26721258125303</v>
      </c>
      <c r="M725" s="94">
        <f t="shared" si="238"/>
        <v>-545.42831590340825</v>
      </c>
      <c r="N725" s="99">
        <f t="shared" si="239"/>
        <v>1495.1480863986499</v>
      </c>
      <c r="O725" s="99">
        <f t="shared" si="240"/>
        <v>29066.226090570261</v>
      </c>
      <c r="P725" s="100">
        <f t="shared" si="241"/>
        <v>25608.188687290556</v>
      </c>
      <c r="Q725" s="95">
        <f t="shared" si="242"/>
        <v>1033718723944.4257</v>
      </c>
      <c r="R725" s="95">
        <f t="shared" si="243"/>
        <v>26723521476192.832</v>
      </c>
      <c r="S725" s="95">
        <f t="shared" si="244"/>
        <v>20777462794767.992</v>
      </c>
      <c r="T725">
        <f t="shared" si="245"/>
        <v>0.5</v>
      </c>
    </row>
    <row r="726" spans="1:20" x14ac:dyDescent="0.25">
      <c r="A726">
        <v>341.5</v>
      </c>
      <c r="B726" s="95">
        <f t="shared" si="227"/>
        <v>8646.9657677829455</v>
      </c>
      <c r="C726" s="95">
        <f t="shared" si="228"/>
        <v>6731.145553929523</v>
      </c>
      <c r="D726" s="95">
        <f t="shared" si="229"/>
        <v>-187.24092605427845</v>
      </c>
      <c r="E726" s="95">
        <f t="shared" si="230"/>
        <v>174.88453229315041</v>
      </c>
      <c r="F726" s="96">
        <f t="shared" si="231"/>
        <v>146.60226312297721</v>
      </c>
      <c r="G726" s="94">
        <f t="shared" si="232"/>
        <v>-134.82261186213304</v>
      </c>
      <c r="H726" s="97">
        <f t="shared" si="233"/>
        <v>684.49556585516257</v>
      </c>
      <c r="I726" s="94">
        <f t="shared" si="234"/>
        <v>388.96093431495899</v>
      </c>
      <c r="J726" s="95">
        <f t="shared" si="235"/>
        <v>-194.98918305912449</v>
      </c>
      <c r="K726" s="94">
        <f t="shared" si="236"/>
        <v>22.249869781856429</v>
      </c>
      <c r="L726" s="94">
        <f t="shared" si="237"/>
        <v>-342.9041196730609</v>
      </c>
      <c r="M726" s="94">
        <f t="shared" si="238"/>
        <v>-546.03341595894847</v>
      </c>
      <c r="N726" s="99">
        <f t="shared" si="239"/>
        <v>1522.9468478508643</v>
      </c>
      <c r="O726" s="99">
        <f t="shared" si="240"/>
        <v>28935.89508743542</v>
      </c>
      <c r="P726" s="100">
        <f t="shared" si="241"/>
        <v>25636.957736360102</v>
      </c>
      <c r="Q726" s="95">
        <f t="shared" si="242"/>
        <v>1034991463306.7756</v>
      </c>
      <c r="R726" s="95">
        <f t="shared" si="243"/>
        <v>26385228021863.145</v>
      </c>
      <c r="S726" s="95">
        <f t="shared" si="244"/>
        <v>20838287313246.336</v>
      </c>
      <c r="T726">
        <f t="shared" si="245"/>
        <v>0.5</v>
      </c>
    </row>
    <row r="727" spans="1:20" x14ac:dyDescent="0.25">
      <c r="A727">
        <v>342</v>
      </c>
      <c r="B727" s="95">
        <f t="shared" si="227"/>
        <v>8589.9958705365516</v>
      </c>
      <c r="C727" s="95">
        <f t="shared" si="228"/>
        <v>6784.8821671105652</v>
      </c>
      <c r="D727" s="95">
        <f t="shared" si="229"/>
        <v>-113.93979449278984</v>
      </c>
      <c r="E727" s="95">
        <f t="shared" si="230"/>
        <v>107.47322636208389</v>
      </c>
      <c r="F727" s="96">
        <f t="shared" si="231"/>
        <v>175.02472400932652</v>
      </c>
      <c r="G727" s="94">
        <f t="shared" si="232"/>
        <v>-162.71463526571068</v>
      </c>
      <c r="H727" s="97">
        <f t="shared" si="233"/>
        <v>712.24622173708838</v>
      </c>
      <c r="I727" s="94">
        <f t="shared" si="234"/>
        <v>361.23296657729264</v>
      </c>
      <c r="J727" s="95">
        <f t="shared" si="235"/>
        <v>-196.5783021214105</v>
      </c>
      <c r="K727" s="94">
        <f t="shared" si="236"/>
        <v>22.106418188083939</v>
      </c>
      <c r="L727" s="94">
        <f t="shared" si="237"/>
        <v>-340.64319560635136</v>
      </c>
      <c r="M727" s="94">
        <f t="shared" si="238"/>
        <v>-546.05402003108725</v>
      </c>
      <c r="N727" s="99">
        <f t="shared" si="239"/>
        <v>1556.2258167738814</v>
      </c>
      <c r="O727" s="99">
        <f t="shared" si="240"/>
        <v>28832.864184643928</v>
      </c>
      <c r="P727" s="100">
        <f t="shared" si="241"/>
        <v>25660.911163735211</v>
      </c>
      <c r="Q727" s="95">
        <f t="shared" si="242"/>
        <v>1036546650925.0603</v>
      </c>
      <c r="R727" s="95">
        <f t="shared" si="243"/>
        <v>26119884687294.906</v>
      </c>
      <c r="S727" s="95">
        <f t="shared" si="244"/>
        <v>20889027844906.121</v>
      </c>
      <c r="T727">
        <f t="shared" si="245"/>
        <v>0.5</v>
      </c>
    </row>
    <row r="728" spans="1:20" x14ac:dyDescent="0.25">
      <c r="A728">
        <v>342.5</v>
      </c>
      <c r="B728" s="95">
        <f t="shared" si="227"/>
        <v>8576.7821542924867</v>
      </c>
      <c r="C728" s="95">
        <f t="shared" si="228"/>
        <v>6797.9401214751797</v>
      </c>
      <c r="D728" s="95">
        <f t="shared" si="229"/>
        <v>-26.427432488126584</v>
      </c>
      <c r="E728" s="95">
        <f t="shared" si="230"/>
        <v>26.115908729228551</v>
      </c>
      <c r="F728" s="96">
        <f t="shared" si="231"/>
        <v>180.61879281240931</v>
      </c>
      <c r="G728" s="94">
        <f t="shared" si="232"/>
        <v>-169.14571648268424</v>
      </c>
      <c r="H728" s="97">
        <f t="shared" si="233"/>
        <v>718.10400673135689</v>
      </c>
      <c r="I728" s="94">
        <f t="shared" si="234"/>
        <v>354.23390259934371</v>
      </c>
      <c r="J728" s="95">
        <f t="shared" si="235"/>
        <v>-197.70201440333321</v>
      </c>
      <c r="K728" s="94">
        <f t="shared" si="236"/>
        <v>22.152728211540754</v>
      </c>
      <c r="L728" s="94">
        <f t="shared" si="237"/>
        <v>-339.78319951561434</v>
      </c>
      <c r="M728" s="94">
        <f t="shared" si="238"/>
        <v>-545.53234729356871</v>
      </c>
      <c r="N728" s="99">
        <f t="shared" si="239"/>
        <v>1580.9823401987951</v>
      </c>
      <c r="O728" s="99">
        <f t="shared" si="240"/>
        <v>28770.207621021098</v>
      </c>
      <c r="P728" s="100">
        <f t="shared" si="241"/>
        <v>25676.235681970447</v>
      </c>
      <c r="Q728" s="95">
        <f t="shared" si="242"/>
        <v>1037725892679.6108</v>
      </c>
      <c r="R728" s="95">
        <f t="shared" si="243"/>
        <v>25959419228720.746</v>
      </c>
      <c r="S728" s="95">
        <f t="shared" si="244"/>
        <v>20921536210991.223</v>
      </c>
      <c r="T728">
        <f t="shared" si="245"/>
        <v>0.5</v>
      </c>
    </row>
    <row r="729" spans="1:20" x14ac:dyDescent="0.25">
      <c r="A729">
        <v>343</v>
      </c>
      <c r="B729" s="95">
        <f t="shared" si="227"/>
        <v>8608.7231362515267</v>
      </c>
      <c r="C729" s="95">
        <f t="shared" si="228"/>
        <v>6768.7116467191236</v>
      </c>
      <c r="D729" s="95">
        <f t="shared" si="229"/>
        <v>63.881963918078071</v>
      </c>
      <c r="E729" s="95">
        <f t="shared" si="230"/>
        <v>-58.456949512113567</v>
      </c>
      <c r="F729" s="96">
        <f t="shared" si="231"/>
        <v>163.14455822858781</v>
      </c>
      <c r="G729" s="94">
        <f t="shared" si="232"/>
        <v>-153.30837134191097</v>
      </c>
      <c r="H729" s="97">
        <f t="shared" si="233"/>
        <v>701.79330413704179</v>
      </c>
      <c r="I729" s="94">
        <f t="shared" si="234"/>
        <v>368.87932452437127</v>
      </c>
      <c r="J729" s="95">
        <f t="shared" si="235"/>
        <v>-198.20750223807411</v>
      </c>
      <c r="K729" s="94">
        <f t="shared" si="236"/>
        <v>22.387073707012689</v>
      </c>
      <c r="L729" s="94">
        <f t="shared" si="237"/>
        <v>-340.44124367037989</v>
      </c>
      <c r="M729" s="94">
        <f t="shared" si="238"/>
        <v>-544.57476957329493</v>
      </c>
      <c r="N729" s="99">
        <f t="shared" si="239"/>
        <v>1586.9584460138269</v>
      </c>
      <c r="O729" s="99">
        <f t="shared" si="240"/>
        <v>28755.619724838969</v>
      </c>
      <c r="P729" s="100">
        <f t="shared" si="241"/>
        <v>25680.327240993876</v>
      </c>
      <c r="Q729" s="95">
        <f t="shared" si="242"/>
        <v>1038013412329.0106</v>
      </c>
      <c r="R729" s="95">
        <f t="shared" si="243"/>
        <v>25922156513227.285</v>
      </c>
      <c r="S729" s="95">
        <f t="shared" si="244"/>
        <v>20930221893139.84</v>
      </c>
      <c r="T729">
        <f t="shared" si="245"/>
        <v>0.5</v>
      </c>
    </row>
    <row r="730" spans="1:20" x14ac:dyDescent="0.25">
      <c r="A730">
        <v>343.5</v>
      </c>
      <c r="B730" s="95">
        <f t="shared" si="227"/>
        <v>8681.4502577677122</v>
      </c>
      <c r="C730" s="95">
        <f t="shared" si="228"/>
        <v>6701.1560791275888</v>
      </c>
      <c r="D730" s="95">
        <f t="shared" si="229"/>
        <v>145.45424303237198</v>
      </c>
      <c r="E730" s="95">
        <f t="shared" si="230"/>
        <v>-135.11113518306905</v>
      </c>
      <c r="F730" s="96">
        <f t="shared" si="231"/>
        <v>125.01305610033148</v>
      </c>
      <c r="G730" s="94">
        <f t="shared" si="232"/>
        <v>-117.30372960158815</v>
      </c>
      <c r="H730" s="97">
        <f t="shared" si="233"/>
        <v>665.5754236762117</v>
      </c>
      <c r="I730" s="94">
        <f t="shared" si="234"/>
        <v>403.23915287843096</v>
      </c>
      <c r="J730" s="95">
        <f t="shared" si="235"/>
        <v>-198.02776245239838</v>
      </c>
      <c r="K730" s="94">
        <f t="shared" si="236"/>
        <v>22.776487048563357</v>
      </c>
      <c r="L730" s="94">
        <f t="shared" si="237"/>
        <v>-342.53460512348181</v>
      </c>
      <c r="M730" s="94">
        <f t="shared" si="238"/>
        <v>-543.31936952858246</v>
      </c>
      <c r="N730" s="99">
        <f t="shared" si="239"/>
        <v>1571.7614218595784</v>
      </c>
      <c r="O730" s="99">
        <f t="shared" si="240"/>
        <v>28790.628056865</v>
      </c>
      <c r="P730" s="100">
        <f t="shared" si="241"/>
        <v>25672.439544327539</v>
      </c>
      <c r="Q730" s="95">
        <f t="shared" si="242"/>
        <v>1037284439958.7371</v>
      </c>
      <c r="R730" s="95">
        <f t="shared" si="243"/>
        <v>26011642072911.277</v>
      </c>
      <c r="S730" s="95">
        <f t="shared" si="244"/>
        <v>20913479970275.613</v>
      </c>
      <c r="T730">
        <f t="shared" si="245"/>
        <v>0.5</v>
      </c>
    </row>
    <row r="731" spans="1:20" x14ac:dyDescent="0.25">
      <c r="A731">
        <v>344</v>
      </c>
      <c r="B731" s="95">
        <f t="shared" si="227"/>
        <v>8785.4306433089805</v>
      </c>
      <c r="C731" s="95">
        <f t="shared" si="228"/>
        <v>6604.2745791356574</v>
      </c>
      <c r="D731" s="95">
        <f t="shared" si="229"/>
        <v>207.96077108253772</v>
      </c>
      <c r="E731" s="95">
        <f t="shared" si="230"/>
        <v>-193.76299998386312</v>
      </c>
      <c r="F731" s="96">
        <f t="shared" si="231"/>
        <v>70.950999630321292</v>
      </c>
      <c r="G731" s="94">
        <f t="shared" si="232"/>
        <v>-65.887047078403953</v>
      </c>
      <c r="H731" s="97">
        <f t="shared" si="233"/>
        <v>613.93033534613789</v>
      </c>
      <c r="I731" s="94">
        <f t="shared" si="234"/>
        <v>452.76377588472417</v>
      </c>
      <c r="J731" s="95">
        <f t="shared" si="235"/>
        <v>-197.19119841718552</v>
      </c>
      <c r="K731" s="94">
        <f t="shared" si="236"/>
        <v>23.262016592118901</v>
      </c>
      <c r="L731" s="94">
        <f t="shared" si="237"/>
        <v>-345.78813729863106</v>
      </c>
      <c r="M731" s="94">
        <f t="shared" si="238"/>
        <v>-541.91283955524705</v>
      </c>
      <c r="N731" s="99">
        <f t="shared" si="239"/>
        <v>1541.6630736498944</v>
      </c>
      <c r="O731" s="99">
        <f t="shared" si="240"/>
        <v>28870.537925419409</v>
      </c>
      <c r="P731" s="100">
        <f t="shared" si="241"/>
        <v>25653.89358998802</v>
      </c>
      <c r="Q731" s="95">
        <f t="shared" si="242"/>
        <v>1035861874595.3972</v>
      </c>
      <c r="R731" s="95">
        <f t="shared" si="243"/>
        <v>26216695328108.141</v>
      </c>
      <c r="S731" s="95">
        <f t="shared" si="244"/>
        <v>20874153353902.309</v>
      </c>
      <c r="T731">
        <f t="shared" si="245"/>
        <v>0.5</v>
      </c>
    </row>
    <row r="732" spans="1:20" x14ac:dyDescent="0.25">
      <c r="A732">
        <v>344.5</v>
      </c>
      <c r="B732" s="95">
        <f t="shared" si="227"/>
        <v>8907.1487787578299</v>
      </c>
      <c r="C732" s="95">
        <f t="shared" si="228"/>
        <v>6490.9213173741255</v>
      </c>
      <c r="D732" s="95">
        <f t="shared" si="229"/>
        <v>243.43627089769836</v>
      </c>
      <c r="E732" s="95">
        <f t="shared" si="230"/>
        <v>-226.7065235230651</v>
      </c>
      <c r="F732" s="96">
        <f t="shared" si="231"/>
        <v>7.6252740082056789</v>
      </c>
      <c r="G732" s="94">
        <f t="shared" si="232"/>
        <v>-5.927916341255127</v>
      </c>
      <c r="H732" s="97">
        <f t="shared" si="233"/>
        <v>553.20932349424993</v>
      </c>
      <c r="I732" s="94">
        <f t="shared" si="234"/>
        <v>510.80304850043967</v>
      </c>
      <c r="J732" s="95">
        <f t="shared" si="235"/>
        <v>-195.8162195905231</v>
      </c>
      <c r="K732" s="94">
        <f t="shared" si="236"/>
        <v>23.770401125912034</v>
      </c>
      <c r="L732" s="94">
        <f t="shared" si="237"/>
        <v>-349.76782989552112</v>
      </c>
      <c r="M732" s="94">
        <f t="shared" si="238"/>
        <v>-540.50136596760683</v>
      </c>
      <c r="N732" s="99">
        <f t="shared" si="239"/>
        <v>1509.1397389888853</v>
      </c>
      <c r="O732" s="99">
        <f t="shared" si="240"/>
        <v>28985.030075103528</v>
      </c>
      <c r="P732" s="100">
        <f t="shared" si="241"/>
        <v>25627.773569160658</v>
      </c>
      <c r="Q732" s="95">
        <f t="shared" si="242"/>
        <v>1034356322375.7805</v>
      </c>
      <c r="R732" s="95">
        <f t="shared" si="243"/>
        <v>26512417991821.441</v>
      </c>
      <c r="S732" s="95">
        <f t="shared" si="244"/>
        <v>20818855967388.73</v>
      </c>
      <c r="T732">
        <f t="shared" si="245"/>
        <v>0.5</v>
      </c>
    </row>
    <row r="733" spans="1:20" x14ac:dyDescent="0.25">
      <c r="A733">
        <v>345</v>
      </c>
      <c r="B733" s="95">
        <f t="shared" si="227"/>
        <v>9030.7732327087306</v>
      </c>
      <c r="C733" s="95">
        <f t="shared" si="228"/>
        <v>6376.0860765272791</v>
      </c>
      <c r="D733" s="95">
        <f t="shared" si="229"/>
        <v>247.2489079018012</v>
      </c>
      <c r="E733" s="95">
        <f t="shared" si="230"/>
        <v>-229.67048169369266</v>
      </c>
      <c r="F733" s="96">
        <f t="shared" si="231"/>
        <v>-56.933840810035917</v>
      </c>
      <c r="G733" s="94">
        <f t="shared" si="232"/>
        <v>54.473449330875155</v>
      </c>
      <c r="H733" s="97">
        <f t="shared" si="233"/>
        <v>491.09736120987748</v>
      </c>
      <c r="I733" s="94">
        <f t="shared" si="234"/>
        <v>569.47577251405244</v>
      </c>
      <c r="J733" s="95">
        <f t="shared" si="235"/>
        <v>-194.09239573141787</v>
      </c>
      <c r="K733" s="94">
        <f t="shared" si="236"/>
        <v>24.228570479093431</v>
      </c>
      <c r="L733" s="94">
        <f t="shared" si="237"/>
        <v>-353.93880628849553</v>
      </c>
      <c r="M733" s="94">
        <f t="shared" si="238"/>
        <v>-539.23089366227066</v>
      </c>
      <c r="N733" s="99">
        <f t="shared" si="239"/>
        <v>1487.4688499260994</v>
      </c>
      <c r="O733" s="99">
        <f t="shared" si="240"/>
        <v>29119.355825946761</v>
      </c>
      <c r="P733" s="100">
        <f t="shared" si="241"/>
        <v>25598.212559162621</v>
      </c>
      <c r="Q733" s="95">
        <f t="shared" si="242"/>
        <v>1033371361191.095</v>
      </c>
      <c r="R733" s="95">
        <f t="shared" si="243"/>
        <v>26862277117444.914</v>
      </c>
      <c r="S733" s="95">
        <f t="shared" si="244"/>
        <v>20756400696440.016</v>
      </c>
      <c r="T733">
        <f t="shared" si="245"/>
        <v>0.5</v>
      </c>
    </row>
    <row r="734" spans="1:20" x14ac:dyDescent="0.25">
      <c r="A734">
        <v>345.5</v>
      </c>
      <c r="B734" s="95">
        <f t="shared" si="227"/>
        <v>9140.1642264571219</v>
      </c>
      <c r="C734" s="95">
        <f t="shared" si="228"/>
        <v>6274.8691980131516</v>
      </c>
      <c r="D734" s="95">
        <f t="shared" si="229"/>
        <v>218.78198749678324</v>
      </c>
      <c r="E734" s="95">
        <f t="shared" si="230"/>
        <v>-202.43375702825509</v>
      </c>
      <c r="F734" s="96">
        <f t="shared" si="231"/>
        <v>-114.2593425644321</v>
      </c>
      <c r="G734" s="94">
        <f t="shared" si="232"/>
        <v>107.18176605408519</v>
      </c>
      <c r="H734" s="97">
        <f t="shared" si="233"/>
        <v>435.73387475452699</v>
      </c>
      <c r="I734" s="94">
        <f t="shared" si="234"/>
        <v>620.85226953427002</v>
      </c>
      <c r="J734" s="95">
        <f t="shared" si="235"/>
        <v>-192.25183927369542</v>
      </c>
      <c r="K734" s="94">
        <f t="shared" si="236"/>
        <v>24.576500072255747</v>
      </c>
      <c r="L734" s="94">
        <f t="shared" si="237"/>
        <v>-357.74137804526367</v>
      </c>
      <c r="M734" s="94">
        <f t="shared" si="238"/>
        <v>-538.24700355244056</v>
      </c>
      <c r="N734" s="99">
        <f t="shared" si="239"/>
        <v>1484.110182503216</v>
      </c>
      <c r="O734" s="99">
        <f t="shared" si="240"/>
        <v>29256.085633824921</v>
      </c>
      <c r="P734" s="100">
        <f t="shared" si="241"/>
        <v>25569.50632020101</v>
      </c>
      <c r="Q734" s="95">
        <f t="shared" si="242"/>
        <v>1033220009567.2955</v>
      </c>
      <c r="R734" s="95">
        <f t="shared" si="243"/>
        <v>27221636723999.414</v>
      </c>
      <c r="S734" s="95">
        <f t="shared" si="244"/>
        <v>20695880124873.461</v>
      </c>
      <c r="T734">
        <f t="shared" si="245"/>
        <v>0.5</v>
      </c>
    </row>
    <row r="735" spans="1:20" x14ac:dyDescent="0.25">
      <c r="A735">
        <v>346</v>
      </c>
      <c r="B735" s="95">
        <f t="shared" si="227"/>
        <v>9220.9903845644058</v>
      </c>
      <c r="C735" s="95">
        <f t="shared" si="228"/>
        <v>6200.447761012545</v>
      </c>
      <c r="D735" s="95">
        <f t="shared" si="229"/>
        <v>161.65231621456718</v>
      </c>
      <c r="E735" s="95">
        <f t="shared" si="230"/>
        <v>-148.84287400121249</v>
      </c>
      <c r="F735" s="96">
        <f t="shared" si="231"/>
        <v>-156.65263043266239</v>
      </c>
      <c r="G735" s="94">
        <f t="shared" si="232"/>
        <v>145.29200778348672</v>
      </c>
      <c r="H735" s="97">
        <f t="shared" si="233"/>
        <v>394.55586489191467</v>
      </c>
      <c r="I735" s="94">
        <f t="shared" si="234"/>
        <v>658.20234752713588</v>
      </c>
      <c r="J735" s="95">
        <f t="shared" si="235"/>
        <v>-190.53598457853226</v>
      </c>
      <c r="K735" s="94">
        <f t="shared" si="236"/>
        <v>24.775047569758584</v>
      </c>
      <c r="L735" s="94">
        <f t="shared" si="237"/>
        <v>-360.67251074604479</v>
      </c>
      <c r="M735" s="94">
        <f t="shared" si="238"/>
        <v>-537.68538731340777</v>
      </c>
      <c r="N735" s="99">
        <f t="shared" si="239"/>
        <v>1496.7508274395634</v>
      </c>
      <c r="O735" s="99">
        <f t="shared" si="240"/>
        <v>29377.300261201715</v>
      </c>
      <c r="P735" s="100">
        <f t="shared" si="241"/>
        <v>25545.338199831032</v>
      </c>
      <c r="Q735" s="95">
        <f t="shared" si="242"/>
        <v>1033791452911.5325</v>
      </c>
      <c r="R735" s="95">
        <f t="shared" si="243"/>
        <v>27542963412361.367</v>
      </c>
      <c r="S735" s="95">
        <f t="shared" si="244"/>
        <v>20645025421402.34</v>
      </c>
      <c r="T735">
        <f t="shared" si="245"/>
        <v>0.5</v>
      </c>
    </row>
    <row r="736" spans="1:20" x14ac:dyDescent="0.25">
      <c r="A736">
        <v>346.5</v>
      </c>
      <c r="B736" s="95">
        <f t="shared" si="227"/>
        <v>9262.6533850635242</v>
      </c>
      <c r="C736" s="95">
        <f t="shared" si="228"/>
        <v>6162.3493259578099</v>
      </c>
      <c r="D736" s="95">
        <f t="shared" si="229"/>
        <v>83.326000998235983</v>
      </c>
      <c r="E736" s="95">
        <f t="shared" si="230"/>
        <v>-76.196870109469131</v>
      </c>
      <c r="F736" s="96">
        <f t="shared" si="231"/>
        <v>-178.36919269197153</v>
      </c>
      <c r="G736" s="94">
        <f t="shared" si="232"/>
        <v>164.10600783101506</v>
      </c>
      <c r="H736" s="97">
        <f t="shared" si="233"/>
        <v>373.15073057998313</v>
      </c>
      <c r="I736" s="94">
        <f t="shared" si="234"/>
        <v>676.94801355079483</v>
      </c>
      <c r="J736" s="95">
        <f t="shared" si="235"/>
        <v>-189.16348764091862</v>
      </c>
      <c r="K736" s="94">
        <f t="shared" si="236"/>
        <v>24.807845559893231</v>
      </c>
      <c r="L736" s="94">
        <f t="shared" si="237"/>
        <v>-362.35643563103605</v>
      </c>
      <c r="M736" s="94">
        <f t="shared" si="238"/>
        <v>-537.64985127967304</v>
      </c>
      <c r="N736" s="99">
        <f t="shared" si="239"/>
        <v>1515.1541184969994</v>
      </c>
      <c r="O736" s="99">
        <f t="shared" si="240"/>
        <v>29466.979422255008</v>
      </c>
      <c r="P736" s="100">
        <f t="shared" si="241"/>
        <v>25528.328436959895</v>
      </c>
      <c r="Q736" s="95">
        <f t="shared" si="242"/>
        <v>1034632262871.9493</v>
      </c>
      <c r="R736" s="95">
        <f t="shared" si="243"/>
        <v>27782359895508.633</v>
      </c>
      <c r="S736" s="95">
        <f t="shared" si="244"/>
        <v>20609287195898.676</v>
      </c>
      <c r="T736">
        <f t="shared" si="245"/>
        <v>0.5</v>
      </c>
    </row>
    <row r="737" spans="1:20" x14ac:dyDescent="0.25">
      <c r="A737">
        <v>347</v>
      </c>
      <c r="B737" s="95">
        <f t="shared" si="227"/>
        <v>9259.7240873896499</v>
      </c>
      <c r="C737" s="95">
        <f t="shared" si="228"/>
        <v>6165.2773928608294</v>
      </c>
      <c r="D737" s="95">
        <f t="shared" si="229"/>
        <v>-5.8585953477497839</v>
      </c>
      <c r="E737" s="95">
        <f t="shared" si="230"/>
        <v>5.8561338060384003</v>
      </c>
      <c r="F737" s="96">
        <f t="shared" si="231"/>
        <v>-176.46678188038092</v>
      </c>
      <c r="G737" s="94">
        <f t="shared" si="232"/>
        <v>161.59270771179183</v>
      </c>
      <c r="H737" s="97">
        <f t="shared" si="233"/>
        <v>374.42837169250282</v>
      </c>
      <c r="I737" s="94">
        <f t="shared" si="234"/>
        <v>675.09695228371322</v>
      </c>
      <c r="J737" s="95">
        <f t="shared" si="235"/>
        <v>-188.3040539136363</v>
      </c>
      <c r="K737" s="94">
        <f t="shared" si="236"/>
        <v>24.678763559147232</v>
      </c>
      <c r="L737" s="94">
        <f t="shared" si="237"/>
        <v>-362.59109965924745</v>
      </c>
      <c r="M737" s="94">
        <f t="shared" si="238"/>
        <v>-538.18300813106862</v>
      </c>
      <c r="N737" s="99">
        <f t="shared" si="239"/>
        <v>1527.412634596102</v>
      </c>
      <c r="O737" s="99">
        <f t="shared" si="240"/>
        <v>29513.224931043136</v>
      </c>
      <c r="P737" s="100">
        <f t="shared" si="241"/>
        <v>25519.959062983056</v>
      </c>
      <c r="Q737" s="95">
        <f t="shared" si="242"/>
        <v>1035198160052.9275</v>
      </c>
      <c r="R737" s="95">
        <f t="shared" si="243"/>
        <v>27906366847205.715</v>
      </c>
      <c r="S737" s="95">
        <f t="shared" si="244"/>
        <v>20591719100505.969</v>
      </c>
      <c r="T737">
        <f t="shared" si="245"/>
        <v>0.5</v>
      </c>
    </row>
    <row r="738" spans="1:20" x14ac:dyDescent="0.25">
      <c r="A738">
        <v>347.5</v>
      </c>
      <c r="B738" s="95">
        <f t="shared" si="227"/>
        <v>9212.6780942456808</v>
      </c>
      <c r="C738" s="95">
        <f t="shared" si="228"/>
        <v>6208.603636691797</v>
      </c>
      <c r="D738" s="95">
        <f t="shared" si="229"/>
        <v>-94.091986287940244</v>
      </c>
      <c r="E738" s="95">
        <f t="shared" si="230"/>
        <v>86.652487661934316</v>
      </c>
      <c r="F738" s="96">
        <f t="shared" si="231"/>
        <v>-151.18197903114691</v>
      </c>
      <c r="G738" s="94">
        <f t="shared" si="232"/>
        <v>138.38264320343023</v>
      </c>
      <c r="H738" s="97">
        <f t="shared" si="233"/>
        <v>398.24444313878001</v>
      </c>
      <c r="I738" s="94">
        <f t="shared" si="234"/>
        <v>653.21620269715152</v>
      </c>
      <c r="J738" s="95">
        <f t="shared" si="235"/>
        <v>-188.06073147701187</v>
      </c>
      <c r="K738" s="94">
        <f t="shared" si="236"/>
        <v>24.407648319770885</v>
      </c>
      <c r="L738" s="94">
        <f t="shared" si="237"/>
        <v>-361.36569069291505</v>
      </c>
      <c r="M738" s="94">
        <f t="shared" si="238"/>
        <v>-539.24120781349211</v>
      </c>
      <c r="N738" s="99">
        <f t="shared" si="239"/>
        <v>1526.2676255491601</v>
      </c>
      <c r="O738" s="99">
        <f t="shared" si="240"/>
        <v>29509.939870217873</v>
      </c>
      <c r="P738" s="100">
        <f t="shared" si="241"/>
        <v>25520.750344870863</v>
      </c>
      <c r="Q738" s="95">
        <f t="shared" si="242"/>
        <v>1035145104864.7107</v>
      </c>
      <c r="R738" s="95">
        <f t="shared" si="243"/>
        <v>27897545490509.02</v>
      </c>
      <c r="S738" s="95">
        <f t="shared" si="244"/>
        <v>20593379614568.109</v>
      </c>
      <c r="T738">
        <f t="shared" si="245"/>
        <v>0.5</v>
      </c>
    </row>
    <row r="739" spans="1:20" x14ac:dyDescent="0.25">
      <c r="A739">
        <v>348</v>
      </c>
      <c r="B739" s="95">
        <f t="shared" si="227"/>
        <v>9127.8366063439225</v>
      </c>
      <c r="C739" s="95">
        <f t="shared" si="228"/>
        <v>6286.5255413236218</v>
      </c>
      <c r="D739" s="95">
        <f t="shared" si="229"/>
        <v>-169.6829758035137</v>
      </c>
      <c r="E739" s="95">
        <f t="shared" si="230"/>
        <v>155.84380926364943</v>
      </c>
      <c r="F739" s="96">
        <f t="shared" si="231"/>
        <v>-105.88329668649118</v>
      </c>
      <c r="G739" s="94">
        <f t="shared" si="232"/>
        <v>97.519075298369103</v>
      </c>
      <c r="H739" s="97">
        <f t="shared" si="233"/>
        <v>441.43027847415067</v>
      </c>
      <c r="I739" s="94">
        <f t="shared" si="234"/>
        <v>614.17891660104783</v>
      </c>
      <c r="J739" s="95">
        <f t="shared" si="235"/>
        <v>-188.46072828185436</v>
      </c>
      <c r="K739" s="94">
        <f t="shared" si="236"/>
        <v>24.026641950669006</v>
      </c>
      <c r="L739" s="94">
        <f t="shared" si="237"/>
        <v>-358.85284687878749</v>
      </c>
      <c r="M739" s="94">
        <f t="shared" si="238"/>
        <v>-540.68648325334777</v>
      </c>
      <c r="N739" s="99">
        <f t="shared" si="239"/>
        <v>1512.4749090303169</v>
      </c>
      <c r="O739" s="99">
        <f t="shared" si="240"/>
        <v>29457.685717342567</v>
      </c>
      <c r="P739" s="100">
        <f t="shared" si="241"/>
        <v>25530.473689866147</v>
      </c>
      <c r="Q739" s="95">
        <f t="shared" si="242"/>
        <v>1034509201812.0834</v>
      </c>
      <c r="R739" s="95">
        <f t="shared" si="243"/>
        <v>27757484567894.773</v>
      </c>
      <c r="S739" s="95">
        <f t="shared" si="244"/>
        <v>20613792013284.91</v>
      </c>
      <c r="T739">
        <f t="shared" si="245"/>
        <v>0.5</v>
      </c>
    </row>
    <row r="740" spans="1:20" x14ac:dyDescent="0.25">
      <c r="A740">
        <v>348.5</v>
      </c>
      <c r="B740" s="95">
        <f t="shared" si="227"/>
        <v>9016.5242942705427</v>
      </c>
      <c r="C740" s="95">
        <f t="shared" si="228"/>
        <v>6388.827214780039</v>
      </c>
      <c r="D740" s="95">
        <f t="shared" si="229"/>
        <v>-222.62462414675929</v>
      </c>
      <c r="E740" s="95">
        <f t="shared" si="230"/>
        <v>204.60334691283398</v>
      </c>
      <c r="F740" s="96">
        <f t="shared" si="231"/>
        <v>-46.669448601899944</v>
      </c>
      <c r="G740" s="94">
        <f t="shared" si="232"/>
        <v>44.124039335785596</v>
      </c>
      <c r="H740" s="97">
        <f t="shared" si="233"/>
        <v>498.16635711747386</v>
      </c>
      <c r="I740" s="94">
        <f t="shared" si="234"/>
        <v>562.84959080969929</v>
      </c>
      <c r="J740" s="95">
        <f t="shared" si="235"/>
        <v>-189.45354031612669</v>
      </c>
      <c r="K740" s="94">
        <f t="shared" si="236"/>
        <v>23.577926215934074</v>
      </c>
      <c r="L740" s="94">
        <f t="shared" si="237"/>
        <v>-355.38226540324712</v>
      </c>
      <c r="M740" s="94">
        <f t="shared" si="238"/>
        <v>-542.3034776898478</v>
      </c>
      <c r="N740" s="99">
        <f t="shared" si="239"/>
        <v>1494.3859096945525</v>
      </c>
      <c r="O740" s="99">
        <f t="shared" si="240"/>
        <v>29363.595793449938</v>
      </c>
      <c r="P740" s="100">
        <f t="shared" si="241"/>
        <v>25548.227664497088</v>
      </c>
      <c r="Q740" s="95">
        <f t="shared" si="242"/>
        <v>1033684165928.5028</v>
      </c>
      <c r="R740" s="95">
        <f t="shared" si="243"/>
        <v>27506504668984.777</v>
      </c>
      <c r="S740" s="95">
        <f t="shared" si="244"/>
        <v>20651100724726.285</v>
      </c>
      <c r="T740">
        <f t="shared" si="245"/>
        <v>0.5</v>
      </c>
    </row>
    <row r="741" spans="1:20" x14ac:dyDescent="0.25">
      <c r="A741">
        <v>349</v>
      </c>
      <c r="B741" s="95">
        <f t="shared" si="227"/>
        <v>8893.5446200466886</v>
      </c>
      <c r="C741" s="95">
        <f t="shared" si="228"/>
        <v>6502.1598980704021</v>
      </c>
      <c r="D741" s="95">
        <f t="shared" si="229"/>
        <v>-245.95934844770926</v>
      </c>
      <c r="E741" s="95">
        <f t="shared" si="230"/>
        <v>226.66536658072678</v>
      </c>
      <c r="F741" s="96">
        <f t="shared" si="231"/>
        <v>18.401162105252695</v>
      </c>
      <c r="G741" s="94">
        <f t="shared" si="232"/>
        <v>-15.053683534412585</v>
      </c>
      <c r="H741" s="97">
        <f t="shared" si="233"/>
        <v>560.71720873024833</v>
      </c>
      <c r="I741" s="94">
        <f t="shared" si="234"/>
        <v>505.67436053018241</v>
      </c>
      <c r="J741" s="95">
        <f t="shared" si="235"/>
        <v>-190.9156190978087</v>
      </c>
      <c r="K741" s="94">
        <f t="shared" si="236"/>
        <v>23.112162849749804</v>
      </c>
      <c r="L741" s="94">
        <f t="shared" si="237"/>
        <v>-351.40042752718693</v>
      </c>
      <c r="M741" s="94">
        <f t="shared" si="238"/>
        <v>-543.84020691434478</v>
      </c>
      <c r="N741" s="99">
        <f t="shared" si="239"/>
        <v>1483.8899630274273</v>
      </c>
      <c r="O741" s="99">
        <f t="shared" si="240"/>
        <v>29240.370226874795</v>
      </c>
      <c r="P741" s="100">
        <f t="shared" si="241"/>
        <v>25572.346058107214</v>
      </c>
      <c r="Q741" s="95">
        <f t="shared" si="242"/>
        <v>1033210098027.1758</v>
      </c>
      <c r="R741" s="95">
        <f t="shared" si="243"/>
        <v>27180166072500.477</v>
      </c>
      <c r="S741" s="95">
        <f t="shared" si="244"/>
        <v>20701861414821.297</v>
      </c>
      <c r="T741">
        <f t="shared" si="245"/>
        <v>0.5</v>
      </c>
    </row>
    <row r="742" spans="1:20" x14ac:dyDescent="0.25">
      <c r="A742">
        <v>349.5</v>
      </c>
      <c r="B742" s="95">
        <f t="shared" si="227"/>
        <v>8775.1652363491485</v>
      </c>
      <c r="C742" s="95">
        <f t="shared" si="228"/>
        <v>6611.7291604771617</v>
      </c>
      <c r="D742" s="95">
        <f t="shared" si="229"/>
        <v>-236.75876739508291</v>
      </c>
      <c r="E742" s="95">
        <f t="shared" si="230"/>
        <v>219.13852481352049</v>
      </c>
      <c r="F742" s="96">
        <f t="shared" si="231"/>
        <v>80.463710205753728</v>
      </c>
      <c r="G742" s="94">
        <f t="shared" si="232"/>
        <v>-72.346451487544471</v>
      </c>
      <c r="H742" s="97">
        <f t="shared" si="233"/>
        <v>620.54426744642183</v>
      </c>
      <c r="I742" s="94">
        <f t="shared" si="234"/>
        <v>450.02917435387616</v>
      </c>
      <c r="J742" s="95">
        <f t="shared" si="235"/>
        <v>-192.66212633399087</v>
      </c>
      <c r="K742" s="94">
        <f t="shared" si="236"/>
        <v>22.685932788782459</v>
      </c>
      <c r="L742" s="94">
        <f t="shared" si="237"/>
        <v>-347.41843090667726</v>
      </c>
      <c r="M742" s="94">
        <f t="shared" si="238"/>
        <v>-545.06155863020308</v>
      </c>
      <c r="N742" s="99">
        <f t="shared" si="239"/>
        <v>1489.9424072246877</v>
      </c>
      <c r="O742" s="99">
        <f t="shared" si="240"/>
        <v>29104.498038779093</v>
      </c>
      <c r="P742" s="100">
        <f t="shared" si="241"/>
        <v>25600.262935982028</v>
      </c>
      <c r="Q742" s="95">
        <f t="shared" si="242"/>
        <v>1033483050607.9725</v>
      </c>
      <c r="R742" s="95">
        <f t="shared" si="243"/>
        <v>26823424298403.027</v>
      </c>
      <c r="S742" s="95">
        <f t="shared" si="244"/>
        <v>20760728302736.805</v>
      </c>
      <c r="T742">
        <f t="shared" si="245"/>
        <v>0.5</v>
      </c>
    </row>
    <row r="743" spans="1:20" x14ac:dyDescent="0.25">
      <c r="A743">
        <v>350</v>
      </c>
      <c r="B743" s="95">
        <f t="shared" si="227"/>
        <v>8676.9017802030448</v>
      </c>
      <c r="C743" s="95">
        <f t="shared" si="228"/>
        <v>6703.211810012036</v>
      </c>
      <c r="D743" s="95">
        <f t="shared" si="229"/>
        <v>-196.52691229220605</v>
      </c>
      <c r="E743" s="95">
        <f t="shared" si="230"/>
        <v>182.96529906974826</v>
      </c>
      <c r="F743" s="96">
        <f t="shared" si="231"/>
        <v>131.22946267727519</v>
      </c>
      <c r="G743" s="94">
        <f t="shared" si="232"/>
        <v>-120.17094224527511</v>
      </c>
      <c r="H743" s="97">
        <f t="shared" si="233"/>
        <v>669.64672005958982</v>
      </c>
      <c r="I743" s="94">
        <f t="shared" si="234"/>
        <v>403.27058870167576</v>
      </c>
      <c r="J743" s="95">
        <f t="shared" si="235"/>
        <v>-194.46693903828779</v>
      </c>
      <c r="K743" s="94">
        <f t="shared" si="236"/>
        <v>22.35654021757427</v>
      </c>
      <c r="L743" s="94">
        <f t="shared" si="237"/>
        <v>-343.95031834402681</v>
      </c>
      <c r="M743" s="94">
        <f t="shared" si="238"/>
        <v>-545.79807116452514</v>
      </c>
      <c r="N743" s="99">
        <f t="shared" si="239"/>
        <v>1513.0252088429477</v>
      </c>
      <c r="O743" s="99">
        <f t="shared" si="240"/>
        <v>28973.962684816819</v>
      </c>
      <c r="P743" s="100">
        <f t="shared" si="241"/>
        <v>25628.539064771929</v>
      </c>
      <c r="Q743" s="95">
        <f t="shared" si="242"/>
        <v>1034534459931.8383</v>
      </c>
      <c r="R743" s="95">
        <f t="shared" si="243"/>
        <v>26483732514496.844</v>
      </c>
      <c r="S743" s="95">
        <f t="shared" si="244"/>
        <v>20820475063290.117</v>
      </c>
      <c r="T743">
        <f t="shared" si="245"/>
        <v>0.5</v>
      </c>
    </row>
    <row r="744" spans="1:20" x14ac:dyDescent="0.25">
      <c r="A744">
        <v>350.5</v>
      </c>
      <c r="B744" s="95">
        <f t="shared" si="227"/>
        <v>8611.4456897262608</v>
      </c>
      <c r="C744" s="95">
        <f t="shared" si="228"/>
        <v>6764.6517239855912</v>
      </c>
      <c r="D744" s="95">
        <f t="shared" si="229"/>
        <v>-130.91218095356845</v>
      </c>
      <c r="E744" s="95">
        <f t="shared" si="230"/>
        <v>122.8798279471107</v>
      </c>
      <c r="F744" s="96">
        <f t="shared" si="231"/>
        <v>164.24641072398259</v>
      </c>
      <c r="G744" s="94">
        <f t="shared" si="232"/>
        <v>-152.14988241798301</v>
      </c>
      <c r="H744" s="97">
        <f t="shared" si="233"/>
        <v>701.78496943577102</v>
      </c>
      <c r="I744" s="94">
        <f t="shared" si="234"/>
        <v>371.65011378322225</v>
      </c>
      <c r="J744" s="95">
        <f t="shared" si="235"/>
        <v>-196.09080160374074</v>
      </c>
      <c r="K744" s="94">
        <f t="shared" si="236"/>
        <v>22.173714805985952</v>
      </c>
      <c r="L744" s="94">
        <f t="shared" si="237"/>
        <v>-341.44775710804771</v>
      </c>
      <c r="M744" s="94">
        <f t="shared" si="238"/>
        <v>-545.97371100719124</v>
      </c>
      <c r="N744" s="99">
        <f t="shared" si="239"/>
        <v>1544.4935477152917</v>
      </c>
      <c r="O744" s="99">
        <f t="shared" si="240"/>
        <v>28865.784383609891</v>
      </c>
      <c r="P744" s="100">
        <f t="shared" si="241"/>
        <v>25653.207307772787</v>
      </c>
      <c r="Q744" s="95">
        <f t="shared" si="242"/>
        <v>1035994454676.9194</v>
      </c>
      <c r="R744" s="95">
        <f t="shared" si="243"/>
        <v>26204466545036.422</v>
      </c>
      <c r="S744" s="95">
        <f t="shared" si="244"/>
        <v>20872699113991.148</v>
      </c>
      <c r="T744">
        <f t="shared" si="245"/>
        <v>0.5</v>
      </c>
    </row>
    <row r="745" spans="1:20" x14ac:dyDescent="0.25">
      <c r="A745">
        <v>351</v>
      </c>
      <c r="B745" s="95">
        <f t="shared" si="227"/>
        <v>8587.0512019304715</v>
      </c>
      <c r="C745" s="95">
        <f t="shared" si="228"/>
        <v>6788.0541673546504</v>
      </c>
      <c r="D745" s="95">
        <f t="shared" si="229"/>
        <v>-48.788975591577156</v>
      </c>
      <c r="E745" s="95">
        <f t="shared" si="230"/>
        <v>46.804886738119194</v>
      </c>
      <c r="F745" s="96">
        <f t="shared" si="231"/>
        <v>175.68806368318377</v>
      </c>
      <c r="G745" s="94">
        <f t="shared" si="232"/>
        <v>-164.05266103871361</v>
      </c>
      <c r="H745" s="97">
        <f t="shared" si="233"/>
        <v>713.24287688220704</v>
      </c>
      <c r="I745" s="94">
        <f t="shared" si="234"/>
        <v>359.38336516797125</v>
      </c>
      <c r="J745" s="95">
        <f t="shared" si="235"/>
        <v>-197.3146199513975</v>
      </c>
      <c r="K745" s="94">
        <f t="shared" si="236"/>
        <v>22.169613325843638</v>
      </c>
      <c r="L745" s="94">
        <f t="shared" si="237"/>
        <v>-340.24019324762577</v>
      </c>
      <c r="M745" s="94">
        <f t="shared" si="238"/>
        <v>-545.60563953252847</v>
      </c>
      <c r="N745" s="99">
        <f t="shared" si="239"/>
        <v>1571.2479624862342</v>
      </c>
      <c r="O745" s="99">
        <f t="shared" si="240"/>
        <v>28793.78931164262</v>
      </c>
      <c r="P745" s="100">
        <f t="shared" si="241"/>
        <v>25670.440557784677</v>
      </c>
      <c r="Q745" s="95">
        <f t="shared" si="242"/>
        <v>1037259935754.6406</v>
      </c>
      <c r="R745" s="95">
        <f t="shared" si="243"/>
        <v>26019733047492.289</v>
      </c>
      <c r="S745" s="95">
        <f t="shared" si="244"/>
        <v>20909238574716.313</v>
      </c>
      <c r="T745">
        <f t="shared" si="245"/>
        <v>0.5</v>
      </c>
    </row>
    <row r="746" spans="1:20" x14ac:dyDescent="0.25">
      <c r="A746">
        <v>351.5</v>
      </c>
      <c r="B746" s="95">
        <f t="shared" si="227"/>
        <v>8606.5787300554784</v>
      </c>
      <c r="C746" s="95">
        <f t="shared" si="228"/>
        <v>6770.4434454640314</v>
      </c>
      <c r="D746" s="95">
        <f t="shared" si="229"/>
        <v>39.055056250014729</v>
      </c>
      <c r="E746" s="95">
        <f t="shared" si="230"/>
        <v>-35.22144378123761</v>
      </c>
      <c r="F746" s="96">
        <f t="shared" si="231"/>
        <v>164.56892851933435</v>
      </c>
      <c r="G746" s="94">
        <f t="shared" si="232"/>
        <v>-154.34406228447853</v>
      </c>
      <c r="H746" s="97">
        <f t="shared" si="233"/>
        <v>703.03078534448332</v>
      </c>
      <c r="I746" s="94">
        <f t="shared" si="234"/>
        <v>368.08733191582354</v>
      </c>
      <c r="J746" s="95">
        <f t="shared" si="235"/>
        <v>-197.97208531700329</v>
      </c>
      <c r="K746" s="94">
        <f t="shared" si="236"/>
        <v>22.350175174178965</v>
      </c>
      <c r="L746" s="94">
        <f t="shared" si="237"/>
        <v>-340.48977150814568</v>
      </c>
      <c r="M746" s="94">
        <f t="shared" si="238"/>
        <v>-544.78156937448102</v>
      </c>
      <c r="N746" s="99">
        <f t="shared" si="239"/>
        <v>1582.179248564209</v>
      </c>
      <c r="O746" s="99">
        <f t="shared" si="240"/>
        <v>28766.927059622521</v>
      </c>
      <c r="P746" s="100">
        <f t="shared" si="241"/>
        <v>25677.368727411707</v>
      </c>
      <c r="Q746" s="95">
        <f t="shared" si="242"/>
        <v>1037783388785.8539</v>
      </c>
      <c r="R746" s="95">
        <f t="shared" si="243"/>
        <v>25951036296775.52</v>
      </c>
      <c r="S746" s="95">
        <f t="shared" si="244"/>
        <v>20923941214394.055</v>
      </c>
      <c r="T746">
        <f t="shared" si="245"/>
        <v>0.5</v>
      </c>
    </row>
    <row r="747" spans="1:20" x14ac:dyDescent="0.25">
      <c r="A747">
        <v>352</v>
      </c>
      <c r="B747" s="95">
        <f t="shared" si="227"/>
        <v>8667.2484903103195</v>
      </c>
      <c r="C747" s="95">
        <f t="shared" si="228"/>
        <v>6714.2467080022925</v>
      </c>
      <c r="D747" s="95">
        <f t="shared" si="229"/>
        <v>121.3395205096819</v>
      </c>
      <c r="E747" s="95">
        <f t="shared" si="230"/>
        <v>-112.39347492347687</v>
      </c>
      <c r="F747" s="96">
        <f t="shared" si="231"/>
        <v>132.56776236535887</v>
      </c>
      <c r="G747" s="94">
        <f t="shared" si="232"/>
        <v>-124.32620651250068</v>
      </c>
      <c r="H747" s="97">
        <f t="shared" si="233"/>
        <v>672.71027769929435</v>
      </c>
      <c r="I747" s="94">
        <f t="shared" si="234"/>
        <v>396.61130482304895</v>
      </c>
      <c r="J747" s="95">
        <f t="shared" si="235"/>
        <v>-197.97499369799613</v>
      </c>
      <c r="K747" s="94">
        <f t="shared" si="236"/>
        <v>22.691294823648235</v>
      </c>
      <c r="L747" s="94">
        <f t="shared" si="237"/>
        <v>-342.16752163593935</v>
      </c>
      <c r="M747" s="94">
        <f t="shared" si="238"/>
        <v>-543.62880615919789</v>
      </c>
      <c r="N747" s="99">
        <f t="shared" si="239"/>
        <v>1572.8558744526458</v>
      </c>
      <c r="O747" s="99">
        <f t="shared" si="240"/>
        <v>28788.302870746113</v>
      </c>
      <c r="P747" s="100">
        <f t="shared" si="241"/>
        <v>25672.771423228656</v>
      </c>
      <c r="Q747" s="95">
        <f t="shared" si="242"/>
        <v>1037336698700.2301</v>
      </c>
      <c r="R747" s="95">
        <f t="shared" si="243"/>
        <v>26005692050397.344</v>
      </c>
      <c r="S747" s="95">
        <f t="shared" si="244"/>
        <v>20914184201673.625</v>
      </c>
      <c r="T747">
        <f t="shared" si="245"/>
        <v>0.5</v>
      </c>
    </row>
    <row r="748" spans="1:20" x14ac:dyDescent="0.25">
      <c r="A748">
        <v>352.5</v>
      </c>
      <c r="B748" s="95">
        <f t="shared" si="227"/>
        <v>8761.0601911565009</v>
      </c>
      <c r="C748" s="95">
        <f t="shared" si="228"/>
        <v>6626.9684189124282</v>
      </c>
      <c r="D748" s="95">
        <f t="shared" si="229"/>
        <v>187.62340169236134</v>
      </c>
      <c r="E748" s="95">
        <f t="shared" si="230"/>
        <v>-174.55657817972721</v>
      </c>
      <c r="F748" s="96">
        <f t="shared" si="231"/>
        <v>83.713545236466643</v>
      </c>
      <c r="G748" s="94">
        <f t="shared" si="232"/>
        <v>-77.963663060277099</v>
      </c>
      <c r="H748" s="97">
        <f t="shared" si="233"/>
        <v>626.09378083149909</v>
      </c>
      <c r="I748" s="94">
        <f t="shared" si="234"/>
        <v>441.18337266008768</v>
      </c>
      <c r="J748" s="95">
        <f t="shared" si="235"/>
        <v>-197.32624835841764</v>
      </c>
      <c r="K748" s="94">
        <f t="shared" si="236"/>
        <v>23.14197262085381</v>
      </c>
      <c r="L748" s="94">
        <f t="shared" si="237"/>
        <v>-345.05398723661483</v>
      </c>
      <c r="M748" s="94">
        <f t="shared" si="238"/>
        <v>-542.28900834121862</v>
      </c>
      <c r="N748" s="99">
        <f t="shared" si="239"/>
        <v>1547.1376223417737</v>
      </c>
      <c r="O748" s="99">
        <f t="shared" si="240"/>
        <v>28854.935638484327</v>
      </c>
      <c r="P748" s="100">
        <f t="shared" si="241"/>
        <v>25657.400324114638</v>
      </c>
      <c r="Q748" s="95">
        <f t="shared" si="242"/>
        <v>1036118528583.5533</v>
      </c>
      <c r="R748" s="95">
        <f t="shared" si="243"/>
        <v>26176572133780.945</v>
      </c>
      <c r="S748" s="95">
        <f t="shared" si="244"/>
        <v>20881585298369.973</v>
      </c>
      <c r="T748">
        <f t="shared" si="245"/>
        <v>0.5</v>
      </c>
    </row>
    <row r="749" spans="1:20" x14ac:dyDescent="0.25">
      <c r="A749">
        <v>353</v>
      </c>
      <c r="B749" s="95">
        <f t="shared" ref="B749:B812" si="246">B748+(D748*$T748)+(F748*($T748)^2)</f>
        <v>8875.800278311799</v>
      </c>
      <c r="C749" s="95">
        <f t="shared" ref="C749:C812" si="247">C748+(E748*$T748)+(G748*($T748)^2)</f>
        <v>6520.1992140574957</v>
      </c>
      <c r="D749" s="95">
        <f t="shared" ref="D749:D812" si="248">D748+(F748*$T748)</f>
        <v>229.48017431059466</v>
      </c>
      <c r="E749" s="95">
        <f t="shared" ref="E749:E812" si="249">E748+(G748*$T748)</f>
        <v>-213.53840970986576</v>
      </c>
      <c r="F749" s="96">
        <f t="shared" ref="F749:F812" si="250">SUM(H749,J749,L749)</f>
        <v>24.030450506281852</v>
      </c>
      <c r="G749" s="94">
        <f t="shared" ref="G749:G812" si="251">SUM(I749,K749,M749)</f>
        <v>-21.432050888377489</v>
      </c>
      <c r="H749" s="97">
        <f t="shared" ref="H749:H812" si="252">$D$22*(($D$18-$B749)/$Q749)</f>
        <v>568.91417659460058</v>
      </c>
      <c r="I749" s="94">
        <f t="shared" ref="I749:I812" si="253">$D$22*(($E$18-$C749)/$Q749)</f>
        <v>495.83943725243563</v>
      </c>
      <c r="J749" s="95">
        <f t="shared" ref="J749:J812" si="254">$D$30*(($D$26-$B749)/$R749)</f>
        <v>-196.11847195895004</v>
      </c>
      <c r="K749" s="94">
        <f t="shared" ref="K749:K812" si="255">$D$30*(($E$26-$C749)/$R749)</f>
        <v>23.634088277483283</v>
      </c>
      <c r="L749" s="94">
        <f t="shared" ref="L749:L812" si="256">$D$38*(($D$34-$B749)/$S749)</f>
        <v>-348.76525412936866</v>
      </c>
      <c r="M749" s="94">
        <f t="shared" ref="M749:M812" si="257">$D$38*(($E$34-$C749)/$S749)</f>
        <v>-540.90557641829639</v>
      </c>
      <c r="N749" s="99">
        <f t="shared" ref="N749:N812" si="258">SQRT(($D$18-$B748)^2+($E$18-$C748)^2)</f>
        <v>1515.6371569453659</v>
      </c>
      <c r="O749" s="99">
        <f t="shared" ref="O749:O812" si="259">SQRT(($D$26-$B748)^2+($E$26-$C748)^2)</f>
        <v>28958.175449540006</v>
      </c>
      <c r="P749" s="100">
        <f t="shared" ref="P749:P812" si="260">SQRT(($D$34-$B748)^2+($E$34-$C748)^2)</f>
        <v>25633.816348278451</v>
      </c>
      <c r="Q749" s="95">
        <f t="shared" ref="Q749:Q812" si="261">(N749^2+$D$39^2)^(3/2)</f>
        <v>1034654473416.8905</v>
      </c>
      <c r="R749" s="95">
        <f t="shared" ref="R749:R812" si="262">(O749^2+$D$31^2)^(3/2)</f>
        <v>26442850574244.934</v>
      </c>
      <c r="S749" s="95">
        <f t="shared" ref="S749:S812" si="263">(P749^2+$D$23^2)^(3/2)</f>
        <v>20831639477124.148</v>
      </c>
      <c r="T749">
        <f t="shared" si="245"/>
        <v>0.5</v>
      </c>
    </row>
    <row r="750" spans="1:20" x14ac:dyDescent="0.25">
      <c r="A750">
        <v>353.5</v>
      </c>
      <c r="B750" s="95">
        <f t="shared" si="246"/>
        <v>8996.5479780936676</v>
      </c>
      <c r="C750" s="95">
        <f t="shared" si="247"/>
        <v>6408.0719964804684</v>
      </c>
      <c r="D750" s="95">
        <f t="shared" si="248"/>
        <v>241.49539956373559</v>
      </c>
      <c r="E750" s="95">
        <f t="shared" si="249"/>
        <v>-224.25443515405451</v>
      </c>
      <c r="F750" s="96">
        <f t="shared" si="250"/>
        <v>-38.967485647842409</v>
      </c>
      <c r="G750" s="94">
        <f t="shared" si="251"/>
        <v>37.651701601056175</v>
      </c>
      <c r="H750" s="97">
        <f t="shared" si="252"/>
        <v>508.35486317245119</v>
      </c>
      <c r="I750" s="94">
        <f t="shared" si="253"/>
        <v>553.17733056015902</v>
      </c>
      <c r="J750" s="95">
        <f t="shared" si="254"/>
        <v>-194.51903094809478</v>
      </c>
      <c r="K750" s="94">
        <f t="shared" si="255"/>
        <v>24.095914969181752</v>
      </c>
      <c r="L750" s="94">
        <f t="shared" si="256"/>
        <v>-352.80331787219882</v>
      </c>
      <c r="M750" s="94">
        <f t="shared" si="257"/>
        <v>-539.62154392828461</v>
      </c>
      <c r="N750" s="99">
        <f t="shared" si="258"/>
        <v>1491.2526929992039</v>
      </c>
      <c r="O750" s="99">
        <f t="shared" si="259"/>
        <v>29084.718585930961</v>
      </c>
      <c r="P750" s="100">
        <f t="shared" si="260"/>
        <v>25605.796366766619</v>
      </c>
      <c r="Q750" s="95">
        <f t="shared" si="261"/>
        <v>1033542291231.2289</v>
      </c>
      <c r="R750" s="95">
        <f t="shared" si="262"/>
        <v>26771761260376.391</v>
      </c>
      <c r="S750" s="95">
        <f t="shared" si="263"/>
        <v>20772410611476.813</v>
      </c>
      <c r="T750">
        <f t="shared" si="245"/>
        <v>0.5</v>
      </c>
    </row>
    <row r="751" spans="1:20" x14ac:dyDescent="0.25">
      <c r="A751">
        <v>354</v>
      </c>
      <c r="B751" s="95">
        <f t="shared" si="246"/>
        <v>9107.5538064635748</v>
      </c>
      <c r="C751" s="95">
        <f t="shared" si="247"/>
        <v>6305.3577043037048</v>
      </c>
      <c r="D751" s="95">
        <f t="shared" si="248"/>
        <v>222.01165673981438</v>
      </c>
      <c r="E751" s="95">
        <f t="shared" si="249"/>
        <v>-205.42858435352642</v>
      </c>
      <c r="F751" s="96">
        <f t="shared" si="250"/>
        <v>-97.088426990127743</v>
      </c>
      <c r="G751" s="94">
        <f t="shared" si="251"/>
        <v>91.317156645403884</v>
      </c>
      <c r="H751" s="97">
        <f t="shared" si="252"/>
        <v>452.28196948082842</v>
      </c>
      <c r="I751" s="94">
        <f t="shared" si="253"/>
        <v>605.43164869307668</v>
      </c>
      <c r="J751" s="95">
        <f t="shared" si="254"/>
        <v>-192.7445162717685</v>
      </c>
      <c r="K751" s="94">
        <f t="shared" si="255"/>
        <v>24.465197138038647</v>
      </c>
      <c r="L751" s="94">
        <f t="shared" si="256"/>
        <v>-356.62588019918763</v>
      </c>
      <c r="M751" s="94">
        <f t="shared" si="257"/>
        <v>-538.57968918571146</v>
      </c>
      <c r="N751" s="99">
        <f t="shared" si="258"/>
        <v>1482.9776549692367</v>
      </c>
      <c r="O751" s="99">
        <f t="shared" si="259"/>
        <v>29218.174847658702</v>
      </c>
      <c r="P751" s="100">
        <f t="shared" si="260"/>
        <v>25577.507734522711</v>
      </c>
      <c r="Q751" s="95">
        <f t="shared" si="261"/>
        <v>1033169053277.5974</v>
      </c>
      <c r="R751" s="95">
        <f t="shared" si="262"/>
        <v>27121669561260.98</v>
      </c>
      <c r="S751" s="95">
        <f t="shared" si="263"/>
        <v>20712736539551.551</v>
      </c>
      <c r="T751">
        <f t="shared" si="245"/>
        <v>0.5</v>
      </c>
    </row>
    <row r="752" spans="1:20" x14ac:dyDescent="0.25">
      <c r="A752">
        <v>354.5</v>
      </c>
      <c r="B752" s="95">
        <f t="shared" si="246"/>
        <v>9194.2875280859498</v>
      </c>
      <c r="C752" s="95">
        <f t="shared" si="247"/>
        <v>6225.4727012882922</v>
      </c>
      <c r="D752" s="95">
        <f t="shared" si="248"/>
        <v>173.46744324475051</v>
      </c>
      <c r="E752" s="95">
        <f t="shared" si="249"/>
        <v>-159.77000603082448</v>
      </c>
      <c r="F752" s="96">
        <f t="shared" si="250"/>
        <v>-142.57421020483309</v>
      </c>
      <c r="G752" s="94">
        <f t="shared" si="251"/>
        <v>132.46756968226339</v>
      </c>
      <c r="H752" s="97">
        <f t="shared" si="252"/>
        <v>408.1800341026767</v>
      </c>
      <c r="I752" s="94">
        <f t="shared" si="253"/>
        <v>645.6851723010609</v>
      </c>
      <c r="J752" s="95">
        <f t="shared" si="254"/>
        <v>-191.02934010931136</v>
      </c>
      <c r="K752" s="94">
        <f t="shared" si="255"/>
        <v>24.698169407416007</v>
      </c>
      <c r="L752" s="94">
        <f t="shared" si="256"/>
        <v>-359.72490419819843</v>
      </c>
      <c r="M752" s="94">
        <f t="shared" si="257"/>
        <v>-537.91577202621352</v>
      </c>
      <c r="N752" s="99">
        <f t="shared" si="258"/>
        <v>1491.184235104492</v>
      </c>
      <c r="O752" s="99">
        <f t="shared" si="259"/>
        <v>29341.098655117199</v>
      </c>
      <c r="P752" s="100">
        <f t="shared" si="260"/>
        <v>25552.716906634374</v>
      </c>
      <c r="Q752" s="95">
        <f t="shared" si="261"/>
        <v>1033539194796.4683</v>
      </c>
      <c r="R752" s="95">
        <f t="shared" si="262"/>
        <v>27446726068520.363</v>
      </c>
      <c r="S752" s="95">
        <f t="shared" si="263"/>
        <v>20660542218397.867</v>
      </c>
      <c r="T752">
        <f t="shared" si="245"/>
        <v>0.5</v>
      </c>
    </row>
    <row r="753" spans="1:20" x14ac:dyDescent="0.25">
      <c r="A753">
        <v>355</v>
      </c>
      <c r="B753" s="95">
        <f t="shared" si="246"/>
        <v>9245.3776971571169</v>
      </c>
      <c r="C753" s="95">
        <f t="shared" si="247"/>
        <v>6178.7045906934454</v>
      </c>
      <c r="D753" s="95">
        <f t="shared" si="248"/>
        <v>102.18033814233397</v>
      </c>
      <c r="E753" s="95">
        <f t="shared" si="249"/>
        <v>-93.536221189692782</v>
      </c>
      <c r="F753" s="96">
        <f t="shared" si="250"/>
        <v>-169.27550962798381</v>
      </c>
      <c r="G753" s="94">
        <f t="shared" si="251"/>
        <v>155.92049189202589</v>
      </c>
      <c r="H753" s="97">
        <f t="shared" si="252"/>
        <v>382.01726616660977</v>
      </c>
      <c r="I753" s="94">
        <f t="shared" si="253"/>
        <v>668.88781071035385</v>
      </c>
      <c r="J753" s="95">
        <f t="shared" si="254"/>
        <v>-189.59391732085993</v>
      </c>
      <c r="K753" s="94">
        <f t="shared" si="255"/>
        <v>24.772952956633386</v>
      </c>
      <c r="L753" s="94">
        <f t="shared" si="256"/>
        <v>-361.69885847373365</v>
      </c>
      <c r="M753" s="94">
        <f t="shared" si="257"/>
        <v>-537.74027177496134</v>
      </c>
      <c r="N753" s="99">
        <f t="shared" si="258"/>
        <v>1507.8436333251575</v>
      </c>
      <c r="O753" s="99">
        <f t="shared" si="259"/>
        <v>29437.280455253927</v>
      </c>
      <c r="P753" s="100">
        <f t="shared" si="260"/>
        <v>25534.261098044542</v>
      </c>
      <c r="Q753" s="95">
        <f t="shared" si="261"/>
        <v>1034297003830.6548</v>
      </c>
      <c r="R753" s="95">
        <f t="shared" si="262"/>
        <v>27702921857886.91</v>
      </c>
      <c r="S753" s="95">
        <f t="shared" si="263"/>
        <v>20621746918530.676</v>
      </c>
      <c r="T753">
        <f t="shared" si="245"/>
        <v>0.5</v>
      </c>
    </row>
    <row r="754" spans="1:20" x14ac:dyDescent="0.25">
      <c r="A754">
        <v>355.5</v>
      </c>
      <c r="B754" s="95">
        <f t="shared" si="246"/>
        <v>9254.1489888212873</v>
      </c>
      <c r="C754" s="95">
        <f t="shared" si="247"/>
        <v>6170.9166030716051</v>
      </c>
      <c r="D754" s="95">
        <f t="shared" si="248"/>
        <v>17.542583328342062</v>
      </c>
      <c r="E754" s="95">
        <f t="shared" si="249"/>
        <v>-15.575975243679835</v>
      </c>
      <c r="F754" s="96">
        <f t="shared" si="250"/>
        <v>-173.57586437948891</v>
      </c>
      <c r="G754" s="94">
        <f t="shared" si="251"/>
        <v>158.99592499036544</v>
      </c>
      <c r="H754" s="97">
        <f t="shared" si="252"/>
        <v>377.34620149209388</v>
      </c>
      <c r="I754" s="94">
        <f t="shared" si="253"/>
        <v>672.41924161844281</v>
      </c>
      <c r="J754" s="95">
        <f t="shared" si="254"/>
        <v>-188.61741701293516</v>
      </c>
      <c r="K754" s="94">
        <f t="shared" si="255"/>
        <v>24.688184234370706</v>
      </c>
      <c r="L754" s="94">
        <f t="shared" si="256"/>
        <v>-362.30464885864762</v>
      </c>
      <c r="M754" s="94">
        <f t="shared" si="257"/>
        <v>-538.11150086244811</v>
      </c>
      <c r="N754" s="99">
        <f t="shared" si="258"/>
        <v>1521.6032264038058</v>
      </c>
      <c r="O754" s="99">
        <f t="shared" si="259"/>
        <v>29493.972524137236</v>
      </c>
      <c r="P754" s="100">
        <f t="shared" si="260"/>
        <v>25523.877328386472</v>
      </c>
      <c r="Q754" s="95">
        <f t="shared" si="261"/>
        <v>1034929395572.8593</v>
      </c>
      <c r="R754" s="95">
        <f t="shared" si="262"/>
        <v>27854695680614.902</v>
      </c>
      <c r="S754" s="95">
        <f t="shared" si="263"/>
        <v>20599942565612.527</v>
      </c>
      <c r="T754">
        <f t="shared" si="245"/>
        <v>0.5</v>
      </c>
    </row>
    <row r="755" spans="1:20" x14ac:dyDescent="0.25">
      <c r="A755">
        <v>356</v>
      </c>
      <c r="B755" s="95">
        <f t="shared" si="246"/>
        <v>9219.526314390585</v>
      </c>
      <c r="C755" s="95">
        <f t="shared" si="247"/>
        <v>6202.8775966973562</v>
      </c>
      <c r="D755" s="95">
        <f t="shared" si="248"/>
        <v>-69.245348861402391</v>
      </c>
      <c r="E755" s="95">
        <f t="shared" si="249"/>
        <v>63.921987251502884</v>
      </c>
      <c r="F755" s="96">
        <f t="shared" si="250"/>
        <v>-154.88098233618015</v>
      </c>
      <c r="G755" s="94">
        <f t="shared" si="251"/>
        <v>141.62682794133229</v>
      </c>
      <c r="H755" s="97">
        <f t="shared" si="252"/>
        <v>394.81945174637565</v>
      </c>
      <c r="I755" s="94">
        <f t="shared" si="253"/>
        <v>656.17735173224526</v>
      </c>
      <c r="J755" s="95">
        <f t="shared" si="254"/>
        <v>-188.21819895736101</v>
      </c>
      <c r="K755" s="94">
        <f t="shared" si="255"/>
        <v>24.459244557235923</v>
      </c>
      <c r="L755" s="94">
        <f t="shared" si="256"/>
        <v>-361.48223512519479</v>
      </c>
      <c r="M755" s="94">
        <f t="shared" si="257"/>
        <v>-539.0097683481489</v>
      </c>
      <c r="N755" s="99">
        <f t="shared" si="258"/>
        <v>1524.0591874553395</v>
      </c>
      <c r="O755" s="99">
        <f t="shared" si="259"/>
        <v>29503.679647135312</v>
      </c>
      <c r="P755" s="100">
        <f t="shared" si="260"/>
        <v>25522.313241744523</v>
      </c>
      <c r="Q755" s="95">
        <f t="shared" si="261"/>
        <v>1035042889513.6946</v>
      </c>
      <c r="R755" s="95">
        <f t="shared" si="262"/>
        <v>27880740238080.703</v>
      </c>
      <c r="S755" s="95">
        <f t="shared" si="263"/>
        <v>20596659653894.492</v>
      </c>
      <c r="T755">
        <f t="shared" si="245"/>
        <v>0.5</v>
      </c>
    </row>
    <row r="756" spans="1:20" x14ac:dyDescent="0.25">
      <c r="A756">
        <v>356.5</v>
      </c>
      <c r="B756" s="95">
        <f t="shared" si="246"/>
        <v>9146.1833943758393</v>
      </c>
      <c r="C756" s="95">
        <f t="shared" si="247"/>
        <v>6270.2452973084401</v>
      </c>
      <c r="D756" s="95">
        <f t="shared" si="248"/>
        <v>-146.68584002949245</v>
      </c>
      <c r="E756" s="95">
        <f t="shared" si="249"/>
        <v>134.73540122216903</v>
      </c>
      <c r="F756" s="96">
        <f t="shared" si="250"/>
        <v>-115.67753353112241</v>
      </c>
      <c r="G756" s="94">
        <f t="shared" si="251"/>
        <v>106.17120777575974</v>
      </c>
      <c r="H756" s="97">
        <f t="shared" si="252"/>
        <v>432.11848355444823</v>
      </c>
      <c r="I756" s="94">
        <f t="shared" si="253"/>
        <v>622.38159081312563</v>
      </c>
      <c r="J756" s="95">
        <f t="shared" si="254"/>
        <v>-188.44263945582597</v>
      </c>
      <c r="K756" s="94">
        <f t="shared" si="255"/>
        <v>24.114471908304836</v>
      </c>
      <c r="L756" s="94">
        <f t="shared" si="256"/>
        <v>-359.35337762974467</v>
      </c>
      <c r="M756" s="94">
        <f t="shared" si="257"/>
        <v>-540.32485494567072</v>
      </c>
      <c r="N756" s="99">
        <f t="shared" si="258"/>
        <v>1513.8248587859728</v>
      </c>
      <c r="O756" s="99">
        <f t="shared" si="259"/>
        <v>29465.214348160214</v>
      </c>
      <c r="P756" s="100">
        <f t="shared" si="260"/>
        <v>25529.530880652252</v>
      </c>
      <c r="Q756" s="95">
        <f t="shared" si="261"/>
        <v>1034571179675.0198</v>
      </c>
      <c r="R756" s="95">
        <f t="shared" si="262"/>
        <v>27777634361712.336</v>
      </c>
      <c r="S756" s="95">
        <f t="shared" si="263"/>
        <v>20611812120813.875</v>
      </c>
      <c r="T756">
        <f t="shared" si="245"/>
        <v>0.5</v>
      </c>
    </row>
    <row r="757" spans="1:20" x14ac:dyDescent="0.25">
      <c r="A757">
        <v>357</v>
      </c>
      <c r="B757" s="95">
        <f t="shared" si="246"/>
        <v>9043.9210909783123</v>
      </c>
      <c r="C757" s="95">
        <f t="shared" si="247"/>
        <v>6364.1557998634644</v>
      </c>
      <c r="D757" s="95">
        <f t="shared" si="248"/>
        <v>-204.52460679505367</v>
      </c>
      <c r="E757" s="95">
        <f t="shared" si="249"/>
        <v>187.8210051100489</v>
      </c>
      <c r="F757" s="96">
        <f t="shared" si="250"/>
        <v>-61.230666017106557</v>
      </c>
      <c r="G757" s="94">
        <f t="shared" si="251"/>
        <v>57.104747478143508</v>
      </c>
      <c r="H757" s="97">
        <f t="shared" si="252"/>
        <v>484.23125680065021</v>
      </c>
      <c r="I757" s="94">
        <f t="shared" si="253"/>
        <v>575.27810662055674</v>
      </c>
      <c r="J757" s="95">
        <f t="shared" si="254"/>
        <v>-189.26145176483283</v>
      </c>
      <c r="K757" s="94">
        <f t="shared" si="255"/>
        <v>23.692570626158844</v>
      </c>
      <c r="L757" s="94">
        <f t="shared" si="256"/>
        <v>-356.20047105292394</v>
      </c>
      <c r="M757" s="94">
        <f t="shared" si="257"/>
        <v>-541.86592976857207</v>
      </c>
      <c r="N757" s="99">
        <f t="shared" si="258"/>
        <v>1497.096999139191</v>
      </c>
      <c r="O757" s="99">
        <f t="shared" si="259"/>
        <v>29383.857415268671</v>
      </c>
      <c r="P757" s="100">
        <f t="shared" si="260"/>
        <v>25544.820211443781</v>
      </c>
      <c r="Q757" s="95">
        <f t="shared" si="261"/>
        <v>1033807171900.9296</v>
      </c>
      <c r="R757" s="95">
        <f t="shared" si="262"/>
        <v>27560419479726.309</v>
      </c>
      <c r="S757" s="95">
        <f t="shared" si="263"/>
        <v>20643936449884.176</v>
      </c>
      <c r="T757">
        <f t="shared" si="245"/>
        <v>0.5</v>
      </c>
    </row>
    <row r="758" spans="1:20" x14ac:dyDescent="0.25">
      <c r="A758">
        <v>357.5</v>
      </c>
      <c r="B758" s="95">
        <f t="shared" si="246"/>
        <v>8926.3511210765082</v>
      </c>
      <c r="C758" s="95">
        <f t="shared" si="247"/>
        <v>6472.3424892880248</v>
      </c>
      <c r="D758" s="95">
        <f t="shared" si="248"/>
        <v>-235.13993980360695</v>
      </c>
      <c r="E758" s="95">
        <f t="shared" si="249"/>
        <v>216.37337884912066</v>
      </c>
      <c r="F758" s="96">
        <f t="shared" si="250"/>
        <v>1.0702427507795846</v>
      </c>
      <c r="G758" s="94">
        <f t="shared" si="251"/>
        <v>0.61300198269407247</v>
      </c>
      <c r="H758" s="97">
        <f t="shared" si="252"/>
        <v>544.07353103675473</v>
      </c>
      <c r="I758" s="94">
        <f t="shared" si="253"/>
        <v>520.76732116566473</v>
      </c>
      <c r="J758" s="95">
        <f t="shared" si="254"/>
        <v>-190.57258341685289</v>
      </c>
      <c r="K758" s="94">
        <f t="shared" si="255"/>
        <v>23.240912841454389</v>
      </c>
      <c r="L758" s="94">
        <f t="shared" si="256"/>
        <v>-352.43070486912222</v>
      </c>
      <c r="M758" s="94">
        <f t="shared" si="257"/>
        <v>-543.39523202442501</v>
      </c>
      <c r="N758" s="99">
        <f t="shared" si="258"/>
        <v>1484.664584092955</v>
      </c>
      <c r="O758" s="99">
        <f t="shared" si="259"/>
        <v>29270.61180410552</v>
      </c>
      <c r="P758" s="100">
        <f t="shared" si="260"/>
        <v>25566.753267680768</v>
      </c>
      <c r="Q758" s="95">
        <f t="shared" si="261"/>
        <v>1033244968479.9128</v>
      </c>
      <c r="R758" s="95">
        <f t="shared" si="262"/>
        <v>27260007725049.73</v>
      </c>
      <c r="S758" s="95">
        <f t="shared" si="263"/>
        <v>20690082602920.563</v>
      </c>
      <c r="T758">
        <f t="shared" si="245"/>
        <v>0.5</v>
      </c>
    </row>
    <row r="759" spans="1:20" x14ac:dyDescent="0.25">
      <c r="A759">
        <v>358</v>
      </c>
      <c r="B759" s="95">
        <f t="shared" si="246"/>
        <v>8809.0487118623987</v>
      </c>
      <c r="C759" s="95">
        <f t="shared" si="247"/>
        <v>6580.6824292082583</v>
      </c>
      <c r="D759" s="95">
        <f t="shared" si="248"/>
        <v>-234.60481842821716</v>
      </c>
      <c r="E759" s="95">
        <f t="shared" si="249"/>
        <v>216.67987984046769</v>
      </c>
      <c r="F759" s="96">
        <f t="shared" si="250"/>
        <v>62.737227110794265</v>
      </c>
      <c r="G759" s="94">
        <f t="shared" si="251"/>
        <v>-56.029384091155237</v>
      </c>
      <c r="H759" s="97">
        <f t="shared" si="252"/>
        <v>603.47623856001849</v>
      </c>
      <c r="I759" s="94">
        <f t="shared" si="253"/>
        <v>465.83459389938906</v>
      </c>
      <c r="J759" s="95">
        <f t="shared" si="254"/>
        <v>-192.21086217158529</v>
      </c>
      <c r="K759" s="94">
        <f t="shared" si="255"/>
        <v>22.813317610508623</v>
      </c>
      <c r="L759" s="94">
        <f t="shared" si="256"/>
        <v>-348.52814927763893</v>
      </c>
      <c r="M759" s="94">
        <f t="shared" si="257"/>
        <v>-544.67729560105295</v>
      </c>
      <c r="N759" s="99">
        <f t="shared" si="258"/>
        <v>1486.2038468986698</v>
      </c>
      <c r="O759" s="99">
        <f t="shared" si="259"/>
        <v>29140.661569234948</v>
      </c>
      <c r="P759" s="100">
        <f t="shared" si="260"/>
        <v>25593.060534543201</v>
      </c>
      <c r="Q759" s="95">
        <f t="shared" si="261"/>
        <v>1033314315330.8212</v>
      </c>
      <c r="R759" s="95">
        <f t="shared" si="262"/>
        <v>26918058554091.98</v>
      </c>
      <c r="S759" s="95">
        <f t="shared" si="263"/>
        <v>20745529486482.457</v>
      </c>
      <c r="T759">
        <f t="shared" si="245"/>
        <v>0.5</v>
      </c>
    </row>
    <row r="760" spans="1:20" x14ac:dyDescent="0.25">
      <c r="A760">
        <v>358.5</v>
      </c>
      <c r="B760" s="95">
        <f t="shared" si="246"/>
        <v>8707.43060942599</v>
      </c>
      <c r="C760" s="95">
        <f t="shared" si="247"/>
        <v>6675.0150231057032</v>
      </c>
      <c r="D760" s="95">
        <f t="shared" si="248"/>
        <v>-203.23620487282003</v>
      </c>
      <c r="E760" s="95">
        <f t="shared" si="249"/>
        <v>188.66518779489007</v>
      </c>
      <c r="F760" s="96">
        <f t="shared" si="250"/>
        <v>115.48116981211285</v>
      </c>
      <c r="G760" s="94">
        <f t="shared" si="251"/>
        <v>-105.36338828081597</v>
      </c>
      <c r="H760" s="97">
        <f t="shared" si="252"/>
        <v>654.44242990677628</v>
      </c>
      <c r="I760" s="94">
        <f t="shared" si="253"/>
        <v>417.69917874623803</v>
      </c>
      <c r="J760" s="95">
        <f t="shared" si="254"/>
        <v>-193.96539205767724</v>
      </c>
      <c r="K760" s="94">
        <f t="shared" si="255"/>
        <v>22.465682261979516</v>
      </c>
      <c r="L760" s="94">
        <f t="shared" si="256"/>
        <v>-344.99586803698617</v>
      </c>
      <c r="M760" s="94">
        <f t="shared" si="257"/>
        <v>-545.52824928903351</v>
      </c>
      <c r="N760" s="99">
        <f t="shared" si="258"/>
        <v>1504.4965160089407</v>
      </c>
      <c r="O760" s="99">
        <f t="shared" si="259"/>
        <v>29011.256786502472</v>
      </c>
      <c r="P760" s="100">
        <f t="shared" si="260"/>
        <v>25620.610461831831</v>
      </c>
      <c r="Q760" s="95">
        <f t="shared" si="261"/>
        <v>1034144058136.3247</v>
      </c>
      <c r="R760" s="95">
        <f t="shared" si="262"/>
        <v>26580479888016.48</v>
      </c>
      <c r="S760" s="95">
        <f t="shared" si="263"/>
        <v>20803709692327.797</v>
      </c>
      <c r="T760">
        <f t="shared" si="245"/>
        <v>0.5</v>
      </c>
    </row>
    <row r="761" spans="1:20" x14ac:dyDescent="0.25">
      <c r="A761">
        <v>359</v>
      </c>
      <c r="B761" s="95">
        <f t="shared" si="246"/>
        <v>8634.6827994426076</v>
      </c>
      <c r="C761" s="95">
        <f t="shared" si="247"/>
        <v>6743.0067699329438</v>
      </c>
      <c r="D761" s="95">
        <f t="shared" si="248"/>
        <v>-145.4956199667636</v>
      </c>
      <c r="E761" s="95">
        <f t="shared" si="249"/>
        <v>135.98349365448209</v>
      </c>
      <c r="F761" s="96">
        <f t="shared" si="250"/>
        <v>152.48809450673008</v>
      </c>
      <c r="G761" s="94">
        <f t="shared" si="251"/>
        <v>-140.81912799797698</v>
      </c>
      <c r="H761" s="97">
        <f t="shared" si="252"/>
        <v>690.38589681418466</v>
      </c>
      <c r="I761" s="94">
        <f t="shared" si="253"/>
        <v>382.78097559215678</v>
      </c>
      <c r="J761" s="95">
        <f t="shared" si="254"/>
        <v>-195.60498155627323</v>
      </c>
      <c r="K761" s="94">
        <f t="shared" si="255"/>
        <v>22.248687200703849</v>
      </c>
      <c r="L761" s="94">
        <f t="shared" si="256"/>
        <v>-342.29282075118135</v>
      </c>
      <c r="M761" s="94">
        <f t="shared" si="257"/>
        <v>-545.8487907908376</v>
      </c>
      <c r="N761" s="99">
        <f t="shared" si="258"/>
        <v>1533.4066132471683</v>
      </c>
      <c r="O761" s="99">
        <f t="shared" si="259"/>
        <v>28899.344236359084</v>
      </c>
      <c r="P761" s="100">
        <f t="shared" si="260"/>
        <v>25645.66103971755</v>
      </c>
      <c r="Q761" s="95">
        <f t="shared" si="261"/>
        <v>1035476561462.1978</v>
      </c>
      <c r="R761" s="95">
        <f t="shared" si="262"/>
        <v>26290885149304.473</v>
      </c>
      <c r="S761" s="95">
        <f t="shared" si="263"/>
        <v>20856713277807.465</v>
      </c>
      <c r="T761">
        <f t="shared" si="245"/>
        <v>0.5</v>
      </c>
    </row>
    <row r="762" spans="1:20" x14ac:dyDescent="0.25">
      <c r="A762">
        <v>359.5</v>
      </c>
      <c r="B762" s="95">
        <f t="shared" si="246"/>
        <v>8600.0570130859069</v>
      </c>
      <c r="C762" s="95">
        <f t="shared" si="247"/>
        <v>6775.7937347606903</v>
      </c>
      <c r="D762" s="95">
        <f t="shared" si="248"/>
        <v>-69.251572713398559</v>
      </c>
      <c r="E762" s="95">
        <f t="shared" si="249"/>
        <v>65.5739296554936</v>
      </c>
      <c r="F762" s="96">
        <f t="shared" si="250"/>
        <v>169.32247291216419</v>
      </c>
      <c r="G762" s="94">
        <f t="shared" si="251"/>
        <v>-157.69095880959691</v>
      </c>
      <c r="H762" s="97">
        <f t="shared" si="252"/>
        <v>707.00562551094868</v>
      </c>
      <c r="I762" s="94">
        <f t="shared" si="253"/>
        <v>365.74196830908937</v>
      </c>
      <c r="J762" s="95">
        <f t="shared" si="254"/>
        <v>-196.90945607041218</v>
      </c>
      <c r="K762" s="94">
        <f t="shared" si="255"/>
        <v>22.19844183025932</v>
      </c>
      <c r="L762" s="94">
        <f t="shared" si="256"/>
        <v>-340.77369652837234</v>
      </c>
      <c r="M762" s="94">
        <f t="shared" si="257"/>
        <v>-545.63136894894558</v>
      </c>
      <c r="N762" s="99">
        <f t="shared" si="258"/>
        <v>1561.1309389366511</v>
      </c>
      <c r="O762" s="99">
        <f t="shared" si="259"/>
        <v>28819.317547877443</v>
      </c>
      <c r="P762" s="100">
        <f t="shared" si="260"/>
        <v>25664.429049537921</v>
      </c>
      <c r="Q762" s="95">
        <f t="shared" si="261"/>
        <v>1036778785636.8239</v>
      </c>
      <c r="R762" s="95">
        <f t="shared" si="262"/>
        <v>26085133800061.375</v>
      </c>
      <c r="S762" s="95">
        <f t="shared" si="263"/>
        <v>20896487236731.18</v>
      </c>
      <c r="T762">
        <f t="shared" si="245"/>
        <v>0.5</v>
      </c>
    </row>
    <row r="763" spans="1:20" x14ac:dyDescent="0.25">
      <c r="A763">
        <v>360</v>
      </c>
      <c r="B763" s="95">
        <f t="shared" si="246"/>
        <v>8607.7618449572492</v>
      </c>
      <c r="C763" s="95">
        <f t="shared" si="247"/>
        <v>6769.1579598860371</v>
      </c>
      <c r="D763" s="95">
        <f t="shared" si="248"/>
        <v>15.409663742683534</v>
      </c>
      <c r="E763" s="95">
        <f t="shared" si="249"/>
        <v>-13.271549749304853</v>
      </c>
      <c r="F763" s="96">
        <f t="shared" si="250"/>
        <v>164.28624257464196</v>
      </c>
      <c r="G763" s="94">
        <f t="shared" si="251"/>
        <v>-153.77776718094896</v>
      </c>
      <c r="H763" s="97">
        <f t="shared" si="252"/>
        <v>702.62896564598293</v>
      </c>
      <c r="I763" s="94">
        <f t="shared" si="253"/>
        <v>368.83832326812336</v>
      </c>
      <c r="J763" s="95">
        <f t="shared" si="254"/>
        <v>-197.70187752656364</v>
      </c>
      <c r="K763" s="94">
        <f t="shared" si="255"/>
        <v>22.327630549499851</v>
      </c>
      <c r="L763" s="94">
        <f t="shared" si="256"/>
        <v>-340.64084554477733</v>
      </c>
      <c r="M763" s="94">
        <f t="shared" si="257"/>
        <v>-544.94372099857219</v>
      </c>
      <c r="N763" s="99">
        <f t="shared" si="258"/>
        <v>1576.1710190273841</v>
      </c>
      <c r="O763" s="99">
        <f t="shared" si="259"/>
        <v>28781.222475644998</v>
      </c>
      <c r="P763" s="100">
        <f t="shared" si="260"/>
        <v>25673.853305221444</v>
      </c>
      <c r="Q763" s="95">
        <f t="shared" si="261"/>
        <v>1037495220043.2195</v>
      </c>
      <c r="R763" s="95">
        <f t="shared" si="262"/>
        <v>25987579464979.313</v>
      </c>
      <c r="S763" s="95">
        <f t="shared" si="263"/>
        <v>20916480022406.121</v>
      </c>
      <c r="T763">
        <f t="shared" si="245"/>
        <v>0.5</v>
      </c>
    </row>
    <row r="764" spans="1:20" x14ac:dyDescent="0.25">
      <c r="A764">
        <v>360.5</v>
      </c>
      <c r="B764" s="95">
        <f t="shared" si="246"/>
        <v>8656.5382374722521</v>
      </c>
      <c r="C764" s="95">
        <f t="shared" si="247"/>
        <v>6724.0777432161476</v>
      </c>
      <c r="D764" s="95">
        <f t="shared" si="248"/>
        <v>97.552785030004515</v>
      </c>
      <c r="E764" s="95">
        <f t="shared" si="249"/>
        <v>-90.160433339779331</v>
      </c>
      <c r="F764" s="96">
        <f t="shared" si="250"/>
        <v>138.33961331068679</v>
      </c>
      <c r="G764" s="94">
        <f t="shared" si="251"/>
        <v>-129.62282413827324</v>
      </c>
      <c r="H764" s="97">
        <f t="shared" si="252"/>
        <v>678.13038946571339</v>
      </c>
      <c r="I764" s="94">
        <f t="shared" si="253"/>
        <v>391.65719253366655</v>
      </c>
      <c r="J764" s="95">
        <f t="shared" si="254"/>
        <v>-197.87533082967227</v>
      </c>
      <c r="K764" s="94">
        <f t="shared" si="255"/>
        <v>22.620464305969506</v>
      </c>
      <c r="L764" s="94">
        <f t="shared" si="256"/>
        <v>-341.91544532535431</v>
      </c>
      <c r="M764" s="94">
        <f t="shared" si="257"/>
        <v>-543.9004809779093</v>
      </c>
      <c r="N764" s="99">
        <f t="shared" si="258"/>
        <v>1572.4048994946506</v>
      </c>
      <c r="O764" s="99">
        <f t="shared" si="259"/>
        <v>28789.622749629067</v>
      </c>
      <c r="P764" s="100">
        <f t="shared" si="260"/>
        <v>25672.308441422712</v>
      </c>
      <c r="Q764" s="95">
        <f t="shared" si="261"/>
        <v>1037315160697.7603</v>
      </c>
      <c r="R764" s="95">
        <f t="shared" si="262"/>
        <v>26009069432718.164</v>
      </c>
      <c r="S764" s="95">
        <f t="shared" si="263"/>
        <v>20913201780772.496</v>
      </c>
      <c r="T764">
        <f t="shared" si="245"/>
        <v>0.5</v>
      </c>
    </row>
    <row r="765" spans="1:20" x14ac:dyDescent="0.25">
      <c r="A765">
        <v>361</v>
      </c>
      <c r="B765" s="95">
        <f t="shared" si="246"/>
        <v>8739.8995333149269</v>
      </c>
      <c r="C765" s="95">
        <f t="shared" si="247"/>
        <v>6646.5918205116895</v>
      </c>
      <c r="D765" s="95">
        <f t="shared" si="248"/>
        <v>166.72259168534791</v>
      </c>
      <c r="E765" s="95">
        <f t="shared" si="249"/>
        <v>-154.97184540891595</v>
      </c>
      <c r="F765" s="96">
        <f t="shared" si="250"/>
        <v>94.822378468512227</v>
      </c>
      <c r="G765" s="94">
        <f t="shared" si="251"/>
        <v>-88.420185339518241</v>
      </c>
      <c r="H765" s="97">
        <f t="shared" si="252"/>
        <v>636.66310052538518</v>
      </c>
      <c r="I765" s="94">
        <f t="shared" si="253"/>
        <v>431.18268100962712</v>
      </c>
      <c r="J765" s="95">
        <f t="shared" si="254"/>
        <v>-197.40890427945794</v>
      </c>
      <c r="K765" s="94">
        <f t="shared" si="255"/>
        <v>23.033923049980938</v>
      </c>
      <c r="L765" s="94">
        <f t="shared" si="256"/>
        <v>-344.43181777741501</v>
      </c>
      <c r="M765" s="94">
        <f t="shared" si="257"/>
        <v>-542.63678939912631</v>
      </c>
      <c r="N765" s="99">
        <f t="shared" si="258"/>
        <v>1551.4331619334137</v>
      </c>
      <c r="O765" s="99">
        <f t="shared" si="259"/>
        <v>28843.1768428549</v>
      </c>
      <c r="P765" s="100">
        <f t="shared" si="260"/>
        <v>25660.019298995878</v>
      </c>
      <c r="Q765" s="95">
        <f t="shared" si="261"/>
        <v>1036320560972.7998</v>
      </c>
      <c r="R765" s="95">
        <f t="shared" si="262"/>
        <v>26146360812122.211</v>
      </c>
      <c r="S765" s="95">
        <f t="shared" si="263"/>
        <v>20887137021517.844</v>
      </c>
      <c r="T765">
        <f t="shared" si="245"/>
        <v>0.5</v>
      </c>
    </row>
    <row r="766" spans="1:20" x14ac:dyDescent="0.25">
      <c r="A766">
        <v>361.5</v>
      </c>
      <c r="B766" s="95">
        <f t="shared" si="246"/>
        <v>8846.9664237747293</v>
      </c>
      <c r="C766" s="95">
        <f t="shared" si="247"/>
        <v>6547.0008514723522</v>
      </c>
      <c r="D766" s="95">
        <f t="shared" si="248"/>
        <v>214.13378091960402</v>
      </c>
      <c r="E766" s="95">
        <f t="shared" si="249"/>
        <v>-199.18193807867507</v>
      </c>
      <c r="F766" s="96">
        <f t="shared" si="250"/>
        <v>39.116930042593765</v>
      </c>
      <c r="G766" s="94">
        <f t="shared" si="251"/>
        <v>-35.645183090059732</v>
      </c>
      <c r="H766" s="97">
        <f t="shared" si="252"/>
        <v>583.34332944013806</v>
      </c>
      <c r="I766" s="94">
        <f t="shared" si="253"/>
        <v>482.14181071438486</v>
      </c>
      <c r="J766" s="95">
        <f t="shared" si="254"/>
        <v>-196.37007203440984</v>
      </c>
      <c r="K766" s="94">
        <f t="shared" si="255"/>
        <v>23.505615168335012</v>
      </c>
      <c r="L766" s="94">
        <f t="shared" si="256"/>
        <v>-347.85632736313443</v>
      </c>
      <c r="M766" s="94">
        <f t="shared" si="257"/>
        <v>-541.29260897277959</v>
      </c>
      <c r="N766" s="99">
        <f t="shared" si="258"/>
        <v>1521.8931325679512</v>
      </c>
      <c r="O766" s="99">
        <f t="shared" si="259"/>
        <v>28934.878116268173</v>
      </c>
      <c r="P766" s="100">
        <f t="shared" si="260"/>
        <v>25639.02838700077</v>
      </c>
      <c r="Q766" s="95">
        <f t="shared" si="261"/>
        <v>1034942782862.8889</v>
      </c>
      <c r="R766" s="95">
        <f t="shared" si="262"/>
        <v>26382599939783.461</v>
      </c>
      <c r="S766" s="95">
        <f t="shared" si="263"/>
        <v>20842670076460.941</v>
      </c>
      <c r="T766">
        <f t="shared" si="245"/>
        <v>0.5</v>
      </c>
    </row>
    <row r="767" spans="1:20" x14ac:dyDescent="0.25">
      <c r="A767">
        <v>362</v>
      </c>
      <c r="B767" s="95">
        <f t="shared" si="246"/>
        <v>8963.812546745181</v>
      </c>
      <c r="C767" s="95">
        <f t="shared" si="247"/>
        <v>6438.4985866605002</v>
      </c>
      <c r="D767" s="95">
        <f t="shared" si="248"/>
        <v>233.6922459409009</v>
      </c>
      <c r="E767" s="95">
        <f t="shared" si="249"/>
        <v>-217.00452962370494</v>
      </c>
      <c r="F767" s="96">
        <f t="shared" si="250"/>
        <v>-21.801788982513074</v>
      </c>
      <c r="G767" s="94">
        <f t="shared" si="251"/>
        <v>21.611779493820222</v>
      </c>
      <c r="H767" s="97">
        <f t="shared" si="252"/>
        <v>524.8320942431194</v>
      </c>
      <c r="I767" s="94">
        <f t="shared" si="253"/>
        <v>537.65369195992037</v>
      </c>
      <c r="J767" s="95">
        <f t="shared" si="254"/>
        <v>-194.90353985324646</v>
      </c>
      <c r="K767" s="94">
        <f t="shared" si="255"/>
        <v>23.966086354547063</v>
      </c>
      <c r="L767" s="94">
        <f t="shared" si="256"/>
        <v>-351.73034337238602</v>
      </c>
      <c r="M767" s="94">
        <f t="shared" si="257"/>
        <v>-540.00799882064723</v>
      </c>
      <c r="N767" s="99">
        <f t="shared" si="258"/>
        <v>1495.8923106284285</v>
      </c>
      <c r="O767" s="99">
        <f t="shared" si="259"/>
        <v>29052.894433672511</v>
      </c>
      <c r="P767" s="100">
        <f t="shared" si="260"/>
        <v>25612.725837647482</v>
      </c>
      <c r="Q767" s="95">
        <f t="shared" si="261"/>
        <v>1033752485348.614</v>
      </c>
      <c r="R767" s="95">
        <f t="shared" si="262"/>
        <v>26688781340558.418</v>
      </c>
      <c r="S767" s="95">
        <f t="shared" si="263"/>
        <v>20787046923668.832</v>
      </c>
      <c r="T767">
        <f t="shared" si="245"/>
        <v>0.5</v>
      </c>
    </row>
    <row r="768" spans="1:20" x14ac:dyDescent="0.25">
      <c r="A768">
        <v>362.5</v>
      </c>
      <c r="B768" s="95">
        <f t="shared" si="246"/>
        <v>9075.2082224700025</v>
      </c>
      <c r="C768" s="95">
        <f t="shared" si="247"/>
        <v>6335.3992667221028</v>
      </c>
      <c r="D768" s="95">
        <f t="shared" si="248"/>
        <v>222.79135144964437</v>
      </c>
      <c r="E768" s="95">
        <f t="shared" si="249"/>
        <v>-206.19863987679483</v>
      </c>
      <c r="F768" s="96">
        <f t="shared" si="250"/>
        <v>-80.076734105050548</v>
      </c>
      <c r="G768" s="94">
        <f t="shared" si="251"/>
        <v>75.625132730337896</v>
      </c>
      <c r="H768" s="97">
        <f t="shared" si="252"/>
        <v>468.66578013321168</v>
      </c>
      <c r="I768" s="94">
        <f t="shared" si="253"/>
        <v>590.19611167303196</v>
      </c>
      <c r="J768" s="95">
        <f t="shared" si="254"/>
        <v>-193.20895927042841</v>
      </c>
      <c r="K768" s="94">
        <f t="shared" si="255"/>
        <v>24.351801314739557</v>
      </c>
      <c r="L768" s="94">
        <f t="shared" si="256"/>
        <v>-355.53355496783382</v>
      </c>
      <c r="M768" s="94">
        <f t="shared" si="257"/>
        <v>-538.9227802574336</v>
      </c>
      <c r="N768" s="99">
        <f t="shared" si="258"/>
        <v>1483.3980210329471</v>
      </c>
      <c r="O768" s="99">
        <f t="shared" si="259"/>
        <v>29181.958973999896</v>
      </c>
      <c r="P768" s="100">
        <f t="shared" si="260"/>
        <v>25585.09883684021</v>
      </c>
      <c r="Q768" s="95">
        <f t="shared" si="261"/>
        <v>1033187962348.0261</v>
      </c>
      <c r="R768" s="95">
        <f t="shared" si="262"/>
        <v>27026407132886.863</v>
      </c>
      <c r="S768" s="95">
        <f t="shared" si="263"/>
        <v>20728737663715.496</v>
      </c>
      <c r="T768">
        <f t="shared" si="245"/>
        <v>0.5</v>
      </c>
    </row>
    <row r="769" spans="1:20" x14ac:dyDescent="0.25">
      <c r="A769">
        <v>363</v>
      </c>
      <c r="B769" s="95">
        <f t="shared" si="246"/>
        <v>9166.584714668561</v>
      </c>
      <c r="C769" s="95">
        <f t="shared" si="247"/>
        <v>6251.2062299662894</v>
      </c>
      <c r="D769" s="95">
        <f t="shared" si="248"/>
        <v>182.75298439711909</v>
      </c>
      <c r="E769" s="95">
        <f t="shared" si="249"/>
        <v>-168.38607351162588</v>
      </c>
      <c r="F769" s="96">
        <f t="shared" si="250"/>
        <v>-127.9809853488612</v>
      </c>
      <c r="G769" s="94">
        <f t="shared" si="251"/>
        <v>119.20392041039418</v>
      </c>
      <c r="H769" s="97">
        <f t="shared" si="252"/>
        <v>422.28943854773672</v>
      </c>
      <c r="I769" s="94">
        <f t="shared" si="253"/>
        <v>632.76067680919186</v>
      </c>
      <c r="J769" s="95">
        <f t="shared" si="254"/>
        <v>-191.51164329883957</v>
      </c>
      <c r="K769" s="94">
        <f t="shared" si="255"/>
        <v>24.615074487159283</v>
      </c>
      <c r="L769" s="94">
        <f t="shared" si="256"/>
        <v>-358.75878059775835</v>
      </c>
      <c r="M769" s="94">
        <f t="shared" si="257"/>
        <v>-538.17183088595698</v>
      </c>
      <c r="N769" s="99">
        <f t="shared" si="258"/>
        <v>1487.1229605310073</v>
      </c>
      <c r="O769" s="99">
        <f t="shared" si="259"/>
        <v>29305.238980672519</v>
      </c>
      <c r="P769" s="100">
        <f t="shared" si="260"/>
        <v>25559.944217003551</v>
      </c>
      <c r="Q769" s="95">
        <f t="shared" si="261"/>
        <v>1033355758233.3884</v>
      </c>
      <c r="R769" s="95">
        <f t="shared" si="262"/>
        <v>27351625254742.043</v>
      </c>
      <c r="S769" s="95">
        <f t="shared" si="263"/>
        <v>20675748754221.242</v>
      </c>
      <c r="T769">
        <f t="shared" si="245"/>
        <v>0.5</v>
      </c>
    </row>
    <row r="770" spans="1:20" x14ac:dyDescent="0.25">
      <c r="A770">
        <v>363.5</v>
      </c>
      <c r="B770" s="95">
        <f t="shared" si="246"/>
        <v>9225.9659605299057</v>
      </c>
      <c r="C770" s="95">
        <f t="shared" si="247"/>
        <v>6196.8141733130751</v>
      </c>
      <c r="D770" s="95">
        <f t="shared" si="248"/>
        <v>118.76249172268849</v>
      </c>
      <c r="E770" s="95">
        <f t="shared" si="249"/>
        <v>-108.78411330642879</v>
      </c>
      <c r="F770" s="96">
        <f t="shared" si="250"/>
        <v>-159.0596143150255</v>
      </c>
      <c r="G770" s="94">
        <f t="shared" si="251"/>
        <v>146.76766322517767</v>
      </c>
      <c r="H770" s="97">
        <f t="shared" si="252"/>
        <v>391.95643338283634</v>
      </c>
      <c r="I770" s="94">
        <f t="shared" si="253"/>
        <v>659.9090513034281</v>
      </c>
      <c r="J770" s="95">
        <f t="shared" si="254"/>
        <v>-190.03143045108692</v>
      </c>
      <c r="K770" s="94">
        <f t="shared" si="255"/>
        <v>24.728860763495938</v>
      </c>
      <c r="L770" s="94">
        <f t="shared" si="256"/>
        <v>-360.98461724677492</v>
      </c>
      <c r="M770" s="94">
        <f t="shared" si="257"/>
        <v>-537.87024884174639</v>
      </c>
      <c r="N770" s="99">
        <f t="shared" si="258"/>
        <v>1501.3550272667328</v>
      </c>
      <c r="O770" s="99">
        <f t="shared" si="259"/>
        <v>29406.514901432667</v>
      </c>
      <c r="P770" s="100">
        <f t="shared" si="260"/>
        <v>25540.279730387429</v>
      </c>
      <c r="Q770" s="95">
        <f t="shared" si="261"/>
        <v>1034000824632.7051</v>
      </c>
      <c r="R770" s="95">
        <f t="shared" si="262"/>
        <v>27620795281107.977</v>
      </c>
      <c r="S770" s="95">
        <f t="shared" si="263"/>
        <v>20634392721351.02</v>
      </c>
      <c r="T770">
        <f t="shared" si="245"/>
        <v>0.5</v>
      </c>
    </row>
    <row r="771" spans="1:20" x14ac:dyDescent="0.25">
      <c r="A771">
        <v>364</v>
      </c>
      <c r="B771" s="95">
        <f t="shared" si="246"/>
        <v>9245.5823028124942</v>
      </c>
      <c r="C771" s="95">
        <f t="shared" si="247"/>
        <v>6179.1140324661555</v>
      </c>
      <c r="D771" s="95">
        <f t="shared" si="248"/>
        <v>39.232684565175745</v>
      </c>
      <c r="E771" s="95">
        <f t="shared" si="249"/>
        <v>-35.400281693839958</v>
      </c>
      <c r="F771" s="96">
        <f t="shared" si="250"/>
        <v>-169.10625344522663</v>
      </c>
      <c r="G771" s="94">
        <f t="shared" si="251"/>
        <v>155.04430774032971</v>
      </c>
      <c r="H771" s="97">
        <f t="shared" si="252"/>
        <v>381.7802483586533</v>
      </c>
      <c r="I771" s="94">
        <f t="shared" si="253"/>
        <v>668.44690231755453</v>
      </c>
      <c r="J771" s="95">
        <f t="shared" si="254"/>
        <v>-188.95473536058728</v>
      </c>
      <c r="K771" s="94">
        <f t="shared" si="255"/>
        <v>24.68661725941795</v>
      </c>
      <c r="L771" s="94">
        <f t="shared" si="256"/>
        <v>-361.93176644329264</v>
      </c>
      <c r="M771" s="94">
        <f t="shared" si="257"/>
        <v>-538.08921183664279</v>
      </c>
      <c r="N771" s="99">
        <f t="shared" si="258"/>
        <v>1515.7249068139229</v>
      </c>
      <c r="O771" s="99">
        <f t="shared" si="259"/>
        <v>29472.382135795626</v>
      </c>
      <c r="P771" s="100">
        <f t="shared" si="260"/>
        <v>25528.083332050639</v>
      </c>
      <c r="Q771" s="95">
        <f t="shared" si="261"/>
        <v>1034658509012.1859</v>
      </c>
      <c r="R771" s="95">
        <f t="shared" si="262"/>
        <v>27796827702005.453</v>
      </c>
      <c r="S771" s="95">
        <f t="shared" si="263"/>
        <v>20608772544993.188</v>
      </c>
      <c r="T771">
        <f t="shared" si="245"/>
        <v>0.5</v>
      </c>
    </row>
    <row r="772" spans="1:20" x14ac:dyDescent="0.25">
      <c r="A772">
        <v>364.5</v>
      </c>
      <c r="B772" s="95">
        <f t="shared" si="246"/>
        <v>9222.9220817337755</v>
      </c>
      <c r="C772" s="95">
        <f t="shared" si="247"/>
        <v>6200.1749685543182</v>
      </c>
      <c r="D772" s="95">
        <f t="shared" si="248"/>
        <v>-45.320442157437569</v>
      </c>
      <c r="E772" s="95">
        <f t="shared" si="249"/>
        <v>42.121872176324899</v>
      </c>
      <c r="F772" s="96">
        <f t="shared" si="250"/>
        <v>-156.75482673368549</v>
      </c>
      <c r="G772" s="94">
        <f t="shared" si="251"/>
        <v>143.29898454750617</v>
      </c>
      <c r="H772" s="97">
        <f t="shared" si="252"/>
        <v>393.15275350416755</v>
      </c>
      <c r="I772" s="94">
        <f t="shared" si="253"/>
        <v>657.63004992690287</v>
      </c>
      <c r="J772" s="95">
        <f t="shared" si="254"/>
        <v>-188.41336171222088</v>
      </c>
      <c r="K772" s="94">
        <f t="shared" si="255"/>
        <v>24.499186155666276</v>
      </c>
      <c r="L772" s="94">
        <f t="shared" si="256"/>
        <v>-361.49421852563216</v>
      </c>
      <c r="M772" s="94">
        <f t="shared" si="257"/>
        <v>-538.83025153506298</v>
      </c>
      <c r="N772" s="99">
        <f t="shared" si="258"/>
        <v>1521.1462129123286</v>
      </c>
      <c r="O772" s="99">
        <f t="shared" si="259"/>
        <v>29494.122360353027</v>
      </c>
      <c r="P772" s="100">
        <f t="shared" si="260"/>
        <v>25524.331261492618</v>
      </c>
      <c r="Q772" s="95">
        <f t="shared" si="261"/>
        <v>1034908296895.2349</v>
      </c>
      <c r="R772" s="95">
        <f t="shared" si="262"/>
        <v>27855097569759.5</v>
      </c>
      <c r="S772" s="95">
        <f t="shared" si="263"/>
        <v>20600895410718.074</v>
      </c>
      <c r="T772">
        <f t="shared" si="245"/>
        <v>0.5</v>
      </c>
    </row>
    <row r="773" spans="1:20" x14ac:dyDescent="0.25">
      <c r="A773">
        <v>365</v>
      </c>
      <c r="B773" s="95">
        <f t="shared" si="246"/>
        <v>9161.0731539716362</v>
      </c>
      <c r="C773" s="95">
        <f t="shared" si="247"/>
        <v>6257.0606507793573</v>
      </c>
      <c r="D773" s="95">
        <f t="shared" si="248"/>
        <v>-123.69785552428031</v>
      </c>
      <c r="E773" s="95">
        <f t="shared" si="249"/>
        <v>113.77136445007798</v>
      </c>
      <c r="F773" s="96">
        <f t="shared" si="250"/>
        <v>-123.64398189293115</v>
      </c>
      <c r="G773" s="94">
        <f t="shared" si="251"/>
        <v>113.22012945026961</v>
      </c>
      <c r="H773" s="97">
        <f t="shared" si="252"/>
        <v>424.57197535191381</v>
      </c>
      <c r="I773" s="94">
        <f t="shared" si="253"/>
        <v>629.03841644780152</v>
      </c>
      <c r="J773" s="95">
        <f t="shared" si="254"/>
        <v>-188.47140552138137</v>
      </c>
      <c r="K773" s="94">
        <f t="shared" si="255"/>
        <v>24.19105209894585</v>
      </c>
      <c r="L773" s="94">
        <f t="shared" si="256"/>
        <v>-359.74455172346359</v>
      </c>
      <c r="M773" s="94">
        <f t="shared" si="257"/>
        <v>-540.00933909647779</v>
      </c>
      <c r="N773" s="99">
        <f t="shared" si="258"/>
        <v>1514.3959863357195</v>
      </c>
      <c r="O773" s="99">
        <f t="shared" si="259"/>
        <v>29468.930168309213</v>
      </c>
      <c r="P773" s="100">
        <f t="shared" si="260"/>
        <v>25529.17803691273</v>
      </c>
      <c r="Q773" s="95">
        <f t="shared" si="261"/>
        <v>1034597417865.1445</v>
      </c>
      <c r="R773" s="95">
        <f t="shared" si="262"/>
        <v>27787583159447.441</v>
      </c>
      <c r="S773" s="95">
        <f t="shared" si="263"/>
        <v>20611071186638.012</v>
      </c>
      <c r="T773">
        <f t="shared" si="245"/>
        <v>0.5</v>
      </c>
    </row>
    <row r="774" spans="1:20" x14ac:dyDescent="0.25">
      <c r="A774">
        <v>365.5</v>
      </c>
      <c r="B774" s="95">
        <f t="shared" si="246"/>
        <v>9068.3132307362648</v>
      </c>
      <c r="C774" s="95">
        <f t="shared" si="247"/>
        <v>6342.2513653669639</v>
      </c>
      <c r="D774" s="95">
        <f t="shared" si="248"/>
        <v>-185.5198464707459</v>
      </c>
      <c r="E774" s="95">
        <f t="shared" si="249"/>
        <v>170.38142917521279</v>
      </c>
      <c r="F774" s="96">
        <f t="shared" si="250"/>
        <v>-74.211924710700714</v>
      </c>
      <c r="G774" s="94">
        <f t="shared" si="251"/>
        <v>68.645422316161671</v>
      </c>
      <c r="H774" s="97">
        <f t="shared" si="252"/>
        <v>471.82601229801662</v>
      </c>
      <c r="I774" s="94">
        <f t="shared" si="253"/>
        <v>586.30855298509528</v>
      </c>
      <c r="J774" s="95">
        <f t="shared" si="254"/>
        <v>-189.11976026218173</v>
      </c>
      <c r="K774" s="94">
        <f t="shared" si="255"/>
        <v>23.797478009479985</v>
      </c>
      <c r="L774" s="94">
        <f t="shared" si="256"/>
        <v>-356.91817674653561</v>
      </c>
      <c r="M774" s="94">
        <f t="shared" si="257"/>
        <v>-541.46060867841356</v>
      </c>
      <c r="N774" s="99">
        <f t="shared" si="258"/>
        <v>1499.5654299923472</v>
      </c>
      <c r="O774" s="99">
        <f t="shared" si="259"/>
        <v>29400.302421288619</v>
      </c>
      <c r="P774" s="100">
        <f t="shared" si="260"/>
        <v>25542.095066439797</v>
      </c>
      <c r="Q774" s="95">
        <f t="shared" si="261"/>
        <v>1033919366275.8495</v>
      </c>
      <c r="R774" s="95">
        <f t="shared" si="262"/>
        <v>27604231762777.695</v>
      </c>
      <c r="S774" s="95">
        <f t="shared" si="263"/>
        <v>20638208032699.625</v>
      </c>
      <c r="T774">
        <f t="shared" si="245"/>
        <v>0.5</v>
      </c>
    </row>
    <row r="775" spans="1:20" x14ac:dyDescent="0.25">
      <c r="A775">
        <v>366</v>
      </c>
      <c r="B775" s="95">
        <f t="shared" si="246"/>
        <v>8957.0003263232156</v>
      </c>
      <c r="C775" s="95">
        <f t="shared" si="247"/>
        <v>6444.6034355336105</v>
      </c>
      <c r="D775" s="95">
        <f t="shared" si="248"/>
        <v>-222.62580882609626</v>
      </c>
      <c r="E775" s="95">
        <f t="shared" si="249"/>
        <v>204.70414033329362</v>
      </c>
      <c r="F775" s="96">
        <f t="shared" si="250"/>
        <v>-15.149795755826347</v>
      </c>
      <c r="G775" s="94">
        <f t="shared" si="251"/>
        <v>15.190729457631051</v>
      </c>
      <c r="H775" s="97">
        <f t="shared" si="252"/>
        <v>528.50946461297974</v>
      </c>
      <c r="I775" s="94">
        <f t="shared" si="253"/>
        <v>534.79122507699128</v>
      </c>
      <c r="J775" s="95">
        <f t="shared" si="254"/>
        <v>-190.27728640527963</v>
      </c>
      <c r="K775" s="94">
        <f t="shared" si="255"/>
        <v>23.36261362563647</v>
      </c>
      <c r="L775" s="94">
        <f t="shared" si="256"/>
        <v>-353.38197396352649</v>
      </c>
      <c r="M775" s="94">
        <f t="shared" si="257"/>
        <v>-542.96310924499676</v>
      </c>
      <c r="N775" s="99">
        <f t="shared" si="258"/>
        <v>1486.0760872229107</v>
      </c>
      <c r="O775" s="99">
        <f t="shared" si="259"/>
        <v>29297.541861978061</v>
      </c>
      <c r="P775" s="100">
        <f t="shared" si="260"/>
        <v>25561.868681702774</v>
      </c>
      <c r="Q775" s="95">
        <f t="shared" si="261"/>
        <v>1033308556709.5774</v>
      </c>
      <c r="R775" s="95">
        <f t="shared" si="262"/>
        <v>27331241786074.242</v>
      </c>
      <c r="S775" s="95">
        <f t="shared" si="263"/>
        <v>20679799254961.879</v>
      </c>
      <c r="T775">
        <f t="shared" si="245"/>
        <v>0.5</v>
      </c>
    </row>
    <row r="776" spans="1:20" x14ac:dyDescent="0.25">
      <c r="A776">
        <v>366.5</v>
      </c>
      <c r="B776" s="95">
        <f t="shared" si="246"/>
        <v>8841.8999729712123</v>
      </c>
      <c r="C776" s="95">
        <f t="shared" si="247"/>
        <v>6550.7531880646648</v>
      </c>
      <c r="D776" s="95">
        <f t="shared" si="248"/>
        <v>-230.20070670400943</v>
      </c>
      <c r="E776" s="95">
        <f t="shared" si="249"/>
        <v>212.29950506210915</v>
      </c>
      <c r="F776" s="96">
        <f t="shared" si="250"/>
        <v>45.501957652814724</v>
      </c>
      <c r="G776" s="94">
        <f t="shared" si="251"/>
        <v>-40.297251287917618</v>
      </c>
      <c r="H776" s="97">
        <f t="shared" si="252"/>
        <v>586.89099933335422</v>
      </c>
      <c r="I776" s="94">
        <f t="shared" si="253"/>
        <v>481.05033854461789</v>
      </c>
      <c r="J776" s="95">
        <f t="shared" si="254"/>
        <v>-191.79850232734765</v>
      </c>
      <c r="K776" s="94">
        <f t="shared" si="255"/>
        <v>22.937475454340664</v>
      </c>
      <c r="L776" s="94">
        <f t="shared" si="256"/>
        <v>-349.59053935319184</v>
      </c>
      <c r="M776" s="94">
        <f t="shared" si="257"/>
        <v>-544.28506528687615</v>
      </c>
      <c r="N776" s="99">
        <f t="shared" si="258"/>
        <v>1483.8161030186106</v>
      </c>
      <c r="O776" s="99">
        <f t="shared" si="259"/>
        <v>29174.453081922584</v>
      </c>
      <c r="P776" s="100">
        <f t="shared" si="260"/>
        <v>25586.497896669764</v>
      </c>
      <c r="Q776" s="95">
        <f t="shared" si="261"/>
        <v>1033206774105.2648</v>
      </c>
      <c r="R776" s="95">
        <f t="shared" si="262"/>
        <v>27006692344754.113</v>
      </c>
      <c r="S776" s="95">
        <f t="shared" si="263"/>
        <v>20731687680139.391</v>
      </c>
      <c r="T776">
        <f t="shared" si="245"/>
        <v>0.5</v>
      </c>
    </row>
    <row r="777" spans="1:20" x14ac:dyDescent="0.25">
      <c r="A777">
        <v>367</v>
      </c>
      <c r="B777" s="95">
        <f t="shared" si="246"/>
        <v>8738.1751090324105</v>
      </c>
      <c r="C777" s="95">
        <f t="shared" si="247"/>
        <v>6646.8286277737398</v>
      </c>
      <c r="D777" s="95">
        <f t="shared" si="248"/>
        <v>-207.44972787760207</v>
      </c>
      <c r="E777" s="95">
        <f t="shared" si="249"/>
        <v>192.15087941815034</v>
      </c>
      <c r="F777" s="96">
        <f t="shared" si="250"/>
        <v>99.554594016836234</v>
      </c>
      <c r="G777" s="94">
        <f t="shared" si="251"/>
        <v>-90.551210973870354</v>
      </c>
      <c r="H777" s="97">
        <f t="shared" si="252"/>
        <v>639.07527903988364</v>
      </c>
      <c r="I777" s="94">
        <f t="shared" si="253"/>
        <v>432.10491144792491</v>
      </c>
      <c r="J777" s="95">
        <f t="shared" si="254"/>
        <v>-193.48857148606615</v>
      </c>
      <c r="K777" s="94">
        <f t="shared" si="255"/>
        <v>22.576253930477073</v>
      </c>
      <c r="L777" s="94">
        <f t="shared" si="256"/>
        <v>-346.03211353698129</v>
      </c>
      <c r="M777" s="94">
        <f t="shared" si="257"/>
        <v>-545.23237635227235</v>
      </c>
      <c r="N777" s="99">
        <f t="shared" si="258"/>
        <v>1497.4195078779617</v>
      </c>
      <c r="O777" s="99">
        <f t="shared" si="259"/>
        <v>29047.418088713548</v>
      </c>
      <c r="P777" s="100">
        <f t="shared" si="260"/>
        <v>25613.144239523186</v>
      </c>
      <c r="Q777" s="95">
        <f t="shared" si="261"/>
        <v>1033821819743.483</v>
      </c>
      <c r="R777" s="95">
        <f t="shared" si="262"/>
        <v>26674519855443.527</v>
      </c>
      <c r="S777" s="95">
        <f t="shared" si="263"/>
        <v>20787930901897.727</v>
      </c>
      <c r="T777">
        <f t="shared" si="245"/>
        <v>0.5</v>
      </c>
    </row>
    <row r="778" spans="1:20" x14ac:dyDescent="0.25">
      <c r="A778">
        <v>367.5</v>
      </c>
      <c r="B778" s="95">
        <f t="shared" si="246"/>
        <v>8659.3388935978182</v>
      </c>
      <c r="C778" s="95">
        <f t="shared" si="247"/>
        <v>6720.2662647393472</v>
      </c>
      <c r="D778" s="95">
        <f t="shared" si="248"/>
        <v>-157.67243086918396</v>
      </c>
      <c r="E778" s="95">
        <f t="shared" si="249"/>
        <v>146.87527393121516</v>
      </c>
      <c r="F778" s="96">
        <f t="shared" si="250"/>
        <v>139.93454579625944</v>
      </c>
      <c r="G778" s="94">
        <f t="shared" si="251"/>
        <v>-128.89499954372491</v>
      </c>
      <c r="H778" s="97">
        <f t="shared" si="252"/>
        <v>678.22872086582436</v>
      </c>
      <c r="I778" s="94">
        <f t="shared" si="253"/>
        <v>394.46047278939932</v>
      </c>
      <c r="J778" s="95">
        <f t="shared" si="254"/>
        <v>-195.12609261781697</v>
      </c>
      <c r="K778" s="94">
        <f t="shared" si="255"/>
        <v>22.329950839557203</v>
      </c>
      <c r="L778" s="94">
        <f t="shared" si="256"/>
        <v>-343.16808245174792</v>
      </c>
      <c r="M778" s="94">
        <f t="shared" si="257"/>
        <v>-545.68542317268145</v>
      </c>
      <c r="N778" s="99">
        <f t="shared" si="258"/>
        <v>1523.1885785587447</v>
      </c>
      <c r="O778" s="99">
        <f t="shared" si="259"/>
        <v>28933.137867312762</v>
      </c>
      <c r="P778" s="100">
        <f t="shared" si="260"/>
        <v>25638.304252946262</v>
      </c>
      <c r="Q778" s="95">
        <f t="shared" si="261"/>
        <v>1035002635848.7334</v>
      </c>
      <c r="R778" s="95">
        <f t="shared" si="262"/>
        <v>26378103162004.246</v>
      </c>
      <c r="S778" s="95">
        <f t="shared" si="263"/>
        <v>20841137290720.117</v>
      </c>
      <c r="T778">
        <f t="shared" si="245"/>
        <v>0.5</v>
      </c>
    </row>
    <row r="779" spans="1:20" x14ac:dyDescent="0.25">
      <c r="A779">
        <v>368</v>
      </c>
      <c r="B779" s="95">
        <f t="shared" si="246"/>
        <v>8615.4863146122916</v>
      </c>
      <c r="C779" s="95">
        <f t="shared" si="247"/>
        <v>6761.4801518190234</v>
      </c>
      <c r="D779" s="95">
        <f t="shared" si="248"/>
        <v>-87.705157971054234</v>
      </c>
      <c r="E779" s="95">
        <f t="shared" si="249"/>
        <v>82.427774159352708</v>
      </c>
      <c r="F779" s="96">
        <f t="shared" si="250"/>
        <v>161.67345309984319</v>
      </c>
      <c r="G779" s="94">
        <f t="shared" si="251"/>
        <v>-150.23091218170379</v>
      </c>
      <c r="H779" s="97">
        <f t="shared" si="252"/>
        <v>699.53888747690485</v>
      </c>
      <c r="I779" s="94">
        <f t="shared" si="253"/>
        <v>373.14427327705459</v>
      </c>
      <c r="J779" s="95">
        <f t="shared" si="254"/>
        <v>-196.49226332274364</v>
      </c>
      <c r="K779" s="94">
        <f t="shared" si="255"/>
        <v>22.237752236269483</v>
      </c>
      <c r="L779" s="94">
        <f t="shared" si="256"/>
        <v>-341.37317105431805</v>
      </c>
      <c r="M779" s="94">
        <f t="shared" si="257"/>
        <v>-545.61293769502788</v>
      </c>
      <c r="N779" s="99">
        <f t="shared" si="258"/>
        <v>1550.921306876352</v>
      </c>
      <c r="O779" s="99">
        <f t="shared" si="259"/>
        <v>28846.392481422965</v>
      </c>
      <c r="P779" s="100">
        <f t="shared" si="260"/>
        <v>25658.283372457485</v>
      </c>
      <c r="Q779" s="95">
        <f t="shared" si="261"/>
        <v>1036296456774.2146</v>
      </c>
      <c r="R779" s="95">
        <f t="shared" si="262"/>
        <v>26154620222856.828</v>
      </c>
      <c r="S779" s="95">
        <f t="shared" si="263"/>
        <v>20883457072764.637</v>
      </c>
      <c r="T779">
        <f t="shared" si="245"/>
        <v>0.5</v>
      </c>
    </row>
    <row r="780" spans="1:20" x14ac:dyDescent="0.25">
      <c r="A780">
        <v>368.5</v>
      </c>
      <c r="B780" s="95">
        <f t="shared" si="246"/>
        <v>8612.0520989017259</v>
      </c>
      <c r="C780" s="95">
        <f t="shared" si="247"/>
        <v>6765.1363108532732</v>
      </c>
      <c r="D780" s="95">
        <f t="shared" si="248"/>
        <v>-6.8684314211326409</v>
      </c>
      <c r="E780" s="95">
        <f t="shared" si="249"/>
        <v>7.3123180685008151</v>
      </c>
      <c r="F780" s="96">
        <f t="shared" si="250"/>
        <v>162.40223283054024</v>
      </c>
      <c r="G780" s="94">
        <f t="shared" si="251"/>
        <v>-151.75619891836789</v>
      </c>
      <c r="H780" s="97">
        <f t="shared" si="252"/>
        <v>700.68964857617846</v>
      </c>
      <c r="I780" s="94">
        <f t="shared" si="253"/>
        <v>370.98754188984185</v>
      </c>
      <c r="J780" s="95">
        <f t="shared" si="254"/>
        <v>-197.40227683920133</v>
      </c>
      <c r="K780" s="94">
        <f t="shared" si="255"/>
        <v>22.318198474360173</v>
      </c>
      <c r="L780" s="94">
        <f t="shared" si="256"/>
        <v>-340.88513890643685</v>
      </c>
      <c r="M780" s="94">
        <f t="shared" si="257"/>
        <v>-545.06193928256994</v>
      </c>
      <c r="N780" s="99">
        <f t="shared" si="258"/>
        <v>1569.168477628552</v>
      </c>
      <c r="O780" s="99">
        <f t="shared" si="259"/>
        <v>28798.160841081943</v>
      </c>
      <c r="P780" s="100">
        <f t="shared" si="260"/>
        <v>25669.894545584091</v>
      </c>
      <c r="Q780" s="95">
        <f t="shared" si="261"/>
        <v>1037160778792.7463</v>
      </c>
      <c r="R780" s="95">
        <f t="shared" si="262"/>
        <v>26030924467402.41</v>
      </c>
      <c r="S780" s="95">
        <f t="shared" si="263"/>
        <v>20908080168086.832</v>
      </c>
      <c r="T780">
        <f t="shared" si="245"/>
        <v>0.5</v>
      </c>
    </row>
    <row r="781" spans="1:20" x14ac:dyDescent="0.25">
      <c r="A781">
        <v>369</v>
      </c>
      <c r="B781" s="95">
        <f t="shared" si="246"/>
        <v>8649.2184413987961</v>
      </c>
      <c r="C781" s="95">
        <f t="shared" si="247"/>
        <v>6730.8534201579323</v>
      </c>
      <c r="D781" s="95">
        <f t="shared" si="248"/>
        <v>74.33268499413748</v>
      </c>
      <c r="E781" s="95">
        <f t="shared" si="249"/>
        <v>-68.565781390683128</v>
      </c>
      <c r="F781" s="96">
        <f t="shared" si="250"/>
        <v>142.38076826374976</v>
      </c>
      <c r="G781" s="94">
        <f t="shared" si="251"/>
        <v>-133.29823099104419</v>
      </c>
      <c r="H781" s="97">
        <f t="shared" si="252"/>
        <v>681.88537391591069</v>
      </c>
      <c r="I781" s="94">
        <f t="shared" si="253"/>
        <v>388.27136767758708</v>
      </c>
      <c r="J781" s="95">
        <f t="shared" si="254"/>
        <v>-197.73305069434582</v>
      </c>
      <c r="K781" s="94">
        <f t="shared" si="255"/>
        <v>22.563209803485218</v>
      </c>
      <c r="L781" s="94">
        <f t="shared" si="256"/>
        <v>-341.77155495781511</v>
      </c>
      <c r="M781" s="94">
        <f t="shared" si="257"/>
        <v>-544.13280847211649</v>
      </c>
      <c r="N781" s="99">
        <f t="shared" si="258"/>
        <v>1570.485280984652</v>
      </c>
      <c r="O781" s="99">
        <f t="shared" si="259"/>
        <v>28794.337436336795</v>
      </c>
      <c r="P781" s="100">
        <f t="shared" si="260"/>
        <v>25671.172956708437</v>
      </c>
      <c r="Q781" s="95">
        <f t="shared" si="261"/>
        <v>1037223552871.7639</v>
      </c>
      <c r="R781" s="95">
        <f t="shared" si="262"/>
        <v>26021136103780.305</v>
      </c>
      <c r="S781" s="95">
        <f t="shared" si="263"/>
        <v>20910792487315.832</v>
      </c>
      <c r="T781">
        <f t="shared" si="245"/>
        <v>0.5</v>
      </c>
    </row>
    <row r="782" spans="1:20" x14ac:dyDescent="0.25">
      <c r="A782">
        <v>369.5</v>
      </c>
      <c r="B782" s="95">
        <f t="shared" si="246"/>
        <v>8721.9799759618018</v>
      </c>
      <c r="C782" s="95">
        <f t="shared" si="247"/>
        <v>6663.2459717148295</v>
      </c>
      <c r="D782" s="95">
        <f t="shared" si="248"/>
        <v>145.52306912601236</v>
      </c>
      <c r="E782" s="95">
        <f t="shared" si="249"/>
        <v>-135.21489688620522</v>
      </c>
      <c r="F782" s="96">
        <f t="shared" si="250"/>
        <v>104.26940240891645</v>
      </c>
      <c r="G782" s="94">
        <f t="shared" si="251"/>
        <v>-97.304168206431825</v>
      </c>
      <c r="H782" s="97">
        <f t="shared" si="252"/>
        <v>645.62941855115582</v>
      </c>
      <c r="I782" s="94">
        <f t="shared" si="253"/>
        <v>422.71091734940239</v>
      </c>
      <c r="J782" s="95">
        <f t="shared" si="254"/>
        <v>-197.44172890186809</v>
      </c>
      <c r="K782" s="94">
        <f t="shared" si="255"/>
        <v>22.937641653405386</v>
      </c>
      <c r="L782" s="94">
        <f t="shared" si="256"/>
        <v>-343.91828724037128</v>
      </c>
      <c r="M782" s="94">
        <f t="shared" si="257"/>
        <v>-542.95272720923958</v>
      </c>
      <c r="N782" s="99">
        <f t="shared" si="258"/>
        <v>1554.4121976939862</v>
      </c>
      <c r="O782" s="99">
        <f t="shared" si="259"/>
        <v>28835.135454224554</v>
      </c>
      <c r="P782" s="100">
        <f t="shared" si="260"/>
        <v>25661.861865995044</v>
      </c>
      <c r="Q782" s="95">
        <f t="shared" si="261"/>
        <v>1036461010835.2551</v>
      </c>
      <c r="R782" s="95">
        <f t="shared" si="262"/>
        <v>26125714233321.57</v>
      </c>
      <c r="S782" s="95">
        <f t="shared" si="263"/>
        <v>20891043543655.375</v>
      </c>
      <c r="T782">
        <f t="shared" si="245"/>
        <v>0.5</v>
      </c>
    </row>
    <row r="783" spans="1:20" x14ac:dyDescent="0.25">
      <c r="A783">
        <v>370</v>
      </c>
      <c r="B783" s="95">
        <f t="shared" si="246"/>
        <v>8820.8088611270359</v>
      </c>
      <c r="C783" s="95">
        <f t="shared" si="247"/>
        <v>6571.3124812201186</v>
      </c>
      <c r="D783" s="95">
        <f t="shared" si="248"/>
        <v>197.65777033047058</v>
      </c>
      <c r="E783" s="95">
        <f t="shared" si="249"/>
        <v>-183.86698098942114</v>
      </c>
      <c r="F783" s="96">
        <f t="shared" si="250"/>
        <v>52.812187369084938</v>
      </c>
      <c r="G783" s="94">
        <f t="shared" si="251"/>
        <v>-48.549511163586999</v>
      </c>
      <c r="H783" s="97">
        <f t="shared" si="252"/>
        <v>596.42540620687373</v>
      </c>
      <c r="I783" s="94">
        <f t="shared" si="253"/>
        <v>469.72268733034986</v>
      </c>
      <c r="J783" s="95">
        <f t="shared" si="254"/>
        <v>-196.57154703318079</v>
      </c>
      <c r="K783" s="94">
        <f t="shared" si="255"/>
        <v>23.385270451898183</v>
      </c>
      <c r="L783" s="94">
        <f t="shared" si="256"/>
        <v>-347.04167180460803</v>
      </c>
      <c r="M783" s="94">
        <f t="shared" si="257"/>
        <v>-541.65746894583503</v>
      </c>
      <c r="N783" s="99">
        <f t="shared" si="258"/>
        <v>1527.5773256022285</v>
      </c>
      <c r="O783" s="99">
        <f t="shared" si="259"/>
        <v>28915.152795460519</v>
      </c>
      <c r="P783" s="100">
        <f t="shared" si="260"/>
        <v>25643.497430961233</v>
      </c>
      <c r="Q783" s="95">
        <f t="shared" si="261"/>
        <v>1035205794529.9712</v>
      </c>
      <c r="R783" s="95">
        <f t="shared" si="262"/>
        <v>26331660799870.367</v>
      </c>
      <c r="S783" s="95">
        <f t="shared" si="263"/>
        <v>20852131560553.84</v>
      </c>
      <c r="T783">
        <f t="shared" si="245"/>
        <v>0.5</v>
      </c>
    </row>
    <row r="784" spans="1:20" x14ac:dyDescent="0.25">
      <c r="A784">
        <v>370.5</v>
      </c>
      <c r="B784" s="95">
        <f t="shared" si="246"/>
        <v>8932.8407931345428</v>
      </c>
      <c r="C784" s="95">
        <f t="shared" si="247"/>
        <v>6467.2416129345111</v>
      </c>
      <c r="D784" s="95">
        <f t="shared" si="248"/>
        <v>224.06386401501305</v>
      </c>
      <c r="E784" s="95">
        <f t="shared" si="249"/>
        <v>-208.14173657121464</v>
      </c>
      <c r="F784" s="96">
        <f t="shared" si="250"/>
        <v>-5.5703329801095265</v>
      </c>
      <c r="G784" s="94">
        <f t="shared" si="251"/>
        <v>6.4339341635445635</v>
      </c>
      <c r="H784" s="97">
        <f t="shared" si="252"/>
        <v>540.39839958266816</v>
      </c>
      <c r="I784" s="94">
        <f t="shared" si="253"/>
        <v>522.97817976482202</v>
      </c>
      <c r="J784" s="95">
        <f t="shared" si="254"/>
        <v>-195.24440005414175</v>
      </c>
      <c r="K784" s="94">
        <f t="shared" si="255"/>
        <v>23.839736192877041</v>
      </c>
      <c r="L784" s="94">
        <f t="shared" si="256"/>
        <v>-350.72433250863594</v>
      </c>
      <c r="M784" s="94">
        <f t="shared" si="257"/>
        <v>-540.38398179415447</v>
      </c>
      <c r="N784" s="99">
        <f t="shared" si="258"/>
        <v>1500.9837605830553</v>
      </c>
      <c r="O784" s="99">
        <f t="shared" si="259"/>
        <v>29024.040406377877</v>
      </c>
      <c r="P784" s="100">
        <f t="shared" si="260"/>
        <v>25619.060867608914</v>
      </c>
      <c r="Q784" s="95">
        <f t="shared" si="261"/>
        <v>1033983917263.1146</v>
      </c>
      <c r="R784" s="95">
        <f t="shared" si="262"/>
        <v>26613698540470.531</v>
      </c>
      <c r="S784" s="95">
        <f t="shared" si="263"/>
        <v>20800434140712.625</v>
      </c>
      <c r="T784">
        <f t="shared" si="245"/>
        <v>0.5</v>
      </c>
    </row>
    <row r="785" spans="1:20" x14ac:dyDescent="0.25">
      <c r="A785">
        <v>371</v>
      </c>
      <c r="B785" s="95">
        <f t="shared" si="246"/>
        <v>9043.4801418970219</v>
      </c>
      <c r="C785" s="95">
        <f t="shared" si="247"/>
        <v>6364.77922818979</v>
      </c>
      <c r="D785" s="95">
        <f t="shared" si="248"/>
        <v>221.27869752495829</v>
      </c>
      <c r="E785" s="95">
        <f t="shared" si="249"/>
        <v>-204.92476948944235</v>
      </c>
      <c r="F785" s="96">
        <f t="shared" si="250"/>
        <v>-63.40406550834922</v>
      </c>
      <c r="G785" s="94">
        <f t="shared" si="251"/>
        <v>60.233246074432486</v>
      </c>
      <c r="H785" s="97">
        <f t="shared" si="252"/>
        <v>484.70972214646571</v>
      </c>
      <c r="I785" s="94">
        <f t="shared" si="253"/>
        <v>575.26515546714711</v>
      </c>
      <c r="J785" s="95">
        <f t="shared" si="254"/>
        <v>-193.64187220449244</v>
      </c>
      <c r="K785" s="94">
        <f t="shared" si="255"/>
        <v>24.237142129345752</v>
      </c>
      <c r="L785" s="94">
        <f t="shared" si="256"/>
        <v>-354.47191545032246</v>
      </c>
      <c r="M785" s="94">
        <f t="shared" si="257"/>
        <v>-539.26905152206041</v>
      </c>
      <c r="N785" s="99">
        <f t="shared" si="258"/>
        <v>1485.0652035691301</v>
      </c>
      <c r="O785" s="99">
        <f t="shared" si="259"/>
        <v>29147.721320580993</v>
      </c>
      <c r="P785" s="100">
        <f t="shared" si="260"/>
        <v>25592.313592853247</v>
      </c>
      <c r="Q785" s="95">
        <f t="shared" si="261"/>
        <v>1033263010117.3013</v>
      </c>
      <c r="R785" s="95">
        <f t="shared" si="262"/>
        <v>26936559487999.465</v>
      </c>
      <c r="S785" s="95">
        <f t="shared" si="263"/>
        <v>20743953715190.203</v>
      </c>
      <c r="T785">
        <f t="shared" si="245"/>
        <v>0.5</v>
      </c>
    </row>
    <row r="786" spans="1:20" x14ac:dyDescent="0.25">
      <c r="A786">
        <v>371.5</v>
      </c>
      <c r="B786" s="95">
        <f t="shared" si="246"/>
        <v>9138.2684742824131</v>
      </c>
      <c r="C786" s="95">
        <f t="shared" si="247"/>
        <v>6277.3751549636772</v>
      </c>
      <c r="D786" s="95">
        <f t="shared" si="248"/>
        <v>189.57666477078368</v>
      </c>
      <c r="E786" s="95">
        <f t="shared" si="249"/>
        <v>-174.80814645222611</v>
      </c>
      <c r="F786" s="96">
        <f t="shared" si="250"/>
        <v>-113.07412229617856</v>
      </c>
      <c r="G786" s="94">
        <f t="shared" si="251"/>
        <v>105.65323350146002</v>
      </c>
      <c r="H786" s="97">
        <f t="shared" si="252"/>
        <v>436.6876942033752</v>
      </c>
      <c r="I786" s="94">
        <f t="shared" si="253"/>
        <v>619.57257976615574</v>
      </c>
      <c r="J786" s="95">
        <f t="shared" si="254"/>
        <v>-191.97832160286387</v>
      </c>
      <c r="K786" s="94">
        <f t="shared" si="255"/>
        <v>24.526621076951091</v>
      </c>
      <c r="L786" s="94">
        <f t="shared" si="256"/>
        <v>-357.78349489668989</v>
      </c>
      <c r="M786" s="94">
        <f t="shared" si="257"/>
        <v>-538.44596734164679</v>
      </c>
      <c r="N786" s="99">
        <f t="shared" si="258"/>
        <v>1484.4717712690633</v>
      </c>
      <c r="O786" s="99">
        <f t="shared" si="259"/>
        <v>29270.096836405701</v>
      </c>
      <c r="P786" s="100">
        <f t="shared" si="260"/>
        <v>25567.032013222532</v>
      </c>
      <c r="Q786" s="95">
        <f t="shared" si="261"/>
        <v>1033236287052.4303</v>
      </c>
      <c r="R786" s="95">
        <f t="shared" si="262"/>
        <v>27258646799809.754</v>
      </c>
      <c r="S786" s="95">
        <f t="shared" si="263"/>
        <v>20690669546821.48</v>
      </c>
      <c r="T786">
        <f t="shared" ref="T786:T849" si="264">A787-A786</f>
        <v>0.5</v>
      </c>
    </row>
    <row r="787" spans="1:20" x14ac:dyDescent="0.25">
      <c r="A787">
        <v>372</v>
      </c>
      <c r="B787" s="95">
        <f t="shared" si="246"/>
        <v>9204.7882760937591</v>
      </c>
      <c r="C787" s="95">
        <f t="shared" si="247"/>
        <v>6216.3843901129294</v>
      </c>
      <c r="D787" s="95">
        <f t="shared" si="248"/>
        <v>133.03960362269441</v>
      </c>
      <c r="E787" s="95">
        <f t="shared" si="249"/>
        <v>-121.9815297014961</v>
      </c>
      <c r="F787" s="96">
        <f t="shared" si="250"/>
        <v>-147.91538044126108</v>
      </c>
      <c r="G787" s="94">
        <f t="shared" si="251"/>
        <v>136.80174644835995</v>
      </c>
      <c r="H787" s="97">
        <f t="shared" si="252"/>
        <v>402.77893411887408</v>
      </c>
      <c r="I787" s="94">
        <f t="shared" si="253"/>
        <v>650.15807944705421</v>
      </c>
      <c r="J787" s="95">
        <f t="shared" si="254"/>
        <v>-190.47079375096777</v>
      </c>
      <c r="K787" s="94">
        <f t="shared" si="255"/>
        <v>24.676373670329316</v>
      </c>
      <c r="L787" s="94">
        <f t="shared" si="256"/>
        <v>-360.22352080916738</v>
      </c>
      <c r="M787" s="94">
        <f t="shared" si="257"/>
        <v>-538.03270666902358</v>
      </c>
      <c r="N787" s="99">
        <f t="shared" si="258"/>
        <v>1495.7916747046204</v>
      </c>
      <c r="O787" s="99">
        <f t="shared" si="259"/>
        <v>29375.102134566991</v>
      </c>
      <c r="P787" s="100">
        <f t="shared" si="260"/>
        <v>25546.376043109394</v>
      </c>
      <c r="Q787" s="95">
        <f t="shared" si="261"/>
        <v>1033747919040.459</v>
      </c>
      <c r="R787" s="95">
        <f t="shared" si="262"/>
        <v>27537113386614.137</v>
      </c>
      <c r="S787" s="95">
        <f t="shared" si="263"/>
        <v>20647207412466.336</v>
      </c>
      <c r="T787">
        <f t="shared" si="264"/>
        <v>0.5</v>
      </c>
    </row>
    <row r="788" spans="1:20" x14ac:dyDescent="0.25">
      <c r="A788">
        <v>372.5</v>
      </c>
      <c r="B788" s="95">
        <f t="shared" si="246"/>
        <v>9234.3292327947911</v>
      </c>
      <c r="C788" s="95">
        <f t="shared" si="247"/>
        <v>6189.5940618742716</v>
      </c>
      <c r="D788" s="95">
        <f t="shared" si="248"/>
        <v>59.081913402063876</v>
      </c>
      <c r="E788" s="95">
        <f t="shared" si="249"/>
        <v>-53.580656477316126</v>
      </c>
      <c r="F788" s="96">
        <f t="shared" si="250"/>
        <v>-163.21837535355863</v>
      </c>
      <c r="G788" s="94">
        <f t="shared" si="251"/>
        <v>149.87662081722999</v>
      </c>
      <c r="H788" s="97">
        <f t="shared" si="252"/>
        <v>387.57380259372866</v>
      </c>
      <c r="I788" s="94">
        <f t="shared" si="253"/>
        <v>663.31252822229442</v>
      </c>
      <c r="J788" s="95">
        <f t="shared" si="254"/>
        <v>-189.31074788247477</v>
      </c>
      <c r="K788" s="94">
        <f t="shared" si="255"/>
        <v>24.674785323044119</v>
      </c>
      <c r="L788" s="94">
        <f t="shared" si="256"/>
        <v>-361.48143006481251</v>
      </c>
      <c r="M788" s="94">
        <f t="shared" si="257"/>
        <v>-538.11069272810857</v>
      </c>
      <c r="N788" s="99">
        <f t="shared" si="258"/>
        <v>1509.9770593567612</v>
      </c>
      <c r="O788" s="99">
        <f t="shared" si="259"/>
        <v>29448.860849527686</v>
      </c>
      <c r="P788" s="100">
        <f t="shared" si="260"/>
        <v>25532.547396561869</v>
      </c>
      <c r="Q788" s="95">
        <f t="shared" si="261"/>
        <v>1034394671510.6088</v>
      </c>
      <c r="R788" s="95">
        <f t="shared" si="262"/>
        <v>27733878255145.063</v>
      </c>
      <c r="S788" s="95">
        <f t="shared" si="263"/>
        <v>20618147262552.633</v>
      </c>
      <c r="T788">
        <f t="shared" si="264"/>
        <v>0.5</v>
      </c>
    </row>
    <row r="789" spans="1:20" x14ac:dyDescent="0.25">
      <c r="A789">
        <v>373</v>
      </c>
      <c r="B789" s="95">
        <f t="shared" si="246"/>
        <v>9223.0655956574337</v>
      </c>
      <c r="C789" s="95">
        <f t="shared" si="247"/>
        <v>6200.2728888399215</v>
      </c>
      <c r="D789" s="95">
        <f t="shared" si="248"/>
        <v>-22.527274274715438</v>
      </c>
      <c r="E789" s="95">
        <f t="shared" si="249"/>
        <v>21.35765393129887</v>
      </c>
      <c r="F789" s="96">
        <f t="shared" si="250"/>
        <v>-156.9097663950123</v>
      </c>
      <c r="G789" s="94">
        <f t="shared" si="251"/>
        <v>143.50966391169834</v>
      </c>
      <c r="H789" s="97">
        <f t="shared" si="252"/>
        <v>393.1404913160888</v>
      </c>
      <c r="I789" s="94">
        <f t="shared" si="253"/>
        <v>657.68146217015067</v>
      </c>
      <c r="J789" s="95">
        <f t="shared" si="254"/>
        <v>-188.64151408164605</v>
      </c>
      <c r="K789" s="94">
        <f t="shared" si="255"/>
        <v>24.528100003746051</v>
      </c>
      <c r="L789" s="94">
        <f t="shared" si="256"/>
        <v>-361.40874362945505</v>
      </c>
      <c r="M789" s="94">
        <f t="shared" si="257"/>
        <v>-538.69989826219842</v>
      </c>
      <c r="N789" s="99">
        <f t="shared" si="258"/>
        <v>1517.7007104260654</v>
      </c>
      <c r="O789" s="99">
        <f t="shared" si="259"/>
        <v>29481.607810713853</v>
      </c>
      <c r="P789" s="100">
        <f t="shared" si="260"/>
        <v>25526.751168423561</v>
      </c>
      <c r="Q789" s="95">
        <f t="shared" si="261"/>
        <v>1034749438990.9805</v>
      </c>
      <c r="R789" s="95">
        <f t="shared" si="262"/>
        <v>27821544869295.992</v>
      </c>
      <c r="S789" s="95">
        <f t="shared" si="263"/>
        <v>20605975539916.547</v>
      </c>
      <c r="T789">
        <f t="shared" si="264"/>
        <v>0.5</v>
      </c>
    </row>
    <row r="790" spans="1:20" x14ac:dyDescent="0.25">
      <c r="A790">
        <v>373.5</v>
      </c>
      <c r="B790" s="95">
        <f t="shared" si="246"/>
        <v>9172.5745169213242</v>
      </c>
      <c r="C790" s="95">
        <f t="shared" si="247"/>
        <v>6246.8291317834955</v>
      </c>
      <c r="D790" s="95">
        <f t="shared" si="248"/>
        <v>-100.98215747222159</v>
      </c>
      <c r="E790" s="95">
        <f t="shared" si="249"/>
        <v>93.11248588714804</v>
      </c>
      <c r="F790" s="96">
        <f t="shared" si="250"/>
        <v>-129.82000786437814</v>
      </c>
      <c r="G790" s="94">
        <f t="shared" si="251"/>
        <v>118.73724569529918</v>
      </c>
      <c r="H790" s="97">
        <f t="shared" si="252"/>
        <v>418.75419011515078</v>
      </c>
      <c r="I790" s="94">
        <f t="shared" si="253"/>
        <v>634.22092107115441</v>
      </c>
      <c r="J790" s="95">
        <f t="shared" si="254"/>
        <v>-188.54338382795279</v>
      </c>
      <c r="K790" s="94">
        <f t="shared" si="255"/>
        <v>24.256876442892509</v>
      </c>
      <c r="L790" s="94">
        <f t="shared" si="256"/>
        <v>-360.03081415157612</v>
      </c>
      <c r="M790" s="94">
        <f t="shared" si="257"/>
        <v>-539.74055181874769</v>
      </c>
      <c r="N790" s="99">
        <f t="shared" si="258"/>
        <v>1514.2383009736814</v>
      </c>
      <c r="O790" s="99">
        <f t="shared" si="259"/>
        <v>29469.059858220484</v>
      </c>
      <c r="P790" s="100">
        <f t="shared" si="260"/>
        <v>25529.33930793461</v>
      </c>
      <c r="Q790" s="95">
        <f t="shared" si="261"/>
        <v>1034590172625.3574</v>
      </c>
      <c r="R790" s="95">
        <f t="shared" si="262"/>
        <v>27787930437445.711</v>
      </c>
      <c r="S790" s="95">
        <f t="shared" si="263"/>
        <v>20611409836191.02</v>
      </c>
      <c r="T790">
        <f t="shared" si="264"/>
        <v>0.5</v>
      </c>
    </row>
    <row r="791" spans="1:20" x14ac:dyDescent="0.25">
      <c r="A791">
        <v>374</v>
      </c>
      <c r="B791" s="95">
        <f t="shared" si="246"/>
        <v>9089.6284362191182</v>
      </c>
      <c r="C791" s="95">
        <f t="shared" si="247"/>
        <v>6323.0696861508941</v>
      </c>
      <c r="D791" s="95">
        <f t="shared" si="248"/>
        <v>-165.89216140441067</v>
      </c>
      <c r="E791" s="95">
        <f t="shared" si="249"/>
        <v>152.48110873479763</v>
      </c>
      <c r="F791" s="96">
        <f t="shared" si="250"/>
        <v>-85.574520618797123</v>
      </c>
      <c r="G791" s="94">
        <f t="shared" si="251"/>
        <v>78.768227863860602</v>
      </c>
      <c r="H791" s="97">
        <f t="shared" si="252"/>
        <v>460.98843424793961</v>
      </c>
      <c r="I791" s="94">
        <f t="shared" si="253"/>
        <v>595.96683836098225</v>
      </c>
      <c r="J791" s="95">
        <f t="shared" si="254"/>
        <v>-189.02630927864899</v>
      </c>
      <c r="K791" s="94">
        <f t="shared" si="255"/>
        <v>23.892933807167505</v>
      </c>
      <c r="L791" s="94">
        <f t="shared" si="256"/>
        <v>-357.53664558808771</v>
      </c>
      <c r="M791" s="94">
        <f t="shared" si="257"/>
        <v>-541.09154430428919</v>
      </c>
      <c r="N791" s="99">
        <f t="shared" si="258"/>
        <v>1501.6891006445001</v>
      </c>
      <c r="O791" s="99">
        <f t="shared" si="259"/>
        <v>29413.014050099602</v>
      </c>
      <c r="P791" s="100">
        <f t="shared" si="260"/>
        <v>25539.961170543927</v>
      </c>
      <c r="Q791" s="95">
        <f t="shared" si="261"/>
        <v>1034016041883.6123</v>
      </c>
      <c r="R791" s="95">
        <f t="shared" si="262"/>
        <v>27638130397027.391</v>
      </c>
      <c r="S791" s="95">
        <f t="shared" si="263"/>
        <v>20633723252912.621</v>
      </c>
      <c r="T791">
        <f t="shared" si="264"/>
        <v>0.5</v>
      </c>
    </row>
    <row r="792" spans="1:20" x14ac:dyDescent="0.25">
      <c r="A792">
        <v>374.5</v>
      </c>
      <c r="B792" s="95">
        <f t="shared" si="246"/>
        <v>8985.2887253622121</v>
      </c>
      <c r="C792" s="95">
        <f t="shared" si="247"/>
        <v>6419.0022974842577</v>
      </c>
      <c r="D792" s="95">
        <f t="shared" si="248"/>
        <v>-208.67942171380923</v>
      </c>
      <c r="E792" s="95">
        <f t="shared" si="249"/>
        <v>191.86522266672793</v>
      </c>
      <c r="F792" s="96">
        <f t="shared" si="250"/>
        <v>-30.14796827704339</v>
      </c>
      <c r="G792" s="94">
        <f t="shared" si="251"/>
        <v>28.646143767083913</v>
      </c>
      <c r="H792" s="97">
        <f t="shared" si="252"/>
        <v>514.13350383707109</v>
      </c>
      <c r="I792" s="94">
        <f t="shared" si="253"/>
        <v>547.719484670783</v>
      </c>
      <c r="J792" s="95">
        <f t="shared" si="254"/>
        <v>-190.0293696121993</v>
      </c>
      <c r="K792" s="94">
        <f t="shared" si="255"/>
        <v>23.47724538608324</v>
      </c>
      <c r="L792" s="94">
        <f t="shared" si="256"/>
        <v>-354.2521025019152</v>
      </c>
      <c r="M792" s="94">
        <f t="shared" si="257"/>
        <v>-542.55058628978236</v>
      </c>
      <c r="N792" s="99">
        <f t="shared" si="258"/>
        <v>1487.9319029437479</v>
      </c>
      <c r="O792" s="99">
        <f t="shared" si="259"/>
        <v>29321.089664099974</v>
      </c>
      <c r="P792" s="100">
        <f t="shared" si="260"/>
        <v>25557.60024554656</v>
      </c>
      <c r="Q792" s="95">
        <f t="shared" si="261"/>
        <v>1033392255165.1182</v>
      </c>
      <c r="R792" s="95">
        <f t="shared" si="262"/>
        <v>27393633780144.203</v>
      </c>
      <c r="S792" s="95">
        <f t="shared" si="263"/>
        <v>20670816069323.848</v>
      </c>
      <c r="T792">
        <f t="shared" si="264"/>
        <v>0.5</v>
      </c>
    </row>
    <row r="793" spans="1:20" x14ac:dyDescent="0.25">
      <c r="A793">
        <v>375</v>
      </c>
      <c r="B793" s="95">
        <f t="shared" si="246"/>
        <v>8873.4120224360468</v>
      </c>
      <c r="C793" s="95">
        <f t="shared" si="247"/>
        <v>6522.0964447593924</v>
      </c>
      <c r="D793" s="95">
        <f t="shared" si="248"/>
        <v>-223.75340585233093</v>
      </c>
      <c r="E793" s="95">
        <f t="shared" si="249"/>
        <v>206.18829455026989</v>
      </c>
      <c r="F793" s="96">
        <f t="shared" si="250"/>
        <v>28.924188764917517</v>
      </c>
      <c r="G793" s="94">
        <f t="shared" si="251"/>
        <v>-25.236761138821521</v>
      </c>
      <c r="H793" s="97">
        <f t="shared" si="252"/>
        <v>570.95107688348992</v>
      </c>
      <c r="I793" s="94">
        <f t="shared" si="253"/>
        <v>495.59830130632042</v>
      </c>
      <c r="J793" s="95">
        <f t="shared" si="254"/>
        <v>-191.42662613537973</v>
      </c>
      <c r="K793" s="94">
        <f t="shared" si="255"/>
        <v>23.058007245095293</v>
      </c>
      <c r="L793" s="94">
        <f t="shared" si="256"/>
        <v>-350.60026198319269</v>
      </c>
      <c r="M793" s="94">
        <f t="shared" si="257"/>
        <v>-543.89306969023721</v>
      </c>
      <c r="N793" s="99">
        <f t="shared" si="258"/>
        <v>1482.6311084424733</v>
      </c>
      <c r="O793" s="99">
        <f t="shared" si="259"/>
        <v>29205.658818763746</v>
      </c>
      <c r="P793" s="100">
        <f t="shared" si="260"/>
        <v>25580.49960714957</v>
      </c>
      <c r="Q793" s="95">
        <f t="shared" si="261"/>
        <v>1033153468903.2954</v>
      </c>
      <c r="R793" s="95">
        <f t="shared" si="262"/>
        <v>27088721335239.629</v>
      </c>
      <c r="S793" s="95">
        <f t="shared" si="263"/>
        <v>20719041985959.68</v>
      </c>
      <c r="T793">
        <f t="shared" si="264"/>
        <v>0.5</v>
      </c>
    </row>
    <row r="794" spans="1:20" x14ac:dyDescent="0.25">
      <c r="A794">
        <v>375.5</v>
      </c>
      <c r="B794" s="95">
        <f t="shared" si="246"/>
        <v>8768.7663667011111</v>
      </c>
      <c r="C794" s="95">
        <f t="shared" si="247"/>
        <v>6618.8814017498216</v>
      </c>
      <c r="D794" s="95">
        <f t="shared" si="248"/>
        <v>-209.29131146987217</v>
      </c>
      <c r="E794" s="95">
        <f t="shared" si="249"/>
        <v>193.56991398085913</v>
      </c>
      <c r="F794" s="96">
        <f t="shared" si="250"/>
        <v>83.644164450771257</v>
      </c>
      <c r="G794" s="94">
        <f t="shared" si="251"/>
        <v>-75.862047402967733</v>
      </c>
      <c r="H794" s="97">
        <f t="shared" si="252"/>
        <v>623.73520057773567</v>
      </c>
      <c r="I794" s="94">
        <f t="shared" si="253"/>
        <v>446.36912991064594</v>
      </c>
      <c r="J794" s="95">
        <f t="shared" si="254"/>
        <v>-193.03988615446377</v>
      </c>
      <c r="K794" s="94">
        <f t="shared" si="255"/>
        <v>22.687477834865462</v>
      </c>
      <c r="L794" s="94">
        <f t="shared" si="256"/>
        <v>-347.05114997250064</v>
      </c>
      <c r="M794" s="94">
        <f t="shared" si="257"/>
        <v>-544.91865514847916</v>
      </c>
      <c r="N794" s="99">
        <f t="shared" si="258"/>
        <v>1491.8095838758572</v>
      </c>
      <c r="O794" s="99">
        <f t="shared" si="259"/>
        <v>29082.120537486764</v>
      </c>
      <c r="P794" s="100">
        <f t="shared" si="260"/>
        <v>25606.096862306018</v>
      </c>
      <c r="Q794" s="95">
        <f t="shared" si="261"/>
        <v>1033567485486.8127</v>
      </c>
      <c r="R794" s="95">
        <f t="shared" si="262"/>
        <v>26764980350887.75</v>
      </c>
      <c r="S794" s="95">
        <f t="shared" si="263"/>
        <v>20773045159697.598</v>
      </c>
      <c r="T794">
        <f t="shared" si="264"/>
        <v>0.5</v>
      </c>
    </row>
    <row r="795" spans="1:20" x14ac:dyDescent="0.25">
      <c r="A795">
        <v>376</v>
      </c>
      <c r="B795" s="95">
        <f t="shared" si="246"/>
        <v>8685.0317520788685</v>
      </c>
      <c r="C795" s="95">
        <f t="shared" si="247"/>
        <v>6696.7008468895092</v>
      </c>
      <c r="D795" s="95">
        <f t="shared" si="248"/>
        <v>-167.46922924448654</v>
      </c>
      <c r="E795" s="95">
        <f t="shared" si="249"/>
        <v>155.63889027937526</v>
      </c>
      <c r="F795" s="96">
        <f t="shared" si="250"/>
        <v>126.77902014097543</v>
      </c>
      <c r="G795" s="94">
        <f t="shared" si="251"/>
        <v>-116.52646319006078</v>
      </c>
      <c r="H795" s="97">
        <f t="shared" si="252"/>
        <v>665.5021046466685</v>
      </c>
      <c r="I795" s="94">
        <f t="shared" si="253"/>
        <v>406.54766980197212</v>
      </c>
      <c r="J795" s="95">
        <f t="shared" si="254"/>
        <v>-194.65897454605565</v>
      </c>
      <c r="K795" s="94">
        <f t="shared" si="255"/>
        <v>22.416458566992571</v>
      </c>
      <c r="L795" s="94">
        <f t="shared" si="256"/>
        <v>-344.06410995963739</v>
      </c>
      <c r="M795" s="94">
        <f t="shared" si="257"/>
        <v>-545.49059155902546</v>
      </c>
      <c r="N795" s="99">
        <f t="shared" si="258"/>
        <v>1514.0364077355412</v>
      </c>
      <c r="O795" s="99">
        <f t="shared" si="259"/>
        <v>28966.772019630807</v>
      </c>
      <c r="P795" s="100">
        <f t="shared" si="260"/>
        <v>25631.132638331143</v>
      </c>
      <c r="Q795" s="95">
        <f t="shared" si="261"/>
        <v>1034580897272.5861</v>
      </c>
      <c r="R795" s="95">
        <f t="shared" si="262"/>
        <v>26465106505751.227</v>
      </c>
      <c r="S795" s="95">
        <f t="shared" si="263"/>
        <v>20825961389151.945</v>
      </c>
      <c r="T795">
        <f t="shared" si="264"/>
        <v>0.5</v>
      </c>
    </row>
    <row r="796" spans="1:20" x14ac:dyDescent="0.25">
      <c r="A796">
        <v>376.5</v>
      </c>
      <c r="B796" s="95">
        <f t="shared" si="246"/>
        <v>8632.9918924918693</v>
      </c>
      <c r="C796" s="95">
        <f t="shared" si="247"/>
        <v>6745.3886762316815</v>
      </c>
      <c r="D796" s="95">
        <f t="shared" si="248"/>
        <v>-104.07971917399882</v>
      </c>
      <c r="E796" s="95">
        <f t="shared" si="249"/>
        <v>97.37565868434487</v>
      </c>
      <c r="F796" s="96">
        <f t="shared" si="250"/>
        <v>152.90942664596895</v>
      </c>
      <c r="G796" s="94">
        <f t="shared" si="251"/>
        <v>-141.82153157966769</v>
      </c>
      <c r="H796" s="97">
        <f t="shared" si="252"/>
        <v>691.00702256480406</v>
      </c>
      <c r="I796" s="94">
        <f t="shared" si="253"/>
        <v>381.44742607368158</v>
      </c>
      <c r="J796" s="95">
        <f t="shared" si="254"/>
        <v>-196.0686565730071</v>
      </c>
      <c r="K796" s="94">
        <f t="shared" si="255"/>
        <v>22.286433507002108</v>
      </c>
      <c r="L796" s="94">
        <f t="shared" si="256"/>
        <v>-342.02893934582801</v>
      </c>
      <c r="M796" s="94">
        <f t="shared" si="257"/>
        <v>-545.55539116035141</v>
      </c>
      <c r="N796" s="99">
        <f t="shared" si="258"/>
        <v>1540.9188889843626</v>
      </c>
      <c r="O796" s="99">
        <f t="shared" si="259"/>
        <v>28874.605311808391</v>
      </c>
      <c r="P796" s="100">
        <f t="shared" si="260"/>
        <v>25652.035429860585</v>
      </c>
      <c r="Q796" s="95">
        <f t="shared" si="261"/>
        <v>1035827058120.9313</v>
      </c>
      <c r="R796" s="95">
        <f t="shared" si="262"/>
        <v>26227162042228.426</v>
      </c>
      <c r="S796" s="95">
        <f t="shared" si="263"/>
        <v>20870216059211.215</v>
      </c>
      <c r="T796">
        <f t="shared" si="264"/>
        <v>0.5</v>
      </c>
    </row>
    <row r="797" spans="1:20" x14ac:dyDescent="0.25">
      <c r="A797">
        <v>377</v>
      </c>
      <c r="B797" s="95">
        <f t="shared" si="246"/>
        <v>8619.1793895663632</v>
      </c>
      <c r="C797" s="95">
        <f t="shared" si="247"/>
        <v>6758.6211226789374</v>
      </c>
      <c r="D797" s="95">
        <f t="shared" si="248"/>
        <v>-27.62500585101435</v>
      </c>
      <c r="E797" s="95">
        <f t="shared" si="249"/>
        <v>26.464892894511024</v>
      </c>
      <c r="F797" s="96">
        <f t="shared" si="250"/>
        <v>159.04500946491618</v>
      </c>
      <c r="G797" s="94">
        <f t="shared" si="251"/>
        <v>-148.40920562739814</v>
      </c>
      <c r="H797" s="97">
        <f t="shared" si="252"/>
        <v>697.33794382084454</v>
      </c>
      <c r="I797" s="94">
        <f t="shared" si="253"/>
        <v>374.40896956261281</v>
      </c>
      <c r="J797" s="95">
        <f t="shared" si="254"/>
        <v>-197.0788701314919</v>
      </c>
      <c r="K797" s="94">
        <f t="shared" si="255"/>
        <v>22.320950510670734</v>
      </c>
      <c r="L797" s="94">
        <f t="shared" si="256"/>
        <v>-341.21406422443647</v>
      </c>
      <c r="M797" s="94">
        <f t="shared" si="257"/>
        <v>-545.13912570068169</v>
      </c>
      <c r="N797" s="99">
        <f t="shared" si="258"/>
        <v>1561.4574653035975</v>
      </c>
      <c r="O797" s="99">
        <f t="shared" si="259"/>
        <v>28817.368366738592</v>
      </c>
      <c r="P797" s="100">
        <f t="shared" si="260"/>
        <v>25665.548827584695</v>
      </c>
      <c r="Q797" s="95">
        <f t="shared" si="261"/>
        <v>1036794265033.8488</v>
      </c>
      <c r="R797" s="95">
        <f t="shared" si="262"/>
        <v>26080136221673.055</v>
      </c>
      <c r="S797" s="95">
        <f t="shared" si="263"/>
        <v>20898862036179.34</v>
      </c>
      <c r="T797">
        <f t="shared" si="264"/>
        <v>0.5</v>
      </c>
    </row>
    <row r="798" spans="1:20" x14ac:dyDescent="0.25">
      <c r="A798">
        <v>377.5</v>
      </c>
      <c r="B798" s="95">
        <f t="shared" si="246"/>
        <v>8645.1281390070835</v>
      </c>
      <c r="C798" s="95">
        <f t="shared" si="247"/>
        <v>6734.7512677193436</v>
      </c>
      <c r="D798" s="95">
        <f t="shared" si="248"/>
        <v>51.897498881443738</v>
      </c>
      <c r="E798" s="95">
        <f t="shared" si="249"/>
        <v>-47.739709919188044</v>
      </c>
      <c r="F798" s="96">
        <f t="shared" si="250"/>
        <v>144.76901266424721</v>
      </c>
      <c r="G798" s="94">
        <f t="shared" si="251"/>
        <v>-135.44675644349832</v>
      </c>
      <c r="H798" s="97">
        <f t="shared" si="252"/>
        <v>684.05148659068675</v>
      </c>
      <c r="I798" s="94">
        <f t="shared" si="253"/>
        <v>386.36091574342493</v>
      </c>
      <c r="J798" s="95">
        <f t="shared" si="254"/>
        <v>-197.5529100498037</v>
      </c>
      <c r="K798" s="94">
        <f t="shared" si="255"/>
        <v>22.518991221410385</v>
      </c>
      <c r="L798" s="94">
        <f t="shared" si="256"/>
        <v>-341.72956387663584</v>
      </c>
      <c r="M798" s="94">
        <f t="shared" si="257"/>
        <v>-544.32666340833362</v>
      </c>
      <c r="N798" s="99">
        <f t="shared" si="258"/>
        <v>1567.2613687372507</v>
      </c>
      <c r="O798" s="99">
        <f t="shared" si="259"/>
        <v>28802.152106370857</v>
      </c>
      <c r="P798" s="100">
        <f t="shared" si="260"/>
        <v>25669.430075587563</v>
      </c>
      <c r="Q798" s="95">
        <f t="shared" si="261"/>
        <v>1037069959520.4097</v>
      </c>
      <c r="R798" s="95">
        <f t="shared" si="262"/>
        <v>26041145269457.895</v>
      </c>
      <c r="S798" s="95">
        <f t="shared" si="263"/>
        <v>20907094795711.586</v>
      </c>
      <c r="T798">
        <f t="shared" si="264"/>
        <v>0.5</v>
      </c>
    </row>
    <row r="799" spans="1:20" x14ac:dyDescent="0.25">
      <c r="A799">
        <v>378</v>
      </c>
      <c r="B799" s="95">
        <f t="shared" si="246"/>
        <v>8707.2691416138678</v>
      </c>
      <c r="C799" s="95">
        <f t="shared" si="247"/>
        <v>6677.0197236488748</v>
      </c>
      <c r="D799" s="95">
        <f t="shared" si="248"/>
        <v>124.28200521356734</v>
      </c>
      <c r="E799" s="95">
        <f t="shared" si="249"/>
        <v>-115.4630881409372</v>
      </c>
      <c r="F799" s="96">
        <f t="shared" si="250"/>
        <v>112.0740634084251</v>
      </c>
      <c r="G799" s="94">
        <f t="shared" si="251"/>
        <v>-104.66106569102004</v>
      </c>
      <c r="H799" s="97">
        <f t="shared" si="252"/>
        <v>653.01238478168489</v>
      </c>
      <c r="I799" s="94">
        <f t="shared" si="253"/>
        <v>415.7217331063469</v>
      </c>
      <c r="J799" s="95">
        <f t="shared" si="254"/>
        <v>-197.42798684548032</v>
      </c>
      <c r="K799" s="94">
        <f t="shared" si="255"/>
        <v>22.85307261554307</v>
      </c>
      <c r="L799" s="94">
        <f t="shared" si="256"/>
        <v>-343.51033452777949</v>
      </c>
      <c r="M799" s="94">
        <f t="shared" si="257"/>
        <v>-543.23587141291</v>
      </c>
      <c r="N799" s="99">
        <f t="shared" si="258"/>
        <v>1556.047358523371</v>
      </c>
      <c r="O799" s="99">
        <f t="shared" si="259"/>
        <v>28830.62981247194</v>
      </c>
      <c r="P799" s="100">
        <f t="shared" si="260"/>
        <v>25662.987639780964</v>
      </c>
      <c r="Q799" s="95">
        <f t="shared" si="261"/>
        <v>1036538219493.9666</v>
      </c>
      <c r="R799" s="95">
        <f t="shared" si="262"/>
        <v>26114150715034.438</v>
      </c>
      <c r="S799" s="95">
        <f t="shared" si="263"/>
        <v>20893430613118.734</v>
      </c>
      <c r="T799">
        <f t="shared" si="264"/>
        <v>0.5</v>
      </c>
    </row>
    <row r="800" spans="1:20" x14ac:dyDescent="0.25">
      <c r="A800">
        <v>378.5</v>
      </c>
      <c r="B800" s="95">
        <f t="shared" si="246"/>
        <v>8797.4286600727592</v>
      </c>
      <c r="C800" s="95">
        <f t="shared" si="247"/>
        <v>6593.1229131556511</v>
      </c>
      <c r="D800" s="95">
        <f t="shared" si="248"/>
        <v>180.3190369177799</v>
      </c>
      <c r="E800" s="95">
        <f t="shared" si="249"/>
        <v>-167.79362098644722</v>
      </c>
      <c r="F800" s="96">
        <f t="shared" si="250"/>
        <v>65.071412180246739</v>
      </c>
      <c r="G800" s="94">
        <f t="shared" si="251"/>
        <v>-60.133473943994204</v>
      </c>
      <c r="H800" s="97">
        <f t="shared" si="252"/>
        <v>608.1175950041893</v>
      </c>
      <c r="I800" s="94">
        <f t="shared" si="253"/>
        <v>458.59060057888746</v>
      </c>
      <c r="J800" s="95">
        <f t="shared" si="254"/>
        <v>-196.72424866164087</v>
      </c>
      <c r="K800" s="94">
        <f t="shared" si="255"/>
        <v>23.273443719690807</v>
      </c>
      <c r="L800" s="94">
        <f t="shared" si="256"/>
        <v>-346.32193416230166</v>
      </c>
      <c r="M800" s="94">
        <f t="shared" si="257"/>
        <v>-541.99751824257248</v>
      </c>
      <c r="N800" s="99">
        <f t="shared" si="258"/>
        <v>1532.465205962837</v>
      </c>
      <c r="O800" s="99">
        <f t="shared" si="259"/>
        <v>28898.95325934963</v>
      </c>
      <c r="P800" s="100">
        <f t="shared" si="260"/>
        <v>25647.26908308372</v>
      </c>
      <c r="Q800" s="95">
        <f t="shared" si="261"/>
        <v>1035432762229.4354</v>
      </c>
      <c r="R800" s="95">
        <f t="shared" si="262"/>
        <v>26289877236057.34</v>
      </c>
      <c r="S800" s="95">
        <f t="shared" si="263"/>
        <v>20860118982337.809</v>
      </c>
      <c r="T800">
        <f t="shared" si="264"/>
        <v>0.5</v>
      </c>
    </row>
    <row r="801" spans="1:20" x14ac:dyDescent="0.25">
      <c r="A801">
        <v>379</v>
      </c>
      <c r="B801" s="95">
        <f t="shared" si="246"/>
        <v>8903.8560315767099</v>
      </c>
      <c r="C801" s="95">
        <f t="shared" si="247"/>
        <v>6494.1927341764285</v>
      </c>
      <c r="D801" s="95">
        <f t="shared" si="248"/>
        <v>212.85474300790327</v>
      </c>
      <c r="E801" s="95">
        <f t="shared" si="249"/>
        <v>-197.86035795844433</v>
      </c>
      <c r="F801" s="96">
        <f t="shared" si="250"/>
        <v>9.6180868213218105</v>
      </c>
      <c r="G801" s="94">
        <f t="shared" si="251"/>
        <v>-7.8141994562373611</v>
      </c>
      <c r="H801" s="97">
        <f t="shared" si="252"/>
        <v>554.94856148730514</v>
      </c>
      <c r="I801" s="94">
        <f t="shared" si="253"/>
        <v>509.2134896341696</v>
      </c>
      <c r="J801" s="95">
        <f t="shared" si="254"/>
        <v>-195.54092383924402</v>
      </c>
      <c r="K801" s="94">
        <f t="shared" si="255"/>
        <v>23.717554876157454</v>
      </c>
      <c r="L801" s="94">
        <f t="shared" si="256"/>
        <v>-349.78955082673934</v>
      </c>
      <c r="M801" s="94">
        <f t="shared" si="257"/>
        <v>-540.74524396656443</v>
      </c>
      <c r="N801" s="99">
        <f t="shared" si="258"/>
        <v>1506.188526797921</v>
      </c>
      <c r="O801" s="99">
        <f t="shared" si="259"/>
        <v>28998.253549426816</v>
      </c>
      <c r="P801" s="100">
        <f t="shared" si="260"/>
        <v>25624.831604762687</v>
      </c>
      <c r="Q801" s="95">
        <f t="shared" si="261"/>
        <v>1034221330726.0269</v>
      </c>
      <c r="R801" s="95">
        <f t="shared" si="262"/>
        <v>26546719748246.652</v>
      </c>
      <c r="S801" s="95">
        <f t="shared" si="263"/>
        <v>20812634274014.086</v>
      </c>
      <c r="T801">
        <f t="shared" si="264"/>
        <v>0.5</v>
      </c>
    </row>
    <row r="802" spans="1:20" x14ac:dyDescent="0.25">
      <c r="A802">
        <v>379.5</v>
      </c>
      <c r="B802" s="95">
        <f t="shared" si="246"/>
        <v>9012.6879247859906</v>
      </c>
      <c r="C802" s="95">
        <f t="shared" si="247"/>
        <v>6393.3090053331471</v>
      </c>
      <c r="D802" s="95">
        <f t="shared" si="248"/>
        <v>217.66378641856417</v>
      </c>
      <c r="E802" s="95">
        <f t="shared" si="249"/>
        <v>-201.76745768656301</v>
      </c>
      <c r="F802" s="96">
        <f t="shared" si="250"/>
        <v>-47.232375891862432</v>
      </c>
      <c r="G802" s="94">
        <f t="shared" si="251"/>
        <v>45.253252302744158</v>
      </c>
      <c r="H802" s="97">
        <f t="shared" si="252"/>
        <v>500.25647874762092</v>
      </c>
      <c r="I802" s="94">
        <f t="shared" si="253"/>
        <v>560.7440179780416</v>
      </c>
      <c r="J802" s="95">
        <f t="shared" si="254"/>
        <v>-194.04069670368619</v>
      </c>
      <c r="K802" s="94">
        <f t="shared" si="255"/>
        <v>24.122026722045934</v>
      </c>
      <c r="L802" s="94">
        <f t="shared" si="256"/>
        <v>-353.44815793579716</v>
      </c>
      <c r="M802" s="94">
        <f t="shared" si="257"/>
        <v>-539.61279239734336</v>
      </c>
      <c r="N802" s="99">
        <f t="shared" si="258"/>
        <v>1487.6759914357183</v>
      </c>
      <c r="O802" s="99">
        <f t="shared" si="259"/>
        <v>29115.69298641567</v>
      </c>
      <c r="P802" s="100">
        <f t="shared" si="260"/>
        <v>25599.170569390226</v>
      </c>
      <c r="Q802" s="95">
        <f t="shared" si="261"/>
        <v>1033380707051.821</v>
      </c>
      <c r="R802" s="95">
        <f t="shared" si="262"/>
        <v>26852695281850.66</v>
      </c>
      <c r="S802" s="95">
        <f t="shared" si="263"/>
        <v>20758422630092.645</v>
      </c>
      <c r="T802">
        <f t="shared" si="264"/>
        <v>0.5</v>
      </c>
    </row>
    <row r="803" spans="1:20" x14ac:dyDescent="0.25">
      <c r="A803">
        <v>380</v>
      </c>
      <c r="B803" s="95">
        <f t="shared" si="246"/>
        <v>9109.711724022307</v>
      </c>
      <c r="C803" s="95">
        <f t="shared" si="247"/>
        <v>6303.7385895655516</v>
      </c>
      <c r="D803" s="95">
        <f t="shared" si="248"/>
        <v>194.04759847263296</v>
      </c>
      <c r="E803" s="95">
        <f t="shared" si="249"/>
        <v>-179.14083153519093</v>
      </c>
      <c r="F803" s="96">
        <f t="shared" si="250"/>
        <v>-98.047187000651775</v>
      </c>
      <c r="G803" s="94">
        <f t="shared" si="251"/>
        <v>91.951459762982722</v>
      </c>
      <c r="H803" s="97">
        <f t="shared" si="252"/>
        <v>451.18619259153019</v>
      </c>
      <c r="I803" s="94">
        <f t="shared" si="253"/>
        <v>606.24928540743383</v>
      </c>
      <c r="J803" s="95">
        <f t="shared" si="254"/>
        <v>-192.42535843998527</v>
      </c>
      <c r="K803" s="94">
        <f t="shared" si="255"/>
        <v>24.433578509256868</v>
      </c>
      <c r="L803" s="94">
        <f t="shared" si="256"/>
        <v>-356.80802115219672</v>
      </c>
      <c r="M803" s="94">
        <f t="shared" si="257"/>
        <v>-538.73140415370801</v>
      </c>
      <c r="N803" s="99">
        <f t="shared" si="258"/>
        <v>1483.0880255534739</v>
      </c>
      <c r="O803" s="99">
        <f t="shared" si="259"/>
        <v>29236.009997125697</v>
      </c>
      <c r="P803" s="100">
        <f t="shared" si="260"/>
        <v>25573.99251339359</v>
      </c>
      <c r="Q803" s="95">
        <f t="shared" si="261"/>
        <v>1033174017480.3196</v>
      </c>
      <c r="R803" s="95">
        <f t="shared" si="262"/>
        <v>27168667748978.793</v>
      </c>
      <c r="S803" s="95">
        <f t="shared" si="263"/>
        <v>20705329882681.531</v>
      </c>
      <c r="T803">
        <f t="shared" si="264"/>
        <v>0.5</v>
      </c>
    </row>
    <row r="804" spans="1:20" x14ac:dyDescent="0.25">
      <c r="A804">
        <v>380.5</v>
      </c>
      <c r="B804" s="95">
        <f t="shared" si="246"/>
        <v>9182.2237265084605</v>
      </c>
      <c r="C804" s="95">
        <f t="shared" si="247"/>
        <v>6237.1560387387017</v>
      </c>
      <c r="D804" s="95">
        <f t="shared" si="248"/>
        <v>145.02400497230707</v>
      </c>
      <c r="E804" s="95">
        <f t="shared" si="249"/>
        <v>-133.16510165369957</v>
      </c>
      <c r="F804" s="96">
        <f t="shared" si="250"/>
        <v>-136.04056754175173</v>
      </c>
      <c r="G804" s="94">
        <f t="shared" si="251"/>
        <v>126.16166986598819</v>
      </c>
      <c r="H804" s="97">
        <f t="shared" si="252"/>
        <v>414.29150042042619</v>
      </c>
      <c r="I804" s="94">
        <f t="shared" si="253"/>
        <v>639.76607840925635</v>
      </c>
      <c r="J804" s="95">
        <f t="shared" si="254"/>
        <v>-190.90709706491521</v>
      </c>
      <c r="K804" s="94">
        <f t="shared" si="255"/>
        <v>24.616137004669206</v>
      </c>
      <c r="L804" s="94">
        <f t="shared" si="256"/>
        <v>-359.42497089726271</v>
      </c>
      <c r="M804" s="94">
        <f t="shared" si="257"/>
        <v>-538.22054554793738</v>
      </c>
      <c r="N804" s="99">
        <f t="shared" si="258"/>
        <v>1491.1923338181257</v>
      </c>
      <c r="O804" s="99">
        <f t="shared" si="259"/>
        <v>29343.443306298406</v>
      </c>
      <c r="P804" s="100">
        <f t="shared" si="260"/>
        <v>25552.558439959728</v>
      </c>
      <c r="Q804" s="95">
        <f t="shared" si="261"/>
        <v>1033539561103.6736</v>
      </c>
      <c r="R804" s="95">
        <f t="shared" si="262"/>
        <v>27452952030815.535</v>
      </c>
      <c r="S804" s="95">
        <f t="shared" si="263"/>
        <v>20660208888445.723</v>
      </c>
      <c r="T804">
        <f t="shared" si="264"/>
        <v>0.5</v>
      </c>
    </row>
    <row r="805" spans="1:20" x14ac:dyDescent="0.25">
      <c r="A805">
        <v>381</v>
      </c>
      <c r="B805" s="95">
        <f t="shared" si="246"/>
        <v>9220.7255871091766</v>
      </c>
      <c r="C805" s="95">
        <f t="shared" si="247"/>
        <v>6202.113905378349</v>
      </c>
      <c r="D805" s="95">
        <f t="shared" si="248"/>
        <v>77.003721201431205</v>
      </c>
      <c r="E805" s="95">
        <f t="shared" si="249"/>
        <v>-70.084266720705472</v>
      </c>
      <c r="F805" s="96">
        <f t="shared" si="250"/>
        <v>-156.08719551335014</v>
      </c>
      <c r="G805" s="94">
        <f t="shared" si="251"/>
        <v>143.61773795636623</v>
      </c>
      <c r="H805" s="97">
        <f t="shared" si="252"/>
        <v>394.55527183012612</v>
      </c>
      <c r="I805" s="94">
        <f t="shared" si="253"/>
        <v>657.13411398730204</v>
      </c>
      <c r="J805" s="95">
        <f t="shared" si="254"/>
        <v>-189.68026675534088</v>
      </c>
      <c r="K805" s="94">
        <f t="shared" si="255"/>
        <v>24.653188210084505</v>
      </c>
      <c r="L805" s="94">
        <f t="shared" si="256"/>
        <v>-360.96220058813537</v>
      </c>
      <c r="M805" s="94">
        <f t="shared" si="257"/>
        <v>-538.16956424102034</v>
      </c>
      <c r="N805" s="99">
        <f t="shared" si="258"/>
        <v>1504.50420537127</v>
      </c>
      <c r="O805" s="99">
        <f t="shared" si="259"/>
        <v>29423.81987949209</v>
      </c>
      <c r="P805" s="100">
        <f t="shared" si="260"/>
        <v>25537.272102604755</v>
      </c>
      <c r="Q805" s="95">
        <f t="shared" si="261"/>
        <v>1034144409101.6796</v>
      </c>
      <c r="R805" s="95">
        <f t="shared" si="262"/>
        <v>27666969187780.262</v>
      </c>
      <c r="S805" s="95">
        <f t="shared" si="263"/>
        <v>20628072671868.867</v>
      </c>
      <c r="T805">
        <f t="shared" si="264"/>
        <v>0.5</v>
      </c>
    </row>
    <row r="806" spans="1:20" x14ac:dyDescent="0.25">
      <c r="A806">
        <v>381.5</v>
      </c>
      <c r="B806" s="95">
        <f t="shared" si="246"/>
        <v>9220.2056488315557</v>
      </c>
      <c r="C806" s="95">
        <f t="shared" si="247"/>
        <v>6202.9762065070881</v>
      </c>
      <c r="D806" s="95">
        <f t="shared" si="248"/>
        <v>-1.0398765552438647</v>
      </c>
      <c r="E806" s="95">
        <f t="shared" si="249"/>
        <v>1.7246022574776418</v>
      </c>
      <c r="F806" s="96">
        <f t="shared" si="250"/>
        <v>-155.4752810994481</v>
      </c>
      <c r="G806" s="94">
        <f t="shared" si="251"/>
        <v>142.35772963894169</v>
      </c>
      <c r="H806" s="97">
        <f t="shared" si="252"/>
        <v>394.65501223533801</v>
      </c>
      <c r="I806" s="94">
        <f t="shared" si="253"/>
        <v>656.4255567169381</v>
      </c>
      <c r="J806" s="95">
        <f t="shared" si="254"/>
        <v>-188.89778157466574</v>
      </c>
      <c r="K806" s="94">
        <f t="shared" si="255"/>
        <v>24.546349187166442</v>
      </c>
      <c r="L806" s="94">
        <f t="shared" si="256"/>
        <v>-361.23251176012036</v>
      </c>
      <c r="M806" s="94">
        <f t="shared" si="257"/>
        <v>-538.61417626516288</v>
      </c>
      <c r="N806" s="99">
        <f t="shared" si="258"/>
        <v>1513.8615938052524</v>
      </c>
      <c r="O806" s="99">
        <f t="shared" si="259"/>
        <v>29466.502042571279</v>
      </c>
      <c r="P806" s="100">
        <f t="shared" si="260"/>
        <v>25529.564631628553</v>
      </c>
      <c r="Q806" s="95">
        <f t="shared" si="261"/>
        <v>1034572867015.2883</v>
      </c>
      <c r="R806" s="95">
        <f t="shared" si="262"/>
        <v>27781081779316.922</v>
      </c>
      <c r="S806" s="95">
        <f t="shared" si="263"/>
        <v>20611882995262.027</v>
      </c>
      <c r="T806">
        <f t="shared" si="264"/>
        <v>0.5</v>
      </c>
    </row>
    <row r="807" spans="1:20" x14ac:dyDescent="0.25">
      <c r="A807">
        <v>382</v>
      </c>
      <c r="B807" s="95">
        <f t="shared" si="246"/>
        <v>9180.8168902790712</v>
      </c>
      <c r="C807" s="95">
        <f t="shared" si="247"/>
        <v>6239.4279400455625</v>
      </c>
      <c r="D807" s="95">
        <f t="shared" si="248"/>
        <v>-78.777517104967913</v>
      </c>
      <c r="E807" s="95">
        <f t="shared" si="249"/>
        <v>72.903467076948488</v>
      </c>
      <c r="F807" s="96">
        <f t="shared" si="250"/>
        <v>-134.27242389367905</v>
      </c>
      <c r="G807" s="94">
        <f t="shared" si="251"/>
        <v>122.78609782172862</v>
      </c>
      <c r="H807" s="97">
        <f t="shared" si="252"/>
        <v>414.5983935174458</v>
      </c>
      <c r="I807" s="94">
        <f t="shared" si="253"/>
        <v>637.9906333129012</v>
      </c>
      <c r="J807" s="95">
        <f t="shared" si="254"/>
        <v>-188.65454224036125</v>
      </c>
      <c r="K807" s="94">
        <f t="shared" si="255"/>
        <v>24.3121706702095</v>
      </c>
      <c r="L807" s="94">
        <f t="shared" si="256"/>
        <v>-360.21627517076359</v>
      </c>
      <c r="M807" s="94">
        <f t="shared" si="257"/>
        <v>-539.5167061613821</v>
      </c>
      <c r="N807" s="99">
        <f t="shared" si="258"/>
        <v>1513.3902176903875</v>
      </c>
      <c r="O807" s="99">
        <f t="shared" si="259"/>
        <v>29465.875311084161</v>
      </c>
      <c r="P807" s="100">
        <f t="shared" si="260"/>
        <v>25529.991161548933</v>
      </c>
      <c r="Q807" s="95">
        <f t="shared" si="261"/>
        <v>1034551218594.2336</v>
      </c>
      <c r="R807" s="95">
        <f t="shared" si="262"/>
        <v>27779403856112.023</v>
      </c>
      <c r="S807" s="95">
        <f t="shared" si="263"/>
        <v>20612778690285.121</v>
      </c>
      <c r="T807">
        <f t="shared" si="264"/>
        <v>0.5</v>
      </c>
    </row>
    <row r="808" spans="1:20" x14ac:dyDescent="0.25">
      <c r="A808">
        <v>382.5</v>
      </c>
      <c r="B808" s="95">
        <f t="shared" si="246"/>
        <v>9107.8600257531671</v>
      </c>
      <c r="C808" s="95">
        <f t="shared" si="247"/>
        <v>6306.5761980394691</v>
      </c>
      <c r="D808" s="95">
        <f t="shared" si="248"/>
        <v>-145.91372905180742</v>
      </c>
      <c r="E808" s="95">
        <f t="shared" si="249"/>
        <v>134.2965159878128</v>
      </c>
      <c r="F808" s="96">
        <f t="shared" si="250"/>
        <v>-95.312216219498623</v>
      </c>
      <c r="G808" s="94">
        <f t="shared" si="251"/>
        <v>87.493020608850884</v>
      </c>
      <c r="H808" s="97">
        <f t="shared" si="252"/>
        <v>451.72308307404865</v>
      </c>
      <c r="I808" s="94">
        <f t="shared" si="253"/>
        <v>604.27409912966095</v>
      </c>
      <c r="J808" s="95">
        <f t="shared" si="254"/>
        <v>-188.97836273809509</v>
      </c>
      <c r="K808" s="94">
        <f t="shared" si="255"/>
        <v>23.978993384428687</v>
      </c>
      <c r="L808" s="94">
        <f t="shared" si="256"/>
        <v>-358.05693655545218</v>
      </c>
      <c r="M808" s="94">
        <f t="shared" si="257"/>
        <v>-540.76007190523876</v>
      </c>
      <c r="N808" s="99">
        <f t="shared" si="258"/>
        <v>1503.363856686007</v>
      </c>
      <c r="O808" s="99">
        <f t="shared" si="259"/>
        <v>29422.134127253692</v>
      </c>
      <c r="P808" s="100">
        <f t="shared" si="260"/>
        <v>25538.380271583635</v>
      </c>
      <c r="Q808" s="95">
        <f t="shared" si="261"/>
        <v>1034092380223.4973</v>
      </c>
      <c r="R808" s="95">
        <f t="shared" si="262"/>
        <v>27662468864630.809</v>
      </c>
      <c r="S808" s="95">
        <f t="shared" si="263"/>
        <v>20630401150328.063</v>
      </c>
      <c r="T808">
        <f t="shared" si="264"/>
        <v>0.5</v>
      </c>
    </row>
    <row r="809" spans="1:20" x14ac:dyDescent="0.25">
      <c r="A809">
        <v>383</v>
      </c>
      <c r="B809" s="95">
        <f t="shared" si="246"/>
        <v>9011.075107172388</v>
      </c>
      <c r="C809" s="95">
        <f t="shared" si="247"/>
        <v>6395.5977111855882</v>
      </c>
      <c r="D809" s="95">
        <f t="shared" si="248"/>
        <v>-193.56983716155673</v>
      </c>
      <c r="E809" s="95">
        <f t="shared" si="249"/>
        <v>178.04302629223824</v>
      </c>
      <c r="F809" s="96">
        <f t="shared" si="250"/>
        <v>-43.844433983373904</v>
      </c>
      <c r="G809" s="94">
        <f t="shared" si="251"/>
        <v>40.949741088943028</v>
      </c>
      <c r="H809" s="97">
        <f t="shared" si="252"/>
        <v>501.02224281755196</v>
      </c>
      <c r="I809" s="94">
        <f t="shared" si="253"/>
        <v>559.52693245743797</v>
      </c>
      <c r="J809" s="95">
        <f t="shared" si="254"/>
        <v>-189.82774999342038</v>
      </c>
      <c r="K809" s="94">
        <f t="shared" si="255"/>
        <v>23.584633593520849</v>
      </c>
      <c r="L809" s="94">
        <f t="shared" si="256"/>
        <v>-355.03892680750545</v>
      </c>
      <c r="M809" s="94">
        <f t="shared" si="257"/>
        <v>-542.16182496201577</v>
      </c>
      <c r="N809" s="99">
        <f t="shared" si="258"/>
        <v>1490.0248671532527</v>
      </c>
      <c r="O809" s="99">
        <f t="shared" si="259"/>
        <v>29341.249030328065</v>
      </c>
      <c r="P809" s="100">
        <f t="shared" si="260"/>
        <v>25553.901928846524</v>
      </c>
      <c r="Q809" s="95">
        <f t="shared" si="261"/>
        <v>1033486777216.3445</v>
      </c>
      <c r="R809" s="95">
        <f t="shared" si="262"/>
        <v>27447125344230.566</v>
      </c>
      <c r="S809" s="95">
        <f t="shared" si="263"/>
        <v>20663034999846.051</v>
      </c>
      <c r="T809">
        <f t="shared" si="264"/>
        <v>0.5</v>
      </c>
    </row>
    <row r="810" spans="1:20" x14ac:dyDescent="0.25">
      <c r="A810">
        <v>383.5</v>
      </c>
      <c r="B810" s="95">
        <f t="shared" si="246"/>
        <v>8903.3290800957657</v>
      </c>
      <c r="C810" s="95">
        <f t="shared" si="247"/>
        <v>6494.8566596039427</v>
      </c>
      <c r="D810" s="95">
        <f t="shared" si="248"/>
        <v>-215.49205415324369</v>
      </c>
      <c r="E810" s="95">
        <f t="shared" si="249"/>
        <v>198.51789683670975</v>
      </c>
      <c r="F810" s="96">
        <f t="shared" si="250"/>
        <v>13.145312038252598</v>
      </c>
      <c r="G810" s="94">
        <f t="shared" si="251"/>
        <v>-10.925738357233854</v>
      </c>
      <c r="H810" s="97">
        <f t="shared" si="252"/>
        <v>555.79343738728846</v>
      </c>
      <c r="I810" s="94">
        <f t="shared" si="253"/>
        <v>509.40720874995918</v>
      </c>
      <c r="J810" s="95">
        <f t="shared" si="254"/>
        <v>-191.0960123784497</v>
      </c>
      <c r="K810" s="94">
        <f t="shared" si="255"/>
        <v>23.174455555219602</v>
      </c>
      <c r="L810" s="94">
        <f t="shared" si="256"/>
        <v>-351.55211297058617</v>
      </c>
      <c r="M810" s="94">
        <f t="shared" si="257"/>
        <v>-543.50740266241269</v>
      </c>
      <c r="N810" s="99">
        <f t="shared" si="258"/>
        <v>1482.4563599622807</v>
      </c>
      <c r="O810" s="99">
        <f t="shared" si="259"/>
        <v>29234.127227157096</v>
      </c>
      <c r="P810" s="100">
        <f t="shared" si="260"/>
        <v>25575.023501019816</v>
      </c>
      <c r="Q810" s="95">
        <f t="shared" si="261"/>
        <v>1033145611785.9697</v>
      </c>
      <c r="R810" s="95">
        <f t="shared" si="262"/>
        <v>27163703744215.402</v>
      </c>
      <c r="S810" s="95">
        <f t="shared" si="263"/>
        <v>20707502001808.344</v>
      </c>
      <c r="T810">
        <f t="shared" si="264"/>
        <v>0.5</v>
      </c>
    </row>
    <row r="811" spans="1:20" x14ac:dyDescent="0.25">
      <c r="A811">
        <v>384</v>
      </c>
      <c r="B811" s="95">
        <f t="shared" si="246"/>
        <v>8798.8693810287059</v>
      </c>
      <c r="C811" s="95">
        <f t="shared" si="247"/>
        <v>6591.384173432989</v>
      </c>
      <c r="D811" s="95">
        <f t="shared" si="248"/>
        <v>-208.91939813411739</v>
      </c>
      <c r="E811" s="95">
        <f t="shared" si="249"/>
        <v>193.05502765809283</v>
      </c>
      <c r="F811" s="96">
        <f t="shared" si="250"/>
        <v>67.929503738193944</v>
      </c>
      <c r="G811" s="94">
        <f t="shared" si="251"/>
        <v>-61.411832495377439</v>
      </c>
      <c r="H811" s="97">
        <f t="shared" si="252"/>
        <v>608.59678806577028</v>
      </c>
      <c r="I811" s="94">
        <f t="shared" si="253"/>
        <v>460.38346279774896</v>
      </c>
      <c r="J811" s="95">
        <f t="shared" si="254"/>
        <v>-192.6219646918974</v>
      </c>
      <c r="K811" s="94">
        <f t="shared" si="255"/>
        <v>22.798612983944174</v>
      </c>
      <c r="L811" s="94">
        <f t="shared" si="256"/>
        <v>-348.04531963567894</v>
      </c>
      <c r="M811" s="94">
        <f t="shared" si="257"/>
        <v>-544.59390827707057</v>
      </c>
      <c r="N811" s="99">
        <f t="shared" si="258"/>
        <v>1487.6156228361356</v>
      </c>
      <c r="O811" s="99">
        <f t="shared" si="259"/>
        <v>29115.08993201004</v>
      </c>
      <c r="P811" s="100">
        <f t="shared" si="260"/>
        <v>25599.441836226753</v>
      </c>
      <c r="Q811" s="95">
        <f t="shared" si="261"/>
        <v>1033377983189.4722</v>
      </c>
      <c r="R811" s="95">
        <f t="shared" si="262"/>
        <v>26851117941455.617</v>
      </c>
      <c r="S811" s="95">
        <f t="shared" si="263"/>
        <v>20758995179450.84</v>
      </c>
      <c r="T811">
        <f t="shared" si="264"/>
        <v>0.5</v>
      </c>
    </row>
    <row r="812" spans="1:20" x14ac:dyDescent="0.25">
      <c r="A812">
        <v>384.5</v>
      </c>
      <c r="B812" s="95">
        <f t="shared" si="246"/>
        <v>8711.392057896197</v>
      </c>
      <c r="C812" s="95">
        <f t="shared" si="247"/>
        <v>6672.5587291381908</v>
      </c>
      <c r="D812" s="95">
        <f t="shared" si="248"/>
        <v>-174.95464626502041</v>
      </c>
      <c r="E812" s="95">
        <f t="shared" si="249"/>
        <v>162.34911141040411</v>
      </c>
      <c r="F812" s="96">
        <f t="shared" si="250"/>
        <v>113.21131635550404</v>
      </c>
      <c r="G812" s="94">
        <f t="shared" si="251"/>
        <v>-103.85003626152098</v>
      </c>
      <c r="H812" s="97">
        <f t="shared" si="252"/>
        <v>652.39088850201892</v>
      </c>
      <c r="I812" s="94">
        <f t="shared" si="253"/>
        <v>418.91340899192676</v>
      </c>
      <c r="J812" s="95">
        <f t="shared" si="254"/>
        <v>-194.2078188832381</v>
      </c>
      <c r="K812" s="94">
        <f t="shared" si="255"/>
        <v>22.507272039372257</v>
      </c>
      <c r="L812" s="94">
        <f t="shared" si="256"/>
        <v>-344.97175326327675</v>
      </c>
      <c r="M812" s="94">
        <f t="shared" si="257"/>
        <v>-545.27071729282</v>
      </c>
      <c r="N812" s="99">
        <f t="shared" si="258"/>
        <v>1506.0868116142631</v>
      </c>
      <c r="O812" s="99">
        <f t="shared" si="259"/>
        <v>28999.888611487386</v>
      </c>
      <c r="P812" s="100">
        <f t="shared" si="260"/>
        <v>25624.14226309759</v>
      </c>
      <c r="Q812" s="95">
        <f t="shared" si="261"/>
        <v>1034216682978.2552</v>
      </c>
      <c r="R812" s="95">
        <f t="shared" si="262"/>
        <v>26550963221220.723</v>
      </c>
      <c r="S812" s="95">
        <f t="shared" si="263"/>
        <v>20811176640841.051</v>
      </c>
      <c r="T812">
        <f t="shared" si="264"/>
        <v>0.5</v>
      </c>
    </row>
    <row r="813" spans="1:20" x14ac:dyDescent="0.25">
      <c r="A813">
        <v>385</v>
      </c>
      <c r="B813" s="95">
        <f t="shared" ref="B813:B876" si="265">B812+(D812*$T812)+(F812*($T812)^2)</f>
        <v>8652.2175638525623</v>
      </c>
      <c r="C813" s="95">
        <f t="shared" ref="C813:C876" si="266">C812+(E812*$T812)+(G812*($T812)^2)</f>
        <v>6727.7707757780126</v>
      </c>
      <c r="D813" s="95">
        <f t="shared" ref="D813:D876" si="267">D812+(F812*$T812)</f>
        <v>-118.3489880872684</v>
      </c>
      <c r="E813" s="95">
        <f t="shared" ref="E813:E876" si="268">E812+(G812*$T812)</f>
        <v>110.42409327964361</v>
      </c>
      <c r="F813" s="96">
        <f t="shared" ref="F813:F876" si="269">SUM(H813,J813,L813)</f>
        <v>143.2054615023236</v>
      </c>
      <c r="G813" s="94">
        <f t="shared" ref="G813:G876" si="270">SUM(I813,K813,M813)</f>
        <v>-132.59996488025035</v>
      </c>
      <c r="H813" s="97">
        <f t="shared" ref="H813:H876" si="271">$D$22*(($D$18-$B813)/$Q813)</f>
        <v>681.58086679514042</v>
      </c>
      <c r="I813" s="94">
        <f t="shared" ref="I813:I876" si="272">$D$22*(($E$18-$C813)/$Q813)</f>
        <v>390.5204949207274</v>
      </c>
      <c r="J813" s="95">
        <f t="shared" ref="J813:J876" si="273">$D$30*(($D$26-$B813)/$R813)</f>
        <v>-195.64383646757994</v>
      </c>
      <c r="K813" s="94">
        <f t="shared" ref="K813:K876" si="274">$D$30*(($E$26-$C813)/$R813)</f>
        <v>22.343522898408516</v>
      </c>
      <c r="L813" s="94">
        <f t="shared" ref="L813:L876" si="275">$D$38*(($D$34-$B813)/$S813)</f>
        <v>-342.73156882523688</v>
      </c>
      <c r="M813" s="94">
        <f t="shared" ref="M813:M876" si="276">$D$38*(($E$34-$C813)/$S813)</f>
        <v>-545.46398269938629</v>
      </c>
      <c r="N813" s="99">
        <f t="shared" ref="N813:N876" si="277">SQRT(($D$18-$B812)^2+($E$18-$C812)^2)</f>
        <v>1531.3946209838939</v>
      </c>
      <c r="O813" s="99">
        <f t="shared" ref="O813:O876" si="278">SQRT(($D$26-$B812)^2+($E$26-$C812)^2)</f>
        <v>28903.562052336376</v>
      </c>
      <c r="P813" s="100">
        <f t="shared" ref="P813:P876" si="279">SQRT(($D$34-$B812)^2+($E$34-$C812)^2)</f>
        <v>25645.702837576566</v>
      </c>
      <c r="Q813" s="95">
        <f t="shared" ref="Q813:Q876" si="280">(N813^2+$D$39^2)^(3/2)</f>
        <v>1035382986406.2174</v>
      </c>
      <c r="R813" s="95">
        <f t="shared" ref="R813:R876" si="281">(O813^2+$D$31^2)^(3/2)</f>
        <v>26301760090069.008</v>
      </c>
      <c r="S813" s="95">
        <f t="shared" ref="S813:S876" si="282">(P813^2+$D$23^2)^(3/2)</f>
        <v>20856801797209.965</v>
      </c>
      <c r="T813">
        <f t="shared" si="264"/>
        <v>0.5</v>
      </c>
    </row>
    <row r="814" spans="1:20" x14ac:dyDescent="0.25">
      <c r="A814">
        <v>385.5</v>
      </c>
      <c r="B814" s="95">
        <f t="shared" si="265"/>
        <v>8628.8444351845083</v>
      </c>
      <c r="C814" s="95">
        <f t="shared" si="266"/>
        <v>6749.8328311977721</v>
      </c>
      <c r="D814" s="95">
        <f t="shared" si="267"/>
        <v>-46.746257336106595</v>
      </c>
      <c r="E814" s="95">
        <f t="shared" si="268"/>
        <v>44.124110839518437</v>
      </c>
      <c r="F814" s="96">
        <f t="shared" si="269"/>
        <v>154.35716201949253</v>
      </c>
      <c r="G814" s="94">
        <f t="shared" si="270"/>
        <v>-143.85635184067212</v>
      </c>
      <c r="H814" s="97">
        <f t="shared" si="271"/>
        <v>692.71348159755019</v>
      </c>
      <c r="I814" s="94">
        <f t="shared" si="272"/>
        <v>378.9875668492034</v>
      </c>
      <c r="J814" s="95">
        <f t="shared" si="273"/>
        <v>-196.7371305332467</v>
      </c>
      <c r="K814" s="94">
        <f t="shared" si="274"/>
        <v>22.335116039740207</v>
      </c>
      <c r="L814" s="94">
        <f t="shared" si="275"/>
        <v>-341.61918904481092</v>
      </c>
      <c r="M814" s="94">
        <f t="shared" si="276"/>
        <v>-545.17903472961575</v>
      </c>
      <c r="N814" s="99">
        <f t="shared" si="277"/>
        <v>1553.3368823053211</v>
      </c>
      <c r="O814" s="99">
        <f t="shared" si="278"/>
        <v>28838.464858972533</v>
      </c>
      <c r="P814" s="100">
        <f t="shared" si="279"/>
        <v>25660.846971515133</v>
      </c>
      <c r="Q814" s="95">
        <f t="shared" si="280"/>
        <v>1036410282121.9358</v>
      </c>
      <c r="R814" s="95">
        <f t="shared" si="281"/>
        <v>26134261251968.391</v>
      </c>
      <c r="S814" s="95">
        <f t="shared" si="282"/>
        <v>20888891748250.848</v>
      </c>
      <c r="T814">
        <f t="shared" si="264"/>
        <v>0.5</v>
      </c>
    </row>
    <row r="815" spans="1:20" x14ac:dyDescent="0.25">
      <c r="A815">
        <v>386</v>
      </c>
      <c r="B815" s="95">
        <f t="shared" si="265"/>
        <v>8644.0605970213273</v>
      </c>
      <c r="C815" s="95">
        <f t="shared" si="266"/>
        <v>6735.9307986573631</v>
      </c>
      <c r="D815" s="95">
        <f t="shared" si="267"/>
        <v>30.432323673639672</v>
      </c>
      <c r="E815" s="95">
        <f t="shared" si="268"/>
        <v>-27.804065080817622</v>
      </c>
      <c r="F815" s="96">
        <f t="shared" si="269"/>
        <v>145.60260668162186</v>
      </c>
      <c r="G815" s="94">
        <f t="shared" si="270"/>
        <v>-136.15526581802806</v>
      </c>
      <c r="H815" s="97">
        <f t="shared" si="271"/>
        <v>684.72569656839801</v>
      </c>
      <c r="I815" s="94">
        <f t="shared" si="272"/>
        <v>385.84159068355183</v>
      </c>
      <c r="J815" s="95">
        <f t="shared" si="273"/>
        <v>-197.33986857619453</v>
      </c>
      <c r="K815" s="94">
        <f t="shared" si="274"/>
        <v>22.487418815317785</v>
      </c>
      <c r="L815" s="94">
        <f t="shared" si="275"/>
        <v>-341.78322131058161</v>
      </c>
      <c r="M815" s="94">
        <f t="shared" si="276"/>
        <v>-544.48427531689765</v>
      </c>
      <c r="N815" s="99">
        <f t="shared" si="277"/>
        <v>1562.951811180767</v>
      </c>
      <c r="O815" s="99">
        <f t="shared" si="278"/>
        <v>28812.745796247102</v>
      </c>
      <c r="P815" s="100">
        <f t="shared" si="279"/>
        <v>25667.111813048003</v>
      </c>
      <c r="Q815" s="95">
        <f t="shared" si="280"/>
        <v>1036865148691.264</v>
      </c>
      <c r="R815" s="95">
        <f t="shared" si="281"/>
        <v>26068286867657.148</v>
      </c>
      <c r="S815" s="95">
        <f t="shared" si="282"/>
        <v>20902177103356.191</v>
      </c>
      <c r="T815">
        <f t="shared" si="264"/>
        <v>0.5</v>
      </c>
    </row>
    <row r="816" spans="1:20" x14ac:dyDescent="0.25">
      <c r="A816">
        <v>386.5</v>
      </c>
      <c r="B816" s="95">
        <f t="shared" si="265"/>
        <v>8695.6774105285513</v>
      </c>
      <c r="C816" s="95">
        <f t="shared" si="266"/>
        <v>6687.9899496624475</v>
      </c>
      <c r="D816" s="95">
        <f t="shared" si="267"/>
        <v>103.2336270144506</v>
      </c>
      <c r="E816" s="95">
        <f t="shared" si="268"/>
        <v>-95.88169798983165</v>
      </c>
      <c r="F816" s="96">
        <f t="shared" si="269"/>
        <v>118.28109319328865</v>
      </c>
      <c r="G816" s="94">
        <f t="shared" si="270"/>
        <v>-110.53302813024033</v>
      </c>
      <c r="H816" s="97">
        <f t="shared" si="271"/>
        <v>658.85733467213083</v>
      </c>
      <c r="I816" s="94">
        <f t="shared" si="272"/>
        <v>410.17366548039348</v>
      </c>
      <c r="J816" s="95">
        <f t="shared" si="273"/>
        <v>-197.37142790792421</v>
      </c>
      <c r="K816" s="94">
        <f t="shared" si="274"/>
        <v>22.78030044485638</v>
      </c>
      <c r="L816" s="94">
        <f t="shared" si="275"/>
        <v>-343.20481357091796</v>
      </c>
      <c r="M816" s="94">
        <f t="shared" si="276"/>
        <v>-543.48699405549019</v>
      </c>
      <c r="N816" s="99">
        <f t="shared" si="277"/>
        <v>1556.3975742047835</v>
      </c>
      <c r="O816" s="99">
        <f t="shared" si="278"/>
        <v>28829.435569171026</v>
      </c>
      <c r="P816" s="100">
        <f t="shared" si="279"/>
        <v>25663.419048505824</v>
      </c>
      <c r="Q816" s="95">
        <f t="shared" si="280"/>
        <v>1036554766704.2478</v>
      </c>
      <c r="R816" s="95">
        <f t="shared" si="281"/>
        <v>26111086334619.633</v>
      </c>
      <c r="S816" s="95">
        <f t="shared" si="282"/>
        <v>20894345415875.832</v>
      </c>
      <c r="T816">
        <f t="shared" si="264"/>
        <v>0.5</v>
      </c>
    </row>
    <row r="817" spans="1:20" x14ac:dyDescent="0.25">
      <c r="A817">
        <v>387</v>
      </c>
      <c r="B817" s="95">
        <f t="shared" si="265"/>
        <v>8776.8644973340997</v>
      </c>
      <c r="C817" s="95">
        <f t="shared" si="266"/>
        <v>6612.4158436349717</v>
      </c>
      <c r="D817" s="95">
        <f t="shared" si="267"/>
        <v>162.37417361109493</v>
      </c>
      <c r="E817" s="95">
        <f t="shared" si="268"/>
        <v>-151.14821205495181</v>
      </c>
      <c r="F817" s="96">
        <f t="shared" si="269"/>
        <v>75.878408948171739</v>
      </c>
      <c r="G817" s="94">
        <f t="shared" si="270"/>
        <v>-70.386918771129444</v>
      </c>
      <c r="H817" s="97">
        <f t="shared" si="271"/>
        <v>618.40621732003308</v>
      </c>
      <c r="I817" s="94">
        <f t="shared" si="272"/>
        <v>448.75449980362373</v>
      </c>
      <c r="J817" s="95">
        <f t="shared" si="273"/>
        <v>-196.8302207854185</v>
      </c>
      <c r="K817" s="94">
        <f t="shared" si="274"/>
        <v>23.170659801671061</v>
      </c>
      <c r="L817" s="94">
        <f t="shared" si="275"/>
        <v>-345.69758758644281</v>
      </c>
      <c r="M817" s="94">
        <f t="shared" si="276"/>
        <v>-542.31207837642421</v>
      </c>
      <c r="N817" s="99">
        <f t="shared" si="277"/>
        <v>1536.4301934206774</v>
      </c>
      <c r="O817" s="99">
        <f t="shared" si="278"/>
        <v>28886.178574236081</v>
      </c>
      <c r="P817" s="100">
        <f t="shared" si="279"/>
        <v>25650.350636783143</v>
      </c>
      <c r="Q817" s="95">
        <f t="shared" si="280"/>
        <v>1035617420475.0002</v>
      </c>
      <c r="R817" s="95">
        <f t="shared" si="281"/>
        <v>26256959515614.848</v>
      </c>
      <c r="S817" s="95">
        <f t="shared" si="282"/>
        <v>20866646576132.195</v>
      </c>
      <c r="T817">
        <f t="shared" si="264"/>
        <v>0.5</v>
      </c>
    </row>
    <row r="818" spans="1:20" x14ac:dyDescent="0.25">
      <c r="A818">
        <v>387.5</v>
      </c>
      <c r="B818" s="95">
        <f t="shared" si="265"/>
        <v>8877.021186376689</v>
      </c>
      <c r="C818" s="95">
        <f t="shared" si="266"/>
        <v>6519.2450079147138</v>
      </c>
      <c r="D818" s="95">
        <f t="shared" si="267"/>
        <v>200.3133780851808</v>
      </c>
      <c r="E818" s="95">
        <f t="shared" si="268"/>
        <v>-186.34167144051654</v>
      </c>
      <c r="F818" s="96">
        <f t="shared" si="269"/>
        <v>23.683795864918977</v>
      </c>
      <c r="G818" s="94">
        <f t="shared" si="270"/>
        <v>-21.070159831798492</v>
      </c>
      <c r="H818" s="97">
        <f t="shared" si="271"/>
        <v>568.4070850624264</v>
      </c>
      <c r="I818" s="94">
        <f t="shared" si="272"/>
        <v>496.419059245597</v>
      </c>
      <c r="J818" s="95">
        <f t="shared" si="273"/>
        <v>-195.79322144761863</v>
      </c>
      <c r="K818" s="94">
        <f t="shared" si="274"/>
        <v>23.60036475271119</v>
      </c>
      <c r="L818" s="94">
        <f t="shared" si="275"/>
        <v>-348.93006774988879</v>
      </c>
      <c r="M818" s="94">
        <f t="shared" si="276"/>
        <v>-541.08958383010668</v>
      </c>
      <c r="N818" s="99">
        <f t="shared" si="277"/>
        <v>1511.2465359801436</v>
      </c>
      <c r="O818" s="99">
        <f t="shared" si="278"/>
        <v>28975.569998092931</v>
      </c>
      <c r="P818" s="100">
        <f t="shared" si="279"/>
        <v>25630.031486053791</v>
      </c>
      <c r="Q818" s="95">
        <f t="shared" si="280"/>
        <v>1034452854808.1322</v>
      </c>
      <c r="R818" s="95">
        <f t="shared" si="281"/>
        <v>26487897174081.793</v>
      </c>
      <c r="S818" s="95">
        <f t="shared" si="282"/>
        <v>20823631935745.676</v>
      </c>
      <c r="T818">
        <f t="shared" si="264"/>
        <v>0.5</v>
      </c>
    </row>
    <row r="819" spans="1:20" x14ac:dyDescent="0.25">
      <c r="A819">
        <v>388</v>
      </c>
      <c r="B819" s="95">
        <f t="shared" si="265"/>
        <v>8983.0988243855099</v>
      </c>
      <c r="C819" s="95">
        <f t="shared" si="266"/>
        <v>6420.8066322365066</v>
      </c>
      <c r="D819" s="95">
        <f t="shared" si="267"/>
        <v>212.15527601764029</v>
      </c>
      <c r="E819" s="95">
        <f t="shared" si="268"/>
        <v>-196.87675135641578</v>
      </c>
      <c r="F819" s="96">
        <f t="shared" si="269"/>
        <v>-31.698124426072923</v>
      </c>
      <c r="G819" s="94">
        <f t="shared" si="270"/>
        <v>30.790031523808125</v>
      </c>
      <c r="H819" s="97">
        <f t="shared" si="271"/>
        <v>515.17488389127504</v>
      </c>
      <c r="I819" s="94">
        <f t="shared" si="272"/>
        <v>546.73288935655899</v>
      </c>
      <c r="J819" s="95">
        <f t="shared" si="273"/>
        <v>-194.40366893825816</v>
      </c>
      <c r="K819" s="94">
        <f t="shared" si="274"/>
        <v>24.007381914154436</v>
      </c>
      <c r="L819" s="94">
        <f t="shared" si="275"/>
        <v>-352.46933937908977</v>
      </c>
      <c r="M819" s="94">
        <f t="shared" si="276"/>
        <v>-539.95023974690525</v>
      </c>
      <c r="N819" s="99">
        <f t="shared" si="277"/>
        <v>1490.9600163475307</v>
      </c>
      <c r="O819" s="99">
        <f t="shared" si="278"/>
        <v>29086.044899803321</v>
      </c>
      <c r="P819" s="100">
        <f t="shared" si="279"/>
        <v>25605.656068880755</v>
      </c>
      <c r="Q819" s="95">
        <f t="shared" si="280"/>
        <v>1033529054123.2753</v>
      </c>
      <c r="R819" s="95">
        <f t="shared" si="281"/>
        <v>26775223395465.672</v>
      </c>
      <c r="S819" s="95">
        <f t="shared" si="282"/>
        <v>20772114353026.801</v>
      </c>
      <c r="T819">
        <f t="shared" si="264"/>
        <v>0.5</v>
      </c>
    </row>
    <row r="820" spans="1:20" x14ac:dyDescent="0.25">
      <c r="A820">
        <v>388.5</v>
      </c>
      <c r="B820" s="95">
        <f t="shared" si="265"/>
        <v>9081.2519312878121</v>
      </c>
      <c r="C820" s="95">
        <f t="shared" si="266"/>
        <v>6330.0657644392504</v>
      </c>
      <c r="D820" s="95">
        <f t="shared" si="267"/>
        <v>196.30621380460383</v>
      </c>
      <c r="E820" s="95">
        <f t="shared" si="268"/>
        <v>-181.48173559451172</v>
      </c>
      <c r="F820" s="96">
        <f t="shared" si="269"/>
        <v>-83.076009270252086</v>
      </c>
      <c r="G820" s="94">
        <f t="shared" si="270"/>
        <v>78.22783625946181</v>
      </c>
      <c r="H820" s="97">
        <f t="shared" si="271"/>
        <v>465.61472780859532</v>
      </c>
      <c r="I820" s="94">
        <f t="shared" si="272"/>
        <v>592.91401984456672</v>
      </c>
      <c r="J820" s="95">
        <f t="shared" si="273"/>
        <v>-192.84942991949893</v>
      </c>
      <c r="K820" s="94">
        <f t="shared" si="274"/>
        <v>24.336803891461681</v>
      </c>
      <c r="L820" s="94">
        <f t="shared" si="275"/>
        <v>-355.84130715934845</v>
      </c>
      <c r="M820" s="94">
        <f t="shared" si="276"/>
        <v>-539.02298747656664</v>
      </c>
      <c r="N820" s="99">
        <f t="shared" si="277"/>
        <v>1482.817023772941</v>
      </c>
      <c r="O820" s="99">
        <f t="shared" si="278"/>
        <v>29203.264246106788</v>
      </c>
      <c r="P820" s="100">
        <f t="shared" si="279"/>
        <v>25580.81330818469</v>
      </c>
      <c r="Q820" s="95">
        <f t="shared" si="280"/>
        <v>1033161829148.0575</v>
      </c>
      <c r="R820" s="95">
        <f t="shared" si="281"/>
        <v>27082420794722.262</v>
      </c>
      <c r="S820" s="95">
        <f t="shared" si="282"/>
        <v>20719703198515.473</v>
      </c>
      <c r="T820">
        <f t="shared" si="264"/>
        <v>0.5</v>
      </c>
    </row>
    <row r="821" spans="1:20" x14ac:dyDescent="0.25">
      <c r="A821">
        <v>389</v>
      </c>
      <c r="B821" s="95">
        <f t="shared" si="265"/>
        <v>9158.6360358725506</v>
      </c>
      <c r="C821" s="95">
        <f t="shared" si="266"/>
        <v>6258.8818557068598</v>
      </c>
      <c r="D821" s="95">
        <f t="shared" si="267"/>
        <v>154.76820916947779</v>
      </c>
      <c r="E821" s="95">
        <f t="shared" si="268"/>
        <v>-142.36781746478081</v>
      </c>
      <c r="F821" s="96">
        <f t="shared" si="269"/>
        <v>-123.62558818123875</v>
      </c>
      <c r="G821" s="94">
        <f t="shared" si="270"/>
        <v>114.98046623677033</v>
      </c>
      <c r="H821" s="97">
        <f t="shared" si="271"/>
        <v>426.30882201880905</v>
      </c>
      <c r="I821" s="94">
        <f t="shared" si="272"/>
        <v>628.85937197047701</v>
      </c>
      <c r="J821" s="95">
        <f t="shared" si="273"/>
        <v>-191.33594824602972</v>
      </c>
      <c r="K821" s="94">
        <f t="shared" si="274"/>
        <v>24.548829607740426</v>
      </c>
      <c r="L821" s="94">
        <f t="shared" si="275"/>
        <v>-358.59846195401809</v>
      </c>
      <c r="M821" s="94">
        <f t="shared" si="276"/>
        <v>-538.42773534144715</v>
      </c>
      <c r="N821" s="99">
        <f t="shared" si="277"/>
        <v>1487.5631513651751</v>
      </c>
      <c r="O821" s="99">
        <f t="shared" si="278"/>
        <v>29311.902551427334</v>
      </c>
      <c r="P821" s="100">
        <f t="shared" si="279"/>
        <v>25558.821597790851</v>
      </c>
      <c r="Q821" s="95">
        <f t="shared" si="280"/>
        <v>1033375615741.3668</v>
      </c>
      <c r="R821" s="95">
        <f t="shared" si="281"/>
        <v>27369280103368.789</v>
      </c>
      <c r="S821" s="95">
        <f t="shared" si="282"/>
        <v>20673386193930.246</v>
      </c>
      <c r="T821">
        <f t="shared" si="264"/>
        <v>0.5</v>
      </c>
    </row>
    <row r="822" spans="1:20" x14ac:dyDescent="0.25">
      <c r="A822">
        <v>389.5</v>
      </c>
      <c r="B822" s="95">
        <f t="shared" si="265"/>
        <v>9205.1137434119792</v>
      </c>
      <c r="C822" s="95">
        <f t="shared" si="266"/>
        <v>6216.4430635336621</v>
      </c>
      <c r="D822" s="95">
        <f t="shared" si="267"/>
        <v>92.955415078858408</v>
      </c>
      <c r="E822" s="95">
        <f t="shared" si="268"/>
        <v>-84.877584346395651</v>
      </c>
      <c r="F822" s="96">
        <f t="shared" si="269"/>
        <v>-147.89136352623521</v>
      </c>
      <c r="G822" s="94">
        <f t="shared" si="270"/>
        <v>136.38715562949483</v>
      </c>
      <c r="H822" s="97">
        <f t="shared" si="271"/>
        <v>402.54985358439569</v>
      </c>
      <c r="I822" s="94">
        <f t="shared" si="272"/>
        <v>650.02464511039648</v>
      </c>
      <c r="J822" s="95">
        <f t="shared" si="273"/>
        <v>-190.05840565779957</v>
      </c>
      <c r="K822" s="94">
        <f t="shared" si="274"/>
        <v>24.622290650126736</v>
      </c>
      <c r="L822" s="94">
        <f t="shared" si="275"/>
        <v>-360.38281145283133</v>
      </c>
      <c r="M822" s="94">
        <f t="shared" si="276"/>
        <v>-538.25978013102838</v>
      </c>
      <c r="N822" s="99">
        <f t="shared" si="277"/>
        <v>1499.422411539158</v>
      </c>
      <c r="O822" s="99">
        <f t="shared" si="278"/>
        <v>29397.653315223048</v>
      </c>
      <c r="P822" s="100">
        <f t="shared" si="279"/>
        <v>25542.259730713158</v>
      </c>
      <c r="Q822" s="95">
        <f t="shared" si="280"/>
        <v>1033912860689.0553</v>
      </c>
      <c r="R822" s="95">
        <f t="shared" si="281"/>
        <v>27597170871273.09</v>
      </c>
      <c r="S822" s="95">
        <f t="shared" si="282"/>
        <v>20638554134423.73</v>
      </c>
      <c r="T822">
        <f t="shared" si="264"/>
        <v>0.5</v>
      </c>
    </row>
    <row r="823" spans="1:20" x14ac:dyDescent="0.25">
      <c r="A823">
        <v>390</v>
      </c>
      <c r="B823" s="95">
        <f t="shared" si="265"/>
        <v>9214.6186100698487</v>
      </c>
      <c r="C823" s="95">
        <f t="shared" si="266"/>
        <v>6208.101060267838</v>
      </c>
      <c r="D823" s="95">
        <f t="shared" si="267"/>
        <v>19.009733315740803</v>
      </c>
      <c r="E823" s="95">
        <f t="shared" si="268"/>
        <v>-16.684006531648237</v>
      </c>
      <c r="F823" s="96">
        <f t="shared" si="269"/>
        <v>-152.59479505727845</v>
      </c>
      <c r="G823" s="94">
        <f t="shared" si="270"/>
        <v>139.93702988965197</v>
      </c>
      <c r="H823" s="97">
        <f t="shared" si="271"/>
        <v>397.55499039696321</v>
      </c>
      <c r="I823" s="94">
        <f t="shared" si="272"/>
        <v>653.95090482694559</v>
      </c>
      <c r="J823" s="95">
        <f t="shared" si="273"/>
        <v>-189.17735890811932</v>
      </c>
      <c r="K823" s="94">
        <f t="shared" si="274"/>
        <v>24.554194468168454</v>
      </c>
      <c r="L823" s="94">
        <f t="shared" si="275"/>
        <v>-360.97242654612234</v>
      </c>
      <c r="M823" s="94">
        <f t="shared" si="276"/>
        <v>-538.5680694054621</v>
      </c>
      <c r="N823" s="99">
        <f t="shared" si="277"/>
        <v>1509.7557981552407</v>
      </c>
      <c r="O823" s="99">
        <f t="shared" si="278"/>
        <v>29449.176081125152</v>
      </c>
      <c r="P823" s="100">
        <f t="shared" si="279"/>
        <v>25532.777223236753</v>
      </c>
      <c r="Q823" s="95">
        <f t="shared" si="280"/>
        <v>1034384535670.1591</v>
      </c>
      <c r="R823" s="95">
        <f t="shared" si="281"/>
        <v>27734721255110.691</v>
      </c>
      <c r="S823" s="95">
        <f t="shared" si="282"/>
        <v>20618629990782.371</v>
      </c>
      <c r="T823">
        <f t="shared" si="264"/>
        <v>0.5</v>
      </c>
    </row>
    <row r="824" spans="1:20" x14ac:dyDescent="0.25">
      <c r="A824">
        <v>390.5</v>
      </c>
      <c r="B824" s="95">
        <f t="shared" si="265"/>
        <v>9185.9747779633981</v>
      </c>
      <c r="C824" s="95">
        <f t="shared" si="266"/>
        <v>6234.7433144744264</v>
      </c>
      <c r="D824" s="95">
        <f t="shared" si="267"/>
        <v>-57.28766421289842</v>
      </c>
      <c r="E824" s="95">
        <f t="shared" si="268"/>
        <v>53.284508413177747</v>
      </c>
      <c r="F824" s="96">
        <f t="shared" si="269"/>
        <v>-137.09068247795926</v>
      </c>
      <c r="G824" s="94">
        <f t="shared" si="270"/>
        <v>125.42629162761227</v>
      </c>
      <c r="H824" s="97">
        <f t="shared" si="271"/>
        <v>412.01525262522193</v>
      </c>
      <c r="I824" s="94">
        <f t="shared" si="272"/>
        <v>640.40405482562574</v>
      </c>
      <c r="J824" s="95">
        <f t="shared" si="273"/>
        <v>-188.80068629421555</v>
      </c>
      <c r="K824" s="94">
        <f t="shared" si="274"/>
        <v>24.35700886159394</v>
      </c>
      <c r="L824" s="94">
        <f t="shared" si="275"/>
        <v>-360.30524880896564</v>
      </c>
      <c r="M824" s="94">
        <f t="shared" si="276"/>
        <v>-539.33477205960742</v>
      </c>
      <c r="N824" s="99">
        <f t="shared" si="277"/>
        <v>1511.8951015628368</v>
      </c>
      <c r="O824" s="99">
        <f t="shared" si="278"/>
        <v>29459.674779280598</v>
      </c>
      <c r="P824" s="100">
        <f t="shared" si="279"/>
        <v>25531.136535851234</v>
      </c>
      <c r="Q824" s="95">
        <f t="shared" si="280"/>
        <v>1034482599488.1299</v>
      </c>
      <c r="R824" s="95">
        <f t="shared" si="281"/>
        <v>27762807162986.809</v>
      </c>
      <c r="S824" s="95">
        <f t="shared" si="282"/>
        <v>20615184066741.676</v>
      </c>
      <c r="T824">
        <f t="shared" si="264"/>
        <v>0.5</v>
      </c>
    </row>
    <row r="825" spans="1:20" x14ac:dyDescent="0.25">
      <c r="A825">
        <v>391</v>
      </c>
      <c r="B825" s="95">
        <f t="shared" si="265"/>
        <v>9123.0582752374594</v>
      </c>
      <c r="C825" s="95">
        <f t="shared" si="266"/>
        <v>6292.7421415879189</v>
      </c>
      <c r="D825" s="95">
        <f t="shared" si="267"/>
        <v>-125.83300545187805</v>
      </c>
      <c r="E825" s="95">
        <f t="shared" si="268"/>
        <v>115.99765422698388</v>
      </c>
      <c r="F825" s="96">
        <f t="shared" si="269"/>
        <v>-103.44766236200536</v>
      </c>
      <c r="G825" s="94">
        <f t="shared" si="270"/>
        <v>94.838044695614258</v>
      </c>
      <c r="H825" s="97">
        <f t="shared" si="271"/>
        <v>444.00545338415628</v>
      </c>
      <c r="I825" s="94">
        <f t="shared" si="272"/>
        <v>611.24822509841033</v>
      </c>
      <c r="J825" s="95">
        <f t="shared" si="273"/>
        <v>-188.97280254597405</v>
      </c>
      <c r="K825" s="94">
        <f t="shared" si="274"/>
        <v>24.055540480801533</v>
      </c>
      <c r="L825" s="94">
        <f t="shared" si="275"/>
        <v>-358.4803132001876</v>
      </c>
      <c r="M825" s="94">
        <f t="shared" si="276"/>
        <v>-540.46572088359756</v>
      </c>
      <c r="N825" s="99">
        <f t="shared" si="277"/>
        <v>1504.4971061384265</v>
      </c>
      <c r="O825" s="99">
        <f t="shared" si="278"/>
        <v>29427.848743117644</v>
      </c>
      <c r="P825" s="100">
        <f t="shared" si="279"/>
        <v>25537.349197452542</v>
      </c>
      <c r="Q825" s="95">
        <f t="shared" si="280"/>
        <v>1034144085071.5265</v>
      </c>
      <c r="R825" s="95">
        <f t="shared" si="281"/>
        <v>27677726768393.996</v>
      </c>
      <c r="S825" s="95">
        <f t="shared" si="282"/>
        <v>20628234657026.309</v>
      </c>
      <c r="T825">
        <f t="shared" si="264"/>
        <v>0.5</v>
      </c>
    </row>
    <row r="826" spans="1:20" x14ac:dyDescent="0.25">
      <c r="A826">
        <v>391.5</v>
      </c>
      <c r="B826" s="95">
        <f t="shared" si="265"/>
        <v>9034.279856921019</v>
      </c>
      <c r="C826" s="95">
        <f t="shared" si="266"/>
        <v>6374.4504798753142</v>
      </c>
      <c r="D826" s="95">
        <f t="shared" si="267"/>
        <v>-177.55683663288073</v>
      </c>
      <c r="E826" s="95">
        <f t="shared" si="268"/>
        <v>163.41667657479101</v>
      </c>
      <c r="F826" s="96">
        <f t="shared" si="269"/>
        <v>-56.190720393917559</v>
      </c>
      <c r="G826" s="94">
        <f t="shared" si="270"/>
        <v>52.073437464146309</v>
      </c>
      <c r="H826" s="97">
        <f t="shared" si="271"/>
        <v>489.22054299558965</v>
      </c>
      <c r="I826" s="94">
        <f t="shared" si="272"/>
        <v>570.18790728360125</v>
      </c>
      <c r="J826" s="95">
        <f t="shared" si="273"/>
        <v>-189.67076913164075</v>
      </c>
      <c r="K826" s="94">
        <f t="shared" si="274"/>
        <v>23.68444367815032</v>
      </c>
      <c r="L826" s="94">
        <f t="shared" si="275"/>
        <v>-355.74049425786643</v>
      </c>
      <c r="M826" s="94">
        <f t="shared" si="276"/>
        <v>-541.79891349760521</v>
      </c>
      <c r="N826" s="99">
        <f t="shared" si="277"/>
        <v>1492.1455442842109</v>
      </c>
      <c r="O826" s="99">
        <f t="shared" si="278"/>
        <v>29358.070170425632</v>
      </c>
      <c r="P826" s="100">
        <f t="shared" si="279"/>
        <v>25550.765995443409</v>
      </c>
      <c r="Q826" s="95">
        <f t="shared" si="280"/>
        <v>1033582689293.0105</v>
      </c>
      <c r="R826" s="95">
        <f t="shared" si="281"/>
        <v>27491813917349.023</v>
      </c>
      <c r="S826" s="95">
        <f t="shared" si="282"/>
        <v>20656438803284.262</v>
      </c>
      <c r="T826">
        <f t="shared" si="264"/>
        <v>0.5</v>
      </c>
    </row>
    <row r="827" spans="1:20" x14ac:dyDescent="0.25">
      <c r="A827">
        <v>392</v>
      </c>
      <c r="B827" s="95">
        <f t="shared" si="265"/>
        <v>8931.4537585060989</v>
      </c>
      <c r="C827" s="95">
        <f t="shared" si="266"/>
        <v>6469.1771775287461</v>
      </c>
      <c r="D827" s="95">
        <f t="shared" si="267"/>
        <v>-205.65219682983951</v>
      </c>
      <c r="E827" s="95">
        <f t="shared" si="268"/>
        <v>189.45339530686417</v>
      </c>
      <c r="F827" s="96">
        <f t="shared" si="269"/>
        <v>-1.7222877240570824</v>
      </c>
      <c r="G827" s="94">
        <f t="shared" si="270"/>
        <v>2.5618824544623067</v>
      </c>
      <c r="H827" s="97">
        <f t="shared" si="271"/>
        <v>541.52552570763817</v>
      </c>
      <c r="I827" s="94">
        <f t="shared" si="272"/>
        <v>522.4077809395983</v>
      </c>
      <c r="J827" s="95">
        <f t="shared" si="273"/>
        <v>-190.80672144672943</v>
      </c>
      <c r="K827" s="94">
        <f t="shared" si="274"/>
        <v>23.286238306187869</v>
      </c>
      <c r="L827" s="94">
        <f t="shared" si="275"/>
        <v>-352.44109198496585</v>
      </c>
      <c r="M827" s="94">
        <f t="shared" si="276"/>
        <v>-543.13213679132389</v>
      </c>
      <c r="N827" s="99">
        <f t="shared" si="277"/>
        <v>1483.0634231216809</v>
      </c>
      <c r="O827" s="99">
        <f t="shared" si="278"/>
        <v>29259.76787558107</v>
      </c>
      <c r="P827" s="100">
        <f t="shared" si="279"/>
        <v>25570.063441826285</v>
      </c>
      <c r="Q827" s="95">
        <f t="shared" si="280"/>
        <v>1033172910889.5804</v>
      </c>
      <c r="R827" s="95">
        <f t="shared" si="281"/>
        <v>27231359889920.91</v>
      </c>
      <c r="S827" s="95">
        <f t="shared" si="282"/>
        <v>20697053482541.344</v>
      </c>
      <c r="T827">
        <f t="shared" si="264"/>
        <v>0.5</v>
      </c>
    </row>
    <row r="828" spans="1:20" x14ac:dyDescent="0.25">
      <c r="A828">
        <v>392.5</v>
      </c>
      <c r="B828" s="95">
        <f t="shared" si="265"/>
        <v>8828.1970881601646</v>
      </c>
      <c r="C828" s="95">
        <f t="shared" si="266"/>
        <v>6564.5443457957936</v>
      </c>
      <c r="D828" s="95">
        <f t="shared" si="267"/>
        <v>-206.51334069186805</v>
      </c>
      <c r="E828" s="95">
        <f t="shared" si="268"/>
        <v>190.73433653409532</v>
      </c>
      <c r="F828" s="96">
        <f t="shared" si="269"/>
        <v>52.56811490461854</v>
      </c>
      <c r="G828" s="94">
        <f t="shared" si="270"/>
        <v>-47.311651467970364</v>
      </c>
      <c r="H828" s="97">
        <f t="shared" si="271"/>
        <v>593.81189101377572</v>
      </c>
      <c r="I828" s="94">
        <f t="shared" si="272"/>
        <v>474.04276382140733</v>
      </c>
      <c r="J828" s="95">
        <f t="shared" si="273"/>
        <v>-192.23665511799376</v>
      </c>
      <c r="K828" s="94">
        <f t="shared" si="274"/>
        <v>22.908838237464821</v>
      </c>
      <c r="L828" s="94">
        <f t="shared" si="275"/>
        <v>-349.00712099116339</v>
      </c>
      <c r="M828" s="94">
        <f t="shared" si="276"/>
        <v>-544.2632535268425</v>
      </c>
      <c r="N828" s="99">
        <f t="shared" si="277"/>
        <v>1484.7177380021915</v>
      </c>
      <c r="O828" s="99">
        <f t="shared" si="278"/>
        <v>29146.109970015903</v>
      </c>
      <c r="P828" s="100">
        <f t="shared" si="279"/>
        <v>25593.182148875407</v>
      </c>
      <c r="Q828" s="95">
        <f t="shared" si="280"/>
        <v>1033247361945.5111</v>
      </c>
      <c r="R828" s="95">
        <f t="shared" si="281"/>
        <v>26932335980664.93</v>
      </c>
      <c r="S828" s="95">
        <f t="shared" si="282"/>
        <v>20745786055969.746</v>
      </c>
      <c r="T828">
        <f t="shared" si="264"/>
        <v>0.5</v>
      </c>
    </row>
    <row r="829" spans="1:20" x14ac:dyDescent="0.25">
      <c r="A829">
        <v>393</v>
      </c>
      <c r="B829" s="95">
        <f t="shared" si="265"/>
        <v>8738.0824465403857</v>
      </c>
      <c r="C829" s="95">
        <f t="shared" si="266"/>
        <v>6648.0836011958481</v>
      </c>
      <c r="D829" s="95">
        <f t="shared" si="267"/>
        <v>-180.22928323955878</v>
      </c>
      <c r="E829" s="95">
        <f t="shared" si="268"/>
        <v>167.07851080011014</v>
      </c>
      <c r="F829" s="96">
        <f t="shared" si="269"/>
        <v>99.408573907433322</v>
      </c>
      <c r="G829" s="94">
        <f t="shared" si="270"/>
        <v>-90.997833844415482</v>
      </c>
      <c r="H829" s="97">
        <f t="shared" si="271"/>
        <v>639.06657158112648</v>
      </c>
      <c r="I829" s="94">
        <f t="shared" si="272"/>
        <v>431.43174509691352</v>
      </c>
      <c r="J829" s="95">
        <f t="shared" si="273"/>
        <v>-193.77607959625607</v>
      </c>
      <c r="K829" s="94">
        <f t="shared" si="274"/>
        <v>22.601411214646355</v>
      </c>
      <c r="L829" s="94">
        <f t="shared" si="275"/>
        <v>-345.88191807743709</v>
      </c>
      <c r="M829" s="94">
        <f t="shared" si="276"/>
        <v>-545.03099015597536</v>
      </c>
      <c r="N829" s="99">
        <f t="shared" si="277"/>
        <v>1499.3996615909105</v>
      </c>
      <c r="O829" s="99">
        <f t="shared" si="278"/>
        <v>29032.177026633912</v>
      </c>
      <c r="P829" s="100">
        <f t="shared" si="279"/>
        <v>25617.349737058958</v>
      </c>
      <c r="Q829" s="95">
        <f t="shared" si="280"/>
        <v>1033911825903.6918</v>
      </c>
      <c r="R829" s="95">
        <f t="shared" si="281"/>
        <v>26634856639670.543</v>
      </c>
      <c r="S829" s="95">
        <f t="shared" si="282"/>
        <v>20796817561496.762</v>
      </c>
      <c r="T829">
        <f t="shared" si="264"/>
        <v>0.5</v>
      </c>
    </row>
    <row r="830" spans="1:20" x14ac:dyDescent="0.25">
      <c r="A830">
        <v>393.5</v>
      </c>
      <c r="B830" s="95">
        <f t="shared" si="265"/>
        <v>8672.8199483974659</v>
      </c>
      <c r="C830" s="95">
        <f t="shared" si="266"/>
        <v>6708.8733981347996</v>
      </c>
      <c r="D830" s="95">
        <f t="shared" si="267"/>
        <v>-130.52499628584212</v>
      </c>
      <c r="E830" s="95">
        <f t="shared" si="268"/>
        <v>121.5795938779024</v>
      </c>
      <c r="F830" s="96">
        <f t="shared" si="269"/>
        <v>132.73357569366408</v>
      </c>
      <c r="G830" s="94">
        <f t="shared" si="270"/>
        <v>-122.7000098276074</v>
      </c>
      <c r="H830" s="97">
        <f t="shared" si="271"/>
        <v>671.42753381597618</v>
      </c>
      <c r="I830" s="94">
        <f t="shared" si="272"/>
        <v>400.23520741226827</v>
      </c>
      <c r="J830" s="95">
        <f t="shared" si="273"/>
        <v>-195.22241866883419</v>
      </c>
      <c r="K830" s="94">
        <f t="shared" si="274"/>
        <v>22.408039966692403</v>
      </c>
      <c r="L830" s="94">
        <f t="shared" si="275"/>
        <v>-343.47153945347793</v>
      </c>
      <c r="M830" s="94">
        <f t="shared" si="276"/>
        <v>-545.34325720656807</v>
      </c>
      <c r="N830" s="99">
        <f t="shared" si="277"/>
        <v>1522.5627941996131</v>
      </c>
      <c r="O830" s="99">
        <f t="shared" si="278"/>
        <v>28932.900411965697</v>
      </c>
      <c r="P830" s="100">
        <f t="shared" si="279"/>
        <v>25639.314205187035</v>
      </c>
      <c r="Q830" s="95">
        <f t="shared" si="280"/>
        <v>1034973716475.6096</v>
      </c>
      <c r="R830" s="95">
        <f t="shared" si="281"/>
        <v>26377489621649.402</v>
      </c>
      <c r="S830" s="95">
        <f t="shared" si="282"/>
        <v>20843275094490.27</v>
      </c>
      <c r="T830">
        <f t="shared" si="264"/>
        <v>0.5</v>
      </c>
    </row>
    <row r="831" spans="1:20" x14ac:dyDescent="0.25">
      <c r="A831">
        <v>394</v>
      </c>
      <c r="B831" s="95">
        <f t="shared" si="265"/>
        <v>8640.7408441779608</v>
      </c>
      <c r="C831" s="95">
        <f t="shared" si="266"/>
        <v>6738.9881926168491</v>
      </c>
      <c r="D831" s="95">
        <f t="shared" si="267"/>
        <v>-64.158208439010082</v>
      </c>
      <c r="E831" s="95">
        <f t="shared" si="268"/>
        <v>60.229588964098696</v>
      </c>
      <c r="F831" s="96">
        <f t="shared" si="269"/>
        <v>148.48658028985528</v>
      </c>
      <c r="G831" s="94">
        <f t="shared" si="270"/>
        <v>-138.21496021665007</v>
      </c>
      <c r="H831" s="97">
        <f t="shared" si="271"/>
        <v>686.96059902313743</v>
      </c>
      <c r="I831" s="94">
        <f t="shared" si="272"/>
        <v>384.6103407318563</v>
      </c>
      <c r="J831" s="95">
        <f t="shared" si="273"/>
        <v>-196.38218702146165</v>
      </c>
      <c r="K831" s="94">
        <f t="shared" si="274"/>
        <v>22.359918485379996</v>
      </c>
      <c r="L831" s="94">
        <f t="shared" si="275"/>
        <v>-342.09183171182053</v>
      </c>
      <c r="M831" s="94">
        <f t="shared" si="276"/>
        <v>-545.18521943388635</v>
      </c>
      <c r="N831" s="99">
        <f t="shared" si="277"/>
        <v>1545.0851722641328</v>
      </c>
      <c r="O831" s="99">
        <f t="shared" si="278"/>
        <v>28861.083106888498</v>
      </c>
      <c r="P831" s="100">
        <f t="shared" si="279"/>
        <v>25655.821747851704</v>
      </c>
      <c r="Q831" s="95">
        <f t="shared" si="280"/>
        <v>1036022197956.1104</v>
      </c>
      <c r="R831" s="95">
        <f t="shared" si="281"/>
        <v>26192376067968.473</v>
      </c>
      <c r="S831" s="95">
        <f t="shared" si="282"/>
        <v>20878239531547.672</v>
      </c>
      <c r="T831">
        <f t="shared" si="264"/>
        <v>0.5</v>
      </c>
    </row>
    <row r="832" spans="1:20" x14ac:dyDescent="0.25">
      <c r="A832">
        <v>394.5</v>
      </c>
      <c r="B832" s="95">
        <f t="shared" si="265"/>
        <v>8645.7833850309198</v>
      </c>
      <c r="C832" s="95">
        <f t="shared" si="266"/>
        <v>6734.5492470447361</v>
      </c>
      <c r="D832" s="95">
        <f t="shared" si="267"/>
        <v>10.08508170591756</v>
      </c>
      <c r="E832" s="95">
        <f t="shared" si="268"/>
        <v>-8.8778911442263393</v>
      </c>
      <c r="F832" s="96">
        <f t="shared" si="269"/>
        <v>144.99219763501469</v>
      </c>
      <c r="G832" s="94">
        <f t="shared" si="270"/>
        <v>-135.50968023801249</v>
      </c>
      <c r="H832" s="97">
        <f t="shared" si="271"/>
        <v>684.01690272934104</v>
      </c>
      <c r="I832" s="94">
        <f t="shared" si="272"/>
        <v>386.63035694644481</v>
      </c>
      <c r="J832" s="95">
        <f t="shared" si="273"/>
        <v>-197.09883031833294</v>
      </c>
      <c r="K832" s="94">
        <f t="shared" si="274"/>
        <v>22.468106918867818</v>
      </c>
      <c r="L832" s="94">
        <f t="shared" si="275"/>
        <v>-341.92587477599341</v>
      </c>
      <c r="M832" s="94">
        <f t="shared" si="276"/>
        <v>-544.60814410332512</v>
      </c>
      <c r="N832" s="99">
        <f t="shared" si="277"/>
        <v>1557.7947309137403</v>
      </c>
      <c r="O832" s="99">
        <f t="shared" si="278"/>
        <v>28825.791127239787</v>
      </c>
      <c r="P832" s="100">
        <f t="shared" si="279"/>
        <v>25664.243967371407</v>
      </c>
      <c r="Q832" s="95">
        <f t="shared" si="280"/>
        <v>1036620818379.4749</v>
      </c>
      <c r="R832" s="95">
        <f t="shared" si="281"/>
        <v>26101736368528.738</v>
      </c>
      <c r="S832" s="95">
        <f t="shared" si="282"/>
        <v>20896094737383.25</v>
      </c>
      <c r="T832">
        <f t="shared" si="264"/>
        <v>0.5</v>
      </c>
    </row>
    <row r="833" spans="1:20" x14ac:dyDescent="0.25">
      <c r="A833">
        <v>395</v>
      </c>
      <c r="B833" s="95">
        <f t="shared" si="265"/>
        <v>8687.0739752926329</v>
      </c>
      <c r="C833" s="95">
        <f t="shared" si="266"/>
        <v>6696.2328814131197</v>
      </c>
      <c r="D833" s="95">
        <f t="shared" si="267"/>
        <v>82.581180523424905</v>
      </c>
      <c r="E833" s="95">
        <f t="shared" si="268"/>
        <v>-76.632731263232586</v>
      </c>
      <c r="F833" s="96">
        <f t="shared" si="269"/>
        <v>122.95394854995146</v>
      </c>
      <c r="G833" s="94">
        <f t="shared" si="270"/>
        <v>-114.96306310054825</v>
      </c>
      <c r="H833" s="97">
        <f t="shared" si="271"/>
        <v>663.22804577473437</v>
      </c>
      <c r="I833" s="94">
        <f t="shared" si="272"/>
        <v>406.02508083970844</v>
      </c>
      <c r="J833" s="95">
        <f t="shared" si="273"/>
        <v>-197.27603494092446</v>
      </c>
      <c r="K833" s="94">
        <f t="shared" si="274"/>
        <v>22.719433779979102</v>
      </c>
      <c r="L833" s="94">
        <f t="shared" si="275"/>
        <v>-342.99806228385847</v>
      </c>
      <c r="M833" s="94">
        <f t="shared" si="276"/>
        <v>-543.7075777202358</v>
      </c>
      <c r="N833" s="99">
        <f t="shared" si="277"/>
        <v>1555.5762583229709</v>
      </c>
      <c r="O833" s="99">
        <f t="shared" si="278"/>
        <v>28831.303722899687</v>
      </c>
      <c r="P833" s="100">
        <f t="shared" si="279"/>
        <v>25663.164948295031</v>
      </c>
      <c r="Q833" s="95">
        <f t="shared" si="280"/>
        <v>1036515966668.5909</v>
      </c>
      <c r="R833" s="95">
        <f t="shared" si="281"/>
        <v>26115880051099.203</v>
      </c>
      <c r="S833" s="95">
        <f t="shared" si="282"/>
        <v>20893806592573.922</v>
      </c>
      <c r="T833">
        <f t="shared" si="264"/>
        <v>0.5</v>
      </c>
    </row>
    <row r="834" spans="1:20" x14ac:dyDescent="0.25">
      <c r="A834">
        <v>395.5</v>
      </c>
      <c r="B834" s="95">
        <f t="shared" si="265"/>
        <v>8759.103052691833</v>
      </c>
      <c r="C834" s="95">
        <f t="shared" si="266"/>
        <v>6629.1757500063659</v>
      </c>
      <c r="D834" s="95">
        <f t="shared" si="267"/>
        <v>144.05815479840064</v>
      </c>
      <c r="E834" s="95">
        <f t="shared" si="268"/>
        <v>-134.11426281350671</v>
      </c>
      <c r="F834" s="96">
        <f t="shared" si="269"/>
        <v>85.24115160192315</v>
      </c>
      <c r="G834" s="94">
        <f t="shared" si="270"/>
        <v>-79.302581682203197</v>
      </c>
      <c r="H834" s="97">
        <f t="shared" si="271"/>
        <v>627.30168250077713</v>
      </c>
      <c r="I834" s="94">
        <f t="shared" si="272"/>
        <v>440.22150136519139</v>
      </c>
      <c r="J834" s="95">
        <f t="shared" si="273"/>
        <v>-196.89198534823825</v>
      </c>
      <c r="K834" s="94">
        <f t="shared" si="274"/>
        <v>23.077502717147915</v>
      </c>
      <c r="L834" s="94">
        <f t="shared" si="275"/>
        <v>-345.16854555061576</v>
      </c>
      <c r="M834" s="94">
        <f t="shared" si="276"/>
        <v>-542.60158576454251</v>
      </c>
      <c r="N834" s="99">
        <f t="shared" si="277"/>
        <v>1539.4207765505005</v>
      </c>
      <c r="O834" s="99">
        <f t="shared" si="278"/>
        <v>28876.687663888453</v>
      </c>
      <c r="P834" s="100">
        <f t="shared" si="279"/>
        <v>25652.729196903096</v>
      </c>
      <c r="Q834" s="95">
        <f t="shared" si="280"/>
        <v>1035757021508.416</v>
      </c>
      <c r="R834" s="95">
        <f t="shared" si="281"/>
        <v>26232521724224.223</v>
      </c>
      <c r="S834" s="95">
        <f t="shared" si="282"/>
        <v>20871686034508.098</v>
      </c>
      <c r="T834">
        <f t="shared" si="264"/>
        <v>0.5</v>
      </c>
    </row>
    <row r="835" spans="1:20" x14ac:dyDescent="0.25">
      <c r="A835">
        <v>396</v>
      </c>
      <c r="B835" s="95">
        <f t="shared" si="265"/>
        <v>8852.4424179915131</v>
      </c>
      <c r="C835" s="95">
        <f t="shared" si="266"/>
        <v>6542.2929731790609</v>
      </c>
      <c r="D835" s="95">
        <f t="shared" si="267"/>
        <v>186.67873059936221</v>
      </c>
      <c r="E835" s="95">
        <f t="shared" si="268"/>
        <v>-173.76555365460831</v>
      </c>
      <c r="F835" s="96">
        <f t="shared" si="269"/>
        <v>36.574639909333541</v>
      </c>
      <c r="G835" s="94">
        <f t="shared" si="270"/>
        <v>-33.275659966669082</v>
      </c>
      <c r="H835" s="97">
        <f t="shared" si="271"/>
        <v>580.72613963297533</v>
      </c>
      <c r="I835" s="94">
        <f t="shared" si="272"/>
        <v>484.65150098322925</v>
      </c>
      <c r="J835" s="95">
        <f t="shared" si="273"/>
        <v>-196.00204915876651</v>
      </c>
      <c r="K835" s="94">
        <f t="shared" si="274"/>
        <v>23.489091593333043</v>
      </c>
      <c r="L835" s="94">
        <f t="shared" si="275"/>
        <v>-348.14945056487528</v>
      </c>
      <c r="M835" s="94">
        <f t="shared" si="276"/>
        <v>-541.41625254323139</v>
      </c>
      <c r="N835" s="99">
        <f t="shared" si="277"/>
        <v>1515.9683730921643</v>
      </c>
      <c r="O835" s="99">
        <f t="shared" si="278"/>
        <v>28955.97459108731</v>
      </c>
      <c r="P835" s="100">
        <f t="shared" si="279"/>
        <v>25634.628150984699</v>
      </c>
      <c r="Q835" s="95">
        <f t="shared" si="280"/>
        <v>1034669707218.5133</v>
      </c>
      <c r="R835" s="95">
        <f t="shared" si="281"/>
        <v>26437154767802.313</v>
      </c>
      <c r="S835" s="95">
        <f t="shared" si="282"/>
        <v>20833357276129.68</v>
      </c>
      <c r="T835">
        <f t="shared" si="264"/>
        <v>0.5</v>
      </c>
    </row>
    <row r="836" spans="1:20" x14ac:dyDescent="0.25">
      <c r="A836">
        <v>396.5</v>
      </c>
      <c r="B836" s="95">
        <f t="shared" si="265"/>
        <v>8954.9254432685284</v>
      </c>
      <c r="C836" s="95">
        <f t="shared" si="266"/>
        <v>6447.0912813600899</v>
      </c>
      <c r="D836" s="95">
        <f t="shared" si="267"/>
        <v>204.96605055402898</v>
      </c>
      <c r="E836" s="95">
        <f t="shared" si="268"/>
        <v>-190.40338363794285</v>
      </c>
      <c r="F836" s="96">
        <f t="shared" si="269"/>
        <v>-16.910508273152573</v>
      </c>
      <c r="G836" s="94">
        <f t="shared" si="270"/>
        <v>16.944635638798445</v>
      </c>
      <c r="H836" s="97">
        <f t="shared" si="271"/>
        <v>529.36141937287084</v>
      </c>
      <c r="I836" s="94">
        <f t="shared" si="272"/>
        <v>533.32965593622021</v>
      </c>
      <c r="J836" s="95">
        <f t="shared" si="273"/>
        <v>-194.72974362947247</v>
      </c>
      <c r="K836" s="94">
        <f t="shared" si="274"/>
        <v>23.894276822616064</v>
      </c>
      <c r="L836" s="94">
        <f t="shared" si="275"/>
        <v>-351.54218401655095</v>
      </c>
      <c r="M836" s="94">
        <f t="shared" si="276"/>
        <v>-540.27929712003788</v>
      </c>
      <c r="N836" s="99">
        <f t="shared" si="277"/>
        <v>1494.6876440405092</v>
      </c>
      <c r="O836" s="99">
        <f t="shared" si="278"/>
        <v>29058.891433894085</v>
      </c>
      <c r="P836" s="100">
        <f t="shared" si="279"/>
        <v>25611.726757211247</v>
      </c>
      <c r="Q836" s="95">
        <f t="shared" si="280"/>
        <v>1033697844776.4393</v>
      </c>
      <c r="R836" s="95">
        <f t="shared" si="281"/>
        <v>26704404714359.766</v>
      </c>
      <c r="S836" s="95">
        <f t="shared" si="282"/>
        <v>20784936226364.625</v>
      </c>
      <c r="T836">
        <f t="shared" si="264"/>
        <v>0.5</v>
      </c>
    </row>
    <row r="837" spans="1:20" x14ac:dyDescent="0.25">
      <c r="A837">
        <v>397</v>
      </c>
      <c r="B837" s="95">
        <f t="shared" si="265"/>
        <v>9053.1808414772549</v>
      </c>
      <c r="C837" s="95">
        <f t="shared" si="266"/>
        <v>6356.1257484508187</v>
      </c>
      <c r="D837" s="95">
        <f t="shared" si="267"/>
        <v>196.5107964174527</v>
      </c>
      <c r="E837" s="95">
        <f t="shared" si="268"/>
        <v>-181.93106581854363</v>
      </c>
      <c r="F837" s="96">
        <f t="shared" si="269"/>
        <v>-68.313626916753606</v>
      </c>
      <c r="G837" s="94">
        <f t="shared" si="270"/>
        <v>64.609618543698389</v>
      </c>
      <c r="H837" s="97">
        <f t="shared" si="271"/>
        <v>479.82650229702165</v>
      </c>
      <c r="I837" s="94">
        <f t="shared" si="272"/>
        <v>579.68955977276198</v>
      </c>
      <c r="J837" s="95">
        <f t="shared" si="273"/>
        <v>-193.24790714317493</v>
      </c>
      <c r="K837" s="94">
        <f t="shared" si="274"/>
        <v>24.237314215161078</v>
      </c>
      <c r="L837" s="94">
        <f t="shared" si="275"/>
        <v>-354.89222207060033</v>
      </c>
      <c r="M837" s="94">
        <f t="shared" si="276"/>
        <v>-539.31725544422466</v>
      </c>
      <c r="N837" s="99">
        <f t="shared" si="277"/>
        <v>1483.5085435936726</v>
      </c>
      <c r="O837" s="99">
        <f t="shared" si="278"/>
        <v>29172.09056252614</v>
      </c>
      <c r="P837" s="100">
        <f t="shared" si="279"/>
        <v>25587.451388486803</v>
      </c>
      <c r="Q837" s="95">
        <f t="shared" si="280"/>
        <v>1033192934825.9307</v>
      </c>
      <c r="R837" s="95">
        <f t="shared" si="281"/>
        <v>27000489051946.52</v>
      </c>
      <c r="S837" s="95">
        <f t="shared" si="282"/>
        <v>20733698357568.277</v>
      </c>
      <c r="T837">
        <f t="shared" si="264"/>
        <v>0.5</v>
      </c>
    </row>
    <row r="838" spans="1:20" x14ac:dyDescent="0.25">
      <c r="A838">
        <v>397.5</v>
      </c>
      <c r="B838" s="95">
        <f t="shared" si="265"/>
        <v>9134.3578329567936</v>
      </c>
      <c r="C838" s="95">
        <f t="shared" si="266"/>
        <v>6281.3126201774712</v>
      </c>
      <c r="D838" s="95">
        <f t="shared" si="267"/>
        <v>162.35398295907589</v>
      </c>
      <c r="E838" s="95">
        <f t="shared" si="268"/>
        <v>-149.62625654669444</v>
      </c>
      <c r="F838" s="96">
        <f t="shared" si="269"/>
        <v>-110.84589866853835</v>
      </c>
      <c r="G838" s="94">
        <f t="shared" si="270"/>
        <v>103.3913863308253</v>
      </c>
      <c r="H838" s="97">
        <f t="shared" si="271"/>
        <v>438.66133393895814</v>
      </c>
      <c r="I838" s="94">
        <f t="shared" si="272"/>
        <v>617.56583960499393</v>
      </c>
      <c r="J838" s="95">
        <f t="shared" si="273"/>
        <v>-191.75354621265038</v>
      </c>
      <c r="K838" s="94">
        <f t="shared" si="274"/>
        <v>24.475277485971304</v>
      </c>
      <c r="L838" s="94">
        <f t="shared" si="275"/>
        <v>-357.75368639484611</v>
      </c>
      <c r="M838" s="94">
        <f t="shared" si="276"/>
        <v>-538.64973076013996</v>
      </c>
      <c r="N838" s="99">
        <f t="shared" si="277"/>
        <v>1484.8955593922822</v>
      </c>
      <c r="O838" s="99">
        <f t="shared" si="278"/>
        <v>29280.798086266092</v>
      </c>
      <c r="P838" s="100">
        <f t="shared" si="279"/>
        <v>25565.132480527209</v>
      </c>
      <c r="Q838" s="95">
        <f t="shared" si="280"/>
        <v>1033255369695.1844</v>
      </c>
      <c r="R838" s="95">
        <f t="shared" si="281"/>
        <v>27286936987260.617</v>
      </c>
      <c r="S838" s="95">
        <f t="shared" si="282"/>
        <v>20686670009701.453</v>
      </c>
      <c r="T838">
        <f t="shared" si="264"/>
        <v>0.5</v>
      </c>
    </row>
    <row r="839" spans="1:20" x14ac:dyDescent="0.25">
      <c r="A839">
        <v>398</v>
      </c>
      <c r="B839" s="95">
        <f t="shared" si="265"/>
        <v>9187.8233497691981</v>
      </c>
      <c r="C839" s="95">
        <f t="shared" si="266"/>
        <v>6232.3473384868303</v>
      </c>
      <c r="D839" s="95">
        <f t="shared" si="267"/>
        <v>106.93103362480672</v>
      </c>
      <c r="E839" s="95">
        <f t="shared" si="268"/>
        <v>-97.930563381281786</v>
      </c>
      <c r="F839" s="96">
        <f t="shared" si="269"/>
        <v>-138.80412971178166</v>
      </c>
      <c r="G839" s="94">
        <f t="shared" si="270"/>
        <v>128.30600123855015</v>
      </c>
      <c r="H839" s="97">
        <f t="shared" si="271"/>
        <v>411.38900562582239</v>
      </c>
      <c r="I839" s="94">
        <f t="shared" si="272"/>
        <v>642.09968083991612</v>
      </c>
      <c r="J839" s="95">
        <f t="shared" si="273"/>
        <v>-190.44070978470481</v>
      </c>
      <c r="K839" s="94">
        <f t="shared" si="274"/>
        <v>24.582663752707479</v>
      </c>
      <c r="L839" s="94">
        <f t="shared" si="275"/>
        <v>-359.75242555289924</v>
      </c>
      <c r="M839" s="94">
        <f t="shared" si="276"/>
        <v>-538.37634335407347</v>
      </c>
      <c r="N839" s="99">
        <f t="shared" si="277"/>
        <v>1494.8362087874241</v>
      </c>
      <c r="O839" s="99">
        <f t="shared" si="278"/>
        <v>29370.724236348382</v>
      </c>
      <c r="P839" s="100">
        <f t="shared" si="279"/>
        <v>25547.49181794158</v>
      </c>
      <c r="Q839" s="95">
        <f t="shared" si="280"/>
        <v>1033704580858.84</v>
      </c>
      <c r="R839" s="95">
        <f t="shared" si="281"/>
        <v>27525464722639.277</v>
      </c>
      <c r="S839" s="95">
        <f t="shared" si="282"/>
        <v>20649553433662.008</v>
      </c>
      <c r="T839">
        <f t="shared" si="264"/>
        <v>0.5</v>
      </c>
    </row>
    <row r="840" spans="1:20" x14ac:dyDescent="0.25">
      <c r="A840">
        <v>398.5</v>
      </c>
      <c r="B840" s="95">
        <f t="shared" si="265"/>
        <v>9206.5878341536554</v>
      </c>
      <c r="C840" s="95">
        <f t="shared" si="266"/>
        <v>6215.4585571058269</v>
      </c>
      <c r="D840" s="95">
        <f t="shared" si="267"/>
        <v>37.528968768915888</v>
      </c>
      <c r="E840" s="95">
        <f t="shared" si="268"/>
        <v>-33.77756276200671</v>
      </c>
      <c r="F840" s="96">
        <f t="shared" si="269"/>
        <v>-148.41619601294173</v>
      </c>
      <c r="G840" s="94">
        <f t="shared" si="270"/>
        <v>136.34349481408231</v>
      </c>
      <c r="H840" s="97">
        <f t="shared" si="271"/>
        <v>401.69545330657894</v>
      </c>
      <c r="I840" s="94">
        <f t="shared" si="272"/>
        <v>650.34855703787059</v>
      </c>
      <c r="J840" s="95">
        <f t="shared" si="273"/>
        <v>-189.47568096284834</v>
      </c>
      <c r="K840" s="94">
        <f t="shared" si="274"/>
        <v>24.551945988909921</v>
      </c>
      <c r="L840" s="94">
        <f t="shared" si="275"/>
        <v>-360.63596835667232</v>
      </c>
      <c r="M840" s="94">
        <f t="shared" si="276"/>
        <v>-538.55700821269818</v>
      </c>
      <c r="N840" s="99">
        <f t="shared" si="277"/>
        <v>1505.5145902386828</v>
      </c>
      <c r="O840" s="99">
        <f t="shared" si="278"/>
        <v>29429.988761043373</v>
      </c>
      <c r="P840" s="100">
        <f t="shared" si="279"/>
        <v>25536.383943432651</v>
      </c>
      <c r="Q840" s="95">
        <f t="shared" si="280"/>
        <v>1034190542019.6014</v>
      </c>
      <c r="R840" s="95">
        <f t="shared" si="281"/>
        <v>27683442055560.555</v>
      </c>
      <c r="S840" s="95">
        <f t="shared" si="282"/>
        <v>20626206612968.082</v>
      </c>
      <c r="T840">
        <f t="shared" si="264"/>
        <v>0.5</v>
      </c>
    </row>
    <row r="841" spans="1:20" x14ac:dyDescent="0.25">
      <c r="A841">
        <v>399</v>
      </c>
      <c r="B841" s="95">
        <f t="shared" si="265"/>
        <v>9188.2482695348772</v>
      </c>
      <c r="C841" s="95">
        <f t="shared" si="266"/>
        <v>6232.6556494283441</v>
      </c>
      <c r="D841" s="95">
        <f t="shared" si="267"/>
        <v>-36.679129237554974</v>
      </c>
      <c r="E841" s="95">
        <f t="shared" si="268"/>
        <v>34.394184645034443</v>
      </c>
      <c r="F841" s="96">
        <f t="shared" si="269"/>
        <v>-138.37798491018063</v>
      </c>
      <c r="G841" s="94">
        <f t="shared" si="270"/>
        <v>126.71972308712793</v>
      </c>
      <c r="H841" s="97">
        <f t="shared" si="271"/>
        <v>410.90235959423461</v>
      </c>
      <c r="I841" s="94">
        <f t="shared" si="272"/>
        <v>641.51977079239578</v>
      </c>
      <c r="J841" s="95">
        <f t="shared" si="273"/>
        <v>-188.97765513079858</v>
      </c>
      <c r="K841" s="94">
        <f t="shared" si="274"/>
        <v>24.391456961272372</v>
      </c>
      <c r="L841" s="94">
        <f t="shared" si="275"/>
        <v>-360.30268937361666</v>
      </c>
      <c r="M841" s="94">
        <f t="shared" si="276"/>
        <v>-539.19150466654025</v>
      </c>
      <c r="N841" s="99">
        <f t="shared" si="277"/>
        <v>1509.8177318556143</v>
      </c>
      <c r="O841" s="99">
        <f t="shared" si="278"/>
        <v>29450.764452677893</v>
      </c>
      <c r="P841" s="100">
        <f t="shared" si="279"/>
        <v>25532.779317532149</v>
      </c>
      <c r="Q841" s="95">
        <f t="shared" si="280"/>
        <v>1034387372662.1021</v>
      </c>
      <c r="R841" s="95">
        <f t="shared" si="281"/>
        <v>27738969183986.008</v>
      </c>
      <c r="S841" s="95">
        <f t="shared" si="282"/>
        <v>20618634389680.281</v>
      </c>
      <c r="T841">
        <f t="shared" si="264"/>
        <v>0.5</v>
      </c>
    </row>
    <row r="842" spans="1:20" x14ac:dyDescent="0.25">
      <c r="A842">
        <v>399.5</v>
      </c>
      <c r="B842" s="95">
        <f t="shared" si="265"/>
        <v>9135.3142086885546</v>
      </c>
      <c r="C842" s="95">
        <f t="shared" si="266"/>
        <v>6281.5326725226432</v>
      </c>
      <c r="D842" s="95">
        <f t="shared" si="267"/>
        <v>-105.86812169264529</v>
      </c>
      <c r="E842" s="95">
        <f t="shared" si="268"/>
        <v>97.754046188598409</v>
      </c>
      <c r="F842" s="96">
        <f t="shared" si="269"/>
        <v>-110.02509462486339</v>
      </c>
      <c r="G842" s="94">
        <f t="shared" si="270"/>
        <v>100.82450296234731</v>
      </c>
      <c r="H842" s="97">
        <f t="shared" si="271"/>
        <v>437.78991965220462</v>
      </c>
      <c r="I842" s="94">
        <f t="shared" si="272"/>
        <v>616.90930827729414</v>
      </c>
      <c r="J842" s="95">
        <f t="shared" si="273"/>
        <v>-189.00633326633843</v>
      </c>
      <c r="K842" s="94">
        <f t="shared" si="274"/>
        <v>24.122405885280866</v>
      </c>
      <c r="L842" s="94">
        <f t="shared" si="275"/>
        <v>-358.80868101072957</v>
      </c>
      <c r="M842" s="94">
        <f t="shared" si="276"/>
        <v>-540.20721120022768</v>
      </c>
      <c r="N842" s="99">
        <f t="shared" si="277"/>
        <v>1505.0257721510995</v>
      </c>
      <c r="O842" s="99">
        <f t="shared" si="278"/>
        <v>29430.370716315992</v>
      </c>
      <c r="P842" s="100">
        <f t="shared" si="279"/>
        <v>25536.876372907489</v>
      </c>
      <c r="Q842" s="95">
        <f t="shared" si="280"/>
        <v>1034168219239.9448</v>
      </c>
      <c r="R842" s="95">
        <f t="shared" si="281"/>
        <v>27684462218107.496</v>
      </c>
      <c r="S842" s="95">
        <f t="shared" si="282"/>
        <v>20627241212553.723</v>
      </c>
      <c r="T842">
        <f t="shared" si="264"/>
        <v>0.5</v>
      </c>
    </row>
    <row r="843" spans="1:20" x14ac:dyDescent="0.25">
      <c r="A843">
        <v>400</v>
      </c>
      <c r="B843" s="95">
        <f t="shared" si="265"/>
        <v>9054.8738741860161</v>
      </c>
      <c r="C843" s="95">
        <f t="shared" si="266"/>
        <v>6355.6158213575291</v>
      </c>
      <c r="D843" s="95">
        <f t="shared" si="267"/>
        <v>-160.88066900507698</v>
      </c>
      <c r="E843" s="95">
        <f t="shared" si="268"/>
        <v>148.16629766977206</v>
      </c>
      <c r="F843" s="96">
        <f t="shared" si="269"/>
        <v>-67.165007604973766</v>
      </c>
      <c r="G843" s="94">
        <f t="shared" si="270"/>
        <v>61.993115054147438</v>
      </c>
      <c r="H843" s="97">
        <f t="shared" si="271"/>
        <v>478.74683079670626</v>
      </c>
      <c r="I843" s="94">
        <f t="shared" si="272"/>
        <v>579.67956209773047</v>
      </c>
      <c r="J843" s="95">
        <f t="shared" si="273"/>
        <v>-189.55638833219527</v>
      </c>
      <c r="K843" s="94">
        <f t="shared" si="274"/>
        <v>23.776262309375255</v>
      </c>
      <c r="L843" s="94">
        <f t="shared" si="275"/>
        <v>-356.35545006948473</v>
      </c>
      <c r="M843" s="94">
        <f t="shared" si="276"/>
        <v>-541.46270935295831</v>
      </c>
      <c r="N843" s="99">
        <f t="shared" si="277"/>
        <v>1494.1031242272779</v>
      </c>
      <c r="O843" s="99">
        <f t="shared" si="278"/>
        <v>29371.645056151112</v>
      </c>
      <c r="P843" s="100">
        <f t="shared" si="279"/>
        <v>25548.204255289671</v>
      </c>
      <c r="Q843" s="95">
        <f t="shared" si="280"/>
        <v>1033671348672.1849</v>
      </c>
      <c r="R843" s="95">
        <f t="shared" si="281"/>
        <v>27527914549342.063</v>
      </c>
      <c r="S843" s="95">
        <f t="shared" si="282"/>
        <v>20651051500060.922</v>
      </c>
      <c r="T843">
        <f t="shared" si="264"/>
        <v>0.5</v>
      </c>
    </row>
    <row r="844" spans="1:20" x14ac:dyDescent="0.25">
      <c r="A844">
        <v>400.5</v>
      </c>
      <c r="B844" s="95">
        <f t="shared" si="265"/>
        <v>8957.6422877822333</v>
      </c>
      <c r="C844" s="95">
        <f t="shared" si="266"/>
        <v>6445.1972489559521</v>
      </c>
      <c r="D844" s="95">
        <f t="shared" si="267"/>
        <v>-194.46317280756386</v>
      </c>
      <c r="E844" s="95">
        <f t="shared" si="268"/>
        <v>179.16285519684578</v>
      </c>
      <c r="F844" s="96">
        <f t="shared" si="269"/>
        <v>-15.59382015530457</v>
      </c>
      <c r="G844" s="94">
        <f t="shared" si="270"/>
        <v>15.156581264839588</v>
      </c>
      <c r="H844" s="97">
        <f t="shared" si="271"/>
        <v>528.2271439962567</v>
      </c>
      <c r="I844" s="94">
        <f t="shared" si="272"/>
        <v>534.5338151505789</v>
      </c>
      <c r="J844" s="95">
        <f t="shared" si="273"/>
        <v>-190.5582594821951</v>
      </c>
      <c r="K844" s="94">
        <f t="shared" si="274"/>
        <v>23.392685713480169</v>
      </c>
      <c r="L844" s="94">
        <f t="shared" si="275"/>
        <v>-353.26270466936614</v>
      </c>
      <c r="M844" s="94">
        <f t="shared" si="276"/>
        <v>-542.76991959921952</v>
      </c>
      <c r="N844" s="99">
        <f t="shared" si="277"/>
        <v>1484.2097365343461</v>
      </c>
      <c r="O844" s="99">
        <f t="shared" si="278"/>
        <v>29282.541417820903</v>
      </c>
      <c r="P844" s="100">
        <f t="shared" si="279"/>
        <v>25565.637225164028</v>
      </c>
      <c r="Q844" s="95">
        <f t="shared" si="280"/>
        <v>1033224490743.9558</v>
      </c>
      <c r="R844" s="95">
        <f t="shared" si="281"/>
        <v>27291547624032.293</v>
      </c>
      <c r="S844" s="95">
        <f t="shared" si="282"/>
        <v>20687732714275.289</v>
      </c>
      <c r="T844">
        <f t="shared" si="264"/>
        <v>0.5</v>
      </c>
    </row>
    <row r="845" spans="1:20" x14ac:dyDescent="0.25">
      <c r="A845">
        <v>401</v>
      </c>
      <c r="B845" s="95">
        <f t="shared" si="265"/>
        <v>8856.5122463396237</v>
      </c>
      <c r="C845" s="95">
        <f t="shared" si="266"/>
        <v>6538.5678218705852</v>
      </c>
      <c r="D845" s="95">
        <f t="shared" si="267"/>
        <v>-202.26008288521615</v>
      </c>
      <c r="E845" s="95">
        <f t="shared" si="268"/>
        <v>186.74114582926558</v>
      </c>
      <c r="F845" s="96">
        <f t="shared" si="269"/>
        <v>37.693429727592672</v>
      </c>
      <c r="G845" s="94">
        <f t="shared" si="270"/>
        <v>-33.669100959164723</v>
      </c>
      <c r="H845" s="97">
        <f t="shared" si="271"/>
        <v>579.50797327877967</v>
      </c>
      <c r="I845" s="94">
        <f t="shared" si="272"/>
        <v>487.24405767292507</v>
      </c>
      <c r="J845" s="95">
        <f t="shared" si="273"/>
        <v>-191.88513564448667</v>
      </c>
      <c r="K845" s="94">
        <f t="shared" si="274"/>
        <v>23.017243988271847</v>
      </c>
      <c r="L845" s="94">
        <f t="shared" si="275"/>
        <v>-349.92940790670031</v>
      </c>
      <c r="M845" s="94">
        <f t="shared" si="276"/>
        <v>-543.93040262036163</v>
      </c>
      <c r="N845" s="99">
        <f t="shared" si="277"/>
        <v>1482.9424951190615</v>
      </c>
      <c r="O845" s="99">
        <f t="shared" si="278"/>
        <v>29175.017900011375</v>
      </c>
      <c r="P845" s="100">
        <f t="shared" si="279"/>
        <v>25587.345764660993</v>
      </c>
      <c r="Q845" s="95">
        <f t="shared" si="280"/>
        <v>1033167471951.5826</v>
      </c>
      <c r="R845" s="95">
        <f t="shared" si="281"/>
        <v>27008175538502.797</v>
      </c>
      <c r="S845" s="95">
        <f t="shared" si="282"/>
        <v>20733475616261.113</v>
      </c>
      <c r="T845">
        <f t="shared" si="264"/>
        <v>0.5</v>
      </c>
    </row>
    <row r="846" spans="1:20" x14ac:dyDescent="0.25">
      <c r="A846">
        <v>401.5</v>
      </c>
      <c r="B846" s="95">
        <f t="shared" si="265"/>
        <v>8764.8055623289147</v>
      </c>
      <c r="C846" s="95">
        <f t="shared" si="266"/>
        <v>6623.5211195454276</v>
      </c>
      <c r="D846" s="95">
        <f t="shared" si="267"/>
        <v>-183.41336802141981</v>
      </c>
      <c r="E846" s="95">
        <f t="shared" si="268"/>
        <v>169.90659534968322</v>
      </c>
      <c r="F846" s="96">
        <f t="shared" si="269"/>
        <v>85.530607606473723</v>
      </c>
      <c r="G846" s="94">
        <f t="shared" si="270"/>
        <v>-78.100704774714472</v>
      </c>
      <c r="H846" s="97">
        <f t="shared" si="271"/>
        <v>625.68277446371042</v>
      </c>
      <c r="I846" s="94">
        <f t="shared" si="272"/>
        <v>443.97685170575073</v>
      </c>
      <c r="J846" s="95">
        <f t="shared" si="273"/>
        <v>-193.36651232441105</v>
      </c>
      <c r="K846" s="94">
        <f t="shared" si="274"/>
        <v>22.697804914265909</v>
      </c>
      <c r="L846" s="94">
        <f t="shared" si="275"/>
        <v>-346.78565453282567</v>
      </c>
      <c r="M846" s="94">
        <f t="shared" si="276"/>
        <v>-544.77536139473114</v>
      </c>
      <c r="N846" s="99">
        <f t="shared" si="277"/>
        <v>1493.9598642245794</v>
      </c>
      <c r="O846" s="99">
        <f t="shared" si="278"/>
        <v>29063.375780300168</v>
      </c>
      <c r="P846" s="100">
        <f t="shared" si="279"/>
        <v>25610.795291249331</v>
      </c>
      <c r="Q846" s="95">
        <f t="shared" si="280"/>
        <v>1033664856355.9276</v>
      </c>
      <c r="R846" s="95">
        <f t="shared" si="281"/>
        <v>26716091424295.797</v>
      </c>
      <c r="S846" s="95">
        <f t="shared" si="282"/>
        <v>20782968512620.117</v>
      </c>
      <c r="T846">
        <f t="shared" si="264"/>
        <v>0.5</v>
      </c>
    </row>
    <row r="847" spans="1:20" x14ac:dyDescent="0.25">
      <c r="A847">
        <v>402</v>
      </c>
      <c r="B847" s="95">
        <f t="shared" si="265"/>
        <v>8694.481530219824</v>
      </c>
      <c r="C847" s="95">
        <f t="shared" si="266"/>
        <v>6688.9492410265902</v>
      </c>
      <c r="D847" s="95">
        <f t="shared" si="267"/>
        <v>-140.64806421818295</v>
      </c>
      <c r="E847" s="95">
        <f t="shared" si="268"/>
        <v>130.85624296232598</v>
      </c>
      <c r="F847" s="96">
        <f t="shared" si="269"/>
        <v>121.65634127432565</v>
      </c>
      <c r="G847" s="94">
        <f t="shared" si="270"/>
        <v>-112.25683749501712</v>
      </c>
      <c r="H847" s="97">
        <f t="shared" si="271"/>
        <v>660.70395583657182</v>
      </c>
      <c r="I847" s="94">
        <f t="shared" si="272"/>
        <v>410.46102161098867</v>
      </c>
      <c r="J847" s="95">
        <f t="shared" si="273"/>
        <v>-194.80839339561419</v>
      </c>
      <c r="K847" s="94">
        <f t="shared" si="274"/>
        <v>22.478903413105073</v>
      </c>
      <c r="L847" s="94">
        <f t="shared" si="275"/>
        <v>-344.23922116663198</v>
      </c>
      <c r="M847" s="94">
        <f t="shared" si="276"/>
        <v>-545.19676251911085</v>
      </c>
      <c r="N847" s="99">
        <f t="shared" si="277"/>
        <v>1514.5694195831663</v>
      </c>
      <c r="O847" s="99">
        <f t="shared" si="278"/>
        <v>28962.297019897167</v>
      </c>
      <c r="P847" s="100">
        <f t="shared" si="279"/>
        <v>25632.919025662064</v>
      </c>
      <c r="Q847" s="95">
        <f t="shared" si="280"/>
        <v>1034605387570.8118</v>
      </c>
      <c r="R847" s="95">
        <f t="shared" si="281"/>
        <v>26453519434570.465</v>
      </c>
      <c r="S847" s="95">
        <f t="shared" si="282"/>
        <v>20829740833644.625</v>
      </c>
      <c r="T847">
        <f t="shared" si="264"/>
        <v>0.5</v>
      </c>
    </row>
    <row r="848" spans="1:20" x14ac:dyDescent="0.25">
      <c r="A848">
        <v>402.5</v>
      </c>
      <c r="B848" s="95">
        <f t="shared" si="265"/>
        <v>8654.5715834293151</v>
      </c>
      <c r="C848" s="95">
        <f t="shared" si="266"/>
        <v>6726.3131531339986</v>
      </c>
      <c r="D848" s="95">
        <f t="shared" si="267"/>
        <v>-79.819893581020125</v>
      </c>
      <c r="E848" s="95">
        <f t="shared" si="268"/>
        <v>74.727824214817417</v>
      </c>
      <c r="F848" s="96">
        <f t="shared" si="269"/>
        <v>141.57917204441605</v>
      </c>
      <c r="G848" s="94">
        <f t="shared" si="270"/>
        <v>-131.60595036933114</v>
      </c>
      <c r="H848" s="97">
        <f t="shared" si="271"/>
        <v>680.22081478325333</v>
      </c>
      <c r="I848" s="94">
        <f t="shared" si="272"/>
        <v>391.16008765720051</v>
      </c>
      <c r="J848" s="95">
        <f t="shared" si="273"/>
        <v>-196.01870925559206</v>
      </c>
      <c r="K848" s="94">
        <f t="shared" si="274"/>
        <v>22.394467436420314</v>
      </c>
      <c r="L848" s="94">
        <f t="shared" si="275"/>
        <v>-342.62293348324522</v>
      </c>
      <c r="M848" s="94">
        <f t="shared" si="276"/>
        <v>-545.16050546295196</v>
      </c>
      <c r="N848" s="99">
        <f t="shared" si="277"/>
        <v>1536.9391037280939</v>
      </c>
      <c r="O848" s="99">
        <f t="shared" si="278"/>
        <v>28884.880602429796</v>
      </c>
      <c r="P848" s="100">
        <f t="shared" si="279"/>
        <v>25650.523260966034</v>
      </c>
      <c r="Q848" s="95">
        <f t="shared" si="280"/>
        <v>1035641156902.9099</v>
      </c>
      <c r="R848" s="95">
        <f t="shared" si="281"/>
        <v>26253616494572.625</v>
      </c>
      <c r="S848" s="95">
        <f t="shared" si="282"/>
        <v>20867012285832.688</v>
      </c>
      <c r="T848">
        <f t="shared" si="264"/>
        <v>0.5</v>
      </c>
    </row>
    <row r="849" spans="1:20" x14ac:dyDescent="0.25">
      <c r="A849">
        <v>403</v>
      </c>
      <c r="B849" s="95">
        <f t="shared" si="265"/>
        <v>8650.0564296499088</v>
      </c>
      <c r="C849" s="95">
        <f t="shared" si="266"/>
        <v>6730.775577649074</v>
      </c>
      <c r="D849" s="95">
        <f t="shared" si="267"/>
        <v>-9.0303075588120976</v>
      </c>
      <c r="E849" s="95">
        <f t="shared" si="268"/>
        <v>8.9248490301518473</v>
      </c>
      <c r="F849" s="96">
        <f t="shared" si="269"/>
        <v>143.05319512844306</v>
      </c>
      <c r="G849" s="94">
        <f t="shared" si="270"/>
        <v>-133.60115111605421</v>
      </c>
      <c r="H849" s="97">
        <f t="shared" si="271"/>
        <v>682.03791588275772</v>
      </c>
      <c r="I849" s="94">
        <f t="shared" si="272"/>
        <v>388.6386315616769</v>
      </c>
      <c r="J849" s="95">
        <f t="shared" si="273"/>
        <v>-196.83447084375328</v>
      </c>
      <c r="K849" s="94">
        <f t="shared" si="274"/>
        <v>22.460551197273254</v>
      </c>
      <c r="L849" s="94">
        <f t="shared" si="275"/>
        <v>-342.1502499105614</v>
      </c>
      <c r="M849" s="94">
        <f t="shared" si="276"/>
        <v>-544.70033387500439</v>
      </c>
      <c r="N849" s="99">
        <f t="shared" si="277"/>
        <v>1552.0209280577876</v>
      </c>
      <c r="O849" s="99">
        <f t="shared" si="278"/>
        <v>28840.969092615771</v>
      </c>
      <c r="P849" s="100">
        <f t="shared" si="279"/>
        <v>25660.865307994558</v>
      </c>
      <c r="Q849" s="95">
        <f t="shared" si="280"/>
        <v>1036348250004.9274</v>
      </c>
      <c r="R849" s="95">
        <f t="shared" si="281"/>
        <v>26140691212557.434</v>
      </c>
      <c r="S849" s="95">
        <f t="shared" si="282"/>
        <v>20888930624135.609</v>
      </c>
      <c r="T849">
        <f t="shared" si="264"/>
        <v>0.5</v>
      </c>
    </row>
    <row r="850" spans="1:20" x14ac:dyDescent="0.25">
      <c r="A850">
        <v>403.5</v>
      </c>
      <c r="B850" s="95">
        <f t="shared" si="265"/>
        <v>8681.3045746526132</v>
      </c>
      <c r="C850" s="95">
        <f t="shared" si="266"/>
        <v>6701.8377143851367</v>
      </c>
      <c r="D850" s="95">
        <f t="shared" si="267"/>
        <v>62.496290005409435</v>
      </c>
      <c r="E850" s="95">
        <f t="shared" si="268"/>
        <v>-57.875726527875258</v>
      </c>
      <c r="F850" s="96">
        <f t="shared" si="269"/>
        <v>126.16728055040102</v>
      </c>
      <c r="G850" s="94">
        <f t="shared" si="270"/>
        <v>-118.00069762848</v>
      </c>
      <c r="H850" s="97">
        <f t="shared" si="271"/>
        <v>666.19870809898873</v>
      </c>
      <c r="I850" s="94">
        <f t="shared" si="272"/>
        <v>403.22782145837954</v>
      </c>
      <c r="J850" s="95">
        <f t="shared" si="273"/>
        <v>-197.14581833360259</v>
      </c>
      <c r="K850" s="94">
        <f t="shared" si="274"/>
        <v>22.670478642355924</v>
      </c>
      <c r="L850" s="94">
        <f t="shared" si="275"/>
        <v>-342.8856092149851</v>
      </c>
      <c r="M850" s="94">
        <f t="shared" si="276"/>
        <v>-543.89899772921547</v>
      </c>
      <c r="N850" s="99">
        <f t="shared" si="277"/>
        <v>1553.7225798290592</v>
      </c>
      <c r="O850" s="99">
        <f t="shared" si="278"/>
        <v>28835.976864774668</v>
      </c>
      <c r="P850" s="100">
        <f t="shared" si="279"/>
        <v>25662.241674077817</v>
      </c>
      <c r="Q850" s="95">
        <f t="shared" si="280"/>
        <v>1036428473524.4111</v>
      </c>
      <c r="R850" s="95">
        <f t="shared" si="281"/>
        <v>26127874063380.953</v>
      </c>
      <c r="S850" s="95">
        <f t="shared" si="282"/>
        <v>20891848859670.504</v>
      </c>
      <c r="T850">
        <f t="shared" ref="T850:T913" si="283">A851-A850</f>
        <v>0.5</v>
      </c>
    </row>
    <row r="851" spans="1:20" x14ac:dyDescent="0.25">
      <c r="A851">
        <v>404</v>
      </c>
      <c r="B851" s="95">
        <f t="shared" si="265"/>
        <v>8744.0945397929172</v>
      </c>
      <c r="C851" s="95">
        <f t="shared" si="266"/>
        <v>6643.3996767140798</v>
      </c>
      <c r="D851" s="95">
        <f t="shared" si="267"/>
        <v>125.57993028060994</v>
      </c>
      <c r="E851" s="95">
        <f t="shared" si="268"/>
        <v>-116.87607534211526</v>
      </c>
      <c r="F851" s="96">
        <f t="shared" si="269"/>
        <v>93.184963018052429</v>
      </c>
      <c r="G851" s="94">
        <f t="shared" si="270"/>
        <v>-86.880626463729129</v>
      </c>
      <c r="H851" s="97">
        <f t="shared" si="271"/>
        <v>634.83111403369196</v>
      </c>
      <c r="I851" s="94">
        <f t="shared" si="272"/>
        <v>432.99161819358307</v>
      </c>
      <c r="J851" s="95">
        <f t="shared" si="273"/>
        <v>-196.91233227654155</v>
      </c>
      <c r="K851" s="94">
        <f t="shared" si="274"/>
        <v>22.994497087511515</v>
      </c>
      <c r="L851" s="94">
        <f t="shared" si="275"/>
        <v>-344.73381873909801</v>
      </c>
      <c r="M851" s="94">
        <f t="shared" si="276"/>
        <v>-542.86674174482368</v>
      </c>
      <c r="N851" s="99">
        <f t="shared" si="277"/>
        <v>1541.4346106825512</v>
      </c>
      <c r="O851" s="99">
        <f t="shared" si="278"/>
        <v>28870.315318095178</v>
      </c>
      <c r="P851" s="100">
        <f t="shared" si="279"/>
        <v>25654.392509781239</v>
      </c>
      <c r="Q851" s="95">
        <f t="shared" si="280"/>
        <v>1035851184188.7238</v>
      </c>
      <c r="R851" s="95">
        <f t="shared" si="281"/>
        <v>26216122569480.277</v>
      </c>
      <c r="S851" s="95">
        <f t="shared" si="282"/>
        <v>20875210616308.055</v>
      </c>
      <c r="T851">
        <f t="shared" si="283"/>
        <v>0.5</v>
      </c>
    </row>
    <row r="852" spans="1:20" x14ac:dyDescent="0.25">
      <c r="A852">
        <v>404.5</v>
      </c>
      <c r="B852" s="95">
        <f t="shared" si="265"/>
        <v>8830.1807456877359</v>
      </c>
      <c r="C852" s="95">
        <f t="shared" si="266"/>
        <v>6563.24148242709</v>
      </c>
      <c r="D852" s="95">
        <f t="shared" si="267"/>
        <v>172.17241178963616</v>
      </c>
      <c r="E852" s="95">
        <f t="shared" si="268"/>
        <v>-160.31638857397982</v>
      </c>
      <c r="F852" s="96">
        <f t="shared" si="269"/>
        <v>48.260746669296509</v>
      </c>
      <c r="G852" s="94">
        <f t="shared" si="270"/>
        <v>-44.379740136847659</v>
      </c>
      <c r="H852" s="97">
        <f t="shared" si="271"/>
        <v>591.87976732396362</v>
      </c>
      <c r="I852" s="94">
        <f t="shared" si="272"/>
        <v>473.9607519503129</v>
      </c>
      <c r="J852" s="95">
        <f t="shared" si="273"/>
        <v>-196.16862121141466</v>
      </c>
      <c r="K852" s="94">
        <f t="shared" si="274"/>
        <v>23.384667122827665</v>
      </c>
      <c r="L852" s="94">
        <f t="shared" si="275"/>
        <v>-347.45039944325242</v>
      </c>
      <c r="M852" s="94">
        <f t="shared" si="276"/>
        <v>-541.72515920998819</v>
      </c>
      <c r="N852" s="99">
        <f t="shared" si="277"/>
        <v>1520.2179576730132</v>
      </c>
      <c r="O852" s="99">
        <f t="shared" si="278"/>
        <v>28939.41493262841</v>
      </c>
      <c r="P852" s="100">
        <f t="shared" si="279"/>
        <v>25638.581947618564</v>
      </c>
      <c r="Q852" s="95">
        <f t="shared" si="280"/>
        <v>1034865462623.5226</v>
      </c>
      <c r="R852" s="95">
        <f t="shared" si="281"/>
        <v>26394325479816.301</v>
      </c>
      <c r="S852" s="95">
        <f t="shared" si="282"/>
        <v>20841725081763.746</v>
      </c>
      <c r="T852">
        <f t="shared" si="283"/>
        <v>0.5</v>
      </c>
    </row>
    <row r="853" spans="1:20" x14ac:dyDescent="0.25">
      <c r="A853">
        <v>405</v>
      </c>
      <c r="B853" s="95">
        <f t="shared" si="265"/>
        <v>8928.332138249878</v>
      </c>
      <c r="C853" s="95">
        <f t="shared" si="266"/>
        <v>6471.9883531058886</v>
      </c>
      <c r="D853" s="95">
        <f t="shared" si="267"/>
        <v>196.30278512428441</v>
      </c>
      <c r="E853" s="95">
        <f t="shared" si="268"/>
        <v>-182.50625864240365</v>
      </c>
      <c r="F853" s="96">
        <f t="shared" si="269"/>
        <v>-2.9542430782769316</v>
      </c>
      <c r="G853" s="94">
        <f t="shared" si="270"/>
        <v>3.8125992308983996</v>
      </c>
      <c r="H853" s="97">
        <f t="shared" si="271"/>
        <v>542.73693738874647</v>
      </c>
      <c r="I853" s="94">
        <f t="shared" si="272"/>
        <v>520.62762423808215</v>
      </c>
      <c r="J853" s="95">
        <f t="shared" si="273"/>
        <v>-195.01844909374319</v>
      </c>
      <c r="K853" s="94">
        <f t="shared" si="274"/>
        <v>23.783858553401448</v>
      </c>
      <c r="L853" s="94">
        <f t="shared" si="275"/>
        <v>-350.67273137328021</v>
      </c>
      <c r="M853" s="94">
        <f t="shared" si="276"/>
        <v>-540.59888356058525</v>
      </c>
      <c r="N853" s="99">
        <f t="shared" si="277"/>
        <v>1498.663940983801</v>
      </c>
      <c r="O853" s="99">
        <f t="shared" si="278"/>
        <v>29034.300937634674</v>
      </c>
      <c r="P853" s="100">
        <f t="shared" si="279"/>
        <v>25617.323878341707</v>
      </c>
      <c r="Q853" s="95">
        <f t="shared" si="280"/>
        <v>1033878370173.4573</v>
      </c>
      <c r="R853" s="95">
        <f t="shared" si="281"/>
        <v>26640381460421.828</v>
      </c>
      <c r="S853" s="95">
        <f t="shared" si="282"/>
        <v>20796762910974.824</v>
      </c>
      <c r="T853">
        <f t="shared" si="283"/>
        <v>0.5</v>
      </c>
    </row>
    <row r="854" spans="1:20" x14ac:dyDescent="0.25">
      <c r="A854">
        <v>405.5</v>
      </c>
      <c r="B854" s="95">
        <f t="shared" si="265"/>
        <v>9025.7449700424513</v>
      </c>
      <c r="C854" s="95">
        <f t="shared" si="266"/>
        <v>6381.6883735924121</v>
      </c>
      <c r="D854" s="95">
        <f t="shared" si="267"/>
        <v>194.82566358514595</v>
      </c>
      <c r="E854" s="95">
        <f t="shared" si="268"/>
        <v>-180.59995902695445</v>
      </c>
      <c r="F854" s="96">
        <f t="shared" si="269"/>
        <v>-53.890126163652781</v>
      </c>
      <c r="G854" s="94">
        <f t="shared" si="270"/>
        <v>51.221973978834058</v>
      </c>
      <c r="H854" s="97">
        <f t="shared" si="271"/>
        <v>493.69790098449494</v>
      </c>
      <c r="I854" s="94">
        <f t="shared" si="272"/>
        <v>566.69771838698114</v>
      </c>
      <c r="J854" s="95">
        <f t="shared" si="273"/>
        <v>-193.61876722993495</v>
      </c>
      <c r="K854" s="94">
        <f t="shared" si="274"/>
        <v>24.136263764524958</v>
      </c>
      <c r="L854" s="94">
        <f t="shared" si="275"/>
        <v>-353.96925991821274</v>
      </c>
      <c r="M854" s="94">
        <f t="shared" si="276"/>
        <v>-539.61200817267206</v>
      </c>
      <c r="N854" s="99">
        <f t="shared" si="277"/>
        <v>1485.0185022611745</v>
      </c>
      <c r="O854" s="99">
        <f t="shared" si="278"/>
        <v>29142.670887918306</v>
      </c>
      <c r="P854" s="100">
        <f t="shared" si="279"/>
        <v>25593.84144651442</v>
      </c>
      <c r="Q854" s="95">
        <f t="shared" si="280"/>
        <v>1033260906698.2386</v>
      </c>
      <c r="R854" s="95">
        <f t="shared" si="281"/>
        <v>26923323329599.223</v>
      </c>
      <c r="S854" s="95">
        <f t="shared" si="282"/>
        <v>20747177014368.648</v>
      </c>
      <c r="T854">
        <f t="shared" si="283"/>
        <v>0.5</v>
      </c>
    </row>
    <row r="855" spans="1:20" x14ac:dyDescent="0.25">
      <c r="A855">
        <v>406</v>
      </c>
      <c r="B855" s="95">
        <f t="shared" si="265"/>
        <v>9109.6852702941123</v>
      </c>
      <c r="C855" s="95">
        <f t="shared" si="266"/>
        <v>6304.1938875736432</v>
      </c>
      <c r="D855" s="95">
        <f t="shared" si="267"/>
        <v>167.88060050331956</v>
      </c>
      <c r="E855" s="95">
        <f t="shared" si="268"/>
        <v>-154.98897203753742</v>
      </c>
      <c r="F855" s="96">
        <f t="shared" si="269"/>
        <v>-97.859004100759989</v>
      </c>
      <c r="G855" s="94">
        <f t="shared" si="270"/>
        <v>91.529538657515559</v>
      </c>
      <c r="H855" s="97">
        <f t="shared" si="271"/>
        <v>451.19798535730763</v>
      </c>
      <c r="I855" s="94">
        <f t="shared" si="272"/>
        <v>606.01637915500191</v>
      </c>
      <c r="J855" s="95">
        <f t="shared" si="273"/>
        <v>-192.15665195438186</v>
      </c>
      <c r="K855" s="94">
        <f t="shared" si="274"/>
        <v>24.396475682995707</v>
      </c>
      <c r="L855" s="94">
        <f t="shared" si="275"/>
        <v>-356.90033750368576</v>
      </c>
      <c r="M855" s="94">
        <f t="shared" si="276"/>
        <v>-538.8833161804821</v>
      </c>
      <c r="N855" s="99">
        <f t="shared" si="277"/>
        <v>1483.1701713410935</v>
      </c>
      <c r="O855" s="99">
        <f t="shared" si="278"/>
        <v>29250.402562900581</v>
      </c>
      <c r="P855" s="100">
        <f t="shared" si="279"/>
        <v>25571.431709430897</v>
      </c>
      <c r="Q855" s="95">
        <f t="shared" si="280"/>
        <v>1033177712444.7284</v>
      </c>
      <c r="R855" s="95">
        <f t="shared" si="281"/>
        <v>27206634929475.73</v>
      </c>
      <c r="S855" s="95">
        <f t="shared" si="282"/>
        <v>20699935402910.773</v>
      </c>
      <c r="T855">
        <f t="shared" si="283"/>
        <v>0.5</v>
      </c>
    </row>
    <row r="856" spans="1:20" x14ac:dyDescent="0.25">
      <c r="A856">
        <v>406.5</v>
      </c>
      <c r="B856" s="95">
        <f t="shared" si="265"/>
        <v>9169.1608195205808</v>
      </c>
      <c r="C856" s="95">
        <f t="shared" si="266"/>
        <v>6249.5817862192534</v>
      </c>
      <c r="D856" s="95">
        <f t="shared" si="267"/>
        <v>118.95109845293956</v>
      </c>
      <c r="E856" s="95">
        <f t="shared" si="268"/>
        <v>-109.22420270877964</v>
      </c>
      <c r="F856" s="96">
        <f t="shared" si="269"/>
        <v>-128.98805204259494</v>
      </c>
      <c r="G856" s="94">
        <f t="shared" si="270"/>
        <v>119.50039225394312</v>
      </c>
      <c r="H856" s="97">
        <f t="shared" si="271"/>
        <v>420.91570137183453</v>
      </c>
      <c r="I856" s="94">
        <f t="shared" si="272"/>
        <v>633.48078885487394</v>
      </c>
      <c r="J856" s="95">
        <f t="shared" si="273"/>
        <v>-190.82318387046988</v>
      </c>
      <c r="K856" s="94">
        <f t="shared" si="274"/>
        <v>24.535047436829387</v>
      </c>
      <c r="L856" s="94">
        <f t="shared" si="275"/>
        <v>-359.0805695439596</v>
      </c>
      <c r="M856" s="94">
        <f t="shared" si="276"/>
        <v>-538.51544403776018</v>
      </c>
      <c r="N856" s="99">
        <f t="shared" si="277"/>
        <v>1490.842908038102</v>
      </c>
      <c r="O856" s="99">
        <f t="shared" si="278"/>
        <v>29343.359714869493</v>
      </c>
      <c r="P856" s="100">
        <f t="shared" si="279"/>
        <v>25552.923426216519</v>
      </c>
      <c r="Q856" s="95">
        <f t="shared" si="280"/>
        <v>1033523758320.952</v>
      </c>
      <c r="R856" s="95">
        <f t="shared" si="281"/>
        <v>27452730046362.902</v>
      </c>
      <c r="S856" s="95">
        <f t="shared" si="282"/>
        <v>20660976632009.367</v>
      </c>
      <c r="T856">
        <f t="shared" si="283"/>
        <v>0.5</v>
      </c>
    </row>
    <row r="857" spans="1:20" x14ac:dyDescent="0.25">
      <c r="A857">
        <v>407</v>
      </c>
      <c r="B857" s="95">
        <f t="shared" si="265"/>
        <v>9196.3893557364026</v>
      </c>
      <c r="C857" s="95">
        <f t="shared" si="266"/>
        <v>6224.8447829283496</v>
      </c>
      <c r="D857" s="95">
        <f t="shared" si="267"/>
        <v>54.457072431642089</v>
      </c>
      <c r="E857" s="95">
        <f t="shared" si="268"/>
        <v>-49.474006581808084</v>
      </c>
      <c r="F857" s="96">
        <f t="shared" si="269"/>
        <v>-143.08493572241349</v>
      </c>
      <c r="G857" s="94">
        <f t="shared" si="270"/>
        <v>131.67980436919675</v>
      </c>
      <c r="H857" s="97">
        <f t="shared" si="271"/>
        <v>406.93483349373082</v>
      </c>
      <c r="I857" s="94">
        <f t="shared" si="272"/>
        <v>645.71702682363286</v>
      </c>
      <c r="J857" s="95">
        <f t="shared" si="273"/>
        <v>-189.78850104664133</v>
      </c>
      <c r="K857" s="94">
        <f t="shared" si="274"/>
        <v>24.540056687717268</v>
      </c>
      <c r="L857" s="94">
        <f t="shared" si="275"/>
        <v>-360.23126816950298</v>
      </c>
      <c r="M857" s="94">
        <f t="shared" si="276"/>
        <v>-538.57727914215343</v>
      </c>
      <c r="N857" s="99">
        <f t="shared" si="277"/>
        <v>1501.2792722123174</v>
      </c>
      <c r="O857" s="99">
        <f t="shared" si="278"/>
        <v>29409.277102528598</v>
      </c>
      <c r="P857" s="100">
        <f t="shared" si="279"/>
        <v>25540.357170929659</v>
      </c>
      <c r="Q857" s="95">
        <f t="shared" si="280"/>
        <v>1033997374423.9862</v>
      </c>
      <c r="R857" s="95">
        <f t="shared" si="281"/>
        <v>27628161962118.441</v>
      </c>
      <c r="S857" s="95">
        <f t="shared" si="282"/>
        <v>20634555468634.898</v>
      </c>
      <c r="T857">
        <f t="shared" si="283"/>
        <v>0.5</v>
      </c>
    </row>
    <row r="858" spans="1:20" x14ac:dyDescent="0.25">
      <c r="A858">
        <v>407.5</v>
      </c>
      <c r="B858" s="95">
        <f t="shared" si="265"/>
        <v>9187.8466580216209</v>
      </c>
      <c r="C858" s="95">
        <f t="shared" si="266"/>
        <v>6233.0277307297447</v>
      </c>
      <c r="D858" s="95">
        <f t="shared" si="267"/>
        <v>-17.085395429564656</v>
      </c>
      <c r="E858" s="95">
        <f t="shared" si="268"/>
        <v>16.365895602790289</v>
      </c>
      <c r="F858" s="96">
        <f t="shared" si="269"/>
        <v>-138.24351416585691</v>
      </c>
      <c r="G858" s="94">
        <f t="shared" si="270"/>
        <v>126.73583802028884</v>
      </c>
      <c r="H858" s="97">
        <f t="shared" si="271"/>
        <v>411.15231429750918</v>
      </c>
      <c r="I858" s="94">
        <f t="shared" si="272"/>
        <v>641.40421978969118</v>
      </c>
      <c r="J858" s="95">
        <f t="shared" si="273"/>
        <v>-189.18144171046762</v>
      </c>
      <c r="K858" s="94">
        <f t="shared" si="274"/>
        <v>24.415684141880515</v>
      </c>
      <c r="L858" s="94">
        <f t="shared" si="275"/>
        <v>-360.21438675289846</v>
      </c>
      <c r="M858" s="94">
        <f t="shared" si="276"/>
        <v>-539.08406591128289</v>
      </c>
      <c r="N858" s="99">
        <f t="shared" si="277"/>
        <v>1507.252764203404</v>
      </c>
      <c r="O858" s="99">
        <f t="shared" si="278"/>
        <v>29439.445448661925</v>
      </c>
      <c r="P858" s="100">
        <f t="shared" si="279"/>
        <v>25534.90761289468</v>
      </c>
      <c r="Q858" s="95">
        <f t="shared" si="280"/>
        <v>1034269978960.2568</v>
      </c>
      <c r="R858" s="95">
        <f t="shared" si="281"/>
        <v>27708707458668.109</v>
      </c>
      <c r="S858" s="95">
        <f t="shared" si="282"/>
        <v>20623105049972.746</v>
      </c>
      <c r="T858">
        <f t="shared" si="283"/>
        <v>0.5</v>
      </c>
    </row>
    <row r="859" spans="1:20" x14ac:dyDescent="0.25">
      <c r="A859">
        <v>408</v>
      </c>
      <c r="B859" s="95">
        <f t="shared" si="265"/>
        <v>9144.7430817653749</v>
      </c>
      <c r="C859" s="95">
        <f t="shared" si="266"/>
        <v>6272.8946380362122</v>
      </c>
      <c r="D859" s="95">
        <f t="shared" si="267"/>
        <v>-86.20715251249311</v>
      </c>
      <c r="E859" s="95">
        <f t="shared" si="268"/>
        <v>79.733814612934708</v>
      </c>
      <c r="F859" s="96">
        <f t="shared" si="269"/>
        <v>-115.10256924932224</v>
      </c>
      <c r="G859" s="94">
        <f t="shared" si="270"/>
        <v>105.48167146484263</v>
      </c>
      <c r="H859" s="97">
        <f t="shared" si="271"/>
        <v>433.01793356866136</v>
      </c>
      <c r="I859" s="94">
        <f t="shared" si="272"/>
        <v>621.2853901321082</v>
      </c>
      <c r="J859" s="95">
        <f t="shared" si="273"/>
        <v>-189.0756345969213</v>
      </c>
      <c r="K859" s="94">
        <f t="shared" si="274"/>
        <v>24.179482713086436</v>
      </c>
      <c r="L859" s="94">
        <f t="shared" si="275"/>
        <v>-359.0448682210623</v>
      </c>
      <c r="M859" s="94">
        <f t="shared" si="276"/>
        <v>-539.98320138035206</v>
      </c>
      <c r="N859" s="99">
        <f t="shared" si="277"/>
        <v>1504.9291617835274</v>
      </c>
      <c r="O859" s="99">
        <f t="shared" si="278"/>
        <v>29429.92478090345</v>
      </c>
      <c r="P859" s="100">
        <f t="shared" si="279"/>
        <v>25536.962611193085</v>
      </c>
      <c r="Q859" s="95">
        <f t="shared" si="280"/>
        <v>1034163808226.2406</v>
      </c>
      <c r="R859" s="95">
        <f t="shared" si="281"/>
        <v>27683271173824.859</v>
      </c>
      <c r="S859" s="95">
        <f t="shared" si="282"/>
        <v>20627422403945.664</v>
      </c>
      <c r="T859">
        <f t="shared" si="283"/>
        <v>0.5</v>
      </c>
    </row>
    <row r="860" spans="1:20" x14ac:dyDescent="0.25">
      <c r="A860">
        <v>408.5</v>
      </c>
      <c r="B860" s="95">
        <f t="shared" si="265"/>
        <v>9072.8638631967988</v>
      </c>
      <c r="C860" s="95">
        <f t="shared" si="266"/>
        <v>6339.1319632088907</v>
      </c>
      <c r="D860" s="95">
        <f t="shared" si="267"/>
        <v>-143.75843713715423</v>
      </c>
      <c r="E860" s="95">
        <f t="shared" si="268"/>
        <v>132.47465034535603</v>
      </c>
      <c r="F860" s="96">
        <f t="shared" si="269"/>
        <v>-76.765408080208033</v>
      </c>
      <c r="G860" s="94">
        <f t="shared" si="270"/>
        <v>70.693087695336885</v>
      </c>
      <c r="H860" s="97">
        <f t="shared" si="271"/>
        <v>469.60031522882662</v>
      </c>
      <c r="I860" s="94">
        <f t="shared" si="272"/>
        <v>587.98700037283641</v>
      </c>
      <c r="J860" s="95">
        <f t="shared" si="273"/>
        <v>-189.48236059910008</v>
      </c>
      <c r="K860" s="94">
        <f t="shared" si="274"/>
        <v>23.85970369885321</v>
      </c>
      <c r="L860" s="94">
        <f t="shared" si="275"/>
        <v>-356.8833627099346</v>
      </c>
      <c r="M860" s="94">
        <f t="shared" si="276"/>
        <v>-541.15361637635272</v>
      </c>
      <c r="N860" s="99">
        <f t="shared" si="277"/>
        <v>1495.744619093937</v>
      </c>
      <c r="O860" s="99">
        <f t="shared" si="278"/>
        <v>29382.092568115189</v>
      </c>
      <c r="P860" s="100">
        <f t="shared" si="279"/>
        <v>25546.228745749133</v>
      </c>
      <c r="Q860" s="95">
        <f t="shared" si="280"/>
        <v>1033745784021.7686</v>
      </c>
      <c r="R860" s="95">
        <f t="shared" si="281"/>
        <v>27555720462343.199</v>
      </c>
      <c r="S860" s="95">
        <f t="shared" si="282"/>
        <v>20646897720251.363</v>
      </c>
      <c r="T860">
        <f t="shared" si="283"/>
        <v>0.5</v>
      </c>
    </row>
    <row r="861" spans="1:20" x14ac:dyDescent="0.25">
      <c r="A861">
        <v>409</v>
      </c>
      <c r="B861" s="95">
        <f t="shared" si="265"/>
        <v>8981.7932926081685</v>
      </c>
      <c r="C861" s="95">
        <f t="shared" si="266"/>
        <v>6423.0425603054027</v>
      </c>
      <c r="D861" s="95">
        <f t="shared" si="267"/>
        <v>-182.14114117725825</v>
      </c>
      <c r="E861" s="95">
        <f t="shared" si="268"/>
        <v>167.82119419302447</v>
      </c>
      <c r="F861" s="96">
        <f t="shared" si="269"/>
        <v>-28.407407358943203</v>
      </c>
      <c r="G861" s="94">
        <f t="shared" si="270"/>
        <v>26.79682451946519</v>
      </c>
      <c r="H861" s="97">
        <f t="shared" si="271"/>
        <v>515.95564111480019</v>
      </c>
      <c r="I861" s="94">
        <f t="shared" si="272"/>
        <v>545.72638563177998</v>
      </c>
      <c r="J861" s="95">
        <f t="shared" si="273"/>
        <v>-190.34975241182241</v>
      </c>
      <c r="K861" s="94">
        <f t="shared" si="274"/>
        <v>23.493127432081643</v>
      </c>
      <c r="L861" s="94">
        <f t="shared" si="275"/>
        <v>-354.01329606192098</v>
      </c>
      <c r="M861" s="94">
        <f t="shared" si="276"/>
        <v>-542.42268854439646</v>
      </c>
      <c r="N861" s="99">
        <f t="shared" si="277"/>
        <v>1485.6634931940705</v>
      </c>
      <c r="O861" s="99">
        <f t="shared" si="278"/>
        <v>29302.446450608404</v>
      </c>
      <c r="P861" s="100">
        <f t="shared" si="279"/>
        <v>25561.769309954147</v>
      </c>
      <c r="Q861" s="95">
        <f t="shared" si="280"/>
        <v>1033289962959.6577</v>
      </c>
      <c r="R861" s="95">
        <f t="shared" si="281"/>
        <v>27344228887090.359</v>
      </c>
      <c r="S861" s="95">
        <f t="shared" si="282"/>
        <v>20679590089174.625</v>
      </c>
      <c r="T861">
        <f t="shared" si="283"/>
        <v>0.5</v>
      </c>
    </row>
    <row r="862" spans="1:20" x14ac:dyDescent="0.25">
      <c r="A862">
        <v>409.5</v>
      </c>
      <c r="B862" s="95">
        <f t="shared" si="265"/>
        <v>8883.6208701798041</v>
      </c>
      <c r="C862" s="95">
        <f t="shared" si="266"/>
        <v>6513.6523635317808</v>
      </c>
      <c r="D862" s="95">
        <f t="shared" si="267"/>
        <v>-196.34484485672985</v>
      </c>
      <c r="E862" s="95">
        <f t="shared" si="268"/>
        <v>181.21960645275706</v>
      </c>
      <c r="F862" s="96">
        <f t="shared" si="269"/>
        <v>23.416888854957392</v>
      </c>
      <c r="G862" s="94">
        <f t="shared" si="270"/>
        <v>-20.585782336410716</v>
      </c>
      <c r="H862" s="97">
        <f t="shared" si="271"/>
        <v>565.79065942939144</v>
      </c>
      <c r="I862" s="94">
        <f t="shared" si="272"/>
        <v>499.88956686592451</v>
      </c>
      <c r="J862" s="95">
        <f t="shared" si="273"/>
        <v>-191.56806924574192</v>
      </c>
      <c r="K862" s="94">
        <f t="shared" si="274"/>
        <v>23.122893367126345</v>
      </c>
      <c r="L862" s="94">
        <f t="shared" si="275"/>
        <v>-350.80570132869212</v>
      </c>
      <c r="M862" s="94">
        <f t="shared" si="276"/>
        <v>-543.5982425694616</v>
      </c>
      <c r="N862" s="99">
        <f t="shared" si="277"/>
        <v>1482.0871181854516</v>
      </c>
      <c r="O862" s="99">
        <f t="shared" si="278"/>
        <v>29201.694590911236</v>
      </c>
      <c r="P862" s="100">
        <f t="shared" si="279"/>
        <v>25581.972093993838</v>
      </c>
      <c r="Q862" s="95">
        <f t="shared" si="280"/>
        <v>1033129012887.666</v>
      </c>
      <c r="R862" s="95">
        <f t="shared" si="281"/>
        <v>27078291302051.453</v>
      </c>
      <c r="S862" s="95">
        <f t="shared" si="282"/>
        <v>20722145794563.148</v>
      </c>
      <c r="T862">
        <f t="shared" si="283"/>
        <v>0.5</v>
      </c>
    </row>
    <row r="863" spans="1:20" x14ac:dyDescent="0.25">
      <c r="A863">
        <v>410</v>
      </c>
      <c r="B863" s="95">
        <f t="shared" si="265"/>
        <v>8791.3026699651782</v>
      </c>
      <c r="C863" s="95">
        <f t="shared" si="266"/>
        <v>6599.1157211740574</v>
      </c>
      <c r="D863" s="95">
        <f t="shared" si="267"/>
        <v>-184.63640042925115</v>
      </c>
      <c r="E863" s="95">
        <f t="shared" si="268"/>
        <v>170.9267152845517</v>
      </c>
      <c r="F863" s="96">
        <f t="shared" si="269"/>
        <v>71.719456094410191</v>
      </c>
      <c r="G863" s="94">
        <f t="shared" si="270"/>
        <v>-65.28705187961441</v>
      </c>
      <c r="H863" s="97">
        <f t="shared" si="271"/>
        <v>612.37516622776741</v>
      </c>
      <c r="I863" s="94">
        <f t="shared" si="272"/>
        <v>456.42457072534899</v>
      </c>
      <c r="J863" s="95">
        <f t="shared" si="273"/>
        <v>-192.98128763975836</v>
      </c>
      <c r="K863" s="94">
        <f t="shared" si="274"/>
        <v>22.795322419582455</v>
      </c>
      <c r="L863" s="94">
        <f t="shared" si="275"/>
        <v>-347.67442249359885</v>
      </c>
      <c r="M863" s="94">
        <f t="shared" si="276"/>
        <v>-544.50694502454587</v>
      </c>
      <c r="N863" s="99">
        <f t="shared" si="277"/>
        <v>1489.6925929414231</v>
      </c>
      <c r="O863" s="99">
        <f t="shared" si="278"/>
        <v>29093.266822661801</v>
      </c>
      <c r="P863" s="100">
        <f t="shared" si="279"/>
        <v>25604.534100150871</v>
      </c>
      <c r="Q863" s="95">
        <f t="shared" si="280"/>
        <v>1033471762046.8861</v>
      </c>
      <c r="R863" s="95">
        <f t="shared" si="281"/>
        <v>26794080485808.852</v>
      </c>
      <c r="S863" s="95">
        <f t="shared" si="282"/>
        <v>20769745269461.883</v>
      </c>
      <c r="T863">
        <f t="shared" si="283"/>
        <v>0.5</v>
      </c>
    </row>
    <row r="864" spans="1:20" x14ac:dyDescent="0.25">
      <c r="A864">
        <v>410.5</v>
      </c>
      <c r="B864" s="95">
        <f t="shared" si="265"/>
        <v>8716.9143337741552</v>
      </c>
      <c r="C864" s="95">
        <f t="shared" si="266"/>
        <v>6668.2573158464293</v>
      </c>
      <c r="D864" s="95">
        <f t="shared" si="267"/>
        <v>-148.77667238204606</v>
      </c>
      <c r="E864" s="95">
        <f t="shared" si="268"/>
        <v>138.2831893447445</v>
      </c>
      <c r="F864" s="96">
        <f t="shared" si="269"/>
        <v>110.12440555928725</v>
      </c>
      <c r="G864" s="94">
        <f t="shared" si="270"/>
        <v>-101.40741641384335</v>
      </c>
      <c r="H864" s="97">
        <f t="shared" si="271"/>
        <v>649.55465825449573</v>
      </c>
      <c r="I864" s="94">
        <f t="shared" si="272"/>
        <v>421.06489783352805</v>
      </c>
      <c r="J864" s="95">
        <f t="shared" si="273"/>
        <v>-194.40518068067809</v>
      </c>
      <c r="K864" s="94">
        <f t="shared" si="274"/>
        <v>22.554931597669203</v>
      </c>
      <c r="L864" s="94">
        <f t="shared" si="275"/>
        <v>-345.02507201453039</v>
      </c>
      <c r="M864" s="94">
        <f t="shared" si="276"/>
        <v>-545.02724584504062</v>
      </c>
      <c r="N864" s="99">
        <f t="shared" si="277"/>
        <v>1507.4951805790445</v>
      </c>
      <c r="O864" s="99">
        <f t="shared" si="278"/>
        <v>28991.466387740886</v>
      </c>
      <c r="P864" s="100">
        <f t="shared" si="279"/>
        <v>25626.584424602061</v>
      </c>
      <c r="Q864" s="95">
        <f t="shared" si="280"/>
        <v>1034281065166.8975</v>
      </c>
      <c r="R864" s="95">
        <f t="shared" si="281"/>
        <v>26529110017013.043</v>
      </c>
      <c r="S864" s="95">
        <f t="shared" si="282"/>
        <v>20816340992890.027</v>
      </c>
      <c r="T864">
        <f t="shared" si="283"/>
        <v>0.5</v>
      </c>
    </row>
    <row r="865" spans="1:20" x14ac:dyDescent="0.25">
      <c r="A865">
        <v>411</v>
      </c>
      <c r="B865" s="95">
        <f t="shared" si="265"/>
        <v>8670.0570989729549</v>
      </c>
      <c r="C865" s="95">
        <f t="shared" si="266"/>
        <v>6712.0470564153402</v>
      </c>
      <c r="D865" s="95">
        <f t="shared" si="267"/>
        <v>-93.714469602402431</v>
      </c>
      <c r="E865" s="95">
        <f t="shared" si="268"/>
        <v>87.579481137822825</v>
      </c>
      <c r="F865" s="96">
        <f t="shared" si="269"/>
        <v>133.77489140203124</v>
      </c>
      <c r="G865" s="94">
        <f t="shared" si="270"/>
        <v>-124.15591776368336</v>
      </c>
      <c r="H865" s="97">
        <f t="shared" si="271"/>
        <v>672.62896237550467</v>
      </c>
      <c r="I865" s="94">
        <f t="shared" si="272"/>
        <v>398.51332747803173</v>
      </c>
      <c r="J865" s="95">
        <f t="shared" si="273"/>
        <v>-195.65089760429802</v>
      </c>
      <c r="K865" s="94">
        <f t="shared" si="274"/>
        <v>22.43772806145116</v>
      </c>
      <c r="L865" s="94">
        <f t="shared" si="275"/>
        <v>-343.20317336917537</v>
      </c>
      <c r="M865" s="94">
        <f t="shared" si="276"/>
        <v>-545.10697330316623</v>
      </c>
      <c r="N865" s="99">
        <f t="shared" si="277"/>
        <v>1529.086236782349</v>
      </c>
      <c r="O865" s="99">
        <f t="shared" si="278"/>
        <v>28909.543029365483</v>
      </c>
      <c r="P865" s="100">
        <f t="shared" si="279"/>
        <v>25645.021231144092</v>
      </c>
      <c r="Q865" s="95">
        <f t="shared" si="280"/>
        <v>1035275781367.0524</v>
      </c>
      <c r="R865" s="95">
        <f t="shared" si="281"/>
        <v>26317186341433.09</v>
      </c>
      <c r="S865" s="95">
        <f t="shared" si="282"/>
        <v>20855358326427.207</v>
      </c>
      <c r="T865">
        <f t="shared" si="283"/>
        <v>0.5</v>
      </c>
    </row>
    <row r="866" spans="1:20" x14ac:dyDescent="0.25">
      <c r="A866">
        <v>411.5</v>
      </c>
      <c r="B866" s="95">
        <f t="shared" si="265"/>
        <v>8656.6435870222631</v>
      </c>
      <c r="C866" s="95">
        <f t="shared" si="266"/>
        <v>6724.7978175433309</v>
      </c>
      <c r="D866" s="95">
        <f t="shared" si="267"/>
        <v>-26.827023901386809</v>
      </c>
      <c r="E866" s="95">
        <f t="shared" si="268"/>
        <v>25.501522255981143</v>
      </c>
      <c r="F866" s="96">
        <f t="shared" si="269"/>
        <v>139.90064805781685</v>
      </c>
      <c r="G866" s="94">
        <f t="shared" si="270"/>
        <v>-130.52948571410178</v>
      </c>
      <c r="H866" s="97">
        <f t="shared" si="271"/>
        <v>678.90028564359068</v>
      </c>
      <c r="I866" s="94">
        <f t="shared" si="272"/>
        <v>391.76869073396796</v>
      </c>
      <c r="J866" s="95">
        <f t="shared" si="273"/>
        <v>-196.55116546831829</v>
      </c>
      <c r="K866" s="94">
        <f t="shared" si="274"/>
        <v>22.464068555389744</v>
      </c>
      <c r="L866" s="94">
        <f t="shared" si="275"/>
        <v>-342.44847211745554</v>
      </c>
      <c r="M866" s="94">
        <f t="shared" si="276"/>
        <v>-544.7622450034595</v>
      </c>
      <c r="N866" s="99">
        <f t="shared" si="277"/>
        <v>1545.8389182886951</v>
      </c>
      <c r="O866" s="99">
        <f t="shared" si="278"/>
        <v>28857.9765163394</v>
      </c>
      <c r="P866" s="100">
        <f t="shared" si="279"/>
        <v>25657.035067777706</v>
      </c>
      <c r="Q866" s="95">
        <f t="shared" si="280"/>
        <v>1036057559410.9064</v>
      </c>
      <c r="R866" s="95">
        <f t="shared" si="281"/>
        <v>26184388815479.75</v>
      </c>
      <c r="S866" s="95">
        <f t="shared" si="282"/>
        <v>20880811109283.18</v>
      </c>
      <c r="T866">
        <f t="shared" si="283"/>
        <v>0.5</v>
      </c>
    </row>
    <row r="867" spans="1:20" x14ac:dyDescent="0.25">
      <c r="A867">
        <v>412</v>
      </c>
      <c r="B867" s="95">
        <f t="shared" si="265"/>
        <v>8678.2052370860238</v>
      </c>
      <c r="C867" s="95">
        <f t="shared" si="266"/>
        <v>6704.9162072427962</v>
      </c>
      <c r="D867" s="95">
        <f t="shared" si="267"/>
        <v>43.123300127521617</v>
      </c>
      <c r="E867" s="95">
        <f t="shared" si="268"/>
        <v>-39.763220601069747</v>
      </c>
      <c r="F867" s="96">
        <f t="shared" si="269"/>
        <v>128.00091499844552</v>
      </c>
      <c r="G867" s="94">
        <f t="shared" si="270"/>
        <v>-119.70620525606176</v>
      </c>
      <c r="H867" s="97">
        <f t="shared" si="271"/>
        <v>667.84770837286953</v>
      </c>
      <c r="I867" s="94">
        <f t="shared" si="272"/>
        <v>401.72264549353929</v>
      </c>
      <c r="J867" s="95">
        <f t="shared" si="273"/>
        <v>-196.98469493455599</v>
      </c>
      <c r="K867" s="94">
        <f t="shared" si="274"/>
        <v>22.633253034283335</v>
      </c>
      <c r="L867" s="94">
        <f t="shared" si="275"/>
        <v>-342.86209843986802</v>
      </c>
      <c r="M867" s="94">
        <f t="shared" si="276"/>
        <v>-544.06210378388437</v>
      </c>
      <c r="N867" s="99">
        <f t="shared" si="277"/>
        <v>1550.9819070427595</v>
      </c>
      <c r="O867" s="99">
        <f t="shared" si="278"/>
        <v>28843.199735979244</v>
      </c>
      <c r="P867" s="100">
        <f t="shared" si="279"/>
        <v>25660.684992339775</v>
      </c>
      <c r="Q867" s="95">
        <f t="shared" si="280"/>
        <v>1036299310122.9558</v>
      </c>
      <c r="R867" s="95">
        <f t="shared" si="281"/>
        <v>26146419607091.301</v>
      </c>
      <c r="S867" s="95">
        <f t="shared" si="282"/>
        <v>20888548332141.035</v>
      </c>
      <c r="T867">
        <f t="shared" si="283"/>
        <v>0.5</v>
      </c>
    </row>
    <row r="868" spans="1:20" x14ac:dyDescent="0.25">
      <c r="A868">
        <v>412.5</v>
      </c>
      <c r="B868" s="95">
        <f t="shared" si="265"/>
        <v>8731.7671158993962</v>
      </c>
      <c r="C868" s="95">
        <f t="shared" si="266"/>
        <v>6655.1080456282461</v>
      </c>
      <c r="D868" s="95">
        <f t="shared" si="267"/>
        <v>107.12375762674438</v>
      </c>
      <c r="E868" s="95">
        <f t="shared" si="268"/>
        <v>-99.61632322910063</v>
      </c>
      <c r="F868" s="96">
        <f t="shared" si="269"/>
        <v>99.746030828179812</v>
      </c>
      <c r="G868" s="94">
        <f t="shared" si="270"/>
        <v>-93.133145852453481</v>
      </c>
      <c r="H868" s="97">
        <f t="shared" si="271"/>
        <v>641.03154383271726</v>
      </c>
      <c r="I868" s="94">
        <f t="shared" si="272"/>
        <v>427.05279185916766</v>
      </c>
      <c r="J868" s="95">
        <f t="shared" si="273"/>
        <v>-196.8941677282092</v>
      </c>
      <c r="K868" s="94">
        <f t="shared" si="274"/>
        <v>22.922005278692499</v>
      </c>
      <c r="L868" s="94">
        <f t="shared" si="275"/>
        <v>-344.39134527632825</v>
      </c>
      <c r="M868" s="94">
        <f t="shared" si="276"/>
        <v>-543.10794299031363</v>
      </c>
      <c r="N868" s="99">
        <f t="shared" si="277"/>
        <v>1542.4978550299495</v>
      </c>
      <c r="O868" s="99">
        <f t="shared" si="278"/>
        <v>28866.884709329468</v>
      </c>
      <c r="P868" s="100">
        <f t="shared" si="279"/>
        <v>25655.344200990145</v>
      </c>
      <c r="Q868" s="95">
        <f t="shared" si="280"/>
        <v>1035900950081.5825</v>
      </c>
      <c r="R868" s="95">
        <f t="shared" si="281"/>
        <v>26207296853380.727</v>
      </c>
      <c r="S868" s="95">
        <f t="shared" si="282"/>
        <v>20877227454473.164</v>
      </c>
      <c r="T868">
        <f t="shared" si="283"/>
        <v>0.5</v>
      </c>
    </row>
    <row r="869" spans="1:20" x14ac:dyDescent="0.25">
      <c r="A869">
        <v>413</v>
      </c>
      <c r="B869" s="95">
        <f t="shared" si="265"/>
        <v>8810.2655024198139</v>
      </c>
      <c r="C869" s="95">
        <f t="shared" si="266"/>
        <v>6582.0165975505824</v>
      </c>
      <c r="D869" s="95">
        <f t="shared" si="267"/>
        <v>156.99677304083428</v>
      </c>
      <c r="E869" s="95">
        <f t="shared" si="268"/>
        <v>-146.18289615532737</v>
      </c>
      <c r="F869" s="96">
        <f t="shared" si="269"/>
        <v>58.728327858692012</v>
      </c>
      <c r="G869" s="94">
        <f t="shared" si="270"/>
        <v>-54.343181264888017</v>
      </c>
      <c r="H869" s="97">
        <f t="shared" si="271"/>
        <v>601.85726851260392</v>
      </c>
      <c r="I869" s="94">
        <f t="shared" si="272"/>
        <v>464.38510798992417</v>
      </c>
      <c r="J869" s="95">
        <f t="shared" si="273"/>
        <v>-196.29444874298653</v>
      </c>
      <c r="K869" s="94">
        <f t="shared" si="274"/>
        <v>23.287920333123395</v>
      </c>
      <c r="L869" s="94">
        <f t="shared" si="275"/>
        <v>-346.83449191092535</v>
      </c>
      <c r="M869" s="94">
        <f t="shared" si="276"/>
        <v>-542.01620958793558</v>
      </c>
      <c r="N869" s="99">
        <f t="shared" si="277"/>
        <v>1523.8953582435563</v>
      </c>
      <c r="O869" s="99">
        <f t="shared" si="278"/>
        <v>28925.814487905071</v>
      </c>
      <c r="P869" s="100">
        <f t="shared" si="279"/>
        <v>25641.862892409539</v>
      </c>
      <c r="Q869" s="95">
        <f t="shared" si="280"/>
        <v>1035035312873.3497</v>
      </c>
      <c r="R869" s="95">
        <f t="shared" si="281"/>
        <v>26359185420407.313</v>
      </c>
      <c r="S869" s="95">
        <f t="shared" si="282"/>
        <v>20848670695680.195</v>
      </c>
      <c r="T869">
        <f t="shared" si="283"/>
        <v>0.5</v>
      </c>
    </row>
    <row r="870" spans="1:20" x14ac:dyDescent="0.25">
      <c r="A870">
        <v>413.5</v>
      </c>
      <c r="B870" s="95">
        <f t="shared" si="265"/>
        <v>8903.4459709049042</v>
      </c>
      <c r="C870" s="95">
        <f t="shared" si="266"/>
        <v>6495.3393541566966</v>
      </c>
      <c r="D870" s="95">
        <f t="shared" si="267"/>
        <v>186.36093697018029</v>
      </c>
      <c r="E870" s="95">
        <f t="shared" si="268"/>
        <v>-173.35448678777138</v>
      </c>
      <c r="F870" s="96">
        <f t="shared" si="269"/>
        <v>10.105449587904559</v>
      </c>
      <c r="G870" s="94">
        <f t="shared" si="270"/>
        <v>-8.520107167746005</v>
      </c>
      <c r="H870" s="97">
        <f t="shared" si="271"/>
        <v>555.24120182203558</v>
      </c>
      <c r="I870" s="94">
        <f t="shared" si="272"/>
        <v>508.71089761228899</v>
      </c>
      <c r="J870" s="95">
        <f t="shared" si="273"/>
        <v>-195.26973734676207</v>
      </c>
      <c r="K870" s="94">
        <f t="shared" si="274"/>
        <v>23.677251649932927</v>
      </c>
      <c r="L870" s="94">
        <f t="shared" si="275"/>
        <v>-349.86601488736892</v>
      </c>
      <c r="M870" s="94">
        <f t="shared" si="276"/>
        <v>-540.90825642996788</v>
      </c>
      <c r="N870" s="99">
        <f t="shared" si="277"/>
        <v>1502.7181046041162</v>
      </c>
      <c r="O870" s="99">
        <f t="shared" si="278"/>
        <v>29012.307885780836</v>
      </c>
      <c r="P870" s="100">
        <f t="shared" si="279"/>
        <v>25622.390084929149</v>
      </c>
      <c r="Q870" s="95">
        <f t="shared" si="280"/>
        <v>1034062935400.8204</v>
      </c>
      <c r="R870" s="95">
        <f t="shared" si="281"/>
        <v>26583210129808.684</v>
      </c>
      <c r="S870" s="95">
        <f t="shared" si="282"/>
        <v>20807471938383.262</v>
      </c>
      <c r="T870">
        <f t="shared" si="283"/>
        <v>0.5</v>
      </c>
    </row>
    <row r="871" spans="1:20" x14ac:dyDescent="0.25">
      <c r="A871">
        <v>414</v>
      </c>
      <c r="B871" s="95">
        <f t="shared" si="265"/>
        <v>8999.1528017869714</v>
      </c>
      <c r="C871" s="95">
        <f t="shared" si="266"/>
        <v>6406.5320839708738</v>
      </c>
      <c r="D871" s="95">
        <f t="shared" si="267"/>
        <v>191.41366176413257</v>
      </c>
      <c r="E871" s="95">
        <f t="shared" si="268"/>
        <v>-177.61454037164438</v>
      </c>
      <c r="F871" s="96">
        <f t="shared" si="269"/>
        <v>-39.915667555115476</v>
      </c>
      <c r="G871" s="94">
        <f t="shared" si="270"/>
        <v>38.184679535826376</v>
      </c>
      <c r="H871" s="97">
        <f t="shared" si="271"/>
        <v>507.12499052747404</v>
      </c>
      <c r="I871" s="94">
        <f t="shared" si="272"/>
        <v>554.05551171892046</v>
      </c>
      <c r="J871" s="95">
        <f t="shared" si="273"/>
        <v>-193.96047083961241</v>
      </c>
      <c r="K871" s="94">
        <f t="shared" si="274"/>
        <v>24.034865214996916</v>
      </c>
      <c r="L871" s="94">
        <f t="shared" si="275"/>
        <v>-353.0801872429771</v>
      </c>
      <c r="M871" s="94">
        <f t="shared" si="276"/>
        <v>-539.90569739809098</v>
      </c>
      <c r="N871" s="99">
        <f t="shared" si="277"/>
        <v>1487.2033324434731</v>
      </c>
      <c r="O871" s="99">
        <f t="shared" si="278"/>
        <v>29115.147865596387</v>
      </c>
      <c r="P871" s="100">
        <f t="shared" si="279"/>
        <v>25599.910621254709</v>
      </c>
      <c r="Q871" s="95">
        <f t="shared" si="280"/>
        <v>1033359383453.4943</v>
      </c>
      <c r="R871" s="95">
        <f t="shared" si="281"/>
        <v>26851269468947.918</v>
      </c>
      <c r="S871" s="95">
        <f t="shared" si="282"/>
        <v>20759984647297.559</v>
      </c>
      <c r="T871">
        <f t="shared" si="283"/>
        <v>0.5</v>
      </c>
    </row>
    <row r="872" spans="1:20" x14ac:dyDescent="0.25">
      <c r="A872">
        <v>414.5</v>
      </c>
      <c r="B872" s="95">
        <f t="shared" si="265"/>
        <v>9084.8807157802603</v>
      </c>
      <c r="C872" s="95">
        <f t="shared" si="266"/>
        <v>6327.2709836690083</v>
      </c>
      <c r="D872" s="95">
        <f t="shared" si="267"/>
        <v>171.45582798657483</v>
      </c>
      <c r="E872" s="95">
        <f t="shared" si="268"/>
        <v>-158.52220060373119</v>
      </c>
      <c r="F872" s="96">
        <f t="shared" si="269"/>
        <v>-84.805202594933007</v>
      </c>
      <c r="G872" s="94">
        <f t="shared" si="270"/>
        <v>79.52982734676732</v>
      </c>
      <c r="H872" s="97">
        <f t="shared" si="271"/>
        <v>463.78507450040229</v>
      </c>
      <c r="I872" s="94">
        <f t="shared" si="272"/>
        <v>594.34242462893167</v>
      </c>
      <c r="J872" s="95">
        <f t="shared" si="273"/>
        <v>-192.54250359835876</v>
      </c>
      <c r="K872" s="94">
        <f t="shared" si="274"/>
        <v>24.313541002732482</v>
      </c>
      <c r="L872" s="94">
        <f t="shared" si="275"/>
        <v>-356.04777349697656</v>
      </c>
      <c r="M872" s="94">
        <f t="shared" si="276"/>
        <v>-539.1261382848968</v>
      </c>
      <c r="N872" s="99">
        <f t="shared" si="277"/>
        <v>1482.3519142079419</v>
      </c>
      <c r="O872" s="99">
        <f t="shared" si="278"/>
        <v>29220.949246814689</v>
      </c>
      <c r="P872" s="100">
        <f t="shared" si="279"/>
        <v>25577.64443864709</v>
      </c>
      <c r="Q872" s="95">
        <f t="shared" si="280"/>
        <v>1033140916102.1453</v>
      </c>
      <c r="R872" s="95">
        <f t="shared" si="281"/>
        <v>27128976837755.637</v>
      </c>
      <c r="S872" s="95">
        <f t="shared" si="282"/>
        <v>20713024616886.867</v>
      </c>
      <c r="T872">
        <f t="shared" si="283"/>
        <v>0.5</v>
      </c>
    </row>
    <row r="873" spans="1:20" x14ac:dyDescent="0.25">
      <c r="A873">
        <v>415</v>
      </c>
      <c r="B873" s="95">
        <f t="shared" si="265"/>
        <v>9149.4073291248133</v>
      </c>
      <c r="C873" s="95">
        <f t="shared" si="266"/>
        <v>6267.8923402038345</v>
      </c>
      <c r="D873" s="95">
        <f t="shared" si="267"/>
        <v>129.05322668910833</v>
      </c>
      <c r="E873" s="95">
        <f t="shared" si="268"/>
        <v>-118.75728693034753</v>
      </c>
      <c r="F873" s="96">
        <f t="shared" si="269"/>
        <v>-118.59353791393082</v>
      </c>
      <c r="G873" s="94">
        <f t="shared" si="270"/>
        <v>110.10100259804233</v>
      </c>
      <c r="H873" s="97">
        <f t="shared" si="271"/>
        <v>430.98557455210943</v>
      </c>
      <c r="I873" s="94">
        <f t="shared" si="272"/>
        <v>624.29485445828107</v>
      </c>
      <c r="J873" s="95">
        <f t="shared" si="273"/>
        <v>-191.20224912226413</v>
      </c>
      <c r="K873" s="94">
        <f t="shared" si="274"/>
        <v>24.480339187084304</v>
      </c>
      <c r="L873" s="94">
        <f t="shared" si="275"/>
        <v>-358.37686334377611</v>
      </c>
      <c r="M873" s="94">
        <f t="shared" si="276"/>
        <v>-538.67419104732301</v>
      </c>
      <c r="N873" s="99">
        <f t="shared" si="277"/>
        <v>1487.5270249966904</v>
      </c>
      <c r="O873" s="99">
        <f t="shared" si="278"/>
        <v>29315.852787844429</v>
      </c>
      <c r="P873" s="100">
        <f t="shared" si="279"/>
        <v>25558.488851820028</v>
      </c>
      <c r="Q873" s="95">
        <f t="shared" si="280"/>
        <v>1033373985813.7318</v>
      </c>
      <c r="R873" s="95">
        <f t="shared" si="281"/>
        <v>27379749775719.738</v>
      </c>
      <c r="S873" s="95">
        <f t="shared" si="282"/>
        <v>20672685964843.027</v>
      </c>
      <c r="T873">
        <f t="shared" si="283"/>
        <v>0.5</v>
      </c>
    </row>
    <row r="874" spans="1:20" x14ac:dyDescent="0.25">
      <c r="A874">
        <v>415.5</v>
      </c>
      <c r="B874" s="95">
        <f t="shared" si="265"/>
        <v>9184.2855579908846</v>
      </c>
      <c r="C874" s="95">
        <f t="shared" si="266"/>
        <v>6236.0389473881714</v>
      </c>
      <c r="D874" s="95">
        <f t="shared" si="267"/>
        <v>69.75645773214292</v>
      </c>
      <c r="E874" s="95">
        <f t="shared" si="268"/>
        <v>-63.706785631326369</v>
      </c>
      <c r="F874" s="96">
        <f t="shared" si="269"/>
        <v>-136.74064531364124</v>
      </c>
      <c r="G874" s="94">
        <f t="shared" si="270"/>
        <v>126.05661734261378</v>
      </c>
      <c r="H874" s="97">
        <f t="shared" si="271"/>
        <v>413.13818372070659</v>
      </c>
      <c r="I874" s="94">
        <f t="shared" si="272"/>
        <v>640.16345264600329</v>
      </c>
      <c r="J874" s="95">
        <f t="shared" si="273"/>
        <v>-190.11189025506124</v>
      </c>
      <c r="K874" s="94">
        <f t="shared" si="274"/>
        <v>24.519145727812241</v>
      </c>
      <c r="L874" s="94">
        <f t="shared" si="275"/>
        <v>-359.76693877928659</v>
      </c>
      <c r="M874" s="94">
        <f t="shared" si="276"/>
        <v>-538.62598103120172</v>
      </c>
      <c r="N874" s="99">
        <f t="shared" si="277"/>
        <v>1497.1964390403043</v>
      </c>
      <c r="O874" s="99">
        <f t="shared" si="278"/>
        <v>29387.354001739328</v>
      </c>
      <c r="P874" s="100">
        <f t="shared" si="279"/>
        <v>25544.646647781054</v>
      </c>
      <c r="Q874" s="95">
        <f t="shared" si="280"/>
        <v>1033811687961.9124</v>
      </c>
      <c r="R874" s="95">
        <f t="shared" si="281"/>
        <v>27569730985159.348</v>
      </c>
      <c r="S874" s="95">
        <f t="shared" si="282"/>
        <v>20643571574699.289</v>
      </c>
      <c r="T874">
        <f t="shared" si="283"/>
        <v>0.5</v>
      </c>
    </row>
    <row r="875" spans="1:20" x14ac:dyDescent="0.25">
      <c r="A875">
        <v>416</v>
      </c>
      <c r="B875" s="95">
        <f t="shared" si="265"/>
        <v>9184.9786255285453</v>
      </c>
      <c r="C875" s="95">
        <f t="shared" si="266"/>
        <v>6235.6997089081615</v>
      </c>
      <c r="D875" s="95">
        <f t="shared" si="267"/>
        <v>1.3861350753223007</v>
      </c>
      <c r="E875" s="95">
        <f t="shared" si="268"/>
        <v>-0.67847696001948066</v>
      </c>
      <c r="F875" s="96">
        <f t="shared" si="269"/>
        <v>-136.79749222910888</v>
      </c>
      <c r="G875" s="94">
        <f t="shared" si="270"/>
        <v>125.5541857467955</v>
      </c>
      <c r="H875" s="97">
        <f t="shared" si="271"/>
        <v>412.65765533882586</v>
      </c>
      <c r="I875" s="94">
        <f t="shared" si="272"/>
        <v>640.13436961023649</v>
      </c>
      <c r="J875" s="95">
        <f t="shared" si="273"/>
        <v>-189.4082333714521</v>
      </c>
      <c r="K875" s="94">
        <f t="shared" si="274"/>
        <v>24.430015082885319</v>
      </c>
      <c r="L875" s="94">
        <f t="shared" si="275"/>
        <v>-360.04691419648265</v>
      </c>
      <c r="M875" s="94">
        <f t="shared" si="276"/>
        <v>-539.01019894632634</v>
      </c>
      <c r="N875" s="99">
        <f t="shared" si="277"/>
        <v>1504.3229684551932</v>
      </c>
      <c r="O875" s="99">
        <f t="shared" si="278"/>
        <v>29426.007652006316</v>
      </c>
      <c r="P875" s="100">
        <f t="shared" si="279"/>
        <v>25537.488266578141</v>
      </c>
      <c r="Q875" s="95">
        <f t="shared" si="280"/>
        <v>1034136137397.7279</v>
      </c>
      <c r="R875" s="95">
        <f t="shared" si="281"/>
        <v>27672810464198.758</v>
      </c>
      <c r="S875" s="95">
        <f t="shared" si="282"/>
        <v>20628526859590.41</v>
      </c>
      <c r="T875">
        <f t="shared" si="283"/>
        <v>0.5</v>
      </c>
    </row>
    <row r="876" spans="1:20" x14ac:dyDescent="0.25">
      <c r="A876">
        <v>416.5</v>
      </c>
      <c r="B876" s="95">
        <f t="shared" si="265"/>
        <v>9151.4723200089284</v>
      </c>
      <c r="C876" s="95">
        <f t="shared" si="266"/>
        <v>6266.7490168648501</v>
      </c>
      <c r="D876" s="95">
        <f t="shared" si="267"/>
        <v>-67.012611039232141</v>
      </c>
      <c r="E876" s="95">
        <f t="shared" si="268"/>
        <v>62.098615913378268</v>
      </c>
      <c r="F876" s="96">
        <f t="shared" si="269"/>
        <v>-118.74600301647607</v>
      </c>
      <c r="G876" s="94">
        <f t="shared" si="270"/>
        <v>108.85028518784702</v>
      </c>
      <c r="H876" s="97">
        <f t="shared" si="271"/>
        <v>429.62412225697631</v>
      </c>
      <c r="I876" s="94">
        <f t="shared" si="272"/>
        <v>624.41613119511533</v>
      </c>
      <c r="J876" s="95">
        <f t="shared" si="273"/>
        <v>-189.17744044980887</v>
      </c>
      <c r="K876" s="94">
        <f t="shared" si="274"/>
        <v>24.226799174787747</v>
      </c>
      <c r="L876" s="94">
        <f t="shared" si="275"/>
        <v>-359.1926848236435</v>
      </c>
      <c r="M876" s="94">
        <f t="shared" si="276"/>
        <v>-539.79264518205605</v>
      </c>
      <c r="N876" s="99">
        <f t="shared" si="277"/>
        <v>1504.2323846069287</v>
      </c>
      <c r="O876" s="99">
        <f t="shared" si="278"/>
        <v>29426.738420254329</v>
      </c>
      <c r="P876" s="100">
        <f t="shared" si="279"/>
        <v>25537.591130206936</v>
      </c>
      <c r="Q876" s="95">
        <f t="shared" si="280"/>
        <v>1034132003507.1095</v>
      </c>
      <c r="R876" s="95">
        <f t="shared" si="281"/>
        <v>27674761778316</v>
      </c>
      <c r="S876" s="95">
        <f t="shared" si="282"/>
        <v>20628742991544.789</v>
      </c>
      <c r="T876">
        <f t="shared" si="283"/>
        <v>0.5</v>
      </c>
    </row>
    <row r="877" spans="1:20" x14ac:dyDescent="0.25">
      <c r="A877">
        <v>417</v>
      </c>
      <c r="B877" s="95">
        <f t="shared" ref="B877:B940" si="284">B876+(D876*$T876)+(F876*($T876)^2)</f>
        <v>9088.2795137351932</v>
      </c>
      <c r="C877" s="95">
        <f t="shared" ref="C877:C940" si="285">C876+(E876*$T876)+(G876*($T876)^2)</f>
        <v>6325.0108961185015</v>
      </c>
      <c r="D877" s="95">
        <f t="shared" ref="D877:D940" si="286">D876+(F876*$T876)</f>
        <v>-126.38561254747017</v>
      </c>
      <c r="E877" s="95">
        <f t="shared" ref="E877:E940" si="287">E876+(G876*$T876)</f>
        <v>116.52375850730178</v>
      </c>
      <c r="F877" s="96">
        <f t="shared" ref="F877:F940" si="288">SUM(H877,J877,L877)</f>
        <v>-85.003792530003579</v>
      </c>
      <c r="G877" s="94">
        <f t="shared" ref="G877:G940" si="289">SUM(I877,K877,M877)</f>
        <v>78.169920231008518</v>
      </c>
      <c r="H877" s="97">
        <f t="shared" ref="H877:H940" si="290">$D$22*(($D$18-$B877)/$Q877)</f>
        <v>461.76742647681471</v>
      </c>
      <c r="I877" s="94">
        <f t="shared" ref="I877:I940" si="291">$D$22*(($E$18-$C877)/$Q877)</f>
        <v>595.10749490833496</v>
      </c>
      <c r="J877" s="95">
        <f t="shared" ref="J877:J940" si="292">$D$30*(($D$26-$B877)/$R877)</f>
        <v>-189.44634265886523</v>
      </c>
      <c r="K877" s="94">
        <f t="shared" ref="K877:K940" si="293">$D$30*(($E$26-$C877)/$R877)</f>
        <v>23.934493778251323</v>
      </c>
      <c r="L877" s="94">
        <f t="shared" ref="L877:L940" si="294">$D$38*(($D$34-$B877)/$S877)</f>
        <v>-357.32487634795302</v>
      </c>
      <c r="M877" s="94">
        <f t="shared" ref="M877:M940" si="295">$D$38*(($E$34-$C877)/$S877)</f>
        <v>-540.87206845557773</v>
      </c>
      <c r="N877" s="99">
        <f t="shared" ref="N877:N940" si="296">SQRT(($D$18-$B876)^2+($E$18-$C876)^2)</f>
        <v>1496.9660019903072</v>
      </c>
      <c r="O877" s="99">
        <f t="shared" ref="O877:O940" si="297">SQRT(($D$26-$B876)^2+($E$26-$C876)^2)</f>
        <v>29389.547484221774</v>
      </c>
      <c r="P877" s="100">
        <f t="shared" ref="P877:P940" si="298">SQRT(($D$34-$B876)^2+($E$34-$C876)^2)</f>
        <v>25544.838667924698</v>
      </c>
      <c r="Q877" s="95">
        <f t="shared" ref="Q877:Q940" si="299">(N877^2+$D$39^2)^(3/2)</f>
        <v>1033801223136.0963</v>
      </c>
      <c r="R877" s="95">
        <f t="shared" ref="R877:R940" si="300">(O877^2+$D$31^2)^(3/2)</f>
        <v>27575573389779.855</v>
      </c>
      <c r="S877" s="95">
        <f t="shared" ref="S877:S940" si="301">(P877^2+$D$23^2)^(3/2)</f>
        <v>20643975250397.094</v>
      </c>
      <c r="T877">
        <f t="shared" si="283"/>
        <v>0.5</v>
      </c>
    </row>
    <row r="878" spans="1:20" x14ac:dyDescent="0.25">
      <c r="A878">
        <v>417.5</v>
      </c>
      <c r="B878" s="95">
        <f t="shared" si="284"/>
        <v>9003.8357593289566</v>
      </c>
      <c r="C878" s="95">
        <f t="shared" si="285"/>
        <v>6402.815255429904</v>
      </c>
      <c r="D878" s="95">
        <f t="shared" si="286"/>
        <v>-168.88750881247196</v>
      </c>
      <c r="E878" s="95">
        <f t="shared" si="287"/>
        <v>155.60871862280604</v>
      </c>
      <c r="F878" s="96">
        <f t="shared" si="288"/>
        <v>-40.118641954668306</v>
      </c>
      <c r="G878" s="94">
        <f t="shared" si="289"/>
        <v>37.43308466841529</v>
      </c>
      <c r="H878" s="97">
        <f t="shared" si="290"/>
        <v>504.75171237800987</v>
      </c>
      <c r="I878" s="94">
        <f t="shared" si="291"/>
        <v>555.93832423027607</v>
      </c>
      <c r="J878" s="95">
        <f t="shared" si="292"/>
        <v>-190.1800804679948</v>
      </c>
      <c r="K878" s="94">
        <f t="shared" si="293"/>
        <v>23.586979662182866</v>
      </c>
      <c r="L878" s="94">
        <f t="shared" si="294"/>
        <v>-354.69027386468338</v>
      </c>
      <c r="M878" s="94">
        <f t="shared" si="295"/>
        <v>-542.09221922404367</v>
      </c>
      <c r="N878" s="99">
        <f t="shared" si="296"/>
        <v>1487.2234665023218</v>
      </c>
      <c r="O878" s="99">
        <f t="shared" si="297"/>
        <v>29319.508010586302</v>
      </c>
      <c r="P878" s="100">
        <f t="shared" si="298"/>
        <v>25558.476272593081</v>
      </c>
      <c r="Q878" s="95">
        <f t="shared" si="299"/>
        <v>1033360291642.8484</v>
      </c>
      <c r="R878" s="95">
        <f t="shared" si="300"/>
        <v>27389439992226.277</v>
      </c>
      <c r="S878" s="95">
        <f t="shared" si="301"/>
        <v>20672659493509.738</v>
      </c>
      <c r="T878">
        <f t="shared" si="283"/>
        <v>0.5</v>
      </c>
    </row>
    <row r="879" spans="1:20" x14ac:dyDescent="0.25">
      <c r="A879">
        <v>418</v>
      </c>
      <c r="B879" s="95">
        <f t="shared" si="284"/>
        <v>8909.3623444340537</v>
      </c>
      <c r="C879" s="95">
        <f t="shared" si="285"/>
        <v>6489.9778859084117</v>
      </c>
      <c r="D879" s="95">
        <f t="shared" si="286"/>
        <v>-188.94682978980612</v>
      </c>
      <c r="E879" s="95">
        <f t="shared" si="287"/>
        <v>174.32526095701368</v>
      </c>
      <c r="F879" s="96">
        <f t="shared" si="288"/>
        <v>9.8318974281858118</v>
      </c>
      <c r="G879" s="94">
        <f t="shared" si="289"/>
        <v>-8.1532960471479328</v>
      </c>
      <c r="H879" s="97">
        <f t="shared" si="290"/>
        <v>552.74810156716717</v>
      </c>
      <c r="I879" s="94">
        <f t="shared" si="291"/>
        <v>511.89118884335539</v>
      </c>
      <c r="J879" s="95">
        <f t="shared" si="292"/>
        <v>-191.28574481882393</v>
      </c>
      <c r="K879" s="94">
        <f t="shared" si="293"/>
        <v>23.224905012608176</v>
      </c>
      <c r="L879" s="94">
        <f t="shared" si="294"/>
        <v>-351.63045932015746</v>
      </c>
      <c r="M879" s="94">
        <f t="shared" si="295"/>
        <v>-543.26938990311146</v>
      </c>
      <c r="N879" s="99">
        <f t="shared" si="296"/>
        <v>1481.9438444519628</v>
      </c>
      <c r="O879" s="99">
        <f t="shared" si="297"/>
        <v>29226.053904704564</v>
      </c>
      <c r="P879" s="100">
        <f t="shared" si="298"/>
        <v>25577.097506017439</v>
      </c>
      <c r="Q879" s="95">
        <f t="shared" si="299"/>
        <v>1033122573296.3221</v>
      </c>
      <c r="R879" s="95">
        <f t="shared" si="300"/>
        <v>27142425130712.582</v>
      </c>
      <c r="S879" s="95">
        <f t="shared" si="301"/>
        <v>20711872080079.652</v>
      </c>
      <c r="T879">
        <f t="shared" si="283"/>
        <v>0.5</v>
      </c>
    </row>
    <row r="880" spans="1:20" x14ac:dyDescent="0.25">
      <c r="A880">
        <v>418.5</v>
      </c>
      <c r="B880" s="95">
        <f t="shared" si="284"/>
        <v>8817.3469038961975</v>
      </c>
      <c r="C880" s="95">
        <f t="shared" si="285"/>
        <v>6575.1021923751314</v>
      </c>
      <c r="D880" s="95">
        <f t="shared" si="286"/>
        <v>-184.03088107571321</v>
      </c>
      <c r="E880" s="95">
        <f t="shared" si="287"/>
        <v>170.24861293343972</v>
      </c>
      <c r="F880" s="96">
        <f t="shared" si="288"/>
        <v>58.101565660809456</v>
      </c>
      <c r="G880" s="94">
        <f t="shared" si="289"/>
        <v>-52.67921513507514</v>
      </c>
      <c r="H880" s="97">
        <f t="shared" si="290"/>
        <v>599.26406822355523</v>
      </c>
      <c r="I880" s="94">
        <f t="shared" si="291"/>
        <v>468.65646799919949</v>
      </c>
      <c r="J880" s="95">
        <f t="shared" si="292"/>
        <v>-192.62211973728495</v>
      </c>
      <c r="K880" s="94">
        <f t="shared" si="293"/>
        <v>22.892845680359528</v>
      </c>
      <c r="L880" s="94">
        <f t="shared" si="294"/>
        <v>-348.54038282546082</v>
      </c>
      <c r="M880" s="94">
        <f t="shared" si="295"/>
        <v>-544.22852881463416</v>
      </c>
      <c r="N880" s="99">
        <f t="shared" si="296"/>
        <v>1486.4841629470611</v>
      </c>
      <c r="O880" s="99">
        <f t="shared" si="297"/>
        <v>29121.666957837315</v>
      </c>
      <c r="P880" s="100">
        <f t="shared" si="298"/>
        <v>25598.623212305629</v>
      </c>
      <c r="Q880" s="95">
        <f t="shared" si="299"/>
        <v>1033326952028.2378</v>
      </c>
      <c r="R880" s="95">
        <f t="shared" si="300"/>
        <v>26868324148751.094</v>
      </c>
      <c r="S880" s="95">
        <f t="shared" si="301"/>
        <v>20757267385340.398</v>
      </c>
      <c r="T880">
        <f t="shared" si="283"/>
        <v>0.5</v>
      </c>
    </row>
    <row r="881" spans="1:20" x14ac:dyDescent="0.25">
      <c r="A881">
        <v>419</v>
      </c>
      <c r="B881" s="95">
        <f t="shared" si="284"/>
        <v>8739.8568547735431</v>
      </c>
      <c r="C881" s="95">
        <f t="shared" si="285"/>
        <v>6647.0566950580824</v>
      </c>
      <c r="D881" s="95">
        <f t="shared" si="286"/>
        <v>-154.98009824530848</v>
      </c>
      <c r="E881" s="95">
        <f t="shared" si="287"/>
        <v>143.90900536590215</v>
      </c>
      <c r="F881" s="96">
        <f t="shared" si="288"/>
        <v>98.277036388328384</v>
      </c>
      <c r="G881" s="94">
        <f t="shared" si="289"/>
        <v>-90.287801776391802</v>
      </c>
      <c r="H881" s="97">
        <f t="shared" si="290"/>
        <v>638.11268847952931</v>
      </c>
      <c r="I881" s="94">
        <f t="shared" si="291"/>
        <v>431.91438012329314</v>
      </c>
      <c r="J881" s="95">
        <f t="shared" si="292"/>
        <v>-194.01572853141008</v>
      </c>
      <c r="K881" s="94">
        <f t="shared" si="293"/>
        <v>22.63489833369756</v>
      </c>
      <c r="L881" s="94">
        <f t="shared" si="294"/>
        <v>-345.81992355979082</v>
      </c>
      <c r="M881" s="94">
        <f t="shared" si="295"/>
        <v>-544.83708023338249</v>
      </c>
      <c r="N881" s="99">
        <f t="shared" si="296"/>
        <v>1501.3674767601694</v>
      </c>
      <c r="O881" s="99">
        <f t="shared" si="297"/>
        <v>29020.155195521776</v>
      </c>
      <c r="P881" s="100">
        <f t="shared" si="298"/>
        <v>25620.384658978874</v>
      </c>
      <c r="Q881" s="95">
        <f t="shared" si="299"/>
        <v>1034001391652.83</v>
      </c>
      <c r="R881" s="95">
        <f t="shared" si="300"/>
        <v>26603599682664.914</v>
      </c>
      <c r="S881" s="95">
        <f t="shared" si="301"/>
        <v>20803232364405.629</v>
      </c>
      <c r="T881">
        <f t="shared" si="283"/>
        <v>0.5</v>
      </c>
    </row>
    <row r="882" spans="1:20" x14ac:dyDescent="0.25">
      <c r="A882">
        <v>419.5</v>
      </c>
      <c r="B882" s="95">
        <f t="shared" si="284"/>
        <v>8686.9360647479716</v>
      </c>
      <c r="C882" s="95">
        <f t="shared" si="285"/>
        <v>6696.4392472969357</v>
      </c>
      <c r="D882" s="95">
        <f t="shared" si="286"/>
        <v>-105.84158005114429</v>
      </c>
      <c r="E882" s="95">
        <f t="shared" si="287"/>
        <v>98.765104477706245</v>
      </c>
      <c r="F882" s="96">
        <f t="shared" si="288"/>
        <v>125.20688855577447</v>
      </c>
      <c r="G882" s="94">
        <f t="shared" si="289"/>
        <v>-115.99576026917083</v>
      </c>
      <c r="H882" s="97">
        <f t="shared" si="290"/>
        <v>664.3126474292045</v>
      </c>
      <c r="I882" s="94">
        <f t="shared" si="291"/>
        <v>406.54194869491778</v>
      </c>
      <c r="J882" s="95">
        <f t="shared" si="292"/>
        <v>-195.28253801599411</v>
      </c>
      <c r="K882" s="94">
        <f t="shared" si="293"/>
        <v>22.488554609728759</v>
      </c>
      <c r="L882" s="94">
        <f t="shared" si="294"/>
        <v>-343.82322085743596</v>
      </c>
      <c r="M882" s="94">
        <f t="shared" si="295"/>
        <v>-545.02626357381735</v>
      </c>
      <c r="N882" s="99">
        <f t="shared" si="296"/>
        <v>1521.6678441455178</v>
      </c>
      <c r="O882" s="99">
        <f t="shared" si="297"/>
        <v>28934.781852279939</v>
      </c>
      <c r="P882" s="100">
        <f t="shared" si="298"/>
        <v>25639.398002853468</v>
      </c>
      <c r="Q882" s="95">
        <f t="shared" si="299"/>
        <v>1034932379265.7651</v>
      </c>
      <c r="R882" s="95">
        <f t="shared" si="300"/>
        <v>26382351181306.898</v>
      </c>
      <c r="S882" s="95">
        <f t="shared" si="301"/>
        <v>20843452479219.73</v>
      </c>
      <c r="T882">
        <f t="shared" si="283"/>
        <v>0.5</v>
      </c>
    </row>
    <row r="883" spans="1:20" x14ac:dyDescent="0.25">
      <c r="A883">
        <v>420</v>
      </c>
      <c r="B883" s="95">
        <f t="shared" si="284"/>
        <v>8665.3169968613438</v>
      </c>
      <c r="C883" s="95">
        <f t="shared" si="285"/>
        <v>6716.8228594684961</v>
      </c>
      <c r="D883" s="95">
        <f t="shared" si="286"/>
        <v>-43.238135773257056</v>
      </c>
      <c r="E883" s="95">
        <f t="shared" si="287"/>
        <v>40.76722434312083</v>
      </c>
      <c r="F883" s="96">
        <f t="shared" si="288"/>
        <v>135.64711142968156</v>
      </c>
      <c r="G883" s="94">
        <f t="shared" si="289"/>
        <v>-126.40324977634248</v>
      </c>
      <c r="H883" s="97">
        <f t="shared" si="290"/>
        <v>674.71236969336837</v>
      </c>
      <c r="I883" s="94">
        <f t="shared" si="291"/>
        <v>395.91371369460023</v>
      </c>
      <c r="J883" s="95">
        <f t="shared" si="292"/>
        <v>-196.25299560057042</v>
      </c>
      <c r="K883" s="94">
        <f t="shared" si="293"/>
        <v>22.477803018441158</v>
      </c>
      <c r="L883" s="94">
        <f t="shared" si="294"/>
        <v>-342.81226266311637</v>
      </c>
      <c r="M883" s="94">
        <f t="shared" si="295"/>
        <v>-544.79476648938385</v>
      </c>
      <c r="N883" s="99">
        <f t="shared" si="296"/>
        <v>1539.4306679237809</v>
      </c>
      <c r="O883" s="99">
        <f t="shared" si="297"/>
        <v>28876.527049313561</v>
      </c>
      <c r="P883" s="100">
        <f t="shared" si="298"/>
        <v>25652.830152872906</v>
      </c>
      <c r="Q883" s="95">
        <f t="shared" si="299"/>
        <v>1035757483700.5831</v>
      </c>
      <c r="R883" s="95">
        <f t="shared" si="300"/>
        <v>26232108298101.199</v>
      </c>
      <c r="S883" s="95">
        <f t="shared" si="301"/>
        <v>20871899949362.73</v>
      </c>
      <c r="T883">
        <f t="shared" si="283"/>
        <v>0.5</v>
      </c>
    </row>
    <row r="884" spans="1:20" x14ac:dyDescent="0.25">
      <c r="A884">
        <v>420.5</v>
      </c>
      <c r="B884" s="95">
        <f t="shared" si="284"/>
        <v>8677.609706832136</v>
      </c>
      <c r="C884" s="95">
        <f t="shared" si="285"/>
        <v>6705.6056591959705</v>
      </c>
      <c r="D884" s="95">
        <f t="shared" si="286"/>
        <v>24.585419941583723</v>
      </c>
      <c r="E884" s="95">
        <f t="shared" si="287"/>
        <v>-22.434400545050408</v>
      </c>
      <c r="F884" s="96">
        <f t="shared" si="288"/>
        <v>128.53645639985473</v>
      </c>
      <c r="G884" s="94">
        <f t="shared" si="289"/>
        <v>-120.15203979011238</v>
      </c>
      <c r="H884" s="97">
        <f t="shared" si="290"/>
        <v>668.25431365087275</v>
      </c>
      <c r="I884" s="94">
        <f t="shared" si="291"/>
        <v>401.4377961822708</v>
      </c>
      <c r="J884" s="95">
        <f t="shared" si="292"/>
        <v>-196.79644815350281</v>
      </c>
      <c r="K884" s="94">
        <f t="shared" si="293"/>
        <v>22.607362040106736</v>
      </c>
      <c r="L884" s="94">
        <f t="shared" si="294"/>
        <v>-342.92140909751521</v>
      </c>
      <c r="M884" s="94">
        <f t="shared" si="295"/>
        <v>-544.19719801248993</v>
      </c>
      <c r="N884" s="99">
        <f t="shared" si="296"/>
        <v>1547.4964143151753</v>
      </c>
      <c r="O884" s="99">
        <f t="shared" si="297"/>
        <v>28852.723453196868</v>
      </c>
      <c r="P884" s="100">
        <f t="shared" si="298"/>
        <v>25658.551863545239</v>
      </c>
      <c r="Q884" s="95">
        <f t="shared" si="299"/>
        <v>1036135381727.6099</v>
      </c>
      <c r="R884" s="95">
        <f t="shared" si="300"/>
        <v>26170886641357.125</v>
      </c>
      <c r="S884" s="95">
        <f t="shared" si="301"/>
        <v>20884026210134.355</v>
      </c>
      <c r="T884">
        <f t="shared" si="283"/>
        <v>0.5</v>
      </c>
    </row>
    <row r="885" spans="1:20" x14ac:dyDescent="0.25">
      <c r="A885">
        <v>421</v>
      </c>
      <c r="B885" s="95">
        <f t="shared" si="284"/>
        <v>8722.0365309028912</v>
      </c>
      <c r="C885" s="95">
        <f t="shared" si="285"/>
        <v>6664.3504489759171</v>
      </c>
      <c r="D885" s="95">
        <f t="shared" si="286"/>
        <v>88.853648141511087</v>
      </c>
      <c r="E885" s="95">
        <f t="shared" si="287"/>
        <v>-82.5104204401066</v>
      </c>
      <c r="F885" s="96">
        <f t="shared" si="288"/>
        <v>104.96690700380543</v>
      </c>
      <c r="G885" s="94">
        <f t="shared" si="289"/>
        <v>-98.086676682789232</v>
      </c>
      <c r="H885" s="97">
        <f t="shared" si="290"/>
        <v>645.94536122968248</v>
      </c>
      <c r="I885" s="94">
        <f t="shared" si="291"/>
        <v>422.37823235983012</v>
      </c>
      <c r="J885" s="95">
        <f t="shared" si="292"/>
        <v>-196.84043649316084</v>
      </c>
      <c r="K885" s="94">
        <f t="shared" si="293"/>
        <v>22.860172638014401</v>
      </c>
      <c r="L885" s="94">
        <f t="shared" si="294"/>
        <v>-344.13801773271621</v>
      </c>
      <c r="M885" s="94">
        <f t="shared" si="295"/>
        <v>-543.32508168063373</v>
      </c>
      <c r="N885" s="99">
        <f t="shared" si="296"/>
        <v>1542.653057614076</v>
      </c>
      <c r="O885" s="99">
        <f t="shared" si="297"/>
        <v>28866.214378926004</v>
      </c>
      <c r="P885" s="100">
        <f t="shared" si="298"/>
        <v>25655.609997132182</v>
      </c>
      <c r="Q885" s="95">
        <f t="shared" si="299"/>
        <v>1035908217383.5298</v>
      </c>
      <c r="R885" s="95">
        <f t="shared" si="300"/>
        <v>26205572573763.117</v>
      </c>
      <c r="S885" s="95">
        <f t="shared" si="301"/>
        <v>20877790758579.242</v>
      </c>
      <c r="T885">
        <f t="shared" si="283"/>
        <v>0.5</v>
      </c>
    </row>
    <row r="886" spans="1:20" x14ac:dyDescent="0.25">
      <c r="A886">
        <v>421.5</v>
      </c>
      <c r="B886" s="95">
        <f t="shared" si="284"/>
        <v>8792.7050817245981</v>
      </c>
      <c r="C886" s="95">
        <f t="shared" si="285"/>
        <v>6598.5735695851663</v>
      </c>
      <c r="D886" s="95">
        <f t="shared" si="286"/>
        <v>141.3371016434138</v>
      </c>
      <c r="E886" s="95">
        <f t="shared" si="287"/>
        <v>-131.55375878150122</v>
      </c>
      <c r="F886" s="96">
        <f t="shared" si="288"/>
        <v>67.974555475850991</v>
      </c>
      <c r="G886" s="94">
        <f t="shared" si="289"/>
        <v>-63.141890294657742</v>
      </c>
      <c r="H886" s="97">
        <f t="shared" si="290"/>
        <v>610.65789956839888</v>
      </c>
      <c r="I886" s="94">
        <f t="shared" si="291"/>
        <v>455.94755869501068</v>
      </c>
      <c r="J886" s="95">
        <f t="shared" si="292"/>
        <v>-196.38123742935127</v>
      </c>
      <c r="K886" s="94">
        <f t="shared" si="293"/>
        <v>23.199498954120372</v>
      </c>
      <c r="L886" s="94">
        <f t="shared" si="294"/>
        <v>-346.30210666319664</v>
      </c>
      <c r="M886" s="94">
        <f t="shared" si="295"/>
        <v>-542.2889479437888</v>
      </c>
      <c r="N886" s="99">
        <f t="shared" si="296"/>
        <v>1526.9252766502584</v>
      </c>
      <c r="O886" s="99">
        <f t="shared" si="297"/>
        <v>28915.081539047533</v>
      </c>
      <c r="P886" s="100">
        <f t="shared" si="298"/>
        <v>25644.460745577719</v>
      </c>
      <c r="Q886" s="95">
        <f t="shared" si="299"/>
        <v>1035175572840.0984</v>
      </c>
      <c r="R886" s="95">
        <f t="shared" si="300"/>
        <v>26331476908049.73</v>
      </c>
      <c r="S886" s="95">
        <f t="shared" si="301"/>
        <v>20854171412832.867</v>
      </c>
      <c r="T886">
        <f t="shared" si="283"/>
        <v>0.5</v>
      </c>
    </row>
    <row r="887" spans="1:20" x14ac:dyDescent="0.25">
      <c r="A887">
        <v>422</v>
      </c>
      <c r="B887" s="95">
        <f t="shared" si="284"/>
        <v>8880.3672714152672</v>
      </c>
      <c r="C887" s="95">
        <f t="shared" si="285"/>
        <v>6517.0112176207513</v>
      </c>
      <c r="D887" s="95">
        <f t="shared" si="286"/>
        <v>175.3243793813393</v>
      </c>
      <c r="E887" s="95">
        <f t="shared" si="287"/>
        <v>-163.12470392883009</v>
      </c>
      <c r="F887" s="96">
        <f t="shared" si="288"/>
        <v>22.217849552522694</v>
      </c>
      <c r="G887" s="94">
        <f t="shared" si="289"/>
        <v>-19.981117732643497</v>
      </c>
      <c r="H887" s="97">
        <f t="shared" si="290"/>
        <v>566.82760339054994</v>
      </c>
      <c r="I887" s="94">
        <f t="shared" si="291"/>
        <v>497.64995382024256</v>
      </c>
      <c r="J887" s="95">
        <f t="shared" si="292"/>
        <v>-195.48387186845579</v>
      </c>
      <c r="K887" s="94">
        <f t="shared" si="293"/>
        <v>23.575466560212075</v>
      </c>
      <c r="L887" s="94">
        <f t="shared" si="294"/>
        <v>-349.12588196957142</v>
      </c>
      <c r="M887" s="94">
        <f t="shared" si="295"/>
        <v>-541.20653811309808</v>
      </c>
      <c r="N887" s="99">
        <f t="shared" si="296"/>
        <v>1506.6952675123255</v>
      </c>
      <c r="O887" s="99">
        <f t="shared" si="297"/>
        <v>28992.922717185553</v>
      </c>
      <c r="P887" s="100">
        <f t="shared" si="298"/>
        <v>25626.882247207024</v>
      </c>
      <c r="Q887" s="95">
        <f t="shared" si="299"/>
        <v>1034244490388.4196</v>
      </c>
      <c r="R887" s="95">
        <f t="shared" si="300"/>
        <v>26532887882663.941</v>
      </c>
      <c r="S887" s="95">
        <f t="shared" si="301"/>
        <v>20816970850649.121</v>
      </c>
      <c r="T887">
        <f t="shared" si="283"/>
        <v>0.5</v>
      </c>
    </row>
    <row r="888" spans="1:20" x14ac:dyDescent="0.25">
      <c r="A888">
        <v>422.5</v>
      </c>
      <c r="B888" s="95">
        <f t="shared" si="284"/>
        <v>8973.5839234940668</v>
      </c>
      <c r="C888" s="95">
        <f t="shared" si="285"/>
        <v>6430.4535862231751</v>
      </c>
      <c r="D888" s="95">
        <f t="shared" si="286"/>
        <v>186.43330415760065</v>
      </c>
      <c r="E888" s="95">
        <f t="shared" si="287"/>
        <v>-173.11526279515184</v>
      </c>
      <c r="F888" s="96">
        <f t="shared" si="288"/>
        <v>-26.484589843174319</v>
      </c>
      <c r="G888" s="94">
        <f t="shared" si="289"/>
        <v>25.607807325148997</v>
      </c>
      <c r="H888" s="97">
        <f t="shared" si="290"/>
        <v>520.01903942639433</v>
      </c>
      <c r="I888" s="94">
        <f t="shared" si="291"/>
        <v>541.87040854572433</v>
      </c>
      <c r="J888" s="95">
        <f t="shared" si="292"/>
        <v>-194.27185405113011</v>
      </c>
      <c r="K888" s="94">
        <f t="shared" si="293"/>
        <v>23.934298282086957</v>
      </c>
      <c r="L888" s="94">
        <f t="shared" si="294"/>
        <v>-352.23177521843854</v>
      </c>
      <c r="M888" s="94">
        <f t="shared" si="295"/>
        <v>-540.19689950266229</v>
      </c>
      <c r="N888" s="99">
        <f t="shared" si="296"/>
        <v>1489.9142234375547</v>
      </c>
      <c r="O888" s="99">
        <f t="shared" si="297"/>
        <v>29089.634315164807</v>
      </c>
      <c r="P888" s="100">
        <f t="shared" si="298"/>
        <v>25605.592501025891</v>
      </c>
      <c r="Q888" s="95">
        <f t="shared" si="299"/>
        <v>1033481776947.489</v>
      </c>
      <c r="R888" s="95">
        <f t="shared" si="300"/>
        <v>26784594543602.109</v>
      </c>
      <c r="S888" s="95">
        <f t="shared" si="301"/>
        <v>20771980121680.289</v>
      </c>
      <c r="T888">
        <f t="shared" si="283"/>
        <v>0.5</v>
      </c>
    </row>
    <row r="889" spans="1:20" x14ac:dyDescent="0.25">
      <c r="A889">
        <v>423</v>
      </c>
      <c r="B889" s="95">
        <f t="shared" si="284"/>
        <v>9060.1794281120729</v>
      </c>
      <c r="C889" s="95">
        <f t="shared" si="285"/>
        <v>6350.297906656886</v>
      </c>
      <c r="D889" s="95">
        <f t="shared" si="286"/>
        <v>173.19100923601349</v>
      </c>
      <c r="E889" s="95">
        <f t="shared" si="287"/>
        <v>-160.31135913257734</v>
      </c>
      <c r="F889" s="96">
        <f t="shared" si="288"/>
        <v>-71.810306585245598</v>
      </c>
      <c r="G889" s="94">
        <f t="shared" si="289"/>
        <v>67.522963346004872</v>
      </c>
      <c r="H889" s="97">
        <f t="shared" si="290"/>
        <v>476.30311261125638</v>
      </c>
      <c r="I889" s="94">
        <f t="shared" si="291"/>
        <v>582.67152477303307</v>
      </c>
      <c r="J889" s="95">
        <f t="shared" si="292"/>
        <v>-192.90872320952931</v>
      </c>
      <c r="K889" s="94">
        <f t="shared" si="293"/>
        <v>24.22763330362914</v>
      </c>
      <c r="L889" s="94">
        <f t="shared" si="294"/>
        <v>-355.20469598697264</v>
      </c>
      <c r="M889" s="94">
        <f t="shared" si="295"/>
        <v>-539.37619473065729</v>
      </c>
      <c r="N889" s="99">
        <f t="shared" si="296"/>
        <v>1482.3830454146123</v>
      </c>
      <c r="O889" s="99">
        <f t="shared" si="297"/>
        <v>29192.639945230385</v>
      </c>
      <c r="P889" s="100">
        <f t="shared" si="298"/>
        <v>25583.693802463273</v>
      </c>
      <c r="Q889" s="95">
        <f t="shared" si="299"/>
        <v>1033142315667.0385</v>
      </c>
      <c r="R889" s="95">
        <f t="shared" si="300"/>
        <v>27054478517749.215</v>
      </c>
      <c r="S889" s="95">
        <f t="shared" si="301"/>
        <v>20725775352705</v>
      </c>
      <c r="T889">
        <f t="shared" si="283"/>
        <v>0.5</v>
      </c>
    </row>
    <row r="890" spans="1:20" x14ac:dyDescent="0.25">
      <c r="A890">
        <v>423.5</v>
      </c>
      <c r="B890" s="95">
        <f t="shared" si="284"/>
        <v>9128.8223560837669</v>
      </c>
      <c r="C890" s="95">
        <f t="shared" si="285"/>
        <v>6287.0229679270979</v>
      </c>
      <c r="D890" s="95">
        <f t="shared" si="286"/>
        <v>137.28585594339069</v>
      </c>
      <c r="E890" s="95">
        <f t="shared" si="287"/>
        <v>-126.5498774595749</v>
      </c>
      <c r="F890" s="96">
        <f t="shared" si="288"/>
        <v>-107.75999914291691</v>
      </c>
      <c r="G890" s="94">
        <f t="shared" si="289"/>
        <v>100.24002751321382</v>
      </c>
      <c r="H890" s="97">
        <f t="shared" si="290"/>
        <v>441.46536399386207</v>
      </c>
      <c r="I890" s="94">
        <f t="shared" si="291"/>
        <v>614.67067103910586</v>
      </c>
      <c r="J890" s="95">
        <f t="shared" si="292"/>
        <v>-191.57467194239752</v>
      </c>
      <c r="K890" s="94">
        <f t="shared" si="293"/>
        <v>24.419537053493695</v>
      </c>
      <c r="L890" s="94">
        <f t="shared" si="294"/>
        <v>-357.65069119438147</v>
      </c>
      <c r="M890" s="94">
        <f t="shared" si="295"/>
        <v>-538.85018057938578</v>
      </c>
      <c r="N890" s="99">
        <f t="shared" si="296"/>
        <v>1484.9503731712009</v>
      </c>
      <c r="O890" s="99">
        <f t="shared" si="297"/>
        <v>29288.46793132446</v>
      </c>
      <c r="P890" s="100">
        <f t="shared" si="298"/>
        <v>25564.112858726457</v>
      </c>
      <c r="Q890" s="95">
        <f t="shared" si="299"/>
        <v>1033257838296.6699</v>
      </c>
      <c r="R890" s="95">
        <f t="shared" si="300"/>
        <v>27307225631706.359</v>
      </c>
      <c r="S890" s="95">
        <f t="shared" si="301"/>
        <v>20684523386732.793</v>
      </c>
      <c r="T890">
        <f t="shared" si="283"/>
        <v>0.5</v>
      </c>
    </row>
    <row r="891" spans="1:20" x14ac:dyDescent="0.25">
      <c r="A891">
        <v>424</v>
      </c>
      <c r="B891" s="95">
        <f t="shared" si="284"/>
        <v>9170.5252842697337</v>
      </c>
      <c r="C891" s="95">
        <f t="shared" si="285"/>
        <v>6248.8080360756139</v>
      </c>
      <c r="D891" s="95">
        <f t="shared" si="286"/>
        <v>83.405856371932231</v>
      </c>
      <c r="E891" s="95">
        <f t="shared" si="287"/>
        <v>-76.429863702967992</v>
      </c>
      <c r="F891" s="96">
        <f t="shared" si="288"/>
        <v>-129.51670879393035</v>
      </c>
      <c r="G891" s="94">
        <f t="shared" si="289"/>
        <v>119.59086866227631</v>
      </c>
      <c r="H891" s="97">
        <f t="shared" si="290"/>
        <v>420.17726765373152</v>
      </c>
      <c r="I891" s="94">
        <f t="shared" si="291"/>
        <v>633.80162257171492</v>
      </c>
      <c r="J891" s="95">
        <f t="shared" si="292"/>
        <v>-190.44219238968205</v>
      </c>
      <c r="K891" s="94">
        <f t="shared" si="293"/>
        <v>24.489967689047784</v>
      </c>
      <c r="L891" s="94">
        <f t="shared" si="294"/>
        <v>-359.25178405797982</v>
      </c>
      <c r="M891" s="94">
        <f t="shared" si="295"/>
        <v>-538.70072159848644</v>
      </c>
      <c r="N891" s="99">
        <f t="shared" si="296"/>
        <v>1493.4067656187397</v>
      </c>
      <c r="O891" s="99">
        <f t="shared" si="297"/>
        <v>29364.510727968656</v>
      </c>
      <c r="P891" s="100">
        <f t="shared" si="298"/>
        <v>25549.187227910563</v>
      </c>
      <c r="Q891" s="95">
        <f t="shared" si="299"/>
        <v>1033639796772.7072</v>
      </c>
      <c r="R891" s="95">
        <f t="shared" si="300"/>
        <v>27508937687844.082</v>
      </c>
      <c r="S891" s="95">
        <f t="shared" si="301"/>
        <v>20653118558294.77</v>
      </c>
      <c r="T891">
        <f t="shared" si="283"/>
        <v>0.5</v>
      </c>
    </row>
    <row r="892" spans="1:20" x14ac:dyDescent="0.25">
      <c r="A892">
        <v>424.5</v>
      </c>
      <c r="B892" s="95">
        <f t="shared" si="284"/>
        <v>9179.8490352572171</v>
      </c>
      <c r="C892" s="95">
        <f t="shared" si="285"/>
        <v>6240.4908213896988</v>
      </c>
      <c r="D892" s="95">
        <f t="shared" si="286"/>
        <v>18.647501974967057</v>
      </c>
      <c r="E892" s="95">
        <f t="shared" si="287"/>
        <v>-16.634429371829839</v>
      </c>
      <c r="F892" s="96">
        <f t="shared" si="288"/>
        <v>-134.14922425752064</v>
      </c>
      <c r="G892" s="94">
        <f t="shared" si="289"/>
        <v>123.26407124390619</v>
      </c>
      <c r="H892" s="97">
        <f t="shared" si="290"/>
        <v>415.31258130608251</v>
      </c>
      <c r="I892" s="94">
        <f t="shared" si="291"/>
        <v>637.79722347994823</v>
      </c>
      <c r="J892" s="95">
        <f t="shared" si="292"/>
        <v>-189.65439602746733</v>
      </c>
      <c r="K892" s="94">
        <f t="shared" si="293"/>
        <v>24.43492568339024</v>
      </c>
      <c r="L892" s="94">
        <f t="shared" si="294"/>
        <v>-359.80740953613582</v>
      </c>
      <c r="M892" s="94">
        <f t="shared" si="295"/>
        <v>-538.96807791943229</v>
      </c>
      <c r="N892" s="99">
        <f t="shared" si="296"/>
        <v>1501.1694223587051</v>
      </c>
      <c r="O892" s="99">
        <f t="shared" si="297"/>
        <v>29410.729105386537</v>
      </c>
      <c r="P892" s="100">
        <f t="shared" si="298"/>
        <v>25540.470430008125</v>
      </c>
      <c r="Q892" s="95">
        <f t="shared" si="299"/>
        <v>1033992371708.5703</v>
      </c>
      <c r="R892" s="95">
        <f t="shared" si="300"/>
        <v>27632034936344.707</v>
      </c>
      <c r="S892" s="95">
        <f t="shared" si="301"/>
        <v>20634793492999.879</v>
      </c>
      <c r="T892">
        <f t="shared" si="283"/>
        <v>0.5</v>
      </c>
    </row>
    <row r="893" spans="1:20" x14ac:dyDescent="0.25">
      <c r="A893">
        <v>425</v>
      </c>
      <c r="B893" s="95">
        <f t="shared" si="284"/>
        <v>9155.6354801803209</v>
      </c>
      <c r="C893" s="95">
        <f t="shared" si="285"/>
        <v>6262.9896245147602</v>
      </c>
      <c r="D893" s="95">
        <f t="shared" si="286"/>
        <v>-48.427110153793265</v>
      </c>
      <c r="E893" s="95">
        <f t="shared" si="287"/>
        <v>44.997606250123255</v>
      </c>
      <c r="F893" s="96">
        <f t="shared" si="288"/>
        <v>-121.02587687641986</v>
      </c>
      <c r="G893" s="94">
        <f t="shared" si="289"/>
        <v>110.98334802969396</v>
      </c>
      <c r="H893" s="97">
        <f t="shared" si="290"/>
        <v>427.53947169458871</v>
      </c>
      <c r="I893" s="94">
        <f t="shared" si="291"/>
        <v>626.35360676764208</v>
      </c>
      <c r="J893" s="95">
        <f t="shared" si="292"/>
        <v>-189.30855477190076</v>
      </c>
      <c r="K893" s="94">
        <f t="shared" si="293"/>
        <v>24.264538285630039</v>
      </c>
      <c r="L893" s="94">
        <f t="shared" si="294"/>
        <v>-359.25679379910781</v>
      </c>
      <c r="M893" s="94">
        <f t="shared" si="295"/>
        <v>-539.63479702357813</v>
      </c>
      <c r="N893" s="99">
        <f t="shared" si="296"/>
        <v>1503.0006573425419</v>
      </c>
      <c r="O893" s="99">
        <f t="shared" si="297"/>
        <v>29421.038373661402</v>
      </c>
      <c r="P893" s="100">
        <f t="shared" si="298"/>
        <v>25538.726847598045</v>
      </c>
      <c r="Q893" s="95">
        <f t="shared" si="299"/>
        <v>1034075817570.472</v>
      </c>
      <c r="R893" s="95">
        <f t="shared" si="300"/>
        <v>27659543884633.688</v>
      </c>
      <c r="S893" s="95">
        <f t="shared" si="301"/>
        <v>20631129412636.48</v>
      </c>
      <c r="T893">
        <f t="shared" si="283"/>
        <v>0.5</v>
      </c>
    </row>
    <row r="894" spans="1:20" x14ac:dyDescent="0.25">
      <c r="A894">
        <v>425.5</v>
      </c>
      <c r="B894" s="95">
        <f t="shared" si="284"/>
        <v>9101.1654558843202</v>
      </c>
      <c r="C894" s="95">
        <f t="shared" si="285"/>
        <v>6313.2342646472453</v>
      </c>
      <c r="D894" s="95">
        <f t="shared" si="286"/>
        <v>-108.94004859200319</v>
      </c>
      <c r="E894" s="95">
        <f t="shared" si="287"/>
        <v>100.48928026497023</v>
      </c>
      <c r="F894" s="96">
        <f t="shared" si="288"/>
        <v>-91.901607849394566</v>
      </c>
      <c r="G894" s="94">
        <f t="shared" si="289"/>
        <v>84.434205490619547</v>
      </c>
      <c r="H894" s="97">
        <f t="shared" si="290"/>
        <v>455.22601223150059</v>
      </c>
      <c r="I894" s="94">
        <f t="shared" si="291"/>
        <v>601.05237019916899</v>
      </c>
      <c r="J894" s="95">
        <f t="shared" si="292"/>
        <v>-189.44594281659599</v>
      </c>
      <c r="K894" s="94">
        <f t="shared" si="293"/>
        <v>24.000509936161222</v>
      </c>
      <c r="L894" s="94">
        <f t="shared" si="294"/>
        <v>-357.68167726429914</v>
      </c>
      <c r="M894" s="94">
        <f t="shared" si="295"/>
        <v>-540.61867464471072</v>
      </c>
      <c r="N894" s="99">
        <f t="shared" si="296"/>
        <v>1497.7136279637878</v>
      </c>
      <c r="O894" s="99">
        <f t="shared" si="297"/>
        <v>29394.154636587766</v>
      </c>
      <c r="P894" s="100">
        <f t="shared" si="298"/>
        <v>25544.01580840339</v>
      </c>
      <c r="Q894" s="95">
        <f t="shared" si="299"/>
        <v>1033835181028.9163</v>
      </c>
      <c r="R894" s="95">
        <f t="shared" si="300"/>
        <v>27587847438179.344</v>
      </c>
      <c r="S894" s="95">
        <f t="shared" si="301"/>
        <v>20642245428060.688</v>
      </c>
      <c r="T894">
        <f t="shared" si="283"/>
        <v>0.5</v>
      </c>
    </row>
    <row r="895" spans="1:20" x14ac:dyDescent="0.25">
      <c r="A895">
        <v>426</v>
      </c>
      <c r="B895" s="95">
        <f t="shared" si="284"/>
        <v>9023.7200296259707</v>
      </c>
      <c r="C895" s="95">
        <f t="shared" si="285"/>
        <v>6384.5874561523851</v>
      </c>
      <c r="D895" s="95">
        <f t="shared" si="286"/>
        <v>-154.89085251670048</v>
      </c>
      <c r="E895" s="95">
        <f t="shared" si="287"/>
        <v>142.70638301028001</v>
      </c>
      <c r="F895" s="96">
        <f t="shared" si="288"/>
        <v>-50.696216381577869</v>
      </c>
      <c r="G895" s="94">
        <f t="shared" si="289"/>
        <v>47.030501850812357</v>
      </c>
      <c r="H895" s="97">
        <f t="shared" si="290"/>
        <v>494.64390508879802</v>
      </c>
      <c r="I895" s="94">
        <f t="shared" si="291"/>
        <v>565.13708486965743</v>
      </c>
      <c r="J895" s="95">
        <f t="shared" si="292"/>
        <v>-190.04795452705164</v>
      </c>
      <c r="K895" s="94">
        <f t="shared" si="293"/>
        <v>23.673800533781485</v>
      </c>
      <c r="L895" s="94">
        <f t="shared" si="294"/>
        <v>-355.29216694332422</v>
      </c>
      <c r="M895" s="94">
        <f t="shared" si="295"/>
        <v>-541.78038355262652</v>
      </c>
      <c r="N895" s="99">
        <f t="shared" si="296"/>
        <v>1488.7298103762839</v>
      </c>
      <c r="O895" s="99">
        <f t="shared" si="297"/>
        <v>29333.7701715638</v>
      </c>
      <c r="P895" s="100">
        <f t="shared" si="298"/>
        <v>25555.75907763177</v>
      </c>
      <c r="Q895" s="95">
        <f t="shared" si="299"/>
        <v>1033428274097.9468</v>
      </c>
      <c r="R895" s="95">
        <f t="shared" si="300"/>
        <v>27427272331675.109</v>
      </c>
      <c r="S895" s="95">
        <f t="shared" si="301"/>
        <v>20666942083237.125</v>
      </c>
      <c r="T895">
        <f t="shared" si="283"/>
        <v>0.5</v>
      </c>
    </row>
    <row r="896" spans="1:20" x14ac:dyDescent="0.25">
      <c r="A896">
        <v>426.5</v>
      </c>
      <c r="B896" s="95">
        <f t="shared" si="284"/>
        <v>8933.600549272227</v>
      </c>
      <c r="C896" s="95">
        <f t="shared" si="285"/>
        <v>6467.6982731202279</v>
      </c>
      <c r="D896" s="95">
        <f t="shared" si="286"/>
        <v>-180.23896070748941</v>
      </c>
      <c r="E896" s="95">
        <f t="shared" si="287"/>
        <v>166.22163393568619</v>
      </c>
      <c r="F896" s="96">
        <f t="shared" si="288"/>
        <v>-2.9823064901331122</v>
      </c>
      <c r="G896" s="94">
        <f t="shared" si="289"/>
        <v>3.5502236935639075</v>
      </c>
      <c r="H896" s="97">
        <f t="shared" si="290"/>
        <v>540.45508529146082</v>
      </c>
      <c r="I896" s="94">
        <f t="shared" si="291"/>
        <v>523.17423594561819</v>
      </c>
      <c r="J896" s="95">
        <f t="shared" si="292"/>
        <v>-191.03817320948676</v>
      </c>
      <c r="K896" s="94">
        <f t="shared" si="293"/>
        <v>23.322519711249715</v>
      </c>
      <c r="L896" s="94">
        <f t="shared" si="294"/>
        <v>-352.39921857210715</v>
      </c>
      <c r="M896" s="94">
        <f t="shared" si="295"/>
        <v>-542.94653196330398</v>
      </c>
      <c r="N896" s="99">
        <f t="shared" si="296"/>
        <v>1482.3183610568017</v>
      </c>
      <c r="O896" s="99">
        <f t="shared" si="297"/>
        <v>29248.034672783098</v>
      </c>
      <c r="P896" s="100">
        <f t="shared" si="298"/>
        <v>25572.745338331639</v>
      </c>
      <c r="Q896" s="95">
        <f t="shared" si="299"/>
        <v>1033139407687.5801</v>
      </c>
      <c r="R896" s="95">
        <f t="shared" si="300"/>
        <v>27200386003431.664</v>
      </c>
      <c r="S896" s="95">
        <f t="shared" si="301"/>
        <v>20702702511191.605</v>
      </c>
      <c r="T896">
        <f t="shared" si="283"/>
        <v>0.5</v>
      </c>
    </row>
    <row r="897" spans="1:20" x14ac:dyDescent="0.25">
      <c r="A897">
        <v>427</v>
      </c>
      <c r="B897" s="95">
        <f t="shared" si="284"/>
        <v>8842.7354922959476</v>
      </c>
      <c r="C897" s="95">
        <f t="shared" si="285"/>
        <v>6551.6966460114618</v>
      </c>
      <c r="D897" s="95">
        <f t="shared" si="286"/>
        <v>-181.73011395255597</v>
      </c>
      <c r="E897" s="95">
        <f t="shared" si="287"/>
        <v>167.99674578246814</v>
      </c>
      <c r="F897" s="96">
        <f t="shared" si="288"/>
        <v>44.790756754843812</v>
      </c>
      <c r="G897" s="94">
        <f t="shared" si="289"/>
        <v>-40.38947632493381</v>
      </c>
      <c r="H897" s="97">
        <f t="shared" si="290"/>
        <v>586.45773231045098</v>
      </c>
      <c r="I897" s="94">
        <f t="shared" si="291"/>
        <v>480.56415004540577</v>
      </c>
      <c r="J897" s="95">
        <f t="shared" si="292"/>
        <v>-192.29036895588976</v>
      </c>
      <c r="K897" s="94">
        <f t="shared" si="293"/>
        <v>22.989342477151631</v>
      </c>
      <c r="L897" s="94">
        <f t="shared" si="294"/>
        <v>-349.37660659971738</v>
      </c>
      <c r="M897" s="94">
        <f t="shared" si="295"/>
        <v>-543.94296884749122</v>
      </c>
      <c r="N897" s="99">
        <f t="shared" si="296"/>
        <v>1484.2016856988998</v>
      </c>
      <c r="O897" s="99">
        <f t="shared" si="297"/>
        <v>29148.420132737276</v>
      </c>
      <c r="P897" s="100">
        <f t="shared" si="298"/>
        <v>25593.110272344951</v>
      </c>
      <c r="Q897" s="95">
        <f t="shared" si="299"/>
        <v>1033224128344.2479</v>
      </c>
      <c r="R897" s="95">
        <f t="shared" si="300"/>
        <v>26938391284186.844</v>
      </c>
      <c r="S897" s="95">
        <f t="shared" si="301"/>
        <v>20745634417937.402</v>
      </c>
      <c r="T897">
        <f t="shared" si="283"/>
        <v>0.5</v>
      </c>
    </row>
    <row r="898" spans="1:20" x14ac:dyDescent="0.25">
      <c r="A898">
        <v>427.5</v>
      </c>
      <c r="B898" s="95">
        <f t="shared" si="284"/>
        <v>8763.0681245083815</v>
      </c>
      <c r="C898" s="95">
        <f t="shared" si="285"/>
        <v>6625.5976498214623</v>
      </c>
      <c r="D898" s="95">
        <f t="shared" si="286"/>
        <v>-159.33473557513406</v>
      </c>
      <c r="E898" s="95">
        <f t="shared" si="287"/>
        <v>147.80200762000123</v>
      </c>
      <c r="F898" s="96">
        <f t="shared" si="288"/>
        <v>86.244129108593881</v>
      </c>
      <c r="G898" s="94">
        <f t="shared" si="289"/>
        <v>-79.02912710293873</v>
      </c>
      <c r="H898" s="97">
        <f t="shared" si="290"/>
        <v>626.50197249452629</v>
      </c>
      <c r="I898" s="94">
        <f t="shared" si="291"/>
        <v>442.88194685174102</v>
      </c>
      <c r="J898" s="95">
        <f t="shared" si="292"/>
        <v>-193.64260732007085</v>
      </c>
      <c r="K898" s="94">
        <f t="shared" si="293"/>
        <v>22.71760670339528</v>
      </c>
      <c r="L898" s="94">
        <f t="shared" si="294"/>
        <v>-346.61523606586155</v>
      </c>
      <c r="M898" s="94">
        <f t="shared" si="295"/>
        <v>-544.62868065807504</v>
      </c>
      <c r="N898" s="99">
        <f t="shared" si="296"/>
        <v>1496.1752544329202</v>
      </c>
      <c r="O898" s="99">
        <f t="shared" si="297"/>
        <v>29048.135683717763</v>
      </c>
      <c r="P898" s="100">
        <f t="shared" si="298"/>
        <v>25614.389593183198</v>
      </c>
      <c r="Q898" s="95">
        <f t="shared" si="299"/>
        <v>1033765325474.019</v>
      </c>
      <c r="R898" s="95">
        <f t="shared" si="300"/>
        <v>26676388317007.277</v>
      </c>
      <c r="S898" s="95">
        <f t="shared" si="301"/>
        <v>20790562181459.516</v>
      </c>
      <c r="T898">
        <f t="shared" si="283"/>
        <v>0.5</v>
      </c>
    </row>
    <row r="899" spans="1:20" x14ac:dyDescent="0.25">
      <c r="A899">
        <v>428</v>
      </c>
      <c r="B899" s="95">
        <f t="shared" si="284"/>
        <v>8704.9617889979618</v>
      </c>
      <c r="C899" s="95">
        <f t="shared" si="285"/>
        <v>6679.7413718557282</v>
      </c>
      <c r="D899" s="95">
        <f t="shared" si="286"/>
        <v>-116.21267102083712</v>
      </c>
      <c r="E899" s="95">
        <f t="shared" si="287"/>
        <v>108.28744406853187</v>
      </c>
      <c r="F899" s="96">
        <f t="shared" si="288"/>
        <v>116.00262506678047</v>
      </c>
      <c r="G899" s="94">
        <f t="shared" si="289"/>
        <v>-107.2572431845839</v>
      </c>
      <c r="H899" s="97">
        <f t="shared" si="290"/>
        <v>655.39371171034645</v>
      </c>
      <c r="I899" s="94">
        <f t="shared" si="291"/>
        <v>415.11697669982118</v>
      </c>
      <c r="J899" s="95">
        <f t="shared" si="292"/>
        <v>-194.9170757403447</v>
      </c>
      <c r="K899" s="94">
        <f t="shared" si="293"/>
        <v>22.545757324351477</v>
      </c>
      <c r="L899" s="94">
        <f t="shared" si="294"/>
        <v>-344.47401090322131</v>
      </c>
      <c r="M899" s="94">
        <f t="shared" si="295"/>
        <v>-544.91997720875656</v>
      </c>
      <c r="N899" s="99">
        <f t="shared" si="296"/>
        <v>1514.7870921700392</v>
      </c>
      <c r="O899" s="99">
        <f t="shared" si="297"/>
        <v>28960.329403444302</v>
      </c>
      <c r="P899" s="100">
        <f t="shared" si="298"/>
        <v>25633.737884121041</v>
      </c>
      <c r="Q899" s="95">
        <f t="shared" si="299"/>
        <v>1034615391508.9111</v>
      </c>
      <c r="R899" s="95">
        <f t="shared" si="300"/>
        <v>26448425807257.738</v>
      </c>
      <c r="S899" s="95">
        <f t="shared" si="301"/>
        <v>20831473449986.469</v>
      </c>
      <c r="T899">
        <f t="shared" si="283"/>
        <v>0.5</v>
      </c>
    </row>
    <row r="900" spans="1:20" x14ac:dyDescent="0.25">
      <c r="A900">
        <v>428.5</v>
      </c>
      <c r="B900" s="95">
        <f t="shared" si="284"/>
        <v>8675.8561097542388</v>
      </c>
      <c r="C900" s="95">
        <f t="shared" si="285"/>
        <v>6707.0707830938481</v>
      </c>
      <c r="D900" s="95">
        <f t="shared" si="286"/>
        <v>-58.211358487446887</v>
      </c>
      <c r="E900" s="95">
        <f t="shared" si="287"/>
        <v>54.658822476239919</v>
      </c>
      <c r="F900" s="96">
        <f t="shared" si="288"/>
        <v>130.40283018400334</v>
      </c>
      <c r="G900" s="94">
        <f t="shared" si="289"/>
        <v>-121.33732970951525</v>
      </c>
      <c r="H900" s="97">
        <f t="shared" si="290"/>
        <v>669.57982972355194</v>
      </c>
      <c r="I900" s="94">
        <f t="shared" si="291"/>
        <v>400.96051037195815</v>
      </c>
      <c r="J900" s="95">
        <f t="shared" si="292"/>
        <v>-195.94379363508867</v>
      </c>
      <c r="K900" s="94">
        <f t="shared" si="293"/>
        <v>22.500776976382415</v>
      </c>
      <c r="L900" s="94">
        <f t="shared" si="294"/>
        <v>-343.23320590445991</v>
      </c>
      <c r="M900" s="94">
        <f t="shared" si="295"/>
        <v>-544.79861705785584</v>
      </c>
      <c r="N900" s="99">
        <f t="shared" si="296"/>
        <v>1532.9540713930351</v>
      </c>
      <c r="O900" s="99">
        <f t="shared" si="297"/>
        <v>28896.348362130459</v>
      </c>
      <c r="P900" s="100">
        <f t="shared" si="298"/>
        <v>25648.336468247744</v>
      </c>
      <c r="Q900" s="95">
        <f t="shared" si="299"/>
        <v>1035455503393.6707</v>
      </c>
      <c r="R900" s="95">
        <f t="shared" si="300"/>
        <v>26283162657644.738</v>
      </c>
      <c r="S900" s="95">
        <f t="shared" si="301"/>
        <v>20862379837220.723</v>
      </c>
      <c r="T900">
        <f t="shared" si="283"/>
        <v>0.5</v>
      </c>
    </row>
    <row r="901" spans="1:20" x14ac:dyDescent="0.25">
      <c r="A901">
        <v>429</v>
      </c>
      <c r="B901" s="95">
        <f t="shared" si="284"/>
        <v>8679.351138056516</v>
      </c>
      <c r="C901" s="95">
        <f t="shared" si="285"/>
        <v>6704.0658619045889</v>
      </c>
      <c r="D901" s="95">
        <f t="shared" si="286"/>
        <v>6.9900566045547805</v>
      </c>
      <c r="E901" s="95">
        <f t="shared" si="287"/>
        <v>-6.0098423785177033</v>
      </c>
      <c r="F901" s="96">
        <f t="shared" si="288"/>
        <v>127.85637828714579</v>
      </c>
      <c r="G901" s="94">
        <f t="shared" si="289"/>
        <v>-119.42157917230816</v>
      </c>
      <c r="H901" s="97">
        <f t="shared" si="290"/>
        <v>667.49800705400685</v>
      </c>
      <c r="I901" s="94">
        <f t="shared" si="291"/>
        <v>402.29046965829394</v>
      </c>
      <c r="J901" s="95">
        <f t="shared" si="292"/>
        <v>-196.58474084333844</v>
      </c>
      <c r="K901" s="94">
        <f t="shared" si="293"/>
        <v>22.592225160715611</v>
      </c>
      <c r="L901" s="94">
        <f t="shared" si="294"/>
        <v>-343.05688792352265</v>
      </c>
      <c r="M901" s="94">
        <f t="shared" si="295"/>
        <v>-544.3042739913177</v>
      </c>
      <c r="N901" s="99">
        <f t="shared" si="296"/>
        <v>1543.4033125202827</v>
      </c>
      <c r="O901" s="99">
        <f t="shared" si="297"/>
        <v>28864.305057542675</v>
      </c>
      <c r="P901" s="100">
        <f t="shared" si="298"/>
        <v>25655.914762817341</v>
      </c>
      <c r="Q901" s="95">
        <f t="shared" si="299"/>
        <v>1035943358334.1725</v>
      </c>
      <c r="R901" s="95">
        <f t="shared" si="300"/>
        <v>26200661685195.504</v>
      </c>
      <c r="S901" s="95">
        <f t="shared" si="301"/>
        <v>20878436664598.656</v>
      </c>
      <c r="T901">
        <f t="shared" si="283"/>
        <v>0.5</v>
      </c>
    </row>
    <row r="902" spans="1:20" x14ac:dyDescent="0.25">
      <c r="A902">
        <v>429.5</v>
      </c>
      <c r="B902" s="95">
        <f t="shared" si="284"/>
        <v>8714.8102609305788</v>
      </c>
      <c r="C902" s="95">
        <f t="shared" si="285"/>
        <v>6671.2055459222529</v>
      </c>
      <c r="D902" s="95">
        <f t="shared" si="286"/>
        <v>70.918245748127674</v>
      </c>
      <c r="E902" s="95">
        <f t="shared" si="287"/>
        <v>-65.720631964671782</v>
      </c>
      <c r="F902" s="96">
        <f t="shared" si="288"/>
        <v>108.89441291637166</v>
      </c>
      <c r="G902" s="94">
        <f t="shared" si="289"/>
        <v>-101.78217291307982</v>
      </c>
      <c r="H902" s="97">
        <f t="shared" si="290"/>
        <v>649.61837228725108</v>
      </c>
      <c r="I902" s="94">
        <f t="shared" si="291"/>
        <v>418.92655057184874</v>
      </c>
      <c r="J902" s="95">
        <f t="shared" si="292"/>
        <v>-196.75410430032395</v>
      </c>
      <c r="K902" s="94">
        <f t="shared" si="293"/>
        <v>22.808925612267913</v>
      </c>
      <c r="L902" s="94">
        <f t="shared" si="294"/>
        <v>-343.96985507055547</v>
      </c>
      <c r="M902" s="94">
        <f t="shared" si="295"/>
        <v>-543.51764909719645</v>
      </c>
      <c r="N902" s="99">
        <f t="shared" si="296"/>
        <v>1541.9547881628387</v>
      </c>
      <c r="O902" s="99">
        <f t="shared" si="297"/>
        <v>28868.12019412775</v>
      </c>
      <c r="P902" s="100">
        <f t="shared" si="298"/>
        <v>25655.235771595246</v>
      </c>
      <c r="Q902" s="95">
        <f t="shared" si="299"/>
        <v>1035875527071.2844</v>
      </c>
      <c r="R902" s="95">
        <f t="shared" si="300"/>
        <v>26210475074133.621</v>
      </c>
      <c r="S902" s="95">
        <f t="shared" si="301"/>
        <v>20876997662231.914</v>
      </c>
      <c r="T902">
        <f t="shared" si="283"/>
        <v>0.5</v>
      </c>
    </row>
    <row r="903" spans="1:20" x14ac:dyDescent="0.25">
      <c r="A903">
        <v>430</v>
      </c>
      <c r="B903" s="95">
        <f t="shared" si="284"/>
        <v>8777.4929870337364</v>
      </c>
      <c r="C903" s="95">
        <f t="shared" si="285"/>
        <v>6612.8996867116466</v>
      </c>
      <c r="D903" s="95">
        <f t="shared" si="286"/>
        <v>125.36545220631351</v>
      </c>
      <c r="E903" s="95">
        <f t="shared" si="287"/>
        <v>-116.61171842121169</v>
      </c>
      <c r="F903" s="96">
        <f t="shared" si="288"/>
        <v>76.0044655831407</v>
      </c>
      <c r="G903" s="94">
        <f t="shared" si="289"/>
        <v>-70.768133482914493</v>
      </c>
      <c r="H903" s="97">
        <f t="shared" si="290"/>
        <v>618.28782121649169</v>
      </c>
      <c r="I903" s="94">
        <f t="shared" si="291"/>
        <v>448.65453865388923</v>
      </c>
      <c r="J903" s="95">
        <f t="shared" si="292"/>
        <v>-196.43084456046998</v>
      </c>
      <c r="K903" s="94">
        <f t="shared" si="293"/>
        <v>23.119837973726259</v>
      </c>
      <c r="L903" s="94">
        <f t="shared" si="294"/>
        <v>-345.85251107288104</v>
      </c>
      <c r="M903" s="94">
        <f t="shared" si="295"/>
        <v>-542.54251011052997</v>
      </c>
      <c r="N903" s="99">
        <f t="shared" si="296"/>
        <v>1529.2524031432347</v>
      </c>
      <c r="O903" s="99">
        <f t="shared" si="297"/>
        <v>28907.113325940085</v>
      </c>
      <c r="P903" s="100">
        <f t="shared" si="298"/>
        <v>25646.387080969867</v>
      </c>
      <c r="Q903" s="95">
        <f t="shared" si="299"/>
        <v>1035283492872.39</v>
      </c>
      <c r="R903" s="95">
        <f t="shared" si="300"/>
        <v>26310918854901.156</v>
      </c>
      <c r="S903" s="95">
        <f t="shared" si="301"/>
        <v>20858250924495.508</v>
      </c>
      <c r="T903">
        <f t="shared" si="283"/>
        <v>0.5</v>
      </c>
    </row>
    <row r="904" spans="1:20" x14ac:dyDescent="0.25">
      <c r="A904">
        <v>430.5</v>
      </c>
      <c r="B904" s="95">
        <f t="shared" si="284"/>
        <v>8859.1768295326801</v>
      </c>
      <c r="C904" s="95">
        <f t="shared" si="285"/>
        <v>6536.9017941303118</v>
      </c>
      <c r="D904" s="95">
        <f t="shared" si="286"/>
        <v>163.36768499788386</v>
      </c>
      <c r="E904" s="95">
        <f t="shared" si="287"/>
        <v>-151.99578516266894</v>
      </c>
      <c r="F904" s="96">
        <f t="shared" si="288"/>
        <v>33.343127822470763</v>
      </c>
      <c r="G904" s="94">
        <f t="shared" si="289"/>
        <v>-30.51415683928434</v>
      </c>
      <c r="H904" s="97">
        <f t="shared" si="290"/>
        <v>577.45947484865599</v>
      </c>
      <c r="I904" s="94">
        <f t="shared" si="291"/>
        <v>487.49902577923172</v>
      </c>
      <c r="J904" s="95">
        <f t="shared" si="292"/>
        <v>-195.66136750259591</v>
      </c>
      <c r="K904" s="94">
        <f t="shared" si="293"/>
        <v>23.479343668002397</v>
      </c>
      <c r="L904" s="94">
        <f t="shared" si="294"/>
        <v>-348.45497952358932</v>
      </c>
      <c r="M904" s="94">
        <f t="shared" si="295"/>
        <v>-541.49252628651845</v>
      </c>
      <c r="N904" s="99">
        <f t="shared" si="296"/>
        <v>1510.4536942879088</v>
      </c>
      <c r="O904" s="99">
        <f t="shared" si="297"/>
        <v>28976.1376161671</v>
      </c>
      <c r="P904" s="100">
        <f t="shared" si="298"/>
        <v>25630.777317038672</v>
      </c>
      <c r="Q904" s="95">
        <f t="shared" si="299"/>
        <v>1034416511024.2772</v>
      </c>
      <c r="R904" s="95">
        <f t="shared" si="300"/>
        <v>26489368019026.785</v>
      </c>
      <c r="S904" s="95">
        <f t="shared" si="301"/>
        <v>20825209697576.934</v>
      </c>
      <c r="T904">
        <f t="shared" si="283"/>
        <v>0.5</v>
      </c>
    </row>
    <row r="905" spans="1:20" x14ac:dyDescent="0.25">
      <c r="A905">
        <v>431</v>
      </c>
      <c r="B905" s="95">
        <f t="shared" si="284"/>
        <v>8949.1964539872406</v>
      </c>
      <c r="C905" s="95">
        <f t="shared" si="285"/>
        <v>6453.2753623391563</v>
      </c>
      <c r="D905" s="95">
        <f t="shared" si="286"/>
        <v>180.03924890911924</v>
      </c>
      <c r="E905" s="95">
        <f t="shared" si="287"/>
        <v>-167.25286358231111</v>
      </c>
      <c r="F905" s="96">
        <f t="shared" si="288"/>
        <v>-13.678932581038453</v>
      </c>
      <c r="G905" s="94">
        <f t="shared" si="289"/>
        <v>13.588190328831161</v>
      </c>
      <c r="H905" s="97">
        <f t="shared" si="290"/>
        <v>532.3028064453365</v>
      </c>
      <c r="I905" s="94">
        <f t="shared" si="291"/>
        <v>530.23656450011595</v>
      </c>
      <c r="J905" s="95">
        <f t="shared" si="292"/>
        <v>-194.55206000995491</v>
      </c>
      <c r="K905" s="94">
        <f t="shared" si="293"/>
        <v>23.835638603707761</v>
      </c>
      <c r="L905" s="94">
        <f t="shared" si="294"/>
        <v>-351.42967901642004</v>
      </c>
      <c r="M905" s="94">
        <f t="shared" si="295"/>
        <v>-540.48401277499249</v>
      </c>
      <c r="N905" s="99">
        <f t="shared" si="296"/>
        <v>1492.995532620416</v>
      </c>
      <c r="O905" s="99">
        <f t="shared" si="297"/>
        <v>29066.219851603233</v>
      </c>
      <c r="P905" s="100">
        <f t="shared" si="298"/>
        <v>25610.836012951018</v>
      </c>
      <c r="Q905" s="95">
        <f t="shared" si="299"/>
        <v>1033621170928.6429</v>
      </c>
      <c r="R905" s="95">
        <f t="shared" si="300"/>
        <v>26723505211205.426</v>
      </c>
      <c r="S905" s="95">
        <f t="shared" si="301"/>
        <v>20783054534066.809</v>
      </c>
      <c r="T905">
        <f t="shared" si="283"/>
        <v>0.5</v>
      </c>
    </row>
    <row r="906" spans="1:20" x14ac:dyDescent="0.25">
      <c r="A906">
        <v>431.5</v>
      </c>
      <c r="B906" s="95">
        <f t="shared" si="284"/>
        <v>9035.7963452965414</v>
      </c>
      <c r="C906" s="95">
        <f t="shared" si="285"/>
        <v>6373.0459781302088</v>
      </c>
      <c r="D906" s="95">
        <f t="shared" si="286"/>
        <v>173.19978261860001</v>
      </c>
      <c r="E906" s="95">
        <f t="shared" si="287"/>
        <v>-160.45876841789553</v>
      </c>
      <c r="F906" s="96">
        <f t="shared" si="288"/>
        <v>-58.988607467274107</v>
      </c>
      <c r="G906" s="94">
        <f t="shared" si="289"/>
        <v>55.631376799293434</v>
      </c>
      <c r="H906" s="97">
        <f t="shared" si="290"/>
        <v>488.64357830111737</v>
      </c>
      <c r="I906" s="94">
        <f t="shared" si="291"/>
        <v>571.12296052917577</v>
      </c>
      <c r="J906" s="95">
        <f t="shared" si="292"/>
        <v>-193.25324806374493</v>
      </c>
      <c r="K906" s="94">
        <f t="shared" si="293"/>
        <v>24.139880200590436</v>
      </c>
      <c r="L906" s="94">
        <f t="shared" si="294"/>
        <v>-354.37893770464655</v>
      </c>
      <c r="M906" s="94">
        <f t="shared" si="295"/>
        <v>-539.63146393047282</v>
      </c>
      <c r="N906" s="99">
        <f t="shared" si="296"/>
        <v>1483.1792067714587</v>
      </c>
      <c r="O906" s="99">
        <f t="shared" si="297"/>
        <v>29165.651561159026</v>
      </c>
      <c r="P906" s="100">
        <f t="shared" si="298"/>
        <v>25589.511630437155</v>
      </c>
      <c r="Q906" s="95">
        <f t="shared" si="299"/>
        <v>1033178118876.307</v>
      </c>
      <c r="R906" s="95">
        <f t="shared" si="300"/>
        <v>26983587057730.031</v>
      </c>
      <c r="S906" s="95">
        <f t="shared" si="301"/>
        <v>20738043373981.211</v>
      </c>
      <c r="T906">
        <f t="shared" si="283"/>
        <v>0.5</v>
      </c>
    </row>
    <row r="907" spans="1:20" x14ac:dyDescent="0.25">
      <c r="A907">
        <v>432</v>
      </c>
      <c r="B907" s="95">
        <f t="shared" si="284"/>
        <v>9107.6490847390232</v>
      </c>
      <c r="C907" s="95">
        <f t="shared" si="285"/>
        <v>6306.7244381210849</v>
      </c>
      <c r="D907" s="95">
        <f t="shared" si="286"/>
        <v>143.70547888496296</v>
      </c>
      <c r="E907" s="95">
        <f t="shared" si="287"/>
        <v>-132.64308001824881</v>
      </c>
      <c r="F907" s="96">
        <f t="shared" si="288"/>
        <v>-96.618007701006889</v>
      </c>
      <c r="G907" s="94">
        <f t="shared" si="289"/>
        <v>90.047202227139906</v>
      </c>
      <c r="H907" s="97">
        <f t="shared" si="290"/>
        <v>452.23042229428796</v>
      </c>
      <c r="I907" s="94">
        <f t="shared" si="291"/>
        <v>604.73464198121405</v>
      </c>
      <c r="J907" s="95">
        <f t="shared" si="292"/>
        <v>-191.93750072458639</v>
      </c>
      <c r="K907" s="94">
        <f t="shared" si="293"/>
        <v>24.353670018850551</v>
      </c>
      <c r="L907" s="94">
        <f t="shared" si="294"/>
        <v>-356.91092927070844</v>
      </c>
      <c r="M907" s="94">
        <f t="shared" si="295"/>
        <v>-539.04110977292476</v>
      </c>
      <c r="N907" s="99">
        <f t="shared" si="296"/>
        <v>1483.143302298198</v>
      </c>
      <c r="O907" s="99">
        <f t="shared" si="297"/>
        <v>29261.446732557386</v>
      </c>
      <c r="P907" s="100">
        <f t="shared" si="298"/>
        <v>25569.721809787206</v>
      </c>
      <c r="Q907" s="95">
        <f t="shared" si="299"/>
        <v>1033176503836.8369</v>
      </c>
      <c r="R907" s="95">
        <f t="shared" si="300"/>
        <v>27235793796293.684</v>
      </c>
      <c r="S907" s="95">
        <f t="shared" si="301"/>
        <v>20696333963304.164</v>
      </c>
      <c r="T907">
        <f t="shared" si="283"/>
        <v>0.5</v>
      </c>
    </row>
    <row r="908" spans="1:20" x14ac:dyDescent="0.25">
      <c r="A908">
        <v>432.5</v>
      </c>
      <c r="B908" s="95">
        <f t="shared" si="284"/>
        <v>9155.3473222562534</v>
      </c>
      <c r="C908" s="95">
        <f t="shared" si="285"/>
        <v>6262.9146986687456</v>
      </c>
      <c r="D908" s="95">
        <f t="shared" si="286"/>
        <v>95.396475034459513</v>
      </c>
      <c r="E908" s="95">
        <f t="shared" si="287"/>
        <v>-87.619478904678857</v>
      </c>
      <c r="F908" s="96">
        <f t="shared" si="288"/>
        <v>-121.54147876084497</v>
      </c>
      <c r="G908" s="94">
        <f t="shared" si="289"/>
        <v>112.4024455714989</v>
      </c>
      <c r="H908" s="97">
        <f t="shared" si="290"/>
        <v>427.92899806478226</v>
      </c>
      <c r="I908" s="94">
        <f t="shared" si="291"/>
        <v>626.74835168161201</v>
      </c>
      <c r="J908" s="95">
        <f t="shared" si="292"/>
        <v>-190.77597070143449</v>
      </c>
      <c r="K908" s="94">
        <f t="shared" si="293"/>
        <v>24.453355608330991</v>
      </c>
      <c r="L908" s="94">
        <f t="shared" si="294"/>
        <v>-358.69450612419274</v>
      </c>
      <c r="M908" s="94">
        <f t="shared" si="295"/>
        <v>-538.79926171844409</v>
      </c>
      <c r="N908" s="99">
        <f t="shared" si="296"/>
        <v>1490.0324568762062</v>
      </c>
      <c r="O908" s="99">
        <f t="shared" si="297"/>
        <v>29341.021107253247</v>
      </c>
      <c r="P908" s="100">
        <f t="shared" si="298"/>
        <v>25553.909074350329</v>
      </c>
      <c r="Q908" s="95">
        <f t="shared" si="299"/>
        <v>1033487120228.993</v>
      </c>
      <c r="R908" s="95">
        <f t="shared" si="300"/>
        <v>27446520165271.91</v>
      </c>
      <c r="S908" s="95">
        <f t="shared" si="301"/>
        <v>20663050031593.824</v>
      </c>
      <c r="T908">
        <f t="shared" si="283"/>
        <v>0.5</v>
      </c>
    </row>
    <row r="909" spans="1:20" x14ac:dyDescent="0.25">
      <c r="A909">
        <v>433</v>
      </c>
      <c r="B909" s="95">
        <f t="shared" si="284"/>
        <v>9172.660190083272</v>
      </c>
      <c r="C909" s="95">
        <f t="shared" si="285"/>
        <v>6247.2055706092815</v>
      </c>
      <c r="D909" s="95">
        <f t="shared" si="286"/>
        <v>34.62573565403703</v>
      </c>
      <c r="E909" s="95">
        <f t="shared" si="287"/>
        <v>-31.418256118929406</v>
      </c>
      <c r="F909" s="96">
        <f t="shared" si="288"/>
        <v>-130.40725701689584</v>
      </c>
      <c r="G909" s="94">
        <f t="shared" si="289"/>
        <v>119.96215780994964</v>
      </c>
      <c r="H909" s="97">
        <f t="shared" si="290"/>
        <v>419.01247720332316</v>
      </c>
      <c r="I909" s="94">
        <f t="shared" si="291"/>
        <v>634.48717321890229</v>
      </c>
      <c r="J909" s="95">
        <f t="shared" si="292"/>
        <v>-189.91643500234275</v>
      </c>
      <c r="K909" s="94">
        <f t="shared" si="293"/>
        <v>24.431002681367122</v>
      </c>
      <c r="L909" s="94">
        <f t="shared" si="294"/>
        <v>-359.50329921787625</v>
      </c>
      <c r="M909" s="94">
        <f t="shared" si="295"/>
        <v>-538.95601809031973</v>
      </c>
      <c r="N909" s="99">
        <f t="shared" si="296"/>
        <v>1497.9379789529078</v>
      </c>
      <c r="O909" s="99">
        <f t="shared" si="297"/>
        <v>29393.878342791395</v>
      </c>
      <c r="P909" s="100">
        <f t="shared" si="298"/>
        <v>25543.793753015048</v>
      </c>
      <c r="Q909" s="95">
        <f t="shared" si="299"/>
        <v>1033845374647.2169</v>
      </c>
      <c r="R909" s="95">
        <f t="shared" si="300"/>
        <v>27587111250300.977</v>
      </c>
      <c r="S909" s="95">
        <f t="shared" si="301"/>
        <v>20641778639146.789</v>
      </c>
      <c r="T909">
        <f t="shared" si="283"/>
        <v>0.5</v>
      </c>
    </row>
    <row r="910" spans="1:20" x14ac:dyDescent="0.25">
      <c r="A910">
        <v>433.5</v>
      </c>
      <c r="B910" s="95">
        <f t="shared" si="284"/>
        <v>9157.3712436560672</v>
      </c>
      <c r="C910" s="95">
        <f t="shared" si="285"/>
        <v>6261.4869820023041</v>
      </c>
      <c r="D910" s="95">
        <f t="shared" si="286"/>
        <v>-30.577892854410891</v>
      </c>
      <c r="E910" s="95">
        <f t="shared" si="287"/>
        <v>28.562822786045416</v>
      </c>
      <c r="F910" s="96">
        <f t="shared" si="288"/>
        <v>-122.01627770868518</v>
      </c>
      <c r="G910" s="94">
        <f t="shared" si="289"/>
        <v>111.94470438555084</v>
      </c>
      <c r="H910" s="97">
        <f t="shared" si="290"/>
        <v>426.69203398683851</v>
      </c>
      <c r="I910" s="94">
        <f t="shared" si="291"/>
        <v>627.16069774494349</v>
      </c>
      <c r="J910" s="95">
        <f t="shared" si="292"/>
        <v>-189.46583086917647</v>
      </c>
      <c r="K910" s="94">
        <f t="shared" si="293"/>
        <v>24.29301562376887</v>
      </c>
      <c r="L910" s="94">
        <f t="shared" si="294"/>
        <v>-359.24248082634722</v>
      </c>
      <c r="M910" s="94">
        <f t="shared" si="295"/>
        <v>-539.50900898316149</v>
      </c>
      <c r="N910" s="99">
        <f t="shared" si="296"/>
        <v>1501.3277601461525</v>
      </c>
      <c r="O910" s="99">
        <f t="shared" si="297"/>
        <v>29413.05099093488</v>
      </c>
      <c r="P910" s="100">
        <f t="shared" si="298"/>
        <v>25540.321873917354</v>
      </c>
      <c r="Q910" s="95">
        <f t="shared" si="299"/>
        <v>1033999582751.0796</v>
      </c>
      <c r="R910" s="95">
        <f t="shared" si="300"/>
        <v>27638228950269.164</v>
      </c>
      <c r="S910" s="95">
        <f t="shared" si="301"/>
        <v>20634481289121.586</v>
      </c>
      <c r="T910">
        <f t="shared" si="283"/>
        <v>0.5</v>
      </c>
    </row>
    <row r="911" spans="1:20" x14ac:dyDescent="0.25">
      <c r="A911">
        <v>434</v>
      </c>
      <c r="B911" s="95">
        <f t="shared" si="284"/>
        <v>9111.5782278016904</v>
      </c>
      <c r="C911" s="95">
        <f t="shared" si="285"/>
        <v>6303.7545694917144</v>
      </c>
      <c r="D911" s="95">
        <f t="shared" si="286"/>
        <v>-91.586031708753481</v>
      </c>
      <c r="E911" s="95">
        <f t="shared" si="287"/>
        <v>84.535174978820834</v>
      </c>
      <c r="F911" s="96">
        <f t="shared" si="288"/>
        <v>-97.487943696848845</v>
      </c>
      <c r="G911" s="94">
        <f t="shared" si="289"/>
        <v>89.51010986326412</v>
      </c>
      <c r="H911" s="97">
        <f t="shared" si="290"/>
        <v>449.94710797727959</v>
      </c>
      <c r="I911" s="94">
        <f t="shared" si="291"/>
        <v>605.84644448368351</v>
      </c>
      <c r="J911" s="95">
        <f t="shared" si="292"/>
        <v>-189.47872253794284</v>
      </c>
      <c r="K911" s="94">
        <f t="shared" si="293"/>
        <v>24.057777179890973</v>
      </c>
      <c r="L911" s="94">
        <f t="shared" si="294"/>
        <v>-357.95632913618562</v>
      </c>
      <c r="M911" s="94">
        <f t="shared" si="295"/>
        <v>-540.39411180031038</v>
      </c>
      <c r="N911" s="99">
        <f t="shared" si="296"/>
        <v>1497.9778759272394</v>
      </c>
      <c r="O911" s="99">
        <f t="shared" si="297"/>
        <v>29396.06738028269</v>
      </c>
      <c r="P911" s="100">
        <f t="shared" si="298"/>
        <v>25543.727003249805</v>
      </c>
      <c r="Q911" s="95">
        <f t="shared" si="299"/>
        <v>1033847187570.7557</v>
      </c>
      <c r="R911" s="95">
        <f t="shared" si="300"/>
        <v>27592944334297.168</v>
      </c>
      <c r="S911" s="95">
        <f t="shared" si="301"/>
        <v>20641638324057.914</v>
      </c>
      <c r="T911">
        <f t="shared" si="283"/>
        <v>0.5</v>
      </c>
    </row>
    <row r="912" spans="1:20" x14ac:dyDescent="0.25">
      <c r="A912">
        <v>434.5</v>
      </c>
      <c r="B912" s="95">
        <f t="shared" si="284"/>
        <v>9041.4132260231017</v>
      </c>
      <c r="C912" s="95">
        <f t="shared" si="285"/>
        <v>6368.3996844469411</v>
      </c>
      <c r="D912" s="95">
        <f t="shared" si="286"/>
        <v>-140.33000355717792</v>
      </c>
      <c r="E912" s="95">
        <f t="shared" si="287"/>
        <v>129.29022991045289</v>
      </c>
      <c r="F912" s="96">
        <f t="shared" si="288"/>
        <v>-60.119408934036471</v>
      </c>
      <c r="G912" s="94">
        <f t="shared" si="289"/>
        <v>55.569494152861353</v>
      </c>
      <c r="H912" s="97">
        <f t="shared" si="290"/>
        <v>485.65107138048745</v>
      </c>
      <c r="I912" s="94">
        <f t="shared" si="291"/>
        <v>573.30532878402209</v>
      </c>
      <c r="J912" s="95">
        <f t="shared" si="292"/>
        <v>-189.95194119538712</v>
      </c>
      <c r="K912" s="94">
        <f t="shared" si="293"/>
        <v>23.753304435162587</v>
      </c>
      <c r="L912" s="94">
        <f t="shared" si="294"/>
        <v>-355.8185391191368</v>
      </c>
      <c r="M912" s="94">
        <f t="shared" si="295"/>
        <v>-541.48913906632333</v>
      </c>
      <c r="N912" s="99">
        <f t="shared" si="296"/>
        <v>1490.0658963038979</v>
      </c>
      <c r="O912" s="99">
        <f t="shared" si="297"/>
        <v>29345.292930825737</v>
      </c>
      <c r="P912" s="100">
        <f t="shared" si="298"/>
        <v>25553.602462989555</v>
      </c>
      <c r="Q912" s="95">
        <f t="shared" si="299"/>
        <v>1033488631523.6763</v>
      </c>
      <c r="R912" s="95">
        <f t="shared" si="300"/>
        <v>27457864187679.113</v>
      </c>
      <c r="S912" s="95">
        <f t="shared" si="301"/>
        <v>20662405030991.941</v>
      </c>
      <c r="T912">
        <f t="shared" si="283"/>
        <v>0.5</v>
      </c>
    </row>
    <row r="913" spans="1:20" x14ac:dyDescent="0.25">
      <c r="A913">
        <v>435</v>
      </c>
      <c r="B913" s="95">
        <f t="shared" si="284"/>
        <v>8956.2183720110042</v>
      </c>
      <c r="C913" s="95">
        <f t="shared" si="285"/>
        <v>6446.9371729403829</v>
      </c>
      <c r="D913" s="95">
        <f t="shared" si="286"/>
        <v>-170.38970802419615</v>
      </c>
      <c r="E913" s="95">
        <f t="shared" si="287"/>
        <v>157.07497698688357</v>
      </c>
      <c r="F913" s="96">
        <f t="shared" si="288"/>
        <v>-14.958051346609693</v>
      </c>
      <c r="G913" s="94">
        <f t="shared" si="289"/>
        <v>14.461893869693995</v>
      </c>
      <c r="H913" s="97">
        <f t="shared" si="290"/>
        <v>528.97567488130028</v>
      </c>
      <c r="I913" s="94">
        <f t="shared" si="291"/>
        <v>533.67927227221094</v>
      </c>
      <c r="J913" s="95">
        <f t="shared" si="292"/>
        <v>-190.82513290889705</v>
      </c>
      <c r="K913" s="94">
        <f t="shared" si="293"/>
        <v>23.415132373178917</v>
      </c>
      <c r="L913" s="94">
        <f t="shared" si="294"/>
        <v>-353.10859331901293</v>
      </c>
      <c r="M913" s="94">
        <f t="shared" si="295"/>
        <v>-542.63251077569589</v>
      </c>
      <c r="N913" s="99">
        <f t="shared" si="296"/>
        <v>1483.0400794999505</v>
      </c>
      <c r="O913" s="99">
        <f t="shared" si="297"/>
        <v>29267.596468049007</v>
      </c>
      <c r="P913" s="100">
        <f t="shared" si="298"/>
        <v>25568.922356216121</v>
      </c>
      <c r="Q913" s="95">
        <f t="shared" si="299"/>
        <v>1033171860936.0903</v>
      </c>
      <c r="R913" s="95">
        <f t="shared" si="300"/>
        <v>27252039641044.68</v>
      </c>
      <c r="S913" s="95">
        <f t="shared" si="301"/>
        <v>20694650285572.586</v>
      </c>
      <c r="T913">
        <f t="shared" si="283"/>
        <v>0.5</v>
      </c>
    </row>
    <row r="914" spans="1:20" x14ac:dyDescent="0.25">
      <c r="A914">
        <v>435.5</v>
      </c>
      <c r="B914" s="95">
        <f t="shared" si="284"/>
        <v>8867.2840051622552</v>
      </c>
      <c r="C914" s="95">
        <f t="shared" si="285"/>
        <v>6529.0901349012483</v>
      </c>
      <c r="D914" s="95">
        <f t="shared" si="286"/>
        <v>-177.868733697501</v>
      </c>
      <c r="E914" s="95">
        <f t="shared" si="287"/>
        <v>164.30592392173057</v>
      </c>
      <c r="F914" s="96">
        <f t="shared" si="288"/>
        <v>31.890569223130797</v>
      </c>
      <c r="G914" s="94">
        <f t="shared" si="289"/>
        <v>-28.517162159535815</v>
      </c>
      <c r="H914" s="97">
        <f t="shared" si="290"/>
        <v>574.05482828937284</v>
      </c>
      <c r="I914" s="94">
        <f t="shared" si="291"/>
        <v>492.05228709916827</v>
      </c>
      <c r="J914" s="95">
        <f t="shared" si="292"/>
        <v>-191.98710100950035</v>
      </c>
      <c r="K914" s="94">
        <f t="shared" si="293"/>
        <v>23.08391474398562</v>
      </c>
      <c r="L914" s="94">
        <f t="shared" si="294"/>
        <v>-350.17715805674169</v>
      </c>
      <c r="M914" s="94">
        <f t="shared" si="295"/>
        <v>-543.65336400268973</v>
      </c>
      <c r="N914" s="99">
        <f t="shared" si="296"/>
        <v>1482.7074575458746</v>
      </c>
      <c r="O914" s="99">
        <f t="shared" si="297"/>
        <v>29173.392635424159</v>
      </c>
      <c r="P914" s="100">
        <f t="shared" si="298"/>
        <v>25588.027382885721</v>
      </c>
      <c r="Q914" s="95">
        <f t="shared" si="299"/>
        <v>1033156902041.9155</v>
      </c>
      <c r="R914" s="95">
        <f t="shared" si="300"/>
        <v>27003907797986.668</v>
      </c>
      <c r="S914" s="95">
        <f t="shared" si="301"/>
        <v>20734913054495.395</v>
      </c>
      <c r="T914">
        <f t="shared" ref="T914:T975" si="302">A915-A914</f>
        <v>0.5</v>
      </c>
    </row>
    <row r="915" spans="1:20" x14ac:dyDescent="0.25">
      <c r="A915">
        <v>436</v>
      </c>
      <c r="B915" s="95">
        <f t="shared" si="284"/>
        <v>8786.3222806192862</v>
      </c>
      <c r="C915" s="95">
        <f t="shared" si="285"/>
        <v>6604.1138063222297</v>
      </c>
      <c r="D915" s="95">
        <f t="shared" si="286"/>
        <v>-161.9234490859356</v>
      </c>
      <c r="E915" s="95">
        <f t="shared" si="287"/>
        <v>150.04734284196266</v>
      </c>
      <c r="F915" s="96">
        <f t="shared" si="288"/>
        <v>74.148210941651428</v>
      </c>
      <c r="G915" s="94">
        <f t="shared" si="289"/>
        <v>-67.75394458003052</v>
      </c>
      <c r="H915" s="97">
        <f t="shared" si="290"/>
        <v>614.83953959307382</v>
      </c>
      <c r="I915" s="94">
        <f t="shared" si="291"/>
        <v>453.84886453192365</v>
      </c>
      <c r="J915" s="95">
        <f t="shared" si="292"/>
        <v>-193.288073143502</v>
      </c>
      <c r="K915" s="94">
        <f t="shared" si="293"/>
        <v>22.801950613625813</v>
      </c>
      <c r="L915" s="94">
        <f t="shared" si="294"/>
        <v>-347.40325550792039</v>
      </c>
      <c r="M915" s="94">
        <f t="shared" si="295"/>
        <v>-544.40475972557999</v>
      </c>
      <c r="N915" s="99">
        <f t="shared" si="296"/>
        <v>1491.8818623159605</v>
      </c>
      <c r="O915" s="99">
        <f t="shared" si="297"/>
        <v>29075.200792536863</v>
      </c>
      <c r="P915" s="100">
        <f t="shared" si="298"/>
        <v>25608.656499639554</v>
      </c>
      <c r="Q915" s="95">
        <f t="shared" si="299"/>
        <v>1033570756134.6241</v>
      </c>
      <c r="R915" s="95">
        <f t="shared" si="300"/>
        <v>26746925556547.879</v>
      </c>
      <c r="S915" s="95">
        <f t="shared" si="301"/>
        <v>20778450839736.68</v>
      </c>
      <c r="T915">
        <f t="shared" si="302"/>
        <v>0.5</v>
      </c>
    </row>
    <row r="916" spans="1:20" x14ac:dyDescent="0.25">
      <c r="A916">
        <v>436.5</v>
      </c>
      <c r="B916" s="95">
        <f t="shared" si="284"/>
        <v>8723.8976088117324</v>
      </c>
      <c r="C916" s="95">
        <f t="shared" si="285"/>
        <v>6662.1989915982031</v>
      </c>
      <c r="D916" s="95">
        <f t="shared" si="286"/>
        <v>-124.84934361510989</v>
      </c>
      <c r="E916" s="95">
        <f t="shared" si="287"/>
        <v>116.1703705519474</v>
      </c>
      <c r="F916" s="96">
        <f t="shared" si="288"/>
        <v>106.28556571904625</v>
      </c>
      <c r="G916" s="94">
        <f t="shared" si="289"/>
        <v>-98.069114560520291</v>
      </c>
      <c r="H916" s="97">
        <f t="shared" si="290"/>
        <v>645.9901965556204</v>
      </c>
      <c r="I916" s="94">
        <f t="shared" si="291"/>
        <v>424.11270586838594</v>
      </c>
      <c r="J916" s="95">
        <f t="shared" si="292"/>
        <v>-194.55767374835921</v>
      </c>
      <c r="K916" s="94">
        <f t="shared" si="293"/>
        <v>22.608171372619154</v>
      </c>
      <c r="L916" s="94">
        <f t="shared" si="294"/>
        <v>-345.14695708821495</v>
      </c>
      <c r="M916" s="94">
        <f t="shared" si="295"/>
        <v>-544.78999180152539</v>
      </c>
      <c r="N916" s="99">
        <f t="shared" si="296"/>
        <v>1508.5177090586687</v>
      </c>
      <c r="O916" s="99">
        <f t="shared" si="297"/>
        <v>28985.934407641402</v>
      </c>
      <c r="P916" s="100">
        <f t="shared" si="298"/>
        <v>25628.117671448726</v>
      </c>
      <c r="Q916" s="95">
        <f t="shared" si="299"/>
        <v>1034327847584.7715</v>
      </c>
      <c r="R916" s="95">
        <f t="shared" si="300"/>
        <v>26514762865525.203</v>
      </c>
      <c r="S916" s="95">
        <f t="shared" si="301"/>
        <v>20819583765223.941</v>
      </c>
      <c r="T916">
        <f t="shared" si="302"/>
        <v>0.5</v>
      </c>
    </row>
    <row r="917" spans="1:20" x14ac:dyDescent="0.25">
      <c r="A917">
        <v>437</v>
      </c>
      <c r="B917" s="95">
        <f t="shared" si="284"/>
        <v>8688.0443284339381</v>
      </c>
      <c r="C917" s="95">
        <f t="shared" si="285"/>
        <v>6695.7668982340465</v>
      </c>
      <c r="D917" s="95">
        <f t="shared" si="286"/>
        <v>-71.706560755586764</v>
      </c>
      <c r="E917" s="95">
        <f t="shared" si="287"/>
        <v>67.135813271687255</v>
      </c>
      <c r="F917" s="96">
        <f t="shared" si="288"/>
        <v>124.27704323566223</v>
      </c>
      <c r="G917" s="94">
        <f t="shared" si="289"/>
        <v>-115.44933547793306</v>
      </c>
      <c r="H917" s="97">
        <f t="shared" si="290"/>
        <v>663.60722852182539</v>
      </c>
      <c r="I917" s="94">
        <f t="shared" si="291"/>
        <v>406.79339349274801</v>
      </c>
      <c r="J917" s="95">
        <f t="shared" si="292"/>
        <v>-195.62718960719172</v>
      </c>
      <c r="K917" s="94">
        <f t="shared" si="293"/>
        <v>22.531958892187539</v>
      </c>
      <c r="L917" s="94">
        <f t="shared" si="294"/>
        <v>-343.70299567897143</v>
      </c>
      <c r="M917" s="94">
        <f t="shared" si="295"/>
        <v>-544.77468786286863</v>
      </c>
      <c r="N917" s="99">
        <f t="shared" si="296"/>
        <v>1526.5476875864317</v>
      </c>
      <c r="O917" s="99">
        <f t="shared" si="297"/>
        <v>28917.178448340852</v>
      </c>
      <c r="P917" s="100">
        <f t="shared" si="298"/>
        <v>25643.639186526289</v>
      </c>
      <c r="Q917" s="95">
        <f t="shared" si="299"/>
        <v>1035158078071.8413</v>
      </c>
      <c r="R917" s="95">
        <f t="shared" si="300"/>
        <v>26336888782125.891</v>
      </c>
      <c r="S917" s="95">
        <f t="shared" si="301"/>
        <v>20852431723922.113</v>
      </c>
      <c r="T917">
        <f t="shared" si="302"/>
        <v>0.5</v>
      </c>
    </row>
    <row r="918" spans="1:20" x14ac:dyDescent="0.25">
      <c r="A918">
        <v>437.5</v>
      </c>
      <c r="B918" s="95">
        <f t="shared" si="284"/>
        <v>8683.2603088650612</v>
      </c>
      <c r="C918" s="95">
        <f t="shared" si="285"/>
        <v>6700.4724710004066</v>
      </c>
      <c r="D918" s="95">
        <f t="shared" si="286"/>
        <v>-9.5680391377556475</v>
      </c>
      <c r="E918" s="95">
        <f t="shared" si="287"/>
        <v>9.4111455327207238</v>
      </c>
      <c r="F918" s="96">
        <f t="shared" si="288"/>
        <v>126.0447029761313</v>
      </c>
      <c r="G918" s="94">
        <f t="shared" si="289"/>
        <v>-117.60617754812068</v>
      </c>
      <c r="H918" s="97">
        <f t="shared" si="290"/>
        <v>665.65945252056929</v>
      </c>
      <c r="I918" s="94">
        <f t="shared" si="291"/>
        <v>404.19003149381939</v>
      </c>
      <c r="J918" s="95">
        <f t="shared" si="292"/>
        <v>-196.35314614631247</v>
      </c>
      <c r="K918" s="94">
        <f t="shared" si="293"/>
        <v>22.587132848186098</v>
      </c>
      <c r="L918" s="94">
        <f t="shared" si="294"/>
        <v>-343.26160339812549</v>
      </c>
      <c r="M918" s="94">
        <f t="shared" si="295"/>
        <v>-544.38334189012619</v>
      </c>
      <c r="N918" s="99">
        <f t="shared" si="296"/>
        <v>1538.8367574666402</v>
      </c>
      <c r="O918" s="99">
        <f t="shared" si="297"/>
        <v>28877.7049604188</v>
      </c>
      <c r="P918" s="100">
        <f t="shared" si="298"/>
        <v>25652.852840175117</v>
      </c>
      <c r="Q918" s="95">
        <f t="shared" si="299"/>
        <v>1035729737554.7024</v>
      </c>
      <c r="R918" s="95">
        <f t="shared" si="300"/>
        <v>26235140375990.762</v>
      </c>
      <c r="S918" s="95">
        <f t="shared" si="301"/>
        <v>20871948021535.316</v>
      </c>
      <c r="T918">
        <f t="shared" si="302"/>
        <v>0.5</v>
      </c>
    </row>
    <row r="919" spans="1:20" x14ac:dyDescent="0.25">
      <c r="A919">
        <v>438</v>
      </c>
      <c r="B919" s="95">
        <f t="shared" si="284"/>
        <v>8709.9874650402162</v>
      </c>
      <c r="C919" s="95">
        <f t="shared" si="285"/>
        <v>6675.7764993797364</v>
      </c>
      <c r="D919" s="95">
        <f t="shared" si="286"/>
        <v>53.454312350310005</v>
      </c>
      <c r="E919" s="95">
        <f t="shared" si="287"/>
        <v>-49.391943241339618</v>
      </c>
      <c r="F919" s="96">
        <f t="shared" si="288"/>
        <v>111.57944648948006</v>
      </c>
      <c r="G919" s="94">
        <f t="shared" si="289"/>
        <v>-104.27295737826404</v>
      </c>
      <c r="H919" s="97">
        <f t="shared" si="290"/>
        <v>652.09985517762925</v>
      </c>
      <c r="I919" s="94">
        <f t="shared" si="291"/>
        <v>416.64403315680062</v>
      </c>
      <c r="J919" s="95">
        <f t="shared" si="292"/>
        <v>-196.63817138952564</v>
      </c>
      <c r="K919" s="94">
        <f t="shared" si="293"/>
        <v>22.768008214842339</v>
      </c>
      <c r="L919" s="94">
        <f t="shared" si="294"/>
        <v>-343.88223729862358</v>
      </c>
      <c r="M919" s="94">
        <f t="shared" si="295"/>
        <v>-543.68499874990698</v>
      </c>
      <c r="N919" s="99">
        <f t="shared" si="296"/>
        <v>1540.4699555130342</v>
      </c>
      <c r="O919" s="99">
        <f t="shared" si="297"/>
        <v>28872.414236789067</v>
      </c>
      <c r="P919" s="100">
        <f t="shared" si="298"/>
        <v>25654.280698254017</v>
      </c>
      <c r="Q919" s="95">
        <f t="shared" si="299"/>
        <v>1035806063210.0753</v>
      </c>
      <c r="R919" s="95">
        <f t="shared" si="300"/>
        <v>26221523334069.406</v>
      </c>
      <c r="S919" s="95">
        <f t="shared" si="301"/>
        <v>20874973672831.27</v>
      </c>
      <c r="T919">
        <f t="shared" si="302"/>
        <v>0.5</v>
      </c>
    </row>
    <row r="920" spans="1:20" x14ac:dyDescent="0.25">
      <c r="A920">
        <v>438.5</v>
      </c>
      <c r="B920" s="95">
        <f t="shared" si="284"/>
        <v>8764.6094828377409</v>
      </c>
      <c r="C920" s="95">
        <f t="shared" si="285"/>
        <v>6625.0122884145003</v>
      </c>
      <c r="D920" s="95">
        <f t="shared" si="286"/>
        <v>109.24403559505004</v>
      </c>
      <c r="E920" s="95">
        <f t="shared" si="287"/>
        <v>-101.52842193047164</v>
      </c>
      <c r="F920" s="96">
        <f t="shared" si="288"/>
        <v>82.829841486672478</v>
      </c>
      <c r="G920" s="94">
        <f t="shared" si="289"/>
        <v>-77.229623068867568</v>
      </c>
      <c r="H920" s="97">
        <f t="shared" si="290"/>
        <v>624.75916554439459</v>
      </c>
      <c r="I920" s="94">
        <f t="shared" si="291"/>
        <v>442.4969958547585</v>
      </c>
      <c r="J920" s="95">
        <f t="shared" si="292"/>
        <v>-196.44527619587129</v>
      </c>
      <c r="K920" s="94">
        <f t="shared" si="293"/>
        <v>23.049170667714467</v>
      </c>
      <c r="L920" s="94">
        <f t="shared" si="294"/>
        <v>-345.4840478618508</v>
      </c>
      <c r="M920" s="94">
        <f t="shared" si="295"/>
        <v>-542.77578959134053</v>
      </c>
      <c r="N920" s="99">
        <f t="shared" si="296"/>
        <v>1530.8418335439128</v>
      </c>
      <c r="O920" s="99">
        <f t="shared" si="297"/>
        <v>28901.796520715496</v>
      </c>
      <c r="P920" s="100">
        <f t="shared" si="298"/>
        <v>25647.67130058054</v>
      </c>
      <c r="Q920" s="95">
        <f t="shared" si="299"/>
        <v>1035357299013.397</v>
      </c>
      <c r="R920" s="95">
        <f t="shared" si="300"/>
        <v>26297207583300.008</v>
      </c>
      <c r="S920" s="95">
        <f t="shared" si="301"/>
        <v>20860970908516.449</v>
      </c>
      <c r="T920">
        <f t="shared" si="302"/>
        <v>0.5</v>
      </c>
    </row>
    <row r="921" spans="1:20" x14ac:dyDescent="0.25">
      <c r="A921">
        <v>439</v>
      </c>
      <c r="B921" s="95">
        <f t="shared" si="284"/>
        <v>8839.9389610069338</v>
      </c>
      <c r="C921" s="95">
        <f t="shared" si="285"/>
        <v>6554.9406716820477</v>
      </c>
      <c r="D921" s="95">
        <f t="shared" si="286"/>
        <v>150.65895633838628</v>
      </c>
      <c r="E921" s="95">
        <f t="shared" si="287"/>
        <v>-140.14323346490542</v>
      </c>
      <c r="F921" s="96">
        <f t="shared" si="288"/>
        <v>43.450534686288677</v>
      </c>
      <c r="G921" s="94">
        <f t="shared" si="289"/>
        <v>-40.079472198990175</v>
      </c>
      <c r="H921" s="97">
        <f t="shared" si="290"/>
        <v>587.10837468968373</v>
      </c>
      <c r="I921" s="94">
        <f t="shared" si="291"/>
        <v>478.29573408972459</v>
      </c>
      <c r="J921" s="95">
        <f t="shared" si="292"/>
        <v>-195.80297401007078</v>
      </c>
      <c r="K921" s="94">
        <f t="shared" si="293"/>
        <v>23.389538481264534</v>
      </c>
      <c r="L921" s="94">
        <f t="shared" si="294"/>
        <v>-347.85486599332427</v>
      </c>
      <c r="M921" s="94">
        <f t="shared" si="295"/>
        <v>-541.7647447699793</v>
      </c>
      <c r="N921" s="99">
        <f t="shared" si="296"/>
        <v>1513.8669774191071</v>
      </c>
      <c r="O921" s="99">
        <f t="shared" si="297"/>
        <v>28961.928470899722</v>
      </c>
      <c r="P921" s="100">
        <f t="shared" si="298"/>
        <v>25634.071675976582</v>
      </c>
      <c r="Q921" s="95">
        <f t="shared" si="299"/>
        <v>1034573114302.9679</v>
      </c>
      <c r="R921" s="95">
        <f t="shared" si="300"/>
        <v>26452565309579.664</v>
      </c>
      <c r="S921" s="95">
        <f t="shared" si="301"/>
        <v>20832179747278.547</v>
      </c>
      <c r="T921">
        <f t="shared" si="302"/>
        <v>0.5</v>
      </c>
    </row>
    <row r="922" spans="1:20" x14ac:dyDescent="0.25">
      <c r="A922">
        <v>439.5</v>
      </c>
      <c r="B922" s="95">
        <f t="shared" si="284"/>
        <v>8926.1310728476983</v>
      </c>
      <c r="C922" s="95">
        <f t="shared" si="285"/>
        <v>6474.8491868998472</v>
      </c>
      <c r="D922" s="95">
        <f t="shared" si="286"/>
        <v>172.38422368153061</v>
      </c>
      <c r="E922" s="95">
        <f t="shared" si="287"/>
        <v>-160.18296956440051</v>
      </c>
      <c r="F922" s="96">
        <f t="shared" si="288"/>
        <v>-1.5705503289179319</v>
      </c>
      <c r="G922" s="94">
        <f t="shared" si="289"/>
        <v>2.2076026506230164</v>
      </c>
      <c r="H922" s="97">
        <f t="shared" si="290"/>
        <v>543.9084193513188</v>
      </c>
      <c r="I922" s="94">
        <f t="shared" si="291"/>
        <v>519.23297550720861</v>
      </c>
      <c r="J922" s="95">
        <f t="shared" si="292"/>
        <v>-194.80051277604409</v>
      </c>
      <c r="K922" s="94">
        <f t="shared" si="293"/>
        <v>23.739821418751344</v>
      </c>
      <c r="L922" s="94">
        <f t="shared" si="294"/>
        <v>-350.67845690419261</v>
      </c>
      <c r="M922" s="94">
        <f t="shared" si="295"/>
        <v>-540.76519427533697</v>
      </c>
      <c r="N922" s="99">
        <f t="shared" si="296"/>
        <v>1496.288323896986</v>
      </c>
      <c r="O922" s="99">
        <f t="shared" si="297"/>
        <v>29044.973972276792</v>
      </c>
      <c r="P922" s="100">
        <f t="shared" si="298"/>
        <v>25615.608089680998</v>
      </c>
      <c r="Q922" s="95">
        <f t="shared" si="299"/>
        <v>1033770457314.4709</v>
      </c>
      <c r="R922" s="95">
        <f t="shared" si="300"/>
        <v>26668156580641.836</v>
      </c>
      <c r="S922" s="95">
        <f t="shared" si="301"/>
        <v>20793136946409.613</v>
      </c>
      <c r="T922">
        <f t="shared" si="302"/>
        <v>0.5</v>
      </c>
    </row>
    <row r="923" spans="1:20" x14ac:dyDescent="0.25">
      <c r="A923">
        <v>440</v>
      </c>
      <c r="B923" s="95">
        <f t="shared" si="284"/>
        <v>9011.9305471062326</v>
      </c>
      <c r="C923" s="95">
        <f t="shared" si="285"/>
        <v>6395.3096027803022</v>
      </c>
      <c r="D923" s="95">
        <f t="shared" si="286"/>
        <v>171.59894851707165</v>
      </c>
      <c r="E923" s="95">
        <f t="shared" si="287"/>
        <v>-159.079168239089</v>
      </c>
      <c r="F923" s="96">
        <f t="shared" si="288"/>
        <v>-46.444946568853425</v>
      </c>
      <c r="G923" s="94">
        <f t="shared" si="289"/>
        <v>43.966281144453887</v>
      </c>
      <c r="H923" s="97">
        <f t="shared" si="290"/>
        <v>500.70673734469176</v>
      </c>
      <c r="I923" s="94">
        <f t="shared" si="291"/>
        <v>559.80470092253313</v>
      </c>
      <c r="J923" s="95">
        <f t="shared" si="292"/>
        <v>-193.57429854554519</v>
      </c>
      <c r="K923" s="94">
        <f t="shared" si="293"/>
        <v>24.051326539014646</v>
      </c>
      <c r="L923" s="94">
        <f t="shared" si="294"/>
        <v>-353.57738536800002</v>
      </c>
      <c r="M923" s="94">
        <f t="shared" si="295"/>
        <v>-539.88974631709391</v>
      </c>
      <c r="N923" s="99">
        <f t="shared" si="296"/>
        <v>1484.6308168373509</v>
      </c>
      <c r="O923" s="99">
        <f t="shared" si="297"/>
        <v>29140.139792023401</v>
      </c>
      <c r="P923" s="100">
        <f t="shared" si="298"/>
        <v>25595.043939368948</v>
      </c>
      <c r="Q923" s="95">
        <f t="shared" si="299"/>
        <v>1033243448020.7666</v>
      </c>
      <c r="R923" s="95">
        <f t="shared" si="300"/>
        <v>26916691519671.543</v>
      </c>
      <c r="S923" s="95">
        <f t="shared" si="301"/>
        <v>20749714155494.785</v>
      </c>
      <c r="T923">
        <f t="shared" si="302"/>
        <v>0.5</v>
      </c>
    </row>
    <row r="924" spans="1:20" x14ac:dyDescent="0.25">
      <c r="A924">
        <v>440.5</v>
      </c>
      <c r="B924" s="95">
        <f t="shared" si="284"/>
        <v>9086.1187847225556</v>
      </c>
      <c r="C924" s="95">
        <f t="shared" si="285"/>
        <v>6326.7615889468716</v>
      </c>
      <c r="D924" s="95">
        <f t="shared" si="286"/>
        <v>148.37647523264494</v>
      </c>
      <c r="E924" s="95">
        <f t="shared" si="287"/>
        <v>-137.09602766686206</v>
      </c>
      <c r="F924" s="96">
        <f t="shared" si="288"/>
        <v>-85.291134000120337</v>
      </c>
      <c r="G924" s="94">
        <f t="shared" si="289"/>
        <v>79.646279626539808</v>
      </c>
      <c r="H924" s="97">
        <f t="shared" si="290"/>
        <v>463.16268270554446</v>
      </c>
      <c r="I924" s="94">
        <f t="shared" si="291"/>
        <v>594.60708988485646</v>
      </c>
      <c r="J924" s="95">
        <f t="shared" si="292"/>
        <v>-192.28803064714705</v>
      </c>
      <c r="K924" s="94">
        <f t="shared" si="293"/>
        <v>24.283741168307927</v>
      </c>
      <c r="L924" s="94">
        <f t="shared" si="294"/>
        <v>-356.16578605851771</v>
      </c>
      <c r="M924" s="94">
        <f t="shared" si="295"/>
        <v>-539.24455142662464</v>
      </c>
      <c r="N924" s="99">
        <f t="shared" si="296"/>
        <v>1482.1005760241787</v>
      </c>
      <c r="O924" s="99">
        <f t="shared" si="297"/>
        <v>29235.011662900419</v>
      </c>
      <c r="P924" s="100">
        <f t="shared" si="298"/>
        <v>25575.251135731825</v>
      </c>
      <c r="Q924" s="95">
        <f t="shared" si="299"/>
        <v>1033129617797.3086</v>
      </c>
      <c r="R924" s="95">
        <f t="shared" si="300"/>
        <v>27166035519980.43</v>
      </c>
      <c r="S924" s="95">
        <f t="shared" si="301"/>
        <v>20707981612251.613</v>
      </c>
      <c r="T924">
        <f t="shared" si="302"/>
        <v>0.5</v>
      </c>
    </row>
    <row r="925" spans="1:20" x14ac:dyDescent="0.25">
      <c r="A925">
        <v>441</v>
      </c>
      <c r="B925" s="95">
        <f t="shared" si="284"/>
        <v>9138.9842388388479</v>
      </c>
      <c r="C925" s="95">
        <f t="shared" si="285"/>
        <v>6278.1251450200753</v>
      </c>
      <c r="D925" s="95">
        <f t="shared" si="286"/>
        <v>105.73090823258477</v>
      </c>
      <c r="E925" s="95">
        <f t="shared" si="287"/>
        <v>-97.272887853592152</v>
      </c>
      <c r="F925" s="96">
        <f t="shared" si="288"/>
        <v>-112.93977908755008</v>
      </c>
      <c r="G925" s="94">
        <f t="shared" si="289"/>
        <v>104.61063477817606</v>
      </c>
      <c r="H925" s="97">
        <f t="shared" si="290"/>
        <v>436.27368192879391</v>
      </c>
      <c r="I925" s="94">
        <f t="shared" si="291"/>
        <v>619.11972565915721</v>
      </c>
      <c r="J925" s="95">
        <f t="shared" si="292"/>
        <v>-191.10997182606806</v>
      </c>
      <c r="K925" s="94">
        <f t="shared" si="293"/>
        <v>24.410164501455128</v>
      </c>
      <c r="L925" s="94">
        <f t="shared" si="294"/>
        <v>-358.10348919027592</v>
      </c>
      <c r="M925" s="94">
        <f t="shared" si="295"/>
        <v>-538.91925538243629</v>
      </c>
      <c r="N925" s="99">
        <f t="shared" si="296"/>
        <v>1487.167524123442</v>
      </c>
      <c r="O925" s="99">
        <f t="shared" si="297"/>
        <v>29317.144922100215</v>
      </c>
      <c r="P925" s="100">
        <f t="shared" si="298"/>
        <v>25558.746101659475</v>
      </c>
      <c r="Q925" s="95">
        <f t="shared" si="299"/>
        <v>1033357768274.4519</v>
      </c>
      <c r="R925" s="95">
        <f t="shared" si="300"/>
        <v>27383175033102.523</v>
      </c>
      <c r="S925" s="95">
        <f t="shared" si="301"/>
        <v>20673227318726.426</v>
      </c>
      <c r="T925">
        <f t="shared" si="302"/>
        <v>0.5</v>
      </c>
    </row>
    <row r="926" spans="1:20" x14ac:dyDescent="0.25">
      <c r="A926">
        <v>441.5</v>
      </c>
      <c r="B926" s="95">
        <f t="shared" si="284"/>
        <v>9163.6147481832522</v>
      </c>
      <c r="C926" s="95">
        <f t="shared" si="285"/>
        <v>6255.6413597878227</v>
      </c>
      <c r="D926" s="95">
        <f t="shared" si="286"/>
        <v>49.261018688809727</v>
      </c>
      <c r="E926" s="95">
        <f t="shared" si="287"/>
        <v>-44.967570464504121</v>
      </c>
      <c r="F926" s="96">
        <f t="shared" si="288"/>
        <v>-125.68041323134489</v>
      </c>
      <c r="G926" s="94">
        <f t="shared" si="289"/>
        <v>115.74925723157696</v>
      </c>
      <c r="H926" s="97">
        <f t="shared" si="290"/>
        <v>423.6526031952049</v>
      </c>
      <c r="I926" s="94">
        <f t="shared" si="291"/>
        <v>630.30257418962549</v>
      </c>
      <c r="J926" s="95">
        <f t="shared" si="292"/>
        <v>-190.19096079261087</v>
      </c>
      <c r="K926" s="94">
        <f t="shared" si="293"/>
        <v>24.418892290381493</v>
      </c>
      <c r="L926" s="94">
        <f t="shared" si="294"/>
        <v>-359.14205563393892</v>
      </c>
      <c r="M926" s="94">
        <f t="shared" si="295"/>
        <v>-538.97220924842998</v>
      </c>
      <c r="N926" s="99">
        <f t="shared" si="296"/>
        <v>1494.7663035405001</v>
      </c>
      <c r="O926" s="99">
        <f t="shared" si="297"/>
        <v>29375.717096054537</v>
      </c>
      <c r="P926" s="100">
        <f t="shared" si="298"/>
        <v>25547.396833988172</v>
      </c>
      <c r="Q926" s="95">
        <f t="shared" si="299"/>
        <v>1033701411195.9567</v>
      </c>
      <c r="R926" s="95">
        <f t="shared" si="300"/>
        <v>27538749940126.164</v>
      </c>
      <c r="S926" s="95">
        <f t="shared" si="301"/>
        <v>20649353713544.711</v>
      </c>
      <c r="T926">
        <f t="shared" si="302"/>
        <v>0.5</v>
      </c>
    </row>
    <row r="927" spans="1:20" x14ac:dyDescent="0.25">
      <c r="A927">
        <v>442</v>
      </c>
      <c r="B927" s="95">
        <f t="shared" si="284"/>
        <v>9156.8251542198195</v>
      </c>
      <c r="C927" s="95">
        <f t="shared" si="285"/>
        <v>6262.0948888634657</v>
      </c>
      <c r="D927" s="95">
        <f t="shared" si="286"/>
        <v>-13.579187926862716</v>
      </c>
      <c r="E927" s="95">
        <f t="shared" si="287"/>
        <v>12.90705815128436</v>
      </c>
      <c r="F927" s="96">
        <f t="shared" si="288"/>
        <v>-121.79530683628047</v>
      </c>
      <c r="G927" s="94">
        <f t="shared" si="289"/>
        <v>111.80634883416144</v>
      </c>
      <c r="H927" s="97">
        <f t="shared" si="290"/>
        <v>427.00624901010565</v>
      </c>
      <c r="I927" s="94">
        <f t="shared" si="291"/>
        <v>626.90819203429612</v>
      </c>
      <c r="J927" s="95">
        <f t="shared" si="292"/>
        <v>-189.64614278675691</v>
      </c>
      <c r="K927" s="94">
        <f t="shared" si="293"/>
        <v>24.312636327187793</v>
      </c>
      <c r="L927" s="94">
        <f t="shared" si="294"/>
        <v>-359.15541305962921</v>
      </c>
      <c r="M927" s="94">
        <f t="shared" si="295"/>
        <v>-539.41447952732244</v>
      </c>
      <c r="N927" s="99">
        <f t="shared" si="296"/>
        <v>1499.3227520875096</v>
      </c>
      <c r="O927" s="99">
        <f t="shared" si="297"/>
        <v>29403.004043923527</v>
      </c>
      <c r="P927" s="100">
        <f t="shared" si="298"/>
        <v>25542.323158845142</v>
      </c>
      <c r="Q927" s="95">
        <f t="shared" si="299"/>
        <v>1033908327780.324</v>
      </c>
      <c r="R927" s="95">
        <f t="shared" si="300"/>
        <v>27611433906723.211</v>
      </c>
      <c r="S927" s="95">
        <f t="shared" si="301"/>
        <v>20638687452771.391</v>
      </c>
      <c r="T927">
        <f t="shared" si="302"/>
        <v>0.5</v>
      </c>
    </row>
    <row r="928" spans="1:20" x14ac:dyDescent="0.25">
      <c r="A928">
        <v>442.5</v>
      </c>
      <c r="B928" s="95">
        <f t="shared" si="284"/>
        <v>9119.5867335473176</v>
      </c>
      <c r="C928" s="95">
        <f t="shared" si="285"/>
        <v>6296.5000051476482</v>
      </c>
      <c r="D928" s="95">
        <f t="shared" si="286"/>
        <v>-74.476841345002953</v>
      </c>
      <c r="E928" s="95">
        <f t="shared" si="287"/>
        <v>68.81023256836508</v>
      </c>
      <c r="F928" s="96">
        <f t="shared" si="288"/>
        <v>-101.79926239849385</v>
      </c>
      <c r="G928" s="94">
        <f t="shared" si="289"/>
        <v>93.433327533875172</v>
      </c>
      <c r="H928" s="97">
        <f t="shared" si="290"/>
        <v>445.89497279682195</v>
      </c>
      <c r="I928" s="94">
        <f t="shared" si="291"/>
        <v>609.52579647947198</v>
      </c>
      <c r="J928" s="95">
        <f t="shared" si="292"/>
        <v>-189.54217780610523</v>
      </c>
      <c r="K928" s="94">
        <f t="shared" si="293"/>
        <v>24.106436020278686</v>
      </c>
      <c r="L928" s="94">
        <f t="shared" si="294"/>
        <v>-358.15205738921054</v>
      </c>
      <c r="M928" s="94">
        <f t="shared" si="295"/>
        <v>-540.1989049658755</v>
      </c>
      <c r="N928" s="99">
        <f t="shared" si="296"/>
        <v>1497.7826560400499</v>
      </c>
      <c r="O928" s="99">
        <f t="shared" si="297"/>
        <v>29395.448417971213</v>
      </c>
      <c r="P928" s="100">
        <f t="shared" si="298"/>
        <v>25543.930345782439</v>
      </c>
      <c r="Q928" s="95">
        <f t="shared" si="299"/>
        <v>1033838317224.4835</v>
      </c>
      <c r="R928" s="95">
        <f t="shared" si="300"/>
        <v>27591294912192.871</v>
      </c>
      <c r="S928" s="95">
        <f t="shared" si="301"/>
        <v>20642065773770.633</v>
      </c>
      <c r="T928">
        <f t="shared" si="302"/>
        <v>0.5</v>
      </c>
    </row>
    <row r="929" spans="1:20" x14ac:dyDescent="0.25">
      <c r="A929">
        <v>443</v>
      </c>
      <c r="B929" s="95">
        <f t="shared" si="284"/>
        <v>9056.8984972751914</v>
      </c>
      <c r="C929" s="95">
        <f t="shared" si="285"/>
        <v>6354.2634533152996</v>
      </c>
      <c r="D929" s="95">
        <f t="shared" si="286"/>
        <v>-125.37647254424988</v>
      </c>
      <c r="E929" s="95">
        <f t="shared" si="287"/>
        <v>115.52689633530267</v>
      </c>
      <c r="F929" s="96">
        <f t="shared" si="288"/>
        <v>-68.377285182701883</v>
      </c>
      <c r="G929" s="94">
        <f t="shared" si="289"/>
        <v>63.044563379520127</v>
      </c>
      <c r="H929" s="97">
        <f t="shared" si="290"/>
        <v>477.78299220770731</v>
      </c>
      <c r="I929" s="94">
        <f t="shared" si="291"/>
        <v>580.4395751413341</v>
      </c>
      <c r="J929" s="95">
        <f t="shared" si="292"/>
        <v>-189.89045746544971</v>
      </c>
      <c r="K929" s="94">
        <f t="shared" si="293"/>
        <v>23.825343255866972</v>
      </c>
      <c r="L929" s="94">
        <f t="shared" si="294"/>
        <v>-356.26981992495945</v>
      </c>
      <c r="M929" s="94">
        <f t="shared" si="295"/>
        <v>-541.22035501768096</v>
      </c>
      <c r="N929" s="99">
        <f t="shared" si="296"/>
        <v>1491.1538342355871</v>
      </c>
      <c r="O929" s="99">
        <f t="shared" si="297"/>
        <v>29354.152069927964</v>
      </c>
      <c r="P929" s="100">
        <f t="shared" si="298"/>
        <v>25551.979218749755</v>
      </c>
      <c r="Q929" s="95">
        <f t="shared" si="299"/>
        <v>1033537819774.3634</v>
      </c>
      <c r="R929" s="95">
        <f t="shared" si="300"/>
        <v>27481400281362.523</v>
      </c>
      <c r="S929" s="95">
        <f t="shared" si="301"/>
        <v>20658990546639.957</v>
      </c>
      <c r="T929">
        <f t="shared" si="302"/>
        <v>0.5</v>
      </c>
    </row>
    <row r="930" spans="1:20" x14ac:dyDescent="0.25">
      <c r="A930">
        <v>443.5</v>
      </c>
      <c r="B930" s="95">
        <f t="shared" si="284"/>
        <v>8977.1159397073916</v>
      </c>
      <c r="C930" s="95">
        <f t="shared" si="285"/>
        <v>6427.7880423278311</v>
      </c>
      <c r="D930" s="95">
        <f t="shared" si="286"/>
        <v>-159.56511513560082</v>
      </c>
      <c r="E930" s="95">
        <f t="shared" si="287"/>
        <v>147.04917802506273</v>
      </c>
      <c r="F930" s="96">
        <f t="shared" si="288"/>
        <v>-26.03818624831149</v>
      </c>
      <c r="G930" s="94">
        <f t="shared" si="289"/>
        <v>24.534005153390012</v>
      </c>
      <c r="H930" s="97">
        <f t="shared" si="290"/>
        <v>518.36416198382994</v>
      </c>
      <c r="I930" s="94">
        <f t="shared" si="291"/>
        <v>543.36192583623142</v>
      </c>
      <c r="J930" s="95">
        <f t="shared" si="292"/>
        <v>-190.64617861994131</v>
      </c>
      <c r="K930" s="94">
        <f t="shared" si="293"/>
        <v>23.502289198403073</v>
      </c>
      <c r="L930" s="94">
        <f t="shared" si="294"/>
        <v>-353.7561696122001</v>
      </c>
      <c r="M930" s="94">
        <f t="shared" si="295"/>
        <v>-542.33020988124451</v>
      </c>
      <c r="N930" s="99">
        <f t="shared" si="296"/>
        <v>1483.9651878837235</v>
      </c>
      <c r="O930" s="99">
        <f t="shared" si="297"/>
        <v>29284.718630179559</v>
      </c>
      <c r="P930" s="100">
        <f t="shared" si="298"/>
        <v>25565.620723860688</v>
      </c>
      <c r="Q930" s="95">
        <f t="shared" si="299"/>
        <v>1033213483545.0554</v>
      </c>
      <c r="R930" s="95">
        <f t="shared" si="300"/>
        <v>27297306507412.523</v>
      </c>
      <c r="S930" s="95">
        <f t="shared" si="301"/>
        <v>20687697971314.375</v>
      </c>
      <c r="T930">
        <f t="shared" si="302"/>
        <v>0.5</v>
      </c>
    </row>
    <row r="931" spans="1:20" x14ac:dyDescent="0.25">
      <c r="A931">
        <v>444</v>
      </c>
      <c r="B931" s="95">
        <f t="shared" si="284"/>
        <v>8890.8238355775138</v>
      </c>
      <c r="C931" s="95">
        <f t="shared" si="285"/>
        <v>6507.4461326287101</v>
      </c>
      <c r="D931" s="95">
        <f t="shared" si="286"/>
        <v>-172.58420825975656</v>
      </c>
      <c r="E931" s="95">
        <f t="shared" si="287"/>
        <v>159.31618060175774</v>
      </c>
      <c r="F931" s="96">
        <f t="shared" si="288"/>
        <v>19.495342795875501</v>
      </c>
      <c r="G931" s="94">
        <f t="shared" si="289"/>
        <v>-17.147453776107682</v>
      </c>
      <c r="H931" s="97">
        <f t="shared" si="290"/>
        <v>562.14551301048232</v>
      </c>
      <c r="I931" s="94">
        <f t="shared" si="291"/>
        <v>503.039752260169</v>
      </c>
      <c r="J931" s="95">
        <f t="shared" si="292"/>
        <v>-191.71310682493024</v>
      </c>
      <c r="K931" s="94">
        <f t="shared" si="293"/>
        <v>23.175813762798882</v>
      </c>
      <c r="L931" s="94">
        <f t="shared" si="294"/>
        <v>-350.93706338967655</v>
      </c>
      <c r="M931" s="94">
        <f t="shared" si="295"/>
        <v>-543.36301979907557</v>
      </c>
      <c r="N931" s="99">
        <f t="shared" si="296"/>
        <v>1481.8671610424051</v>
      </c>
      <c r="O931" s="99">
        <f t="shared" si="297"/>
        <v>29196.471472658821</v>
      </c>
      <c r="P931" s="100">
        <f t="shared" si="298"/>
        <v>25583.390517657157</v>
      </c>
      <c r="Q931" s="95">
        <f t="shared" si="299"/>
        <v>1033119126939.65</v>
      </c>
      <c r="R931" s="95">
        <f t="shared" si="300"/>
        <v>27064553286129.418</v>
      </c>
      <c r="S931" s="95">
        <f t="shared" si="301"/>
        <v>20725135960586.617</v>
      </c>
      <c r="T931">
        <f t="shared" si="302"/>
        <v>0.5</v>
      </c>
    </row>
    <row r="932" spans="1:20" x14ac:dyDescent="0.25">
      <c r="A932">
        <v>444.5</v>
      </c>
      <c r="B932" s="95">
        <f t="shared" si="284"/>
        <v>8809.4055671466049</v>
      </c>
      <c r="C932" s="95">
        <f t="shared" si="285"/>
        <v>6582.8173594855625</v>
      </c>
      <c r="D932" s="95">
        <f t="shared" si="286"/>
        <v>-162.83653686181881</v>
      </c>
      <c r="E932" s="95">
        <f t="shared" si="287"/>
        <v>150.7424537137039</v>
      </c>
      <c r="F932" s="96">
        <f t="shared" si="288"/>
        <v>62.105536802519737</v>
      </c>
      <c r="G932" s="94">
        <f t="shared" si="289"/>
        <v>-56.573884370477003</v>
      </c>
      <c r="H932" s="97">
        <f t="shared" si="290"/>
        <v>603.23669008469415</v>
      </c>
      <c r="I932" s="94">
        <f t="shared" si="291"/>
        <v>464.70754859912699</v>
      </c>
      <c r="J932" s="95">
        <f t="shared" si="292"/>
        <v>-192.9540941397328</v>
      </c>
      <c r="K932" s="94">
        <f t="shared" si="293"/>
        <v>22.886948478464877</v>
      </c>
      <c r="L932" s="94">
        <f t="shared" si="294"/>
        <v>-348.17705914244164</v>
      </c>
      <c r="M932" s="94">
        <f t="shared" si="295"/>
        <v>-544.16838144806889</v>
      </c>
      <c r="N932" s="99">
        <f t="shared" si="296"/>
        <v>1488.4337215195987</v>
      </c>
      <c r="O932" s="99">
        <f t="shared" si="297"/>
        <v>29101.16208014491</v>
      </c>
      <c r="P932" s="100">
        <f t="shared" si="298"/>
        <v>25603.226866529421</v>
      </c>
      <c r="Q932" s="95">
        <f t="shared" si="299"/>
        <v>1033414905828.5306</v>
      </c>
      <c r="R932" s="95">
        <f t="shared" si="300"/>
        <v>26814706134837.797</v>
      </c>
      <c r="S932" s="95">
        <f t="shared" si="301"/>
        <v>20766985235923.344</v>
      </c>
      <c r="T932">
        <f t="shared" si="302"/>
        <v>0.5</v>
      </c>
    </row>
    <row r="933" spans="1:20" x14ac:dyDescent="0.25">
      <c r="A933">
        <v>445</v>
      </c>
      <c r="B933" s="95">
        <f t="shared" si="284"/>
        <v>8743.5136829163257</v>
      </c>
      <c r="C933" s="95">
        <f t="shared" si="285"/>
        <v>6644.0451152497944</v>
      </c>
      <c r="D933" s="95">
        <f t="shared" si="286"/>
        <v>-131.78376846055895</v>
      </c>
      <c r="E933" s="95">
        <f t="shared" si="287"/>
        <v>122.45551152846539</v>
      </c>
      <c r="F933" s="96">
        <f t="shared" si="288"/>
        <v>96.176375519786404</v>
      </c>
      <c r="G933" s="94">
        <f t="shared" si="289"/>
        <v>-88.553981065855965</v>
      </c>
      <c r="H933" s="97">
        <f t="shared" si="290"/>
        <v>636.21768320204421</v>
      </c>
      <c r="I933" s="94">
        <f t="shared" si="291"/>
        <v>433.40991962826388</v>
      </c>
      <c r="J933" s="95">
        <f t="shared" si="292"/>
        <v>-194.20724057956551</v>
      </c>
      <c r="K933" s="94">
        <f t="shared" si="293"/>
        <v>22.674706539591178</v>
      </c>
      <c r="L933" s="94">
        <f t="shared" si="294"/>
        <v>-345.8340671026923</v>
      </c>
      <c r="M933" s="94">
        <f t="shared" si="295"/>
        <v>-544.63860723371101</v>
      </c>
      <c r="N933" s="99">
        <f t="shared" si="296"/>
        <v>1502.9102100932489</v>
      </c>
      <c r="O933" s="99">
        <f t="shared" si="297"/>
        <v>29011.359608452876</v>
      </c>
      <c r="P933" s="100">
        <f t="shared" si="298"/>
        <v>25622.601103144287</v>
      </c>
      <c r="Q933" s="95">
        <f t="shared" si="299"/>
        <v>1034071693622.0391</v>
      </c>
      <c r="R933" s="95">
        <f t="shared" si="300"/>
        <v>26580746960659.75</v>
      </c>
      <c r="S933" s="95">
        <f t="shared" si="301"/>
        <v>20807918077823.84</v>
      </c>
      <c r="T933">
        <f t="shared" si="302"/>
        <v>0.5</v>
      </c>
    </row>
    <row r="934" spans="1:20" x14ac:dyDescent="0.25">
      <c r="A934">
        <v>445.5</v>
      </c>
      <c r="B934" s="95">
        <f t="shared" si="284"/>
        <v>8701.665892565994</v>
      </c>
      <c r="C934" s="95">
        <f t="shared" si="285"/>
        <v>6683.1343757475634</v>
      </c>
      <c r="D934" s="95">
        <f t="shared" si="286"/>
        <v>-83.695580700665744</v>
      </c>
      <c r="E934" s="95">
        <f t="shared" si="287"/>
        <v>78.178520995537411</v>
      </c>
      <c r="F934" s="96">
        <f t="shared" si="288"/>
        <v>117.37927171307979</v>
      </c>
      <c r="G934" s="94">
        <f t="shared" si="289"/>
        <v>-108.85614047542032</v>
      </c>
      <c r="H934" s="97">
        <f t="shared" si="290"/>
        <v>656.8995153450702</v>
      </c>
      <c r="I934" s="94">
        <f t="shared" si="291"/>
        <v>413.29780185317139</v>
      </c>
      <c r="J934" s="95">
        <f t="shared" si="292"/>
        <v>-195.30663696390451</v>
      </c>
      <c r="K934" s="94">
        <f t="shared" si="293"/>
        <v>22.570323017442448</v>
      </c>
      <c r="L934" s="94">
        <f t="shared" si="294"/>
        <v>-344.2136066680859</v>
      </c>
      <c r="M934" s="94">
        <f t="shared" si="295"/>
        <v>-544.72426534603414</v>
      </c>
      <c r="N934" s="99">
        <f t="shared" si="296"/>
        <v>1520.3343808998839</v>
      </c>
      <c r="O934" s="99">
        <f t="shared" si="297"/>
        <v>28938.763139230337</v>
      </c>
      <c r="P934" s="100">
        <f t="shared" si="298"/>
        <v>25638.815442673571</v>
      </c>
      <c r="Q934" s="95">
        <f t="shared" si="299"/>
        <v>1034870833498.5642</v>
      </c>
      <c r="R934" s="95">
        <f t="shared" si="300"/>
        <v>26392640680011.586</v>
      </c>
      <c r="S934" s="95">
        <f t="shared" si="301"/>
        <v>20842219325520.02</v>
      </c>
      <c r="T934">
        <f t="shared" si="302"/>
        <v>0.5</v>
      </c>
    </row>
    <row r="935" spans="1:20" x14ac:dyDescent="0.25">
      <c r="A935">
        <v>446</v>
      </c>
      <c r="B935" s="95">
        <f t="shared" si="284"/>
        <v>8689.16292014393</v>
      </c>
      <c r="C935" s="95">
        <f t="shared" si="285"/>
        <v>6695.0096011264768</v>
      </c>
      <c r="D935" s="95">
        <f t="shared" si="286"/>
        <v>-25.00594484412585</v>
      </c>
      <c r="E935" s="95">
        <f t="shared" si="287"/>
        <v>23.750450757827252</v>
      </c>
      <c r="F935" s="96">
        <f t="shared" si="288"/>
        <v>123.18817999154487</v>
      </c>
      <c r="G935" s="94">
        <f t="shared" si="289"/>
        <v>-114.80175548733155</v>
      </c>
      <c r="H935" s="97">
        <f t="shared" si="290"/>
        <v>662.82190339592955</v>
      </c>
      <c r="I935" s="94">
        <f t="shared" si="291"/>
        <v>407.04163514765901</v>
      </c>
      <c r="J935" s="95">
        <f t="shared" si="292"/>
        <v>-196.10516918323665</v>
      </c>
      <c r="K935" s="94">
        <f t="shared" si="293"/>
        <v>22.591307495590517</v>
      </c>
      <c r="L935" s="94">
        <f t="shared" si="294"/>
        <v>-343.52855422114806</v>
      </c>
      <c r="M935" s="94">
        <f t="shared" si="295"/>
        <v>-544.43469813058107</v>
      </c>
      <c r="N935" s="99">
        <f t="shared" si="296"/>
        <v>1533.9298884276882</v>
      </c>
      <c r="O935" s="99">
        <f t="shared" si="297"/>
        <v>28892.68458585726</v>
      </c>
      <c r="P935" s="100">
        <f t="shared" si="298"/>
        <v>25649.443748125064</v>
      </c>
      <c r="Q935" s="95">
        <f t="shared" si="299"/>
        <v>1035500918881.8286</v>
      </c>
      <c r="R935" s="95">
        <f t="shared" si="300"/>
        <v>26273720624951.078</v>
      </c>
      <c r="S935" s="95">
        <f t="shared" si="301"/>
        <v>20864725379826.219</v>
      </c>
      <c r="T935">
        <f t="shared" si="302"/>
        <v>0.5</v>
      </c>
    </row>
    <row r="936" spans="1:20" x14ac:dyDescent="0.25">
      <c r="A936">
        <v>446.5</v>
      </c>
      <c r="B936" s="95">
        <f t="shared" si="284"/>
        <v>8707.4569927197535</v>
      </c>
      <c r="C936" s="95">
        <f t="shared" si="285"/>
        <v>6678.184387633557</v>
      </c>
      <c r="D936" s="95">
        <f t="shared" si="286"/>
        <v>36.588145151646586</v>
      </c>
      <c r="E936" s="95">
        <f t="shared" si="287"/>
        <v>-33.650426985838521</v>
      </c>
      <c r="F936" s="96">
        <f t="shared" si="288"/>
        <v>113.07776001954755</v>
      </c>
      <c r="G936" s="94">
        <f t="shared" si="289"/>
        <v>-105.62168469520549</v>
      </c>
      <c r="H936" s="97">
        <f t="shared" si="290"/>
        <v>653.44357783244527</v>
      </c>
      <c r="I936" s="94">
        <f t="shared" si="291"/>
        <v>415.46790399900175</v>
      </c>
      <c r="J936" s="95">
        <f t="shared" si="292"/>
        <v>-196.49568922893121</v>
      </c>
      <c r="K936" s="94">
        <f t="shared" si="293"/>
        <v>22.737034785383454</v>
      </c>
      <c r="L936" s="94">
        <f t="shared" si="294"/>
        <v>-343.8701285839665</v>
      </c>
      <c r="M936" s="94">
        <f t="shared" si="295"/>
        <v>-543.82662347959069</v>
      </c>
      <c r="N936" s="99">
        <f t="shared" si="296"/>
        <v>1538.2793609108012</v>
      </c>
      <c r="O936" s="99">
        <f t="shared" si="297"/>
        <v>28878.902863426225</v>
      </c>
      <c r="P936" s="100">
        <f t="shared" si="298"/>
        <v>25652.809262285748</v>
      </c>
      <c r="Q936" s="95">
        <f t="shared" si="299"/>
        <v>1035703707219.8713</v>
      </c>
      <c r="R936" s="95">
        <f t="shared" si="300"/>
        <v>26238224161980.77</v>
      </c>
      <c r="S936" s="95">
        <f t="shared" si="301"/>
        <v>20871855684323.754</v>
      </c>
      <c r="T936">
        <f t="shared" si="302"/>
        <v>0.5</v>
      </c>
    </row>
    <row r="937" spans="1:20" x14ac:dyDescent="0.25">
      <c r="A937">
        <v>447</v>
      </c>
      <c r="B937" s="95">
        <f t="shared" si="284"/>
        <v>8754.0205053004647</v>
      </c>
      <c r="C937" s="95">
        <f t="shared" si="285"/>
        <v>6634.9537529668369</v>
      </c>
      <c r="D937" s="95">
        <f t="shared" si="286"/>
        <v>93.127025161420363</v>
      </c>
      <c r="E937" s="95">
        <f t="shared" si="287"/>
        <v>-86.461269333441265</v>
      </c>
      <c r="F937" s="96">
        <f t="shared" si="288"/>
        <v>88.469407218701065</v>
      </c>
      <c r="G937" s="94">
        <f t="shared" si="289"/>
        <v>-82.547187277387422</v>
      </c>
      <c r="H937" s="97">
        <f t="shared" si="290"/>
        <v>630.09045282500904</v>
      </c>
      <c r="I937" s="94">
        <f t="shared" si="291"/>
        <v>437.45293066732177</v>
      </c>
      <c r="J937" s="95">
        <f t="shared" si="292"/>
        <v>-196.42669874390893</v>
      </c>
      <c r="K937" s="94">
        <f t="shared" si="293"/>
        <v>22.987565349459903</v>
      </c>
      <c r="L937" s="94">
        <f t="shared" si="294"/>
        <v>-345.19434686239907</v>
      </c>
      <c r="M937" s="94">
        <f t="shared" si="295"/>
        <v>-542.98768329416907</v>
      </c>
      <c r="N937" s="99">
        <f t="shared" si="296"/>
        <v>1531.681535567461</v>
      </c>
      <c r="O937" s="99">
        <f t="shared" si="297"/>
        <v>28899.005968223468</v>
      </c>
      <c r="P937" s="100">
        <f t="shared" si="298"/>
        <v>25648.353856563601</v>
      </c>
      <c r="Q937" s="95">
        <f t="shared" si="299"/>
        <v>1035396322734.7118</v>
      </c>
      <c r="R937" s="95">
        <f t="shared" si="300"/>
        <v>26290013114552.25</v>
      </c>
      <c r="S937" s="95">
        <f t="shared" si="301"/>
        <v>20862416669297.039</v>
      </c>
      <c r="T937">
        <f t="shared" si="302"/>
        <v>0.5</v>
      </c>
    </row>
    <row r="938" spans="1:20" x14ac:dyDescent="0.25">
      <c r="A938">
        <v>447.5</v>
      </c>
      <c r="B938" s="95">
        <f t="shared" si="284"/>
        <v>8822.7013696858485</v>
      </c>
      <c r="C938" s="95">
        <f t="shared" si="285"/>
        <v>6571.0863214807687</v>
      </c>
      <c r="D938" s="95">
        <f t="shared" si="286"/>
        <v>137.3617287707709</v>
      </c>
      <c r="E938" s="95">
        <f t="shared" si="287"/>
        <v>-127.73486297213498</v>
      </c>
      <c r="F938" s="96">
        <f t="shared" si="288"/>
        <v>52.51805177561863</v>
      </c>
      <c r="G938" s="94">
        <f t="shared" si="289"/>
        <v>-48.652566921632115</v>
      </c>
      <c r="H938" s="97">
        <f t="shared" si="290"/>
        <v>595.75391878965763</v>
      </c>
      <c r="I938" s="94">
        <f t="shared" si="291"/>
        <v>470.06252274962509</v>
      </c>
      <c r="J938" s="95">
        <f t="shared" si="292"/>
        <v>-195.90968293460134</v>
      </c>
      <c r="K938" s="94">
        <f t="shared" si="293"/>
        <v>23.306538237090368</v>
      </c>
      <c r="L938" s="94">
        <f t="shared" si="294"/>
        <v>-347.32618407943767</v>
      </c>
      <c r="M938" s="94">
        <f t="shared" si="295"/>
        <v>-542.02162790834757</v>
      </c>
      <c r="N938" s="99">
        <f t="shared" si="296"/>
        <v>1516.8288996184999</v>
      </c>
      <c r="O938" s="99">
        <f t="shared" si="297"/>
        <v>28950.254428310498</v>
      </c>
      <c r="P938" s="100">
        <f t="shared" si="298"/>
        <v>25636.776395507284</v>
      </c>
      <c r="Q938" s="95">
        <f t="shared" si="299"/>
        <v>1034709301784.1938</v>
      </c>
      <c r="R938" s="95">
        <f t="shared" si="300"/>
        <v>26422354963500.145</v>
      </c>
      <c r="S938" s="95">
        <f t="shared" si="301"/>
        <v>20837903516577.73</v>
      </c>
      <c r="T938">
        <f t="shared" si="302"/>
        <v>0.5</v>
      </c>
    </row>
    <row r="939" spans="1:20" x14ac:dyDescent="0.25">
      <c r="A939">
        <v>448</v>
      </c>
      <c r="B939" s="95">
        <f t="shared" si="284"/>
        <v>8904.5117470151381</v>
      </c>
      <c r="C939" s="95">
        <f t="shared" si="285"/>
        <v>6495.0557482642935</v>
      </c>
      <c r="D939" s="95">
        <f t="shared" si="286"/>
        <v>163.62075465858021</v>
      </c>
      <c r="E939" s="95">
        <f t="shared" si="287"/>
        <v>-152.06114643295103</v>
      </c>
      <c r="F939" s="96">
        <f t="shared" si="288"/>
        <v>9.778211009428162</v>
      </c>
      <c r="G939" s="94">
        <f t="shared" si="289"/>
        <v>-8.467281773126615</v>
      </c>
      <c r="H939" s="97">
        <f t="shared" si="290"/>
        <v>554.77681077153932</v>
      </c>
      <c r="I939" s="94">
        <f t="shared" si="291"/>
        <v>508.92354661226142</v>
      </c>
      <c r="J939" s="95">
        <f t="shared" si="292"/>
        <v>-195.01692020567421</v>
      </c>
      <c r="K939" s="94">
        <f t="shared" si="293"/>
        <v>23.647638107454412</v>
      </c>
      <c r="L939" s="94">
        <f t="shared" si="294"/>
        <v>-349.98167955643697</v>
      </c>
      <c r="M939" s="94">
        <f t="shared" si="295"/>
        <v>-541.03846649284242</v>
      </c>
      <c r="N939" s="99">
        <f t="shared" si="296"/>
        <v>1499.6375185623049</v>
      </c>
      <c r="O939" s="99">
        <f t="shared" si="297"/>
        <v>29025.946380106659</v>
      </c>
      <c r="P939" s="100">
        <f t="shared" si="298"/>
        <v>25619.891456528261</v>
      </c>
      <c r="Q939" s="95">
        <f t="shared" si="299"/>
        <v>1033922645662.6426</v>
      </c>
      <c r="R939" s="95">
        <f t="shared" si="300"/>
        <v>26618653713772.75</v>
      </c>
      <c r="S939" s="95">
        <f t="shared" si="301"/>
        <v>20802189803924.512</v>
      </c>
      <c r="T939">
        <f t="shared" si="302"/>
        <v>0.5</v>
      </c>
    </row>
    <row r="940" spans="1:20" x14ac:dyDescent="0.25">
      <c r="A940">
        <v>448.5</v>
      </c>
      <c r="B940" s="95">
        <f t="shared" si="284"/>
        <v>8988.7666770967844</v>
      </c>
      <c r="C940" s="95">
        <f t="shared" si="285"/>
        <v>6416.9083546045367</v>
      </c>
      <c r="D940" s="95">
        <f t="shared" si="286"/>
        <v>168.50986016329429</v>
      </c>
      <c r="E940" s="95">
        <f t="shared" si="287"/>
        <v>-156.29478731951434</v>
      </c>
      <c r="F940" s="96">
        <f t="shared" si="288"/>
        <v>-34.275511310323793</v>
      </c>
      <c r="G940" s="94">
        <f t="shared" si="289"/>
        <v>32.626348843112851</v>
      </c>
      <c r="H940" s="97">
        <f t="shared" si="290"/>
        <v>512.40087735079885</v>
      </c>
      <c r="I940" s="94">
        <f t="shared" si="291"/>
        <v>548.81212553264743</v>
      </c>
      <c r="J940" s="95">
        <f t="shared" si="292"/>
        <v>-193.87037748224267</v>
      </c>
      <c r="K940" s="94">
        <f t="shared" si="293"/>
        <v>23.962914241367724</v>
      </c>
      <c r="L940" s="94">
        <f t="shared" si="294"/>
        <v>-352.80601117887994</v>
      </c>
      <c r="M940" s="94">
        <f t="shared" si="295"/>
        <v>-540.14869093090226</v>
      </c>
      <c r="N940" s="99">
        <f t="shared" si="296"/>
        <v>1486.6093843119866</v>
      </c>
      <c r="O940" s="99">
        <f t="shared" si="297"/>
        <v>29116.240030970883</v>
      </c>
      <c r="P940" s="100">
        <f t="shared" si="298"/>
        <v>25600.251337513699</v>
      </c>
      <c r="Q940" s="95">
        <f t="shared" si="299"/>
        <v>1033332597816.4376</v>
      </c>
      <c r="R940" s="95">
        <f t="shared" si="300"/>
        <v>26854126178666.227</v>
      </c>
      <c r="S940" s="95">
        <f t="shared" si="301"/>
        <v>20760703820730.781</v>
      </c>
      <c r="T940">
        <f t="shared" si="302"/>
        <v>0.5</v>
      </c>
    </row>
    <row r="941" spans="1:20" x14ac:dyDescent="0.25">
      <c r="A941">
        <v>449</v>
      </c>
      <c r="B941" s="95">
        <f t="shared" ref="B941:B1004" si="303">B940+(D940*$T940)+(F940*($T940)^2)</f>
        <v>9064.452729350849</v>
      </c>
      <c r="C941" s="95">
        <f t="shared" ref="C941:C1004" si="304">C940+(E940*$T940)+(G940*($T940)^2)</f>
        <v>6346.9175481555585</v>
      </c>
      <c r="D941" s="95">
        <f t="shared" ref="D941:D1004" si="305">D940+(F940*$T940)</f>
        <v>151.3721045081324</v>
      </c>
      <c r="E941" s="95">
        <f t="shared" ref="E941:E1004" si="306">E940+(G940*$T940)</f>
        <v>-139.98161289795792</v>
      </c>
      <c r="F941" s="96">
        <f t="shared" ref="F941:F1004" si="307">SUM(H941,J941,L941)</f>
        <v>-73.896778851516501</v>
      </c>
      <c r="G941" s="94">
        <f t="shared" ref="G941:G1004" si="308">SUM(I941,K941,M941)</f>
        <v>69.152745396561954</v>
      </c>
      <c r="H941" s="97">
        <f t="shared" ref="H941:H1004" si="309">$D$22*(($D$18-$B941)/$Q941)</f>
        <v>474.14977583808104</v>
      </c>
      <c r="I941" s="94">
        <f t="shared" ref="I941:I1004" si="310">$D$22*(($E$18-$C941)/$Q941)</f>
        <v>584.39995841739028</v>
      </c>
      <c r="J941" s="95">
        <f t="shared" ref="J941:J1004" si="311">$D$30*(($D$26-$B941)/$R941)</f>
        <v>-192.62379917929488</v>
      </c>
      <c r="K941" s="94">
        <f t="shared" ref="K941:K1004" si="312">$D$30*(($E$26-$C941)/$R941)</f>
        <v>24.210695695600879</v>
      </c>
      <c r="L941" s="94">
        <f t="shared" ref="L941:L1004" si="313">$D$38*(($D$34-$B941)/$S941)</f>
        <v>-355.42275551030264</v>
      </c>
      <c r="M941" s="94">
        <f t="shared" ref="M941:M1004" si="314">$D$38*(($E$34-$C941)/$S941)</f>
        <v>-539.45790871642919</v>
      </c>
      <c r="N941" s="99">
        <f t="shared" ref="N941:N1004" si="315">SQRT(($D$18-$B940)^2+($E$18-$C940)^2)</f>
        <v>1481.7828267581356</v>
      </c>
      <c r="O941" s="99">
        <f t="shared" ref="O941:O1004" si="316">SQRT(($D$26-$B940)^2+($E$26-$C940)^2)</f>
        <v>29209.367319379922</v>
      </c>
      <c r="P941" s="100">
        <f t="shared" ref="P941:P1004" si="317">SQRT(($D$34-$B940)^2+($E$34-$C940)^2)</f>
        <v>25580.648088267484</v>
      </c>
      <c r="Q941" s="95">
        <f t="shared" ref="Q941:Q1004" si="318">(N941^2+$D$39^2)^(3/2)</f>
        <v>1033115336942.6177</v>
      </c>
      <c r="R941" s="95">
        <f t="shared" ref="R941:R1004" si="319">(O941^2+$D$31^2)^(3/2)</f>
        <v>27098481034457.645</v>
      </c>
      <c r="S941" s="95">
        <f t="shared" ref="S941:S1004" si="320">(P941^2+$D$23^2)^(3/2)</f>
        <v>20719354949502.641</v>
      </c>
      <c r="T941">
        <f t="shared" si="302"/>
        <v>0.5</v>
      </c>
    </row>
    <row r="942" spans="1:20" x14ac:dyDescent="0.25">
      <c r="A942">
        <v>449.5</v>
      </c>
      <c r="B942" s="95">
        <f t="shared" si="303"/>
        <v>9121.6645868920368</v>
      </c>
      <c r="C942" s="95">
        <f t="shared" si="304"/>
        <v>6294.2149280557196</v>
      </c>
      <c r="D942" s="95">
        <f t="shared" si="305"/>
        <v>114.42371508237414</v>
      </c>
      <c r="E942" s="95">
        <f t="shared" si="306"/>
        <v>-105.40524019967694</v>
      </c>
      <c r="F942" s="96">
        <f t="shared" si="307"/>
        <v>-103.83377053938477</v>
      </c>
      <c r="G942" s="94">
        <f t="shared" si="308"/>
        <v>96.331324410320576</v>
      </c>
      <c r="H942" s="97">
        <f t="shared" si="309"/>
        <v>445.09403240045259</v>
      </c>
      <c r="I942" s="94">
        <f t="shared" si="310"/>
        <v>611.02823804051843</v>
      </c>
      <c r="J942" s="95">
        <f t="shared" si="311"/>
        <v>-191.44111681988727</v>
      </c>
      <c r="K942" s="94">
        <f t="shared" si="312"/>
        <v>24.361232193670876</v>
      </c>
      <c r="L942" s="94">
        <f t="shared" si="313"/>
        <v>-357.48668611995009</v>
      </c>
      <c r="M942" s="94">
        <f t="shared" si="314"/>
        <v>-539.0581458238687</v>
      </c>
      <c r="N942" s="99">
        <f t="shared" si="315"/>
        <v>1484.8730034486666</v>
      </c>
      <c r="O942" s="99">
        <f t="shared" si="316"/>
        <v>29293.129294369421</v>
      </c>
      <c r="P942" s="100">
        <f t="shared" si="317"/>
        <v>25563.64057375037</v>
      </c>
      <c r="Q942" s="95">
        <f t="shared" si="318"/>
        <v>1033254353889.3959</v>
      </c>
      <c r="R942" s="95">
        <f t="shared" si="319"/>
        <v>27319561146581.629</v>
      </c>
      <c r="S942" s="95">
        <f t="shared" si="320"/>
        <v>20683529133237.527</v>
      </c>
      <c r="T942">
        <f t="shared" si="302"/>
        <v>0.5</v>
      </c>
    </row>
    <row r="943" spans="1:20" x14ac:dyDescent="0.25">
      <c r="A943">
        <v>450</v>
      </c>
      <c r="B943" s="95">
        <f t="shared" si="303"/>
        <v>9152.9180017983781</v>
      </c>
      <c r="C943" s="95">
        <f t="shared" si="304"/>
        <v>6265.5951390584605</v>
      </c>
      <c r="D943" s="95">
        <f t="shared" si="305"/>
        <v>62.506829812681758</v>
      </c>
      <c r="E943" s="95">
        <f t="shared" si="306"/>
        <v>-57.239577994516651</v>
      </c>
      <c r="F943" s="96">
        <f t="shared" si="307"/>
        <v>-120.07864665901965</v>
      </c>
      <c r="G943" s="94">
        <f t="shared" si="308"/>
        <v>110.72737960980396</v>
      </c>
      <c r="H943" s="97">
        <f t="shared" si="309"/>
        <v>429.12706456300998</v>
      </c>
      <c r="I943" s="94">
        <f t="shared" si="310"/>
        <v>625.34268888107169</v>
      </c>
      <c r="J943" s="95">
        <f t="shared" si="311"/>
        <v>-190.47467566327842</v>
      </c>
      <c r="K943" s="94">
        <f t="shared" si="312"/>
        <v>24.399257550799238</v>
      </c>
      <c r="L943" s="94">
        <f t="shared" si="313"/>
        <v>-358.73103555875122</v>
      </c>
      <c r="M943" s="94">
        <f t="shared" si="314"/>
        <v>-539.01456682206697</v>
      </c>
      <c r="N943" s="99">
        <f t="shared" si="315"/>
        <v>1491.7743588234816</v>
      </c>
      <c r="O943" s="99">
        <f t="shared" si="316"/>
        <v>29356.501687205287</v>
      </c>
      <c r="P943" s="100">
        <f t="shared" si="317"/>
        <v>25551.223064794995</v>
      </c>
      <c r="Q943" s="95">
        <f t="shared" si="318"/>
        <v>1033565891588.2819</v>
      </c>
      <c r="R943" s="95">
        <f t="shared" si="319"/>
        <v>27487644834531.188</v>
      </c>
      <c r="S943" s="95">
        <f t="shared" si="320"/>
        <v>20657400119681.324</v>
      </c>
      <c r="T943">
        <f t="shared" si="302"/>
        <v>0.5</v>
      </c>
    </row>
    <row r="944" spans="1:20" x14ac:dyDescent="0.25">
      <c r="A944">
        <v>450.5</v>
      </c>
      <c r="B944" s="95">
        <f t="shared" si="303"/>
        <v>9154.151755039964</v>
      </c>
      <c r="C944" s="95">
        <f t="shared" si="304"/>
        <v>6264.6571949636536</v>
      </c>
      <c r="D944" s="95">
        <f t="shared" si="305"/>
        <v>2.4675064831719311</v>
      </c>
      <c r="E944" s="95">
        <f t="shared" si="306"/>
        <v>-1.8758881896146704</v>
      </c>
      <c r="F944" s="96">
        <f t="shared" si="307"/>
        <v>-120.44579900446334</v>
      </c>
      <c r="G944" s="94">
        <f t="shared" si="308"/>
        <v>110.64553169150145</v>
      </c>
      <c r="H944" s="97">
        <f t="shared" si="309"/>
        <v>428.40201968089553</v>
      </c>
      <c r="I944" s="94">
        <f t="shared" si="310"/>
        <v>625.67175120264972</v>
      </c>
      <c r="J944" s="95">
        <f t="shared" si="311"/>
        <v>-189.84636903121915</v>
      </c>
      <c r="K944" s="94">
        <f t="shared" si="312"/>
        <v>24.32385186787155</v>
      </c>
      <c r="L944" s="94">
        <f t="shared" si="313"/>
        <v>-359.00144965413972</v>
      </c>
      <c r="M944" s="94">
        <f t="shared" si="314"/>
        <v>-539.35007137901982</v>
      </c>
      <c r="N944" s="99">
        <f t="shared" si="315"/>
        <v>1497.0982841461525</v>
      </c>
      <c r="O944" s="99">
        <f t="shared" si="316"/>
        <v>29391.128043765242</v>
      </c>
      <c r="P944" s="100">
        <f t="shared" si="317"/>
        <v>25544.678987686955</v>
      </c>
      <c r="Q944" s="95">
        <f t="shared" si="318"/>
        <v>1033807230257.5448</v>
      </c>
      <c r="R944" s="95">
        <f t="shared" si="319"/>
        <v>27579783782392.141</v>
      </c>
      <c r="S944" s="95">
        <f t="shared" si="320"/>
        <v>20643639561097.184</v>
      </c>
      <c r="T944">
        <f t="shared" si="302"/>
        <v>0.5</v>
      </c>
    </row>
    <row r="945" spans="1:20" x14ac:dyDescent="0.25">
      <c r="A945">
        <v>451</v>
      </c>
      <c r="B945" s="95">
        <f t="shared" si="303"/>
        <v>9125.2740585304346</v>
      </c>
      <c r="C945" s="95">
        <f t="shared" si="304"/>
        <v>6291.3806337917213</v>
      </c>
      <c r="D945" s="95">
        <f t="shared" si="305"/>
        <v>-57.755393019059738</v>
      </c>
      <c r="E945" s="95">
        <f t="shared" si="306"/>
        <v>53.446877656136053</v>
      </c>
      <c r="F945" s="96">
        <f t="shared" si="307"/>
        <v>-104.87986955146962</v>
      </c>
      <c r="G945" s="94">
        <f t="shared" si="308"/>
        <v>96.248397404407342</v>
      </c>
      <c r="H945" s="97">
        <f t="shared" si="309"/>
        <v>443.02640536654684</v>
      </c>
      <c r="I945" s="94">
        <f t="shared" si="310"/>
        <v>612.13491893023718</v>
      </c>
      <c r="J945" s="95">
        <f t="shared" si="311"/>
        <v>-189.63372292003763</v>
      </c>
      <c r="K945" s="94">
        <f t="shared" si="312"/>
        <v>24.14670144885536</v>
      </c>
      <c r="L945" s="94">
        <f t="shared" si="313"/>
        <v>-358.27255199797884</v>
      </c>
      <c r="M945" s="94">
        <f t="shared" si="314"/>
        <v>-540.03322297468515</v>
      </c>
      <c r="N945" s="99">
        <f t="shared" si="315"/>
        <v>1497.1743717606983</v>
      </c>
      <c r="O945" s="99">
        <f t="shared" si="316"/>
        <v>29392.47098198851</v>
      </c>
      <c r="P945" s="100">
        <f t="shared" si="317"/>
        <v>25544.581764515548</v>
      </c>
      <c r="Q945" s="95">
        <f t="shared" si="318"/>
        <v>1033810685750.4208</v>
      </c>
      <c r="R945" s="95">
        <f t="shared" si="319"/>
        <v>27583361530889.484</v>
      </c>
      <c r="S945" s="95">
        <f t="shared" si="320"/>
        <v>20643435174678.613</v>
      </c>
      <c r="T945">
        <f t="shared" si="302"/>
        <v>0.5</v>
      </c>
    </row>
    <row r="946" spans="1:20" x14ac:dyDescent="0.25">
      <c r="A946">
        <v>451.5</v>
      </c>
      <c r="B946" s="95">
        <f t="shared" si="303"/>
        <v>9070.1763946330375</v>
      </c>
      <c r="C946" s="95">
        <f t="shared" si="304"/>
        <v>6342.1661719708909</v>
      </c>
      <c r="D946" s="95">
        <f t="shared" si="305"/>
        <v>-110.19532779479455</v>
      </c>
      <c r="E946" s="95">
        <f t="shared" si="306"/>
        <v>101.57107635833972</v>
      </c>
      <c r="F946" s="96">
        <f t="shared" si="307"/>
        <v>-75.468934904160335</v>
      </c>
      <c r="G946" s="94">
        <f t="shared" si="308"/>
        <v>69.462061275634483</v>
      </c>
      <c r="H946" s="97">
        <f t="shared" si="309"/>
        <v>471.03994295474519</v>
      </c>
      <c r="I946" s="94">
        <f t="shared" si="310"/>
        <v>586.54778944944587</v>
      </c>
      <c r="J946" s="95">
        <f t="shared" si="311"/>
        <v>-189.86175768178788</v>
      </c>
      <c r="K946" s="94">
        <f t="shared" si="312"/>
        <v>23.88987085835933</v>
      </c>
      <c r="L946" s="94">
        <f t="shared" si="313"/>
        <v>-356.64712017711764</v>
      </c>
      <c r="M946" s="94">
        <f t="shared" si="314"/>
        <v>-540.97559903217075</v>
      </c>
      <c r="N946" s="99">
        <f t="shared" si="315"/>
        <v>1491.9471321241645</v>
      </c>
      <c r="O946" s="99">
        <f t="shared" si="316"/>
        <v>29360.440163388575</v>
      </c>
      <c r="P946" s="100">
        <f t="shared" si="317"/>
        <v>25550.85627765915</v>
      </c>
      <c r="Q946" s="95">
        <f t="shared" si="318"/>
        <v>1033573709776.2675</v>
      </c>
      <c r="R946" s="95">
        <f t="shared" si="319"/>
        <v>27498114263291.449</v>
      </c>
      <c r="S946" s="95">
        <f t="shared" si="320"/>
        <v>20656628683902.711</v>
      </c>
      <c r="T946">
        <f t="shared" si="302"/>
        <v>0.5</v>
      </c>
    </row>
    <row r="947" spans="1:20" x14ac:dyDescent="0.25">
      <c r="A947">
        <v>452</v>
      </c>
      <c r="B947" s="95">
        <f t="shared" si="303"/>
        <v>8996.2114970096009</v>
      </c>
      <c r="C947" s="95">
        <f t="shared" si="304"/>
        <v>6410.3172254689689</v>
      </c>
      <c r="D947" s="95">
        <f t="shared" si="305"/>
        <v>-147.92979524687473</v>
      </c>
      <c r="E947" s="95">
        <f t="shared" si="306"/>
        <v>136.30210699615697</v>
      </c>
      <c r="F947" s="96">
        <f t="shared" si="307"/>
        <v>-36.176213665832961</v>
      </c>
      <c r="G947" s="94">
        <f t="shared" si="308"/>
        <v>33.732574000305817</v>
      </c>
      <c r="H947" s="97">
        <f t="shared" si="309"/>
        <v>508.66477339500557</v>
      </c>
      <c r="I947" s="94">
        <f t="shared" si="310"/>
        <v>552.19126332688177</v>
      </c>
      <c r="J947" s="95">
        <f t="shared" si="311"/>
        <v>-190.50063307555439</v>
      </c>
      <c r="K947" s="94">
        <f t="shared" si="312"/>
        <v>23.583661650388311</v>
      </c>
      <c r="L947" s="94">
        <f t="shared" si="313"/>
        <v>-354.34035398528414</v>
      </c>
      <c r="M947" s="94">
        <f t="shared" si="314"/>
        <v>-542.04235097696426</v>
      </c>
      <c r="N947" s="99">
        <f t="shared" si="315"/>
        <v>1484.9751211472053</v>
      </c>
      <c r="O947" s="99">
        <f t="shared" si="316"/>
        <v>29299.401084809808</v>
      </c>
      <c r="P947" s="100">
        <f t="shared" si="317"/>
        <v>25562.823018753374</v>
      </c>
      <c r="Q947" s="95">
        <f t="shared" si="318"/>
        <v>1033258952880.7006</v>
      </c>
      <c r="R947" s="95">
        <f t="shared" si="319"/>
        <v>27336164415606.477</v>
      </c>
      <c r="S947" s="95">
        <f t="shared" si="320"/>
        <v>20681808098982.176</v>
      </c>
      <c r="T947">
        <f t="shared" si="302"/>
        <v>0.5</v>
      </c>
    </row>
    <row r="948" spans="1:20" x14ac:dyDescent="0.25">
      <c r="A948">
        <v>452.5</v>
      </c>
      <c r="B948" s="95">
        <f t="shared" si="303"/>
        <v>8913.2025459697052</v>
      </c>
      <c r="C948" s="95">
        <f t="shared" si="304"/>
        <v>6486.9014224671246</v>
      </c>
      <c r="D948" s="95">
        <f t="shared" si="305"/>
        <v>-166.01790207979121</v>
      </c>
      <c r="E948" s="95">
        <f t="shared" si="306"/>
        <v>153.16839399630987</v>
      </c>
      <c r="F948" s="96">
        <f t="shared" si="307"/>
        <v>7.6900923313569933</v>
      </c>
      <c r="G948" s="94">
        <f t="shared" si="308"/>
        <v>-6.3517507649248728</v>
      </c>
      <c r="H948" s="97">
        <f t="shared" si="309"/>
        <v>550.81120100697308</v>
      </c>
      <c r="I948" s="94">
        <f t="shared" si="310"/>
        <v>513.45910147281597</v>
      </c>
      <c r="J948" s="95">
        <f t="shared" si="311"/>
        <v>-191.46889872714209</v>
      </c>
      <c r="K948" s="94">
        <f t="shared" si="312"/>
        <v>23.264427892090133</v>
      </c>
      <c r="L948" s="94">
        <f t="shared" si="313"/>
        <v>-351.65220994847397</v>
      </c>
      <c r="M948" s="94">
        <f t="shared" si="314"/>
        <v>-543.07528012983096</v>
      </c>
      <c r="N948" s="99">
        <f t="shared" si="315"/>
        <v>1481.5532079022178</v>
      </c>
      <c r="O948" s="99">
        <f t="shared" si="316"/>
        <v>29217.564984116601</v>
      </c>
      <c r="P948" s="100">
        <f t="shared" si="317"/>
        <v>25579.202879766155</v>
      </c>
      <c r="Q948" s="95">
        <f t="shared" si="318"/>
        <v>1033105018948.9645</v>
      </c>
      <c r="R948" s="95">
        <f t="shared" si="319"/>
        <v>27120063469584.328</v>
      </c>
      <c r="S948" s="95">
        <f t="shared" si="320"/>
        <v>20716308931453.324</v>
      </c>
      <c r="T948">
        <f t="shared" si="302"/>
        <v>0.5</v>
      </c>
    </row>
    <row r="949" spans="1:20" x14ac:dyDescent="0.25">
      <c r="A949">
        <v>453</v>
      </c>
      <c r="B949" s="95">
        <f t="shared" si="303"/>
        <v>8832.1161180126492</v>
      </c>
      <c r="C949" s="95">
        <f t="shared" si="304"/>
        <v>6561.8976817740477</v>
      </c>
      <c r="D949" s="95">
        <f t="shared" si="305"/>
        <v>-162.17285591411272</v>
      </c>
      <c r="E949" s="95">
        <f t="shared" si="306"/>
        <v>149.99251861384744</v>
      </c>
      <c r="F949" s="96">
        <f t="shared" si="307"/>
        <v>50.226036765098797</v>
      </c>
      <c r="G949" s="94">
        <f t="shared" si="308"/>
        <v>-45.588846642936119</v>
      </c>
      <c r="H949" s="97">
        <f t="shared" si="309"/>
        <v>591.79890206031814</v>
      </c>
      <c r="I949" s="94">
        <f t="shared" si="310"/>
        <v>475.36226033160608</v>
      </c>
      <c r="J949" s="95">
        <f t="shared" si="311"/>
        <v>-192.64234903093319</v>
      </c>
      <c r="K949" s="94">
        <f t="shared" si="312"/>
        <v>22.971748035447263</v>
      </c>
      <c r="L949" s="94">
        <f t="shared" si="313"/>
        <v>-348.93051626428615</v>
      </c>
      <c r="M949" s="94">
        <f t="shared" si="314"/>
        <v>-543.92285500998946</v>
      </c>
      <c r="N949" s="99">
        <f t="shared" si="315"/>
        <v>1485.764932243949</v>
      </c>
      <c r="O949" s="99">
        <f t="shared" si="316"/>
        <v>29125.850083383531</v>
      </c>
      <c r="P949" s="100">
        <f t="shared" si="317"/>
        <v>25598.127623402415</v>
      </c>
      <c r="Q949" s="95">
        <f t="shared" si="318"/>
        <v>1033294533870.6266</v>
      </c>
      <c r="R949" s="95">
        <f t="shared" si="319"/>
        <v>26879271589146.961</v>
      </c>
      <c r="S949" s="95">
        <f t="shared" si="320"/>
        <v>20756221441633.199</v>
      </c>
      <c r="T949">
        <f t="shared" si="302"/>
        <v>0.5</v>
      </c>
    </row>
    <row r="950" spans="1:20" x14ac:dyDescent="0.25">
      <c r="A950">
        <v>453.5</v>
      </c>
      <c r="B950" s="95">
        <f t="shared" si="303"/>
        <v>8763.5861992468672</v>
      </c>
      <c r="C950" s="95">
        <f t="shared" si="304"/>
        <v>6625.4967294202379</v>
      </c>
      <c r="D950" s="95">
        <f t="shared" si="305"/>
        <v>-137.05983753156332</v>
      </c>
      <c r="E950" s="95">
        <f t="shared" si="306"/>
        <v>127.19809529237938</v>
      </c>
      <c r="F950" s="96">
        <f t="shared" si="307"/>
        <v>85.793116807770105</v>
      </c>
      <c r="G950" s="94">
        <f t="shared" si="308"/>
        <v>-78.826492810704451</v>
      </c>
      <c r="H950" s="97">
        <f t="shared" si="309"/>
        <v>626.18951385433377</v>
      </c>
      <c r="I950" s="94">
        <f t="shared" si="310"/>
        <v>442.89765896725305</v>
      </c>
      <c r="J950" s="95">
        <f t="shared" si="311"/>
        <v>-193.86842930338491</v>
      </c>
      <c r="K950" s="94">
        <f t="shared" si="312"/>
        <v>22.744370059237028</v>
      </c>
      <c r="L950" s="94">
        <f t="shared" si="313"/>
        <v>-346.52796774317875</v>
      </c>
      <c r="M950" s="94">
        <f t="shared" si="314"/>
        <v>-544.46852183719454</v>
      </c>
      <c r="N950" s="99">
        <f t="shared" si="315"/>
        <v>1497.9949002806218</v>
      </c>
      <c r="O950" s="99">
        <f t="shared" si="316"/>
        <v>29036.381788941191</v>
      </c>
      <c r="P950" s="100">
        <f t="shared" si="317"/>
        <v>25617.237710992151</v>
      </c>
      <c r="Q950" s="95">
        <f t="shared" si="318"/>
        <v>1033847961174.5399</v>
      </c>
      <c r="R950" s="95">
        <f t="shared" si="319"/>
        <v>26645795034608.242</v>
      </c>
      <c r="S950" s="95">
        <f t="shared" si="320"/>
        <v>20796580803279.656</v>
      </c>
      <c r="T950">
        <f t="shared" si="302"/>
        <v>0.5</v>
      </c>
    </row>
    <row r="951" spans="1:20" x14ac:dyDescent="0.25">
      <c r="A951">
        <v>454</v>
      </c>
      <c r="B951" s="95">
        <f t="shared" si="303"/>
        <v>8716.5045596830278</v>
      </c>
      <c r="C951" s="95">
        <f t="shared" si="304"/>
        <v>6669.3891538637508</v>
      </c>
      <c r="D951" s="95">
        <f t="shared" si="305"/>
        <v>-94.163279127678265</v>
      </c>
      <c r="E951" s="95">
        <f t="shared" si="306"/>
        <v>87.784848887027152</v>
      </c>
      <c r="F951" s="96">
        <f t="shared" si="307"/>
        <v>109.81987313338766</v>
      </c>
      <c r="G951" s="94">
        <f t="shared" si="308"/>
        <v>-101.67136409481071</v>
      </c>
      <c r="H951" s="97">
        <f t="shared" si="309"/>
        <v>649.5626632273071</v>
      </c>
      <c r="I951" s="94">
        <f t="shared" si="310"/>
        <v>420.36284382008063</v>
      </c>
      <c r="J951" s="95">
        <f t="shared" si="311"/>
        <v>-194.98541135767346</v>
      </c>
      <c r="K951" s="94">
        <f t="shared" si="312"/>
        <v>22.614887705308298</v>
      </c>
      <c r="L951" s="94">
        <f t="shared" si="313"/>
        <v>-344.75737873624598</v>
      </c>
      <c r="M951" s="94">
        <f t="shared" si="314"/>
        <v>-544.64909562019966</v>
      </c>
      <c r="N951" s="99">
        <f t="shared" si="315"/>
        <v>1514.4223509138751</v>
      </c>
      <c r="O951" s="99">
        <f t="shared" si="316"/>
        <v>28960.855708432689</v>
      </c>
      <c r="P951" s="100">
        <f t="shared" si="317"/>
        <v>25633.930909212191</v>
      </c>
      <c r="Q951" s="95">
        <f t="shared" si="318"/>
        <v>1034598629325.4581</v>
      </c>
      <c r="R951" s="95">
        <f t="shared" si="319"/>
        <v>26449788202722.367</v>
      </c>
      <c r="S951" s="95">
        <f t="shared" si="320"/>
        <v>20831881885356.277</v>
      </c>
      <c r="T951">
        <f t="shared" si="302"/>
        <v>0.5</v>
      </c>
    </row>
    <row r="952" spans="1:20" x14ac:dyDescent="0.25">
      <c r="A952">
        <v>454.5</v>
      </c>
      <c r="B952" s="95">
        <f t="shared" si="303"/>
        <v>8696.877888402536</v>
      </c>
      <c r="C952" s="95">
        <f t="shared" si="304"/>
        <v>6687.8637372835619</v>
      </c>
      <c r="D952" s="95">
        <f t="shared" si="305"/>
        <v>-39.253342560984436</v>
      </c>
      <c r="E952" s="95">
        <f t="shared" si="306"/>
        <v>36.949166839621796</v>
      </c>
      <c r="F952" s="96">
        <f t="shared" si="307"/>
        <v>119.37710659679777</v>
      </c>
      <c r="G952" s="94">
        <f t="shared" si="308"/>
        <v>-111.10589031738419</v>
      </c>
      <c r="H952" s="97">
        <f t="shared" si="309"/>
        <v>659.07215558969426</v>
      </c>
      <c r="I952" s="94">
        <f t="shared" si="310"/>
        <v>410.74922490949371</v>
      </c>
      <c r="J952" s="95">
        <f t="shared" si="311"/>
        <v>-195.84424653292663</v>
      </c>
      <c r="K952" s="94">
        <f t="shared" si="312"/>
        <v>22.603951318628734</v>
      </c>
      <c r="L952" s="94">
        <f t="shared" si="313"/>
        <v>-343.85080245996988</v>
      </c>
      <c r="M952" s="94">
        <f t="shared" si="314"/>
        <v>-544.45906654550663</v>
      </c>
      <c r="N952" s="99">
        <f t="shared" si="315"/>
        <v>1528.8148753310959</v>
      </c>
      <c r="O952" s="99">
        <f t="shared" si="316"/>
        <v>28909.005564610772</v>
      </c>
      <c r="P952" s="100">
        <f t="shared" si="317"/>
        <v>25645.758394662327</v>
      </c>
      <c r="Q952" s="95">
        <f t="shared" si="318"/>
        <v>1035263189774.7419</v>
      </c>
      <c r="R952" s="95">
        <f t="shared" si="319"/>
        <v>26315799848141.02</v>
      </c>
      <c r="S952" s="95">
        <f t="shared" si="320"/>
        <v>20856919456286.234</v>
      </c>
      <c r="T952">
        <f t="shared" si="302"/>
        <v>0.5</v>
      </c>
    </row>
    <row r="953" spans="1:20" x14ac:dyDescent="0.25">
      <c r="A953">
        <v>455</v>
      </c>
      <c r="B953" s="95">
        <f t="shared" si="303"/>
        <v>8707.0954937712431</v>
      </c>
      <c r="C953" s="95">
        <f t="shared" si="304"/>
        <v>6678.5618481240272</v>
      </c>
      <c r="D953" s="95">
        <f t="shared" si="305"/>
        <v>20.435210737414451</v>
      </c>
      <c r="E953" s="95">
        <f t="shared" si="306"/>
        <v>-18.603778319070301</v>
      </c>
      <c r="F953" s="96">
        <f t="shared" si="307"/>
        <v>113.45080812161143</v>
      </c>
      <c r="G953" s="94">
        <f t="shared" si="308"/>
        <v>-105.89732567420862</v>
      </c>
      <c r="H953" s="97">
        <f t="shared" si="309"/>
        <v>653.70881444465419</v>
      </c>
      <c r="I953" s="94">
        <f t="shared" si="310"/>
        <v>415.32948320271424</v>
      </c>
      <c r="J953" s="95">
        <f t="shared" si="311"/>
        <v>-196.32976214838942</v>
      </c>
      <c r="K953" s="94">
        <f t="shared" si="312"/>
        <v>22.715539525407067</v>
      </c>
      <c r="L953" s="94">
        <f t="shared" si="313"/>
        <v>-343.92824417465334</v>
      </c>
      <c r="M953" s="94">
        <f t="shared" si="314"/>
        <v>-543.94234840232991</v>
      </c>
      <c r="N953" s="99">
        <f t="shared" si="315"/>
        <v>1535.4779539131314</v>
      </c>
      <c r="O953" s="99">
        <f t="shared" si="316"/>
        <v>28887.385606258791</v>
      </c>
      <c r="P953" s="100">
        <f t="shared" si="317"/>
        <v>25650.884923853788</v>
      </c>
      <c r="Q953" s="95">
        <f t="shared" si="318"/>
        <v>1035573028033.8982</v>
      </c>
      <c r="R953" s="95">
        <f t="shared" si="319"/>
        <v>26260068576741.578</v>
      </c>
      <c r="S953" s="95">
        <f t="shared" si="320"/>
        <v>20867778494815.781</v>
      </c>
      <c r="T953">
        <f t="shared" si="302"/>
        <v>0.5</v>
      </c>
    </row>
    <row r="954" spans="1:20" x14ac:dyDescent="0.25">
      <c r="A954">
        <v>455.5</v>
      </c>
      <c r="B954" s="95">
        <f t="shared" si="303"/>
        <v>8745.6758011703532</v>
      </c>
      <c r="C954" s="95">
        <f t="shared" si="304"/>
        <v>6642.7856275459399</v>
      </c>
      <c r="D954" s="95">
        <f t="shared" si="305"/>
        <v>77.160614798220166</v>
      </c>
      <c r="E954" s="95">
        <f t="shared" si="306"/>
        <v>-71.552441156174609</v>
      </c>
      <c r="F954" s="96">
        <f t="shared" si="307"/>
        <v>92.949487682729</v>
      </c>
      <c r="G954" s="94">
        <f t="shared" si="308"/>
        <v>-86.751973491672516</v>
      </c>
      <c r="H954" s="97">
        <f t="shared" si="309"/>
        <v>634.3074379011</v>
      </c>
      <c r="I954" s="94">
        <f t="shared" si="310"/>
        <v>433.49036304224296</v>
      </c>
      <c r="J954" s="95">
        <f t="shared" si="311"/>
        <v>-196.37744400837124</v>
      </c>
      <c r="K954" s="94">
        <f t="shared" si="312"/>
        <v>22.934968793596926</v>
      </c>
      <c r="L954" s="94">
        <f t="shared" si="313"/>
        <v>-344.98050620999976</v>
      </c>
      <c r="M954" s="94">
        <f t="shared" si="314"/>
        <v>-543.17730532751239</v>
      </c>
      <c r="N954" s="99">
        <f t="shared" si="315"/>
        <v>1531.7841556773067</v>
      </c>
      <c r="O954" s="99">
        <f t="shared" si="316"/>
        <v>28898.603479843776</v>
      </c>
      <c r="P954" s="100">
        <f t="shared" si="317"/>
        <v>25648.479695262689</v>
      </c>
      <c r="Q954" s="95">
        <f t="shared" si="318"/>
        <v>1035401093330.5836</v>
      </c>
      <c r="R954" s="95">
        <f t="shared" si="319"/>
        <v>26288975549761.797</v>
      </c>
      <c r="S954" s="95">
        <f t="shared" si="320"/>
        <v>20862683223274.082</v>
      </c>
      <c r="T954">
        <f t="shared" si="302"/>
        <v>0.5</v>
      </c>
    </row>
    <row r="955" spans="1:20" x14ac:dyDescent="0.25">
      <c r="A955">
        <v>456</v>
      </c>
      <c r="B955" s="95">
        <f t="shared" si="303"/>
        <v>8807.4934804901459</v>
      </c>
      <c r="C955" s="95">
        <f t="shared" si="304"/>
        <v>6585.3214135949347</v>
      </c>
      <c r="D955" s="95">
        <f t="shared" si="305"/>
        <v>123.63535863958467</v>
      </c>
      <c r="E955" s="95">
        <f t="shared" si="306"/>
        <v>-114.92842790201087</v>
      </c>
      <c r="F955" s="96">
        <f t="shared" si="307"/>
        <v>60.532812037088661</v>
      </c>
      <c r="G955" s="94">
        <f t="shared" si="308"/>
        <v>-56.222012765716215</v>
      </c>
      <c r="H955" s="97">
        <f t="shared" si="309"/>
        <v>603.38438178003821</v>
      </c>
      <c r="I955" s="94">
        <f t="shared" si="310"/>
        <v>462.80901978825528</v>
      </c>
      <c r="J955" s="95">
        <f t="shared" si="311"/>
        <v>-195.9827367454462</v>
      </c>
      <c r="K955" s="94">
        <f t="shared" si="312"/>
        <v>23.230693601404912</v>
      </c>
      <c r="L955" s="94">
        <f t="shared" si="313"/>
        <v>-346.86883299750332</v>
      </c>
      <c r="M955" s="94">
        <f t="shared" si="314"/>
        <v>-542.26172615537644</v>
      </c>
      <c r="N955" s="99">
        <f t="shared" si="315"/>
        <v>1519.2582651121052</v>
      </c>
      <c r="O955" s="99">
        <f t="shared" si="316"/>
        <v>28941.056746577222</v>
      </c>
      <c r="P955" s="100">
        <f t="shared" si="317"/>
        <v>25638.911305880159</v>
      </c>
      <c r="Q955" s="95">
        <f t="shared" si="318"/>
        <v>1034821205789.7939</v>
      </c>
      <c r="R955" s="95">
        <f t="shared" si="319"/>
        <v>26398569678986.516</v>
      </c>
      <c r="S955" s="95">
        <f t="shared" si="320"/>
        <v>20842422243563.668</v>
      </c>
      <c r="T955">
        <f t="shared" si="302"/>
        <v>0.5</v>
      </c>
    </row>
    <row r="956" spans="1:20" x14ac:dyDescent="0.25">
      <c r="A956">
        <v>456.5</v>
      </c>
      <c r="B956" s="95">
        <f t="shared" si="303"/>
        <v>8884.4443628192112</v>
      </c>
      <c r="C956" s="95">
        <f t="shared" si="304"/>
        <v>6513.8016964525004</v>
      </c>
      <c r="D956" s="95">
        <f t="shared" si="305"/>
        <v>153.901764658129</v>
      </c>
      <c r="E956" s="95">
        <f t="shared" si="306"/>
        <v>-143.03943428486897</v>
      </c>
      <c r="F956" s="96">
        <f t="shared" si="307"/>
        <v>20.314795131254073</v>
      </c>
      <c r="G956" s="94">
        <f t="shared" si="308"/>
        <v>-18.383673488623003</v>
      </c>
      <c r="H956" s="97">
        <f t="shared" si="309"/>
        <v>564.85815217077811</v>
      </c>
      <c r="I956" s="94">
        <f t="shared" si="310"/>
        <v>499.3584657270826</v>
      </c>
      <c r="J956" s="95">
        <f t="shared" si="311"/>
        <v>-195.20128713255571</v>
      </c>
      <c r="K956" s="94">
        <f t="shared" si="312"/>
        <v>23.559753738166911</v>
      </c>
      <c r="L956" s="94">
        <f t="shared" si="313"/>
        <v>-349.34206990696833</v>
      </c>
      <c r="M956" s="94">
        <f t="shared" si="314"/>
        <v>-541.30189295387254</v>
      </c>
      <c r="N956" s="99">
        <f t="shared" si="315"/>
        <v>1502.9001016373227</v>
      </c>
      <c r="O956" s="99">
        <f t="shared" si="316"/>
        <v>29009.165973480442</v>
      </c>
      <c r="P956" s="100">
        <f t="shared" si="317"/>
        <v>25623.679999991764</v>
      </c>
      <c r="Q956" s="95">
        <f t="shared" si="318"/>
        <v>1034071232742.0643</v>
      </c>
      <c r="R956" s="95">
        <f t="shared" si="319"/>
        <v>26575049550442.383</v>
      </c>
      <c r="S956" s="95">
        <f t="shared" si="320"/>
        <v>20810199212968.676</v>
      </c>
      <c r="T956">
        <f t="shared" si="302"/>
        <v>0.5</v>
      </c>
    </row>
    <row r="957" spans="1:20" x14ac:dyDescent="0.25">
      <c r="A957">
        <v>457</v>
      </c>
      <c r="B957" s="95">
        <f t="shared" si="303"/>
        <v>8966.4739439310906</v>
      </c>
      <c r="C957" s="95">
        <f t="shared" si="304"/>
        <v>6437.68606093791</v>
      </c>
      <c r="D957" s="95">
        <f t="shared" si="305"/>
        <v>164.05916222375603</v>
      </c>
      <c r="E957" s="95">
        <f t="shared" si="306"/>
        <v>-152.23127102918048</v>
      </c>
      <c r="F957" s="96">
        <f t="shared" si="307"/>
        <v>-22.567578594260738</v>
      </c>
      <c r="G957" s="94">
        <f t="shared" si="308"/>
        <v>21.697794875775799</v>
      </c>
      <c r="H957" s="97">
        <f t="shared" si="309"/>
        <v>523.64266981399953</v>
      </c>
      <c r="I957" s="94">
        <f t="shared" si="310"/>
        <v>538.22823717374206</v>
      </c>
      <c r="J957" s="95">
        <f t="shared" si="311"/>
        <v>-194.1402863034574</v>
      </c>
      <c r="K957" s="94">
        <f t="shared" si="312"/>
        <v>23.875486169665791</v>
      </c>
      <c r="L957" s="94">
        <f t="shared" si="313"/>
        <v>-352.06996210480287</v>
      </c>
      <c r="M957" s="94">
        <f t="shared" si="314"/>
        <v>-540.40592846763207</v>
      </c>
      <c r="N957" s="99">
        <f t="shared" si="315"/>
        <v>1488.9766531298608</v>
      </c>
      <c r="O957" s="99">
        <f t="shared" si="316"/>
        <v>29094.066487180095</v>
      </c>
      <c r="P957" s="100">
        <f t="shared" si="317"/>
        <v>25605.106105980205</v>
      </c>
      <c r="Q957" s="95">
        <f t="shared" si="318"/>
        <v>1033439421006.0076</v>
      </c>
      <c r="R957" s="95">
        <f t="shared" si="319"/>
        <v>26796169041855.793</v>
      </c>
      <c r="S957" s="95">
        <f t="shared" si="320"/>
        <v>20770953059298.5</v>
      </c>
      <c r="T957">
        <f t="shared" si="302"/>
        <v>0.5</v>
      </c>
    </row>
    <row r="958" spans="1:20" x14ac:dyDescent="0.25">
      <c r="A958">
        <v>457.5</v>
      </c>
      <c r="B958" s="95">
        <f t="shared" si="303"/>
        <v>9042.8616303944036</v>
      </c>
      <c r="C958" s="95">
        <f t="shared" si="304"/>
        <v>6366.9948741422631</v>
      </c>
      <c r="D958" s="95">
        <f t="shared" si="305"/>
        <v>152.77537292662566</v>
      </c>
      <c r="E958" s="95">
        <f t="shared" si="306"/>
        <v>-141.38237359129258</v>
      </c>
      <c r="F958" s="96">
        <f t="shared" si="307"/>
        <v>-62.545940257634641</v>
      </c>
      <c r="G958" s="94">
        <f t="shared" si="308"/>
        <v>58.672888253793076</v>
      </c>
      <c r="H958" s="97">
        <f t="shared" si="309"/>
        <v>485.08531011890454</v>
      </c>
      <c r="I958" s="94">
        <f t="shared" si="310"/>
        <v>574.21597576271199</v>
      </c>
      <c r="J958" s="95">
        <f t="shared" si="311"/>
        <v>-192.94260300799522</v>
      </c>
      <c r="K958" s="94">
        <f t="shared" si="312"/>
        <v>24.13541319188738</v>
      </c>
      <c r="L958" s="94">
        <f t="shared" si="313"/>
        <v>-354.68864736854397</v>
      </c>
      <c r="M958" s="94">
        <f t="shared" si="314"/>
        <v>-539.67850070080624</v>
      </c>
      <c r="N958" s="99">
        <f t="shared" si="315"/>
        <v>1482.1224691971202</v>
      </c>
      <c r="O958" s="99">
        <f t="shared" si="316"/>
        <v>29184.699644589025</v>
      </c>
      <c r="P958" s="100">
        <f t="shared" si="317"/>
        <v>25585.870672577035</v>
      </c>
      <c r="Q958" s="95">
        <f t="shared" si="318"/>
        <v>1033130601874.541</v>
      </c>
      <c r="R958" s="95">
        <f t="shared" si="319"/>
        <v>27033608168942.902</v>
      </c>
      <c r="S958" s="95">
        <f t="shared" si="320"/>
        <v>20730365096604.824</v>
      </c>
      <c r="T958">
        <f t="shared" si="302"/>
        <v>0.5</v>
      </c>
    </row>
    <row r="959" spans="1:20" x14ac:dyDescent="0.25">
      <c r="A959">
        <v>458</v>
      </c>
      <c r="B959" s="95">
        <f t="shared" si="303"/>
        <v>9103.6128317933071</v>
      </c>
      <c r="C959" s="95">
        <f t="shared" si="304"/>
        <v>6310.9719094100656</v>
      </c>
      <c r="D959" s="95">
        <f t="shared" si="305"/>
        <v>121.50240279780834</v>
      </c>
      <c r="E959" s="95">
        <f t="shared" si="306"/>
        <v>-112.04592946439604</v>
      </c>
      <c r="F959" s="96">
        <f t="shared" si="307"/>
        <v>-94.34284055040456</v>
      </c>
      <c r="G959" s="94">
        <f t="shared" si="308"/>
        <v>87.675357317990006</v>
      </c>
      <c r="H959" s="97">
        <f t="shared" si="309"/>
        <v>454.2752668506642</v>
      </c>
      <c r="I959" s="94">
        <f t="shared" si="310"/>
        <v>602.58119739296501</v>
      </c>
      <c r="J959" s="95">
        <f t="shared" si="311"/>
        <v>-191.76651594052657</v>
      </c>
      <c r="K959" s="94">
        <f t="shared" si="312"/>
        <v>24.307362396133637</v>
      </c>
      <c r="L959" s="94">
        <f t="shared" si="313"/>
        <v>-356.85159146054218</v>
      </c>
      <c r="M959" s="94">
        <f t="shared" si="314"/>
        <v>-539.21320247110862</v>
      </c>
      <c r="N959" s="99">
        <f t="shared" si="315"/>
        <v>1483.1771552283178</v>
      </c>
      <c r="O959" s="99">
        <f t="shared" si="316"/>
        <v>29269.20801673226</v>
      </c>
      <c r="P959" s="100">
        <f t="shared" si="317"/>
        <v>25568.54381309239</v>
      </c>
      <c r="Q959" s="95">
        <f t="shared" si="318"/>
        <v>1033178026593.6011</v>
      </c>
      <c r="R959" s="95">
        <f t="shared" si="319"/>
        <v>27256297990971.473</v>
      </c>
      <c r="S959" s="95">
        <f t="shared" si="320"/>
        <v>20693853094546.074</v>
      </c>
      <c r="T959">
        <f t="shared" si="302"/>
        <v>0.5</v>
      </c>
    </row>
    <row r="960" spans="1:20" x14ac:dyDescent="0.25">
      <c r="A960">
        <v>458.5</v>
      </c>
      <c r="B960" s="95">
        <f t="shared" si="303"/>
        <v>9140.7783230546102</v>
      </c>
      <c r="C960" s="95">
        <f t="shared" si="304"/>
        <v>6276.8677840073651</v>
      </c>
      <c r="D960" s="95">
        <f t="shared" si="305"/>
        <v>74.330982522606064</v>
      </c>
      <c r="E960" s="95">
        <f t="shared" si="306"/>
        <v>-68.208250805401036</v>
      </c>
      <c r="F960" s="96">
        <f t="shared" si="307"/>
        <v>-113.71313391938617</v>
      </c>
      <c r="G960" s="94">
        <f t="shared" si="308"/>
        <v>104.99765325069825</v>
      </c>
      <c r="H960" s="97">
        <f t="shared" si="309"/>
        <v>435.32865394624395</v>
      </c>
      <c r="I960" s="94">
        <f t="shared" si="310"/>
        <v>619.70561901943552</v>
      </c>
      <c r="J960" s="95">
        <f t="shared" si="311"/>
        <v>-190.76438375951881</v>
      </c>
      <c r="K960" s="94">
        <f t="shared" si="312"/>
        <v>24.372754048135437</v>
      </c>
      <c r="L960" s="94">
        <f t="shared" si="313"/>
        <v>-358.27740410611131</v>
      </c>
      <c r="M960" s="94">
        <f t="shared" si="314"/>
        <v>-539.08071981687272</v>
      </c>
      <c r="N960" s="99">
        <f t="shared" si="315"/>
        <v>1489.0593525906074</v>
      </c>
      <c r="O960" s="99">
        <f t="shared" si="316"/>
        <v>29336.482545051065</v>
      </c>
      <c r="P960" s="100">
        <f t="shared" si="317"/>
        <v>25555.222922776269</v>
      </c>
      <c r="Q960" s="95">
        <f t="shared" si="318"/>
        <v>1033443155964.8196</v>
      </c>
      <c r="R960" s="95">
        <f t="shared" si="319"/>
        <v>27434471327333.512</v>
      </c>
      <c r="S960" s="95">
        <f t="shared" si="320"/>
        <v>20665814062238.438</v>
      </c>
      <c r="T960">
        <f t="shared" si="302"/>
        <v>0.5</v>
      </c>
    </row>
    <row r="961" spans="1:20" x14ac:dyDescent="0.25">
      <c r="A961">
        <v>459</v>
      </c>
      <c r="B961" s="95">
        <f t="shared" si="303"/>
        <v>9149.5155308360663</v>
      </c>
      <c r="C961" s="95">
        <f t="shared" si="304"/>
        <v>6269.0130719173394</v>
      </c>
      <c r="D961" s="95">
        <f t="shared" si="305"/>
        <v>17.474415562912981</v>
      </c>
      <c r="E961" s="95">
        <f t="shared" si="306"/>
        <v>-15.709424180051911</v>
      </c>
      <c r="F961" s="96">
        <f t="shared" si="307"/>
        <v>-118.05559628583634</v>
      </c>
      <c r="G961" s="94">
        <f t="shared" si="308"/>
        <v>108.54241704309561</v>
      </c>
      <c r="H961" s="97">
        <f t="shared" si="309"/>
        <v>430.79432828810241</v>
      </c>
      <c r="I961" s="94">
        <f t="shared" si="310"/>
        <v>623.52953644893296</v>
      </c>
      <c r="J961" s="95">
        <f t="shared" si="311"/>
        <v>-190.06339695627062</v>
      </c>
      <c r="K961" s="94">
        <f t="shared" si="312"/>
        <v>24.327129855749352</v>
      </c>
      <c r="L961" s="94">
        <f t="shared" si="313"/>
        <v>-358.78652761766813</v>
      </c>
      <c r="M961" s="94">
        <f t="shared" si="314"/>
        <v>-539.31424926158672</v>
      </c>
      <c r="N961" s="99">
        <f t="shared" si="315"/>
        <v>1494.7622914470051</v>
      </c>
      <c r="O961" s="99">
        <f t="shared" si="316"/>
        <v>29377.656046239834</v>
      </c>
      <c r="P961" s="100">
        <f t="shared" si="317"/>
        <v>25547.342607009083</v>
      </c>
      <c r="Q961" s="95">
        <f t="shared" si="318"/>
        <v>1033701229283.1139</v>
      </c>
      <c r="R961" s="95">
        <f t="shared" si="319"/>
        <v>27543910367687.203</v>
      </c>
      <c r="S961" s="95">
        <f t="shared" si="320"/>
        <v>20649239692605.57</v>
      </c>
      <c r="T961">
        <f t="shared" si="302"/>
        <v>0.5</v>
      </c>
    </row>
    <row r="962" spans="1:20" x14ac:dyDescent="0.25">
      <c r="A962">
        <v>459.5</v>
      </c>
      <c r="B962" s="95">
        <f t="shared" si="303"/>
        <v>9128.7388395460639</v>
      </c>
      <c r="C962" s="95">
        <f t="shared" si="304"/>
        <v>6288.2939640880877</v>
      </c>
      <c r="D962" s="95">
        <f t="shared" si="305"/>
        <v>-41.553382580005191</v>
      </c>
      <c r="E962" s="95">
        <f t="shared" si="306"/>
        <v>38.561784341495894</v>
      </c>
      <c r="F962" s="96">
        <f t="shared" si="307"/>
        <v>-106.78229984250623</v>
      </c>
      <c r="G962" s="94">
        <f t="shared" si="308"/>
        <v>98.006218831668889</v>
      </c>
      <c r="H962" s="97">
        <f t="shared" si="309"/>
        <v>441.29021766924404</v>
      </c>
      <c r="I962" s="94">
        <f t="shared" si="310"/>
        <v>613.72415598109876</v>
      </c>
      <c r="J962" s="95">
        <f t="shared" si="311"/>
        <v>-189.75068979934395</v>
      </c>
      <c r="K962" s="94">
        <f t="shared" si="312"/>
        <v>24.178828493957877</v>
      </c>
      <c r="L962" s="94">
        <f t="shared" si="313"/>
        <v>-358.32182771240633</v>
      </c>
      <c r="M962" s="94">
        <f t="shared" si="314"/>
        <v>-539.89676564338777</v>
      </c>
      <c r="N962" s="99">
        <f t="shared" si="315"/>
        <v>1496.2127687596585</v>
      </c>
      <c r="O962" s="99">
        <f t="shared" si="316"/>
        <v>29387.319019263679</v>
      </c>
      <c r="P962" s="100">
        <f t="shared" si="317"/>
        <v>25545.639682943187</v>
      </c>
      <c r="Q962" s="95">
        <f t="shared" si="318"/>
        <v>1033767028078.4663</v>
      </c>
      <c r="R962" s="95">
        <f t="shared" si="319"/>
        <v>27569637815189.914</v>
      </c>
      <c r="S962" s="95">
        <f t="shared" si="320"/>
        <v>20645659250968.125</v>
      </c>
      <c r="T962">
        <f t="shared" si="302"/>
        <v>0.5</v>
      </c>
    </row>
    <row r="963" spans="1:20" x14ac:dyDescent="0.25">
      <c r="A963">
        <v>460</v>
      </c>
      <c r="B963" s="95">
        <f t="shared" si="303"/>
        <v>9081.2665732954356</v>
      </c>
      <c r="C963" s="95">
        <f t="shared" si="304"/>
        <v>6332.0764109667534</v>
      </c>
      <c r="D963" s="95">
        <f t="shared" si="305"/>
        <v>-94.944532501258308</v>
      </c>
      <c r="E963" s="95">
        <f t="shared" si="306"/>
        <v>87.564893757330339</v>
      </c>
      <c r="F963" s="96">
        <f t="shared" si="307"/>
        <v>-81.403954729449481</v>
      </c>
      <c r="G963" s="94">
        <f t="shared" si="308"/>
        <v>74.837758257108248</v>
      </c>
      <c r="H963" s="97">
        <f t="shared" si="309"/>
        <v>465.41205594661551</v>
      </c>
      <c r="I963" s="94">
        <f t="shared" si="310"/>
        <v>591.64682916811614</v>
      </c>
      <c r="J963" s="95">
        <f t="shared" si="311"/>
        <v>-189.86392927516729</v>
      </c>
      <c r="K963" s="94">
        <f t="shared" si="312"/>
        <v>23.94690695949323</v>
      </c>
      <c r="L963" s="94">
        <f t="shared" si="313"/>
        <v>-356.95208140089773</v>
      </c>
      <c r="M963" s="94">
        <f t="shared" si="314"/>
        <v>-540.75597787050117</v>
      </c>
      <c r="N963" s="99">
        <f t="shared" si="315"/>
        <v>1492.4233739729823</v>
      </c>
      <c r="O963" s="99">
        <f t="shared" si="316"/>
        <v>29364.267198067526</v>
      </c>
      <c r="P963" s="100">
        <f t="shared" si="317"/>
        <v>25550.20002069508</v>
      </c>
      <c r="Q963" s="95">
        <f t="shared" si="318"/>
        <v>1033595265050.2833</v>
      </c>
      <c r="R963" s="95">
        <f t="shared" si="319"/>
        <v>27508290072070.879</v>
      </c>
      <c r="S963" s="95">
        <f t="shared" si="320"/>
        <v>20655248479613.434</v>
      </c>
      <c r="T963">
        <f t="shared" si="302"/>
        <v>0.5</v>
      </c>
    </row>
    <row r="964" spans="1:20" x14ac:dyDescent="0.25">
      <c r="A964">
        <v>460.5</v>
      </c>
      <c r="B964" s="95">
        <f t="shared" si="303"/>
        <v>9013.4433183624442</v>
      </c>
      <c r="C964" s="95">
        <f t="shared" si="304"/>
        <v>6394.5682974096953</v>
      </c>
      <c r="D964" s="95">
        <f t="shared" si="305"/>
        <v>-135.64650986598303</v>
      </c>
      <c r="E964" s="95">
        <f t="shared" si="306"/>
        <v>124.98377288588446</v>
      </c>
      <c r="F964" s="96">
        <f t="shared" si="307"/>
        <v>-45.336932838461792</v>
      </c>
      <c r="G964" s="94">
        <f t="shared" si="308"/>
        <v>42.035285591123056</v>
      </c>
      <c r="H964" s="97">
        <f t="shared" si="309"/>
        <v>499.91087690345245</v>
      </c>
      <c r="I964" s="94">
        <f t="shared" si="310"/>
        <v>560.14757396556558</v>
      </c>
      <c r="J964" s="95">
        <f t="shared" si="311"/>
        <v>-190.38758024278283</v>
      </c>
      <c r="K964" s="94">
        <f t="shared" si="312"/>
        <v>23.659012481029698</v>
      </c>
      <c r="L964" s="94">
        <f t="shared" si="313"/>
        <v>-354.86022949913144</v>
      </c>
      <c r="M964" s="94">
        <f t="shared" si="314"/>
        <v>-541.77130085547219</v>
      </c>
      <c r="N964" s="99">
        <f t="shared" si="315"/>
        <v>1485.973290192193</v>
      </c>
      <c r="O964" s="99">
        <f t="shared" si="316"/>
        <v>29311.665407514069</v>
      </c>
      <c r="P964" s="100">
        <f t="shared" si="317"/>
        <v>25560.507669284107</v>
      </c>
      <c r="Q964" s="95">
        <f t="shared" si="318"/>
        <v>1033303923618.1849</v>
      </c>
      <c r="R964" s="95">
        <f t="shared" si="319"/>
        <v>27368651666555.625</v>
      </c>
      <c r="S964" s="95">
        <f t="shared" si="320"/>
        <v>20676934616671.934</v>
      </c>
      <c r="T964">
        <f t="shared" si="302"/>
        <v>0.5</v>
      </c>
    </row>
    <row r="965" spans="1:20" x14ac:dyDescent="0.25">
      <c r="A965">
        <v>461</v>
      </c>
      <c r="B965" s="95">
        <f t="shared" si="303"/>
        <v>8934.2858302198365</v>
      </c>
      <c r="C965" s="95">
        <f t="shared" si="304"/>
        <v>6467.5690052504178</v>
      </c>
      <c r="D965" s="95">
        <f t="shared" si="305"/>
        <v>-158.31497628521393</v>
      </c>
      <c r="E965" s="95">
        <f t="shared" si="306"/>
        <v>146.00141568144599</v>
      </c>
      <c r="F965" s="96">
        <f t="shared" si="307"/>
        <v>-3.4503344420836584</v>
      </c>
      <c r="G965" s="94">
        <f t="shared" si="308"/>
        <v>3.8109986192238239</v>
      </c>
      <c r="H965" s="97">
        <f t="shared" si="309"/>
        <v>540.12359319671555</v>
      </c>
      <c r="I965" s="94">
        <f t="shared" si="310"/>
        <v>523.25506634375915</v>
      </c>
      <c r="J965" s="95">
        <f t="shared" si="311"/>
        <v>-191.25470085533567</v>
      </c>
      <c r="K965" s="94">
        <f t="shared" si="312"/>
        <v>23.349255521881119</v>
      </c>
      <c r="L965" s="94">
        <f t="shared" si="313"/>
        <v>-352.31922678346353</v>
      </c>
      <c r="M965" s="94">
        <f t="shared" si="314"/>
        <v>-542.79332324641643</v>
      </c>
      <c r="N965" s="99">
        <f t="shared" si="315"/>
        <v>1481.645482284951</v>
      </c>
      <c r="O965" s="99">
        <f t="shared" si="316"/>
        <v>29236.60429923204</v>
      </c>
      <c r="P965" s="100">
        <f t="shared" si="317"/>
        <v>25575.459844731726</v>
      </c>
      <c r="Q965" s="95">
        <f t="shared" si="318"/>
        <v>1033109165130.3269</v>
      </c>
      <c r="R965" s="95">
        <f t="shared" si="319"/>
        <v>27170234781449.762</v>
      </c>
      <c r="S965" s="95">
        <f t="shared" si="320"/>
        <v>20708421354546.055</v>
      </c>
      <c r="T965">
        <f t="shared" si="302"/>
        <v>0.5</v>
      </c>
    </row>
    <row r="966" spans="1:20" x14ac:dyDescent="0.25">
      <c r="A966">
        <v>461.5</v>
      </c>
      <c r="B966" s="95">
        <f t="shared" si="303"/>
        <v>8854.2657584667086</v>
      </c>
      <c r="C966" s="95">
        <f t="shared" si="304"/>
        <v>6541.5224627459475</v>
      </c>
      <c r="D966" s="95">
        <f t="shared" si="305"/>
        <v>-160.04014350625576</v>
      </c>
      <c r="E966" s="95">
        <f t="shared" si="306"/>
        <v>147.9069149910579</v>
      </c>
      <c r="F966" s="96">
        <f t="shared" si="307"/>
        <v>38.612386049026043</v>
      </c>
      <c r="G966" s="94">
        <f t="shared" si="308"/>
        <v>-34.887385735687474</v>
      </c>
      <c r="H966" s="97">
        <f t="shared" si="309"/>
        <v>580.62480747878487</v>
      </c>
      <c r="I966" s="94">
        <f t="shared" si="310"/>
        <v>485.72855324294989</v>
      </c>
      <c r="J966" s="95">
        <f t="shared" si="311"/>
        <v>-192.3542135813812</v>
      </c>
      <c r="K966" s="94">
        <f t="shared" si="312"/>
        <v>23.055610994785756</v>
      </c>
      <c r="L966" s="94">
        <f t="shared" si="313"/>
        <v>-349.65820784837763</v>
      </c>
      <c r="M966" s="94">
        <f t="shared" si="314"/>
        <v>-543.67154997342311</v>
      </c>
      <c r="N966" s="99">
        <f t="shared" si="315"/>
        <v>1483.7993296230575</v>
      </c>
      <c r="O966" s="99">
        <f t="shared" si="316"/>
        <v>29149.116028406897</v>
      </c>
      <c r="P966" s="100">
        <f t="shared" si="317"/>
        <v>25593.374935585456</v>
      </c>
      <c r="Q966" s="95">
        <f t="shared" si="318"/>
        <v>1033206019275.7032</v>
      </c>
      <c r="R966" s="95">
        <f t="shared" si="319"/>
        <v>26940215520293.281</v>
      </c>
      <c r="S966" s="95">
        <f t="shared" si="320"/>
        <v>20746192782330.43</v>
      </c>
      <c r="T966">
        <f t="shared" si="302"/>
        <v>0.5</v>
      </c>
    </row>
    <row r="967" spans="1:20" x14ac:dyDescent="0.25">
      <c r="A967">
        <v>462</v>
      </c>
      <c r="B967" s="95">
        <f t="shared" si="303"/>
        <v>8783.8987832258372</v>
      </c>
      <c r="C967" s="95">
        <f t="shared" si="304"/>
        <v>6606.7540738075541</v>
      </c>
      <c r="D967" s="95">
        <f t="shared" si="305"/>
        <v>-140.73395048174274</v>
      </c>
      <c r="E967" s="95">
        <f t="shared" si="306"/>
        <v>130.46322212321417</v>
      </c>
      <c r="F967" s="96">
        <f t="shared" si="307"/>
        <v>75.250478632998352</v>
      </c>
      <c r="G967" s="94">
        <f t="shared" si="308"/>
        <v>-68.992780844337233</v>
      </c>
      <c r="H967" s="97">
        <f t="shared" si="309"/>
        <v>616.01597001985817</v>
      </c>
      <c r="I967" s="94">
        <f t="shared" si="310"/>
        <v>452.47364947905618</v>
      </c>
      <c r="J967" s="95">
        <f t="shared" si="311"/>
        <v>-193.54361932136243</v>
      </c>
      <c r="K967" s="94">
        <f t="shared" si="312"/>
        <v>22.816266230948479</v>
      </c>
      <c r="L967" s="94">
        <f t="shared" si="313"/>
        <v>-347.22187206549739</v>
      </c>
      <c r="M967" s="94">
        <f t="shared" si="314"/>
        <v>-544.2826965543419</v>
      </c>
      <c r="N967" s="99">
        <f t="shared" si="315"/>
        <v>1493.7824947570045</v>
      </c>
      <c r="O967" s="99">
        <f t="shared" si="316"/>
        <v>29060.793508366478</v>
      </c>
      <c r="P967" s="100">
        <f t="shared" si="317"/>
        <v>25612.064924937455</v>
      </c>
      <c r="Q967" s="95">
        <f t="shared" si="318"/>
        <v>1033656819134.1313</v>
      </c>
      <c r="R967" s="95">
        <f t="shared" si="319"/>
        <v>26709361305487.227</v>
      </c>
      <c r="S967" s="95">
        <f t="shared" si="320"/>
        <v>20785650635817.445</v>
      </c>
      <c r="T967">
        <f t="shared" si="302"/>
        <v>0.5</v>
      </c>
    </row>
    <row r="968" spans="1:20" x14ac:dyDescent="0.25">
      <c r="A968">
        <v>462.5</v>
      </c>
      <c r="B968" s="95">
        <f t="shared" si="303"/>
        <v>8732.3444276432147</v>
      </c>
      <c r="C968" s="95">
        <f t="shared" si="304"/>
        <v>6654.7374896580768</v>
      </c>
      <c r="D968" s="95">
        <f t="shared" si="305"/>
        <v>-103.10871116524356</v>
      </c>
      <c r="E968" s="95">
        <f t="shared" si="306"/>
        <v>95.96683170104555</v>
      </c>
      <c r="F968" s="96">
        <f t="shared" si="307"/>
        <v>101.70965267327739</v>
      </c>
      <c r="G968" s="94">
        <f t="shared" si="308"/>
        <v>-94.004019888650078</v>
      </c>
      <c r="H968" s="97">
        <f t="shared" si="309"/>
        <v>641.70327486603765</v>
      </c>
      <c r="I968" s="94">
        <f t="shared" si="310"/>
        <v>427.88256750173292</v>
      </c>
      <c r="J968" s="95">
        <f t="shared" si="311"/>
        <v>-194.66658884941</v>
      </c>
      <c r="K968" s="94">
        <f t="shared" si="312"/>
        <v>22.664730451565603</v>
      </c>
      <c r="L968" s="94">
        <f t="shared" si="313"/>
        <v>-345.32703334335025</v>
      </c>
      <c r="M968" s="94">
        <f t="shared" si="314"/>
        <v>-544.55131784194862</v>
      </c>
      <c r="N968" s="99">
        <f t="shared" si="315"/>
        <v>1508.9037259212398</v>
      </c>
      <c r="O968" s="99">
        <f t="shared" si="316"/>
        <v>28983.21836992247</v>
      </c>
      <c r="P968" s="100">
        <f t="shared" si="317"/>
        <v>25629.039921000047</v>
      </c>
      <c r="Q968" s="95">
        <f t="shared" si="318"/>
        <v>1034345516944.6298</v>
      </c>
      <c r="R968" s="95">
        <f t="shared" si="319"/>
        <v>26507720789667.848</v>
      </c>
      <c r="S968" s="95">
        <f t="shared" si="320"/>
        <v>20821534470656.484</v>
      </c>
      <c r="T968">
        <f t="shared" si="302"/>
        <v>0.5</v>
      </c>
    </row>
    <row r="969" spans="1:20" x14ac:dyDescent="0.25">
      <c r="A969">
        <v>463</v>
      </c>
      <c r="B969" s="95">
        <f t="shared" si="303"/>
        <v>8706.2174852289118</v>
      </c>
      <c r="C969" s="95">
        <f t="shared" si="304"/>
        <v>6679.2199005364373</v>
      </c>
      <c r="D969" s="95">
        <f t="shared" si="305"/>
        <v>-52.253884828604868</v>
      </c>
      <c r="E969" s="95">
        <f t="shared" si="306"/>
        <v>48.964821756720511</v>
      </c>
      <c r="F969" s="96">
        <f t="shared" si="307"/>
        <v>114.70536614079606</v>
      </c>
      <c r="G969" s="94">
        <f t="shared" si="308"/>
        <v>-106.61587316551686</v>
      </c>
      <c r="H969" s="97">
        <f t="shared" si="309"/>
        <v>654.5006255030554</v>
      </c>
      <c r="I969" s="94">
        <f t="shared" si="310"/>
        <v>415.21745916809675</v>
      </c>
      <c r="J969" s="95">
        <f t="shared" si="311"/>
        <v>-195.57372380081523</v>
      </c>
      <c r="K969" s="94">
        <f t="shared" si="312"/>
        <v>22.624274003007042</v>
      </c>
      <c r="L969" s="94">
        <f t="shared" si="313"/>
        <v>-344.22153556144411</v>
      </c>
      <c r="M969" s="94">
        <f t="shared" si="314"/>
        <v>-544.45760633662064</v>
      </c>
      <c r="N969" s="99">
        <f t="shared" si="315"/>
        <v>1523.6204781758281</v>
      </c>
      <c r="O969" s="99">
        <f t="shared" si="316"/>
        <v>28926.430778300652</v>
      </c>
      <c r="P969" s="100">
        <f t="shared" si="317"/>
        <v>25641.85912186218</v>
      </c>
      <c r="Q969" s="95">
        <f t="shared" si="318"/>
        <v>1035022602314.4838</v>
      </c>
      <c r="R969" s="95">
        <f t="shared" si="319"/>
        <v>26360777061866</v>
      </c>
      <c r="S969" s="95">
        <f t="shared" si="320"/>
        <v>20848662712646.652</v>
      </c>
      <c r="T969">
        <f t="shared" si="302"/>
        <v>0.5</v>
      </c>
    </row>
    <row r="970" spans="1:20" x14ac:dyDescent="0.25">
      <c r="A970">
        <v>463.5</v>
      </c>
      <c r="B970" s="95">
        <f t="shared" si="303"/>
        <v>8708.7668843498086</v>
      </c>
      <c r="C970" s="95">
        <f t="shared" si="304"/>
        <v>6677.0483431234188</v>
      </c>
      <c r="D970" s="95">
        <f t="shared" si="305"/>
        <v>5.0987982417931619</v>
      </c>
      <c r="E970" s="95">
        <f t="shared" si="306"/>
        <v>-4.3431148260379189</v>
      </c>
      <c r="F970" s="96">
        <f t="shared" si="307"/>
        <v>112.76607947826437</v>
      </c>
      <c r="G970" s="94">
        <f t="shared" si="308"/>
        <v>-105.17282862413606</v>
      </c>
      <c r="H970" s="97">
        <f t="shared" si="309"/>
        <v>652.96075767972354</v>
      </c>
      <c r="I970" s="94">
        <f t="shared" si="310"/>
        <v>416.15656452346701</v>
      </c>
      <c r="J970" s="95">
        <f t="shared" si="311"/>
        <v>-196.14352818004957</v>
      </c>
      <c r="K970" s="94">
        <f t="shared" si="312"/>
        <v>22.703011403350121</v>
      </c>
      <c r="L970" s="94">
        <f t="shared" si="313"/>
        <v>-344.05115002140963</v>
      </c>
      <c r="M970" s="94">
        <f t="shared" si="314"/>
        <v>-544.03240455095317</v>
      </c>
      <c r="N970" s="99">
        <f t="shared" si="315"/>
        <v>1532.1726949671233</v>
      </c>
      <c r="O970" s="99">
        <f t="shared" si="316"/>
        <v>28897.655662324152</v>
      </c>
      <c r="P970" s="100">
        <f t="shared" si="317"/>
        <v>25648.566689938249</v>
      </c>
      <c r="Q970" s="95">
        <f t="shared" si="318"/>
        <v>1035419158677.8899</v>
      </c>
      <c r="R970" s="95">
        <f t="shared" si="319"/>
        <v>26286532305536.668</v>
      </c>
      <c r="S970" s="95">
        <f t="shared" si="320"/>
        <v>20862867498514.098</v>
      </c>
      <c r="T970">
        <f t="shared" si="302"/>
        <v>0.5</v>
      </c>
    </row>
    <row r="971" spans="1:20" x14ac:dyDescent="0.25">
      <c r="A971">
        <v>464</v>
      </c>
      <c r="B971" s="95">
        <f t="shared" si="303"/>
        <v>8739.5078033402715</v>
      </c>
      <c r="C971" s="95">
        <f t="shared" si="304"/>
        <v>6648.583578554365</v>
      </c>
      <c r="D971" s="95">
        <f t="shared" si="305"/>
        <v>61.481837980925349</v>
      </c>
      <c r="E971" s="95">
        <f t="shared" si="306"/>
        <v>-56.929529138105949</v>
      </c>
      <c r="F971" s="96">
        <f t="shared" si="307"/>
        <v>96.304458525942607</v>
      </c>
      <c r="G971" s="94">
        <f t="shared" si="308"/>
        <v>-89.882956933886931</v>
      </c>
      <c r="H971" s="97">
        <f t="shared" si="309"/>
        <v>637.44367272104216</v>
      </c>
      <c r="I971" s="94">
        <f t="shared" si="310"/>
        <v>430.56990923032504</v>
      </c>
      <c r="J971" s="95">
        <f t="shared" si="311"/>
        <v>-196.29999691459219</v>
      </c>
      <c r="K971" s="94">
        <f t="shared" si="312"/>
        <v>22.891242177530572</v>
      </c>
      <c r="L971" s="94">
        <f t="shared" si="313"/>
        <v>-344.8392172805074</v>
      </c>
      <c r="M971" s="94">
        <f t="shared" si="314"/>
        <v>-543.34410834174253</v>
      </c>
      <c r="N971" s="99">
        <f t="shared" si="315"/>
        <v>1531.1865949346638</v>
      </c>
      <c r="O971" s="99">
        <f t="shared" si="316"/>
        <v>28900.437777547231</v>
      </c>
      <c r="P971" s="100">
        <f t="shared" si="317"/>
        <v>25648.093776332687</v>
      </c>
      <c r="Q971" s="95">
        <f t="shared" si="318"/>
        <v>1035373318563.1123</v>
      </c>
      <c r="R971" s="95">
        <f t="shared" si="319"/>
        <v>26293704368014.605</v>
      </c>
      <c r="S971" s="95">
        <f t="shared" si="320"/>
        <v>20861865770041.84</v>
      </c>
      <c r="T971">
        <f t="shared" si="302"/>
        <v>0.5</v>
      </c>
    </row>
    <row r="972" spans="1:20" x14ac:dyDescent="0.25">
      <c r="A972">
        <v>464.5</v>
      </c>
      <c r="B972" s="95">
        <f t="shared" si="303"/>
        <v>8794.3248369622197</v>
      </c>
      <c r="C972" s="95">
        <f t="shared" si="304"/>
        <v>6597.6480747518399</v>
      </c>
      <c r="D972" s="95">
        <f t="shared" si="305"/>
        <v>109.63406724389665</v>
      </c>
      <c r="E972" s="95">
        <f t="shared" si="306"/>
        <v>-101.87100760504941</v>
      </c>
      <c r="F972" s="96">
        <f t="shared" si="307"/>
        <v>67.491595481547506</v>
      </c>
      <c r="G972" s="94">
        <f t="shared" si="308"/>
        <v>-62.78714423981728</v>
      </c>
      <c r="H972" s="97">
        <f t="shared" si="309"/>
        <v>609.99732368999469</v>
      </c>
      <c r="I972" s="94">
        <f t="shared" si="310"/>
        <v>456.53445994611059</v>
      </c>
      <c r="J972" s="95">
        <f t="shared" si="311"/>
        <v>-196.02362595899382</v>
      </c>
      <c r="K972" s="94">
        <f t="shared" si="312"/>
        <v>23.162250372322664</v>
      </c>
      <c r="L972" s="94">
        <f t="shared" si="313"/>
        <v>-346.48210224945336</v>
      </c>
      <c r="M972" s="94">
        <f t="shared" si="314"/>
        <v>-542.48385455825053</v>
      </c>
      <c r="N972" s="99">
        <f t="shared" si="315"/>
        <v>1521.1017390521117</v>
      </c>
      <c r="O972" s="99">
        <f t="shared" si="316"/>
        <v>28934.258255711204</v>
      </c>
      <c r="P972" s="100">
        <f t="shared" si="317"/>
        <v>25640.50010502334</v>
      </c>
      <c r="Q972" s="95">
        <f t="shared" si="318"/>
        <v>1034906244042.2894</v>
      </c>
      <c r="R972" s="95">
        <f t="shared" si="319"/>
        <v>26380998168887.453</v>
      </c>
      <c r="S972" s="95">
        <f t="shared" si="320"/>
        <v>20845785533933.785</v>
      </c>
      <c r="T972">
        <f t="shared" si="302"/>
        <v>0.5</v>
      </c>
    </row>
    <row r="973" spans="1:20" x14ac:dyDescent="0.25">
      <c r="A973">
        <v>465</v>
      </c>
      <c r="B973" s="95">
        <f t="shared" si="303"/>
        <v>8866.014769454554</v>
      </c>
      <c r="C973" s="95">
        <f t="shared" si="304"/>
        <v>6531.0157848893605</v>
      </c>
      <c r="D973" s="95">
        <f t="shared" si="305"/>
        <v>143.37986498467041</v>
      </c>
      <c r="E973" s="95">
        <f t="shared" si="306"/>
        <v>-133.26457972495805</v>
      </c>
      <c r="F973" s="96">
        <f t="shared" si="307"/>
        <v>29.99703469939243</v>
      </c>
      <c r="G973" s="94">
        <f t="shared" si="308"/>
        <v>-27.500921660317772</v>
      </c>
      <c r="H973" s="97">
        <f t="shared" si="309"/>
        <v>574.11258475499199</v>
      </c>
      <c r="I973" s="94">
        <f t="shared" si="310"/>
        <v>490.57608277347111</v>
      </c>
      <c r="J973" s="95">
        <f t="shared" si="311"/>
        <v>-195.35392290574558</v>
      </c>
      <c r="K973" s="94">
        <f t="shared" si="312"/>
        <v>23.476731385763703</v>
      </c>
      <c r="L973" s="94">
        <f t="shared" si="313"/>
        <v>-348.76162714985401</v>
      </c>
      <c r="M973" s="94">
        <f t="shared" si="314"/>
        <v>-541.55373581955257</v>
      </c>
      <c r="N973" s="99">
        <f t="shared" si="315"/>
        <v>1505.9520562638238</v>
      </c>
      <c r="O973" s="99">
        <f t="shared" si="316"/>
        <v>28994.639874289511</v>
      </c>
      <c r="P973" s="100">
        <f t="shared" si="317"/>
        <v>25626.974071639139</v>
      </c>
      <c r="Q973" s="95">
        <f t="shared" si="318"/>
        <v>1034210525995.5936</v>
      </c>
      <c r="R973" s="95">
        <f t="shared" si="319"/>
        <v>26537342835774.664</v>
      </c>
      <c r="S973" s="95">
        <f t="shared" si="320"/>
        <v>20817165050657.355</v>
      </c>
      <c r="T973">
        <f t="shared" si="302"/>
        <v>0.5</v>
      </c>
    </row>
    <row r="974" spans="1:20" x14ac:dyDescent="0.25">
      <c r="A974">
        <v>465.5</v>
      </c>
      <c r="B974" s="95">
        <f t="shared" si="303"/>
        <v>8945.2039606217386</v>
      </c>
      <c r="C974" s="95">
        <f t="shared" si="304"/>
        <v>6457.5082646118017</v>
      </c>
      <c r="D974" s="95">
        <f t="shared" si="305"/>
        <v>158.37838233436662</v>
      </c>
      <c r="E974" s="95">
        <f t="shared" si="306"/>
        <v>-147.01504055511694</v>
      </c>
      <c r="F974" s="96">
        <f t="shared" si="307"/>
        <v>-11.398731610422544</v>
      </c>
      <c r="G974" s="94">
        <f t="shared" si="308"/>
        <v>11.255303994300789</v>
      </c>
      <c r="H974" s="97">
        <f t="shared" si="309"/>
        <v>534.35806830187755</v>
      </c>
      <c r="I974" s="94">
        <f t="shared" si="310"/>
        <v>528.12472662588436</v>
      </c>
      <c r="J974" s="95">
        <f t="shared" si="311"/>
        <v>-194.38314228123042</v>
      </c>
      <c r="K974" s="94">
        <f t="shared" si="312"/>
        <v>23.789802136714879</v>
      </c>
      <c r="L974" s="94">
        <f t="shared" si="313"/>
        <v>-351.37365763106965</v>
      </c>
      <c r="M974" s="94">
        <f t="shared" si="314"/>
        <v>-540.65922476829849</v>
      </c>
      <c r="N974" s="99">
        <f t="shared" si="315"/>
        <v>1491.5940842698426</v>
      </c>
      <c r="O974" s="99">
        <f t="shared" si="316"/>
        <v>29073.710808134812</v>
      </c>
      <c r="P974" s="100">
        <f t="shared" si="317"/>
        <v>25609.588171540101</v>
      </c>
      <c r="Q974" s="95">
        <f t="shared" si="318"/>
        <v>1033557734946.3445</v>
      </c>
      <c r="R974" s="95">
        <f t="shared" si="319"/>
        <v>26743039026682.02</v>
      </c>
      <c r="S974" s="95">
        <f t="shared" si="320"/>
        <v>20780418681575.203</v>
      </c>
      <c r="T974">
        <f t="shared" si="302"/>
        <v>0.5</v>
      </c>
    </row>
    <row r="975" spans="1:20" x14ac:dyDescent="0.25">
      <c r="A975">
        <v>466</v>
      </c>
      <c r="B975" s="95">
        <f t="shared" si="303"/>
        <v>9021.5434688863152</v>
      </c>
      <c r="C975" s="95">
        <f t="shared" si="304"/>
        <v>6386.8145703328182</v>
      </c>
      <c r="D975" s="95">
        <f t="shared" si="305"/>
        <v>152.67901652915535</v>
      </c>
      <c r="E975" s="95">
        <f t="shared" si="306"/>
        <v>-141.38738855796655</v>
      </c>
      <c r="F975" s="96">
        <f t="shared" si="307"/>
        <v>-51.342274700962491</v>
      </c>
      <c r="G975" s="94">
        <f t="shared" si="308"/>
        <v>48.303880246429912</v>
      </c>
      <c r="H975" s="97">
        <f t="shared" si="309"/>
        <v>495.86989620468034</v>
      </c>
      <c r="I975" s="94">
        <f t="shared" si="310"/>
        <v>564.14886702973286</v>
      </c>
      <c r="J975" s="95">
        <f t="shared" si="311"/>
        <v>-193.24252245897392</v>
      </c>
      <c r="K975" s="94">
        <f t="shared" si="312"/>
        <v>24.058715805017506</v>
      </c>
      <c r="L975" s="94">
        <f t="shared" si="313"/>
        <v>-353.96964844666894</v>
      </c>
      <c r="M975" s="94">
        <f t="shared" si="314"/>
        <v>-539.90370258832047</v>
      </c>
      <c r="N975" s="99">
        <f t="shared" si="315"/>
        <v>1483.0319292047504</v>
      </c>
      <c r="O975" s="99">
        <f t="shared" si="316"/>
        <v>29161.174187904126</v>
      </c>
      <c r="P975" s="100">
        <f t="shared" si="317"/>
        <v>25590.884596457858</v>
      </c>
      <c r="Q975" s="95">
        <f t="shared" si="318"/>
        <v>1033171494354.6689</v>
      </c>
      <c r="R975" s="95">
        <f t="shared" si="319"/>
        <v>26971838498543.539</v>
      </c>
      <c r="S975" s="95">
        <f t="shared" si="320"/>
        <v>20740939299526.793</v>
      </c>
      <c r="T975">
        <f t="shared" si="302"/>
        <v>0.5</v>
      </c>
    </row>
    <row r="976" spans="1:20" x14ac:dyDescent="0.25">
      <c r="A976">
        <v>466.5</v>
      </c>
      <c r="B976" s="95">
        <f t="shared" si="303"/>
        <v>9085.0474084756534</v>
      </c>
      <c r="C976" s="95">
        <f t="shared" si="304"/>
        <v>6328.196846115442</v>
      </c>
      <c r="D976" s="95">
        <f t="shared" si="305"/>
        <v>127.0078791786741</v>
      </c>
      <c r="E976" s="95">
        <f t="shared" si="306"/>
        <v>-117.23544843475159</v>
      </c>
      <c r="F976" s="96">
        <f t="shared" si="307"/>
        <v>-84.582664880187565</v>
      </c>
      <c r="G976" s="94">
        <f t="shared" si="308"/>
        <v>78.747925189515968</v>
      </c>
      <c r="H976" s="97">
        <f t="shared" si="309"/>
        <v>463.70609488532813</v>
      </c>
      <c r="I976" s="94">
        <f t="shared" si="310"/>
        <v>593.88023980219589</v>
      </c>
      <c r="J976" s="95">
        <f t="shared" si="311"/>
        <v>-192.08349637748603</v>
      </c>
      <c r="K976" s="94">
        <f t="shared" si="312"/>
        <v>24.249325706874981</v>
      </c>
      <c r="L976" s="94">
        <f t="shared" si="313"/>
        <v>-356.20526338802966</v>
      </c>
      <c r="M976" s="94">
        <f t="shared" si="314"/>
        <v>-539.38164031955489</v>
      </c>
      <c r="N976" s="99">
        <f t="shared" si="315"/>
        <v>1482.0792772663456</v>
      </c>
      <c r="O976" s="99">
        <f t="shared" si="316"/>
        <v>29245.599570971652</v>
      </c>
      <c r="P976" s="100">
        <f t="shared" si="317"/>
        <v>25573.414295233804</v>
      </c>
      <c r="Q976" s="95">
        <f t="shared" si="318"/>
        <v>1033128660452.7145</v>
      </c>
      <c r="R976" s="95">
        <f t="shared" si="319"/>
        <v>27193960730542.414</v>
      </c>
      <c r="S976" s="95">
        <f t="shared" si="320"/>
        <v>20704111744940.824</v>
      </c>
      <c r="T976">
        <f>A977-A976</f>
        <v>0.5</v>
      </c>
    </row>
    <row r="977" spans="1:20" x14ac:dyDescent="0.25">
      <c r="A977">
        <v>467</v>
      </c>
      <c r="B977" s="95">
        <f t="shared" si="303"/>
        <v>9127.4056818449426</v>
      </c>
      <c r="C977" s="95">
        <f t="shared" si="304"/>
        <v>6289.2661031954449</v>
      </c>
      <c r="D977" s="95">
        <f t="shared" si="305"/>
        <v>84.71654673858032</v>
      </c>
      <c r="E977" s="95">
        <f t="shared" si="306"/>
        <v>-77.861485839993605</v>
      </c>
      <c r="F977" s="96">
        <f t="shared" si="307"/>
        <v>-106.69551565018165</v>
      </c>
      <c r="G977" s="94">
        <f t="shared" si="308"/>
        <v>98.659226398925739</v>
      </c>
      <c r="H977" s="97">
        <f t="shared" si="309"/>
        <v>442.14962187978244</v>
      </c>
      <c r="I977" s="94">
        <f t="shared" si="310"/>
        <v>613.48730278351843</v>
      </c>
      <c r="J977" s="95">
        <f t="shared" si="311"/>
        <v>-191.05701802621653</v>
      </c>
      <c r="K977" s="94">
        <f t="shared" si="312"/>
        <v>24.340023988273529</v>
      </c>
      <c r="L977" s="94">
        <f t="shared" si="313"/>
        <v>-357.78811950374757</v>
      </c>
      <c r="M977" s="94">
        <f t="shared" si="314"/>
        <v>-539.16810037286621</v>
      </c>
      <c r="N977" s="99">
        <f t="shared" si="315"/>
        <v>1486.6946143007699</v>
      </c>
      <c r="O977" s="99">
        <f t="shared" si="316"/>
        <v>29315.902188985299</v>
      </c>
      <c r="P977" s="100">
        <f t="shared" si="317"/>
        <v>25559.353301788673</v>
      </c>
      <c r="Q977" s="95">
        <f t="shared" si="318"/>
        <v>1033336440812.8922</v>
      </c>
      <c r="R977" s="95">
        <f t="shared" si="319"/>
        <v>27379880725458.32</v>
      </c>
      <c r="S977" s="95">
        <f t="shared" si="320"/>
        <v>20674505144704.734</v>
      </c>
      <c r="T977">
        <f t="shared" ref="T977:T1040" si="321">A978-A977</f>
        <v>0.5</v>
      </c>
    </row>
    <row r="978" spans="1:20" x14ac:dyDescent="0.25">
      <c r="A978">
        <v>467.5</v>
      </c>
      <c r="B978" s="95">
        <f t="shared" si="303"/>
        <v>9143.0900763016889</v>
      </c>
      <c r="C978" s="95">
        <f t="shared" si="304"/>
        <v>6275.0001668751793</v>
      </c>
      <c r="D978" s="95">
        <f t="shared" si="305"/>
        <v>31.368788913489496</v>
      </c>
      <c r="E978" s="95">
        <f t="shared" si="306"/>
        <v>-28.531872640530736</v>
      </c>
      <c r="F978" s="96">
        <f t="shared" si="307"/>
        <v>-114.71706684181927</v>
      </c>
      <c r="G978" s="94">
        <f t="shared" si="308"/>
        <v>105.57860423956765</v>
      </c>
      <c r="H978" s="97">
        <f t="shared" si="309"/>
        <v>434.0936924496396</v>
      </c>
      <c r="I978" s="94">
        <f t="shared" si="310"/>
        <v>620.56079186983732</v>
      </c>
      <c r="J978" s="95">
        <f t="shared" si="311"/>
        <v>-190.29414573972301</v>
      </c>
      <c r="K978" s="94">
        <f t="shared" si="312"/>
        <v>24.322941022013005</v>
      </c>
      <c r="L978" s="94">
        <f t="shared" si="313"/>
        <v>-358.51661355173587</v>
      </c>
      <c r="M978" s="94">
        <f t="shared" si="314"/>
        <v>-539.30512865228263</v>
      </c>
      <c r="N978" s="99">
        <f t="shared" si="315"/>
        <v>1492.4132849006783</v>
      </c>
      <c r="O978" s="99">
        <f t="shared" si="316"/>
        <v>29362.821863841142</v>
      </c>
      <c r="P978" s="100">
        <f t="shared" si="317"/>
        <v>25550.272846137894</v>
      </c>
      <c r="Q978" s="95">
        <f t="shared" si="318"/>
        <v>1033594808333.9625</v>
      </c>
      <c r="R978" s="95">
        <f t="shared" si="319"/>
        <v>27504446729417.164</v>
      </c>
      <c r="S978" s="95">
        <f t="shared" si="320"/>
        <v>20655401638896.129</v>
      </c>
      <c r="T978">
        <f t="shared" si="321"/>
        <v>0.5</v>
      </c>
    </row>
    <row r="979" spans="1:20" x14ac:dyDescent="0.25">
      <c r="A979">
        <v>468</v>
      </c>
      <c r="B979" s="95">
        <f t="shared" si="303"/>
        <v>9130.0952040479788</v>
      </c>
      <c r="C979" s="95">
        <f t="shared" si="304"/>
        <v>6287.1288816148053</v>
      </c>
      <c r="D979" s="95">
        <f t="shared" si="305"/>
        <v>-25.989744507420141</v>
      </c>
      <c r="E979" s="95">
        <f t="shared" si="306"/>
        <v>24.257429479253091</v>
      </c>
      <c r="F979" s="96">
        <f t="shared" si="307"/>
        <v>-107.56713352233058</v>
      </c>
      <c r="G979" s="94">
        <f t="shared" si="308"/>
        <v>98.762247964195922</v>
      </c>
      <c r="H979" s="97">
        <f t="shared" si="309"/>
        <v>440.62735990343197</v>
      </c>
      <c r="I979" s="94">
        <f t="shared" si="310"/>
        <v>614.34791632838278</v>
      </c>
      <c r="J979" s="95">
        <f t="shared" si="311"/>
        <v>-189.89034546245867</v>
      </c>
      <c r="K979" s="94">
        <f t="shared" si="312"/>
        <v>24.203092176292518</v>
      </c>
      <c r="L979" s="94">
        <f t="shared" si="313"/>
        <v>-358.30414796330388</v>
      </c>
      <c r="M979" s="94">
        <f t="shared" si="314"/>
        <v>-539.78876054047942</v>
      </c>
      <c r="N979" s="99">
        <f t="shared" si="315"/>
        <v>1494.9646178048777</v>
      </c>
      <c r="O979" s="99">
        <f t="shared" si="316"/>
        <v>29380.18589036179</v>
      </c>
      <c r="P979" s="100">
        <f t="shared" si="317"/>
        <v>25547.066935500097</v>
      </c>
      <c r="Q979" s="95">
        <f t="shared" si="318"/>
        <v>1033710403610.4105</v>
      </c>
      <c r="R979" s="95">
        <f t="shared" si="319"/>
        <v>27550644429294.949</v>
      </c>
      <c r="S979" s="95">
        <f t="shared" si="320"/>
        <v>20648660055938.402</v>
      </c>
      <c r="T979">
        <f t="shared" si="321"/>
        <v>0.5</v>
      </c>
    </row>
    <row r="980" spans="1:20" x14ac:dyDescent="0.25">
      <c r="A980">
        <v>468.5</v>
      </c>
      <c r="B980" s="95">
        <f t="shared" si="303"/>
        <v>9090.208548413686</v>
      </c>
      <c r="C980" s="95">
        <f t="shared" si="304"/>
        <v>6323.9481583454817</v>
      </c>
      <c r="D980" s="95">
        <f t="shared" si="305"/>
        <v>-79.773311268585431</v>
      </c>
      <c r="E980" s="95">
        <f t="shared" si="306"/>
        <v>73.638553461351052</v>
      </c>
      <c r="F980" s="96">
        <f t="shared" si="307"/>
        <v>-86.202586667078208</v>
      </c>
      <c r="G980" s="94">
        <f t="shared" si="308"/>
        <v>79.194827264234391</v>
      </c>
      <c r="H980" s="97">
        <f t="shared" si="309"/>
        <v>460.87909718081494</v>
      </c>
      <c r="I980" s="94">
        <f t="shared" si="310"/>
        <v>595.76039110337433</v>
      </c>
      <c r="J980" s="95">
        <f t="shared" si="311"/>
        <v>-189.89490432187887</v>
      </c>
      <c r="K980" s="94">
        <f t="shared" si="312"/>
        <v>23.996511114435357</v>
      </c>
      <c r="L980" s="94">
        <f t="shared" si="313"/>
        <v>-357.18677952601428</v>
      </c>
      <c r="M980" s="94">
        <f t="shared" si="314"/>
        <v>-540.56207495357535</v>
      </c>
      <c r="N980" s="99">
        <f t="shared" si="315"/>
        <v>1492.5785419311376</v>
      </c>
      <c r="O980" s="99">
        <f t="shared" si="316"/>
        <v>29365.759968688672</v>
      </c>
      <c r="P980" s="100">
        <f t="shared" si="317"/>
        <v>25549.979383512989</v>
      </c>
      <c r="Q980" s="95">
        <f t="shared" si="318"/>
        <v>1033602289655.3763</v>
      </c>
      <c r="R980" s="95">
        <f t="shared" si="319"/>
        <v>27512259941143.262</v>
      </c>
      <c r="S980" s="95">
        <f t="shared" si="320"/>
        <v>20654784462247.348</v>
      </c>
      <c r="T980">
        <f t="shared" si="321"/>
        <v>0.5</v>
      </c>
    </row>
    <row r="981" spans="1:20" x14ac:dyDescent="0.25">
      <c r="A981">
        <v>469</v>
      </c>
      <c r="B981" s="95">
        <f t="shared" si="303"/>
        <v>9028.771246112623</v>
      </c>
      <c r="C981" s="95">
        <f t="shared" si="304"/>
        <v>6380.5661418922155</v>
      </c>
      <c r="D981" s="95">
        <f t="shared" si="305"/>
        <v>-122.87460460212453</v>
      </c>
      <c r="E981" s="95">
        <f t="shared" si="306"/>
        <v>113.23596709346825</v>
      </c>
      <c r="F981" s="96">
        <f t="shared" si="307"/>
        <v>-53.496970060053457</v>
      </c>
      <c r="G981" s="94">
        <f t="shared" si="308"/>
        <v>49.429510833369477</v>
      </c>
      <c r="H981" s="97">
        <f t="shared" si="309"/>
        <v>492.1243511063829</v>
      </c>
      <c r="I981" s="94">
        <f t="shared" si="310"/>
        <v>567.22029575711065</v>
      </c>
      <c r="J981" s="95">
        <f t="shared" si="311"/>
        <v>-190.30587059997899</v>
      </c>
      <c r="K981" s="94">
        <f t="shared" si="312"/>
        <v>23.728166294275479</v>
      </c>
      <c r="L981" s="94">
        <f t="shared" si="313"/>
        <v>-355.3154505664574</v>
      </c>
      <c r="M981" s="94">
        <f t="shared" si="314"/>
        <v>-541.5189512180167</v>
      </c>
      <c r="N981" s="99">
        <f t="shared" si="315"/>
        <v>1486.8821135646619</v>
      </c>
      <c r="O981" s="99">
        <f t="shared" si="316"/>
        <v>29321.555049702467</v>
      </c>
      <c r="P981" s="100">
        <f t="shared" si="317"/>
        <v>25558.652976978185</v>
      </c>
      <c r="Q981" s="95">
        <f t="shared" si="318"/>
        <v>1033344895894.741</v>
      </c>
      <c r="R981" s="95">
        <f t="shared" si="319"/>
        <v>27394867843793.93</v>
      </c>
      <c r="S981" s="95">
        <f t="shared" si="320"/>
        <v>20673031346941.988</v>
      </c>
      <c r="T981">
        <f t="shared" si="321"/>
        <v>0.5</v>
      </c>
    </row>
    <row r="982" spans="1:20" x14ac:dyDescent="0.25">
      <c r="A982">
        <v>469.5</v>
      </c>
      <c r="B982" s="95">
        <f t="shared" si="303"/>
        <v>8953.959701296546</v>
      </c>
      <c r="C982" s="95">
        <f t="shared" si="304"/>
        <v>6449.5415031472912</v>
      </c>
      <c r="D982" s="95">
        <f t="shared" si="305"/>
        <v>-149.62308963215128</v>
      </c>
      <c r="E982" s="95">
        <f t="shared" si="306"/>
        <v>137.95072251015299</v>
      </c>
      <c r="F982" s="96">
        <f t="shared" si="307"/>
        <v>-13.862221953512289</v>
      </c>
      <c r="G982" s="94">
        <f t="shared" si="308"/>
        <v>13.292675225575863</v>
      </c>
      <c r="H982" s="97">
        <f t="shared" si="309"/>
        <v>530.14360974321357</v>
      </c>
      <c r="I982" s="94">
        <f t="shared" si="310"/>
        <v>532.38279643450062</v>
      </c>
      <c r="J982" s="95">
        <f t="shared" si="311"/>
        <v>-191.07044702719361</v>
      </c>
      <c r="K982" s="94">
        <f t="shared" si="312"/>
        <v>23.429876229148967</v>
      </c>
      <c r="L982" s="94">
        <f t="shared" si="313"/>
        <v>-352.93538466953225</v>
      </c>
      <c r="M982" s="94">
        <f t="shared" si="314"/>
        <v>-542.51999743807369</v>
      </c>
      <c r="N982" s="99">
        <f t="shared" si="315"/>
        <v>1482.0315297103859</v>
      </c>
      <c r="O982" s="99">
        <f t="shared" si="316"/>
        <v>29253.544426485347</v>
      </c>
      <c r="P982" s="100">
        <f t="shared" si="317"/>
        <v>25572.153433443655</v>
      </c>
      <c r="Q982" s="95">
        <f t="shared" si="318"/>
        <v>1033126514328.6366</v>
      </c>
      <c r="R982" s="95">
        <f t="shared" si="319"/>
        <v>27214927912081.316</v>
      </c>
      <c r="S982" s="95">
        <f t="shared" si="320"/>
        <v>20701455653668.84</v>
      </c>
      <c r="T982">
        <f t="shared" si="321"/>
        <v>0.5</v>
      </c>
    </row>
    <row r="983" spans="1:20" x14ac:dyDescent="0.25">
      <c r="A983">
        <v>470</v>
      </c>
      <c r="B983" s="95">
        <f t="shared" si="303"/>
        <v>8875.6826009920933</v>
      </c>
      <c r="C983" s="95">
        <f t="shared" si="304"/>
        <v>6521.8400332087622</v>
      </c>
      <c r="D983" s="95">
        <f t="shared" si="305"/>
        <v>-156.55420060890742</v>
      </c>
      <c r="E983" s="95">
        <f t="shared" si="306"/>
        <v>144.59706012294092</v>
      </c>
      <c r="F983" s="96">
        <f t="shared" si="307"/>
        <v>27.358706632810765</v>
      </c>
      <c r="G983" s="94">
        <f t="shared" si="308"/>
        <v>-24.547704887100849</v>
      </c>
      <c r="H983" s="97">
        <f t="shared" si="309"/>
        <v>569.80480140180725</v>
      </c>
      <c r="I983" s="94">
        <f t="shared" si="310"/>
        <v>495.73211809093431</v>
      </c>
      <c r="J983" s="95">
        <f t="shared" si="311"/>
        <v>-192.09074936060821</v>
      </c>
      <c r="K983" s="94">
        <f t="shared" si="312"/>
        <v>23.137889540108823</v>
      </c>
      <c r="L983" s="94">
        <f t="shared" si="313"/>
        <v>-350.35534540838825</v>
      </c>
      <c r="M983" s="94">
        <f t="shared" si="314"/>
        <v>-543.41771251814396</v>
      </c>
      <c r="N983" s="99">
        <f t="shared" si="315"/>
        <v>1482.4518070148736</v>
      </c>
      <c r="O983" s="99">
        <f t="shared" si="316"/>
        <v>29170.833685758418</v>
      </c>
      <c r="P983" s="100">
        <f t="shared" si="317"/>
        <v>25588.978526714312</v>
      </c>
      <c r="Q983" s="95">
        <f t="shared" si="318"/>
        <v>1033145407087.0115</v>
      </c>
      <c r="R983" s="95">
        <f t="shared" si="319"/>
        <v>26997189255267.445</v>
      </c>
      <c r="S983" s="95">
        <f t="shared" si="320"/>
        <v>20736919004336.48</v>
      </c>
      <c r="T983">
        <f t="shared" si="321"/>
        <v>0.5</v>
      </c>
    </row>
    <row r="984" spans="1:20" x14ac:dyDescent="0.25">
      <c r="A984">
        <v>470.5</v>
      </c>
      <c r="B984" s="95">
        <f t="shared" si="303"/>
        <v>8804.2451773458415</v>
      </c>
      <c r="C984" s="95">
        <f t="shared" si="304"/>
        <v>6588.0016370484573</v>
      </c>
      <c r="D984" s="95">
        <f t="shared" si="305"/>
        <v>-142.87484729250204</v>
      </c>
      <c r="E984" s="95">
        <f t="shared" si="306"/>
        <v>132.32320767939049</v>
      </c>
      <c r="F984" s="96">
        <f t="shared" si="307"/>
        <v>64.658409187295376</v>
      </c>
      <c r="G984" s="94">
        <f t="shared" si="308"/>
        <v>-59.150725256434384</v>
      </c>
      <c r="H984" s="97">
        <f t="shared" si="309"/>
        <v>605.80283124969708</v>
      </c>
      <c r="I984" s="94">
        <f t="shared" si="310"/>
        <v>462.04387379746942</v>
      </c>
      <c r="J984" s="95">
        <f t="shared" si="311"/>
        <v>-193.23489503999829</v>
      </c>
      <c r="K984" s="94">
        <f t="shared" si="312"/>
        <v>22.889582472382632</v>
      </c>
      <c r="L984" s="94">
        <f t="shared" si="313"/>
        <v>-347.90952702240344</v>
      </c>
      <c r="M984" s="94">
        <f t="shared" si="314"/>
        <v>-544.08418152628644</v>
      </c>
      <c r="N984" s="99">
        <f t="shared" si="315"/>
        <v>1490.2639143269021</v>
      </c>
      <c r="O984" s="99">
        <f t="shared" si="316"/>
        <v>29084.405485205069</v>
      </c>
      <c r="P984" s="100">
        <f t="shared" si="317"/>
        <v>25607.111630531508</v>
      </c>
      <c r="Q984" s="95">
        <f t="shared" si="318"/>
        <v>1033497581656.922</v>
      </c>
      <c r="R984" s="95">
        <f t="shared" si="319"/>
        <v>26770944004668.457</v>
      </c>
      <c r="S984" s="95">
        <f t="shared" si="320"/>
        <v>20775188120823.059</v>
      </c>
      <c r="T984">
        <f t="shared" si="321"/>
        <v>0.5</v>
      </c>
    </row>
    <row r="985" spans="1:20" x14ac:dyDescent="0.25">
      <c r="A985">
        <v>471</v>
      </c>
      <c r="B985" s="95">
        <f t="shared" si="303"/>
        <v>8748.9723559964132</v>
      </c>
      <c r="C985" s="95">
        <f t="shared" si="304"/>
        <v>6639.375559574044</v>
      </c>
      <c r="D985" s="95">
        <f t="shared" si="305"/>
        <v>-110.54564269885435</v>
      </c>
      <c r="E985" s="95">
        <f t="shared" si="306"/>
        <v>102.7478450511733</v>
      </c>
      <c r="F985" s="96">
        <f t="shared" si="307"/>
        <v>93.15872246428097</v>
      </c>
      <c r="G985" s="94">
        <f t="shared" si="308"/>
        <v>-85.95810691320753</v>
      </c>
      <c r="H985" s="97">
        <f t="shared" si="309"/>
        <v>633.42739290415193</v>
      </c>
      <c r="I985" s="94">
        <f t="shared" si="310"/>
        <v>435.75623462965223</v>
      </c>
      <c r="J985" s="95">
        <f t="shared" si="311"/>
        <v>-194.35301559565124</v>
      </c>
      <c r="K985" s="94">
        <f t="shared" si="312"/>
        <v>22.718985784721458</v>
      </c>
      <c r="L985" s="94">
        <f t="shared" si="313"/>
        <v>-345.91565484421972</v>
      </c>
      <c r="M985" s="94">
        <f t="shared" si="314"/>
        <v>-544.4333273275812</v>
      </c>
      <c r="N985" s="99">
        <f t="shared" si="315"/>
        <v>1503.851924202304</v>
      </c>
      <c r="O985" s="99">
        <f t="shared" si="316"/>
        <v>29005.624852180572</v>
      </c>
      <c r="P985" s="100">
        <f t="shared" si="317"/>
        <v>25624.187784151967</v>
      </c>
      <c r="Q985" s="95">
        <f t="shared" si="318"/>
        <v>1034114643568.9755</v>
      </c>
      <c r="R985" s="95">
        <f t="shared" si="319"/>
        <v>26565854154395.414</v>
      </c>
      <c r="S985" s="95">
        <f t="shared" si="320"/>
        <v>20811272894187.355</v>
      </c>
      <c r="T985">
        <f t="shared" si="321"/>
        <v>0.5</v>
      </c>
    </row>
    <row r="986" spans="1:20" x14ac:dyDescent="0.25">
      <c r="A986">
        <v>471.5</v>
      </c>
      <c r="B986" s="95">
        <f t="shared" si="303"/>
        <v>8716.9892152630564</v>
      </c>
      <c r="C986" s="95">
        <f t="shared" si="304"/>
        <v>6669.2599553713289</v>
      </c>
      <c r="D986" s="95">
        <f t="shared" si="305"/>
        <v>-63.966281466713866</v>
      </c>
      <c r="E986" s="95">
        <f t="shared" si="306"/>
        <v>59.768791594569535</v>
      </c>
      <c r="F986" s="96">
        <f t="shared" si="307"/>
        <v>109.26967729821547</v>
      </c>
      <c r="G986" s="94">
        <f t="shared" si="308"/>
        <v>-101.42772644046221</v>
      </c>
      <c r="H986" s="97">
        <f t="shared" si="309"/>
        <v>649.20057893722162</v>
      </c>
      <c r="I986" s="94">
        <f t="shared" si="310"/>
        <v>420.35259900784308</v>
      </c>
      <c r="J986" s="95">
        <f t="shared" si="311"/>
        <v>-195.29681994881793</v>
      </c>
      <c r="K986" s="94">
        <f t="shared" si="312"/>
        <v>22.651502005176511</v>
      </c>
      <c r="L986" s="94">
        <f t="shared" si="313"/>
        <v>-344.63408169018822</v>
      </c>
      <c r="M986" s="94">
        <f t="shared" si="314"/>
        <v>-544.43182745348179</v>
      </c>
      <c r="N986" s="99">
        <f t="shared" si="315"/>
        <v>1518.4678440848377</v>
      </c>
      <c r="O986" s="99">
        <f t="shared" si="316"/>
        <v>28944.726776313404</v>
      </c>
      <c r="P986" s="100">
        <f t="shared" si="317"/>
        <v>25637.800519043049</v>
      </c>
      <c r="Q986" s="95">
        <f t="shared" si="318"/>
        <v>1034784776482.2131</v>
      </c>
      <c r="R986" s="95">
        <f t="shared" si="319"/>
        <v>26408058645303.094</v>
      </c>
      <c r="S986" s="95">
        <f t="shared" si="320"/>
        <v>20840071077077.355</v>
      </c>
      <c r="T986">
        <f t="shared" si="321"/>
        <v>0.5</v>
      </c>
    </row>
    <row r="987" spans="1:20" x14ac:dyDescent="0.25">
      <c r="A987">
        <v>472</v>
      </c>
      <c r="B987" s="95">
        <f t="shared" si="303"/>
        <v>8712.3234938542537</v>
      </c>
      <c r="C987" s="95">
        <f t="shared" si="304"/>
        <v>6673.7874195584982</v>
      </c>
      <c r="D987" s="95">
        <f t="shared" si="305"/>
        <v>-9.3314428176061313</v>
      </c>
      <c r="E987" s="95">
        <f t="shared" si="306"/>
        <v>9.0549283743384308</v>
      </c>
      <c r="F987" s="96">
        <f t="shared" si="307"/>
        <v>111.09671813857568</v>
      </c>
      <c r="G987" s="94">
        <f t="shared" si="308"/>
        <v>-103.52366544784667</v>
      </c>
      <c r="H987" s="97">
        <f t="shared" si="309"/>
        <v>651.27015044954214</v>
      </c>
      <c r="I987" s="94">
        <f t="shared" si="310"/>
        <v>417.87482259658282</v>
      </c>
      <c r="J987" s="95">
        <f t="shared" si="311"/>
        <v>-195.94012335239498</v>
      </c>
      <c r="K987" s="94">
        <f t="shared" si="312"/>
        <v>22.698911965362111</v>
      </c>
      <c r="L987" s="94">
        <f t="shared" si="313"/>
        <v>-344.23330895857151</v>
      </c>
      <c r="M987" s="94">
        <f t="shared" si="314"/>
        <v>-544.09740000979161</v>
      </c>
      <c r="N987" s="99">
        <f t="shared" si="315"/>
        <v>1528.4782286643647</v>
      </c>
      <c r="O987" s="99">
        <f t="shared" si="316"/>
        <v>28909.501878005914</v>
      </c>
      <c r="P987" s="100">
        <f t="shared" si="317"/>
        <v>25645.908448427061</v>
      </c>
      <c r="Q987" s="95">
        <f t="shared" si="318"/>
        <v>1035247572024.0221</v>
      </c>
      <c r="R987" s="95">
        <f t="shared" si="319"/>
        <v>26317080181846</v>
      </c>
      <c r="S987" s="95">
        <f t="shared" si="320"/>
        <v>20857237243284.781</v>
      </c>
      <c r="T987">
        <f t="shared" si="321"/>
        <v>0.5</v>
      </c>
    </row>
    <row r="988" spans="1:20" x14ac:dyDescent="0.25">
      <c r="A988">
        <v>472.5</v>
      </c>
      <c r="B988" s="95">
        <f t="shared" si="303"/>
        <v>8735.4319519800956</v>
      </c>
      <c r="C988" s="95">
        <f t="shared" si="304"/>
        <v>6652.4339673837057</v>
      </c>
      <c r="D988" s="95">
        <f t="shared" si="305"/>
        <v>46.21691625168171</v>
      </c>
      <c r="E988" s="95">
        <f t="shared" si="306"/>
        <v>-42.706904349584903</v>
      </c>
      <c r="F988" s="96">
        <f t="shared" si="307"/>
        <v>98.57663729013467</v>
      </c>
      <c r="G988" s="94">
        <f t="shared" si="308"/>
        <v>-91.985155219773446</v>
      </c>
      <c r="H988" s="97">
        <f t="shared" si="309"/>
        <v>639.54043770939074</v>
      </c>
      <c r="I988" s="94">
        <f t="shared" si="310"/>
        <v>428.64656618186564</v>
      </c>
      <c r="J988" s="95">
        <f t="shared" si="311"/>
        <v>-196.19696535675425</v>
      </c>
      <c r="K988" s="94">
        <f t="shared" si="312"/>
        <v>22.856183196696612</v>
      </c>
      <c r="L988" s="94">
        <f t="shared" si="313"/>
        <v>-344.7668350625018</v>
      </c>
      <c r="M988" s="94">
        <f t="shared" si="314"/>
        <v>-543.48790459833572</v>
      </c>
      <c r="N988" s="99">
        <f t="shared" si="315"/>
        <v>1529.9470620121213</v>
      </c>
      <c r="O988" s="99">
        <f t="shared" si="316"/>
        <v>28904.345876459862</v>
      </c>
      <c r="P988" s="100">
        <f t="shared" si="317"/>
        <v>25647.239163471761</v>
      </c>
      <c r="Q988" s="95">
        <f t="shared" si="318"/>
        <v>1035315740120.2909</v>
      </c>
      <c r="R988" s="95">
        <f t="shared" si="319"/>
        <v>26303781390972.863</v>
      </c>
      <c r="S988" s="95">
        <f t="shared" si="320"/>
        <v>20860055611401.074</v>
      </c>
      <c r="T988">
        <f t="shared" si="321"/>
        <v>0.5</v>
      </c>
    </row>
    <row r="989" spans="1:20" x14ac:dyDescent="0.25">
      <c r="A989">
        <v>473</v>
      </c>
      <c r="B989" s="95">
        <f t="shared" si="303"/>
        <v>8783.1845694284693</v>
      </c>
      <c r="C989" s="95">
        <f t="shared" si="304"/>
        <v>6608.0842264039702</v>
      </c>
      <c r="D989" s="95">
        <f t="shared" si="305"/>
        <v>95.505234896749045</v>
      </c>
      <c r="E989" s="95">
        <f t="shared" si="306"/>
        <v>-88.699481959471626</v>
      </c>
      <c r="F989" s="96">
        <f t="shared" si="307"/>
        <v>73.400942404206432</v>
      </c>
      <c r="G989" s="94">
        <f t="shared" si="308"/>
        <v>-68.356179377002775</v>
      </c>
      <c r="H989" s="97">
        <f t="shared" si="309"/>
        <v>615.59976749221619</v>
      </c>
      <c r="I989" s="94">
        <f t="shared" si="310"/>
        <v>451.22960233210102</v>
      </c>
      <c r="J989" s="95">
        <f t="shared" si="311"/>
        <v>-196.03406918519261</v>
      </c>
      <c r="K989" s="94">
        <f t="shared" si="312"/>
        <v>23.101371907878267</v>
      </c>
      <c r="L989" s="94">
        <f t="shared" si="313"/>
        <v>-346.16475590281715</v>
      </c>
      <c r="M989" s="94">
        <f t="shared" si="314"/>
        <v>-542.68715361698207</v>
      </c>
      <c r="N989" s="99">
        <f t="shared" si="315"/>
        <v>1522.333908089088</v>
      </c>
      <c r="O989" s="99">
        <f t="shared" si="316"/>
        <v>28929.764046905137</v>
      </c>
      <c r="P989" s="100">
        <f t="shared" si="317"/>
        <v>25641.567573363907</v>
      </c>
      <c r="Q989" s="95">
        <f t="shared" si="318"/>
        <v>1034963141997.0057</v>
      </c>
      <c r="R989" s="95">
        <f t="shared" si="319"/>
        <v>26369386757759.875</v>
      </c>
      <c r="S989" s="95">
        <f t="shared" si="320"/>
        <v>20848045450427.613</v>
      </c>
      <c r="T989">
        <f t="shared" si="321"/>
        <v>0.5</v>
      </c>
    </row>
    <row r="990" spans="1:20" x14ac:dyDescent="0.25">
      <c r="A990">
        <v>473.5</v>
      </c>
      <c r="B990" s="95">
        <f t="shared" si="303"/>
        <v>8849.2874224778952</v>
      </c>
      <c r="C990" s="95">
        <f t="shared" si="304"/>
        <v>6546.6454405799841</v>
      </c>
      <c r="D990" s="95">
        <f t="shared" si="305"/>
        <v>132.20570609885226</v>
      </c>
      <c r="E990" s="95">
        <f t="shared" si="306"/>
        <v>-122.87757164797301</v>
      </c>
      <c r="F990" s="96">
        <f t="shared" si="307"/>
        <v>38.793547170645013</v>
      </c>
      <c r="G990" s="94">
        <f t="shared" si="308"/>
        <v>-35.788857041644007</v>
      </c>
      <c r="H990" s="97">
        <f t="shared" si="309"/>
        <v>582.51069388251642</v>
      </c>
      <c r="I990" s="94">
        <f t="shared" si="310"/>
        <v>482.6046371368061</v>
      </c>
      <c r="J990" s="95">
        <f t="shared" si="311"/>
        <v>-195.4754345941403</v>
      </c>
      <c r="K990" s="94">
        <f t="shared" si="312"/>
        <v>23.399052233932203</v>
      </c>
      <c r="L990" s="94">
        <f t="shared" si="313"/>
        <v>-348.24171211773108</v>
      </c>
      <c r="M990" s="94">
        <f t="shared" si="314"/>
        <v>-541.79254641238231</v>
      </c>
      <c r="N990" s="99">
        <f t="shared" si="315"/>
        <v>1508.6926589820685</v>
      </c>
      <c r="O990" s="99">
        <f t="shared" si="316"/>
        <v>28982.35336498668</v>
      </c>
      <c r="P990" s="100">
        <f t="shared" si="317"/>
        <v>25629.777229041596</v>
      </c>
      <c r="Q990" s="95">
        <f t="shared" si="318"/>
        <v>1034335855090.1626</v>
      </c>
      <c r="R990" s="95">
        <f t="shared" si="319"/>
        <v>26505478295576.863</v>
      </c>
      <c r="S990" s="95">
        <f t="shared" si="320"/>
        <v>20823094089506.488</v>
      </c>
      <c r="T990">
        <f t="shared" si="321"/>
        <v>0.5</v>
      </c>
    </row>
    <row r="991" spans="1:20" x14ac:dyDescent="0.25">
      <c r="A991">
        <v>474</v>
      </c>
      <c r="B991" s="95">
        <f t="shared" si="303"/>
        <v>8925.0886623199822</v>
      </c>
      <c r="C991" s="95">
        <f t="shared" si="304"/>
        <v>6476.2594404955871</v>
      </c>
      <c r="D991" s="95">
        <f t="shared" si="305"/>
        <v>151.60247968417477</v>
      </c>
      <c r="E991" s="95">
        <f t="shared" si="306"/>
        <v>-140.77200016879502</v>
      </c>
      <c r="F991" s="96">
        <f t="shared" si="307"/>
        <v>-0.83608884458641342</v>
      </c>
      <c r="G991" s="94">
        <f t="shared" si="308"/>
        <v>1.3631931078680282</v>
      </c>
      <c r="H991" s="97">
        <f t="shared" si="309"/>
        <v>544.48316084363296</v>
      </c>
      <c r="I991" s="94">
        <f t="shared" si="310"/>
        <v>518.56323045754584</v>
      </c>
      <c r="J991" s="95">
        <f t="shared" si="311"/>
        <v>-194.59838571876551</v>
      </c>
      <c r="K991" s="94">
        <f t="shared" si="312"/>
        <v>23.706555667867729</v>
      </c>
      <c r="L991" s="94">
        <f t="shared" si="313"/>
        <v>-350.72086396945389</v>
      </c>
      <c r="M991" s="94">
        <f t="shared" si="314"/>
        <v>-540.90659301754556</v>
      </c>
      <c r="N991" s="99">
        <f t="shared" si="315"/>
        <v>1494.3307371644669</v>
      </c>
      <c r="O991" s="99">
        <f t="shared" si="316"/>
        <v>29055.241222502493</v>
      </c>
      <c r="P991" s="100">
        <f t="shared" si="317"/>
        <v>25613.681731693134</v>
      </c>
      <c r="Q991" s="95">
        <f t="shared" si="318"/>
        <v>1033681665037.9764</v>
      </c>
      <c r="R991" s="95">
        <f t="shared" si="319"/>
        <v>26694894443450.969</v>
      </c>
      <c r="S991" s="95">
        <f t="shared" si="320"/>
        <v>20789066527628.996</v>
      </c>
      <c r="T991">
        <f t="shared" si="321"/>
        <v>0.5</v>
      </c>
    </row>
    <row r="992" spans="1:20" x14ac:dyDescent="0.25">
      <c r="A992">
        <v>474.5</v>
      </c>
      <c r="B992" s="95">
        <f t="shared" si="303"/>
        <v>9000.6808799509217</v>
      </c>
      <c r="C992" s="95">
        <f t="shared" si="304"/>
        <v>6406.214238688156</v>
      </c>
      <c r="D992" s="95">
        <f t="shared" si="305"/>
        <v>151.18443526188156</v>
      </c>
      <c r="E992" s="95">
        <f t="shared" si="306"/>
        <v>-140.090403614861</v>
      </c>
      <c r="F992" s="96">
        <f t="shared" si="307"/>
        <v>-40.380955827461662</v>
      </c>
      <c r="G992" s="94">
        <f t="shared" si="308"/>
        <v>38.134341078981947</v>
      </c>
      <c r="H992" s="97">
        <f t="shared" si="309"/>
        <v>506.41236276936883</v>
      </c>
      <c r="I992" s="94">
        <f t="shared" si="310"/>
        <v>554.28403263436053</v>
      </c>
      <c r="J992" s="95">
        <f t="shared" si="311"/>
        <v>-193.52194117496211</v>
      </c>
      <c r="K992" s="94">
        <f t="shared" si="312"/>
        <v>23.981381663932297</v>
      </c>
      <c r="L992" s="94">
        <f t="shared" si="313"/>
        <v>-353.27137742186835</v>
      </c>
      <c r="M992" s="94">
        <f t="shared" si="314"/>
        <v>-540.13107321931091</v>
      </c>
      <c r="N992" s="99">
        <f t="shared" si="315"/>
        <v>1484.4120442274286</v>
      </c>
      <c r="O992" s="99">
        <f t="shared" si="316"/>
        <v>29138.934463253259</v>
      </c>
      <c r="P992" s="100">
        <f t="shared" si="317"/>
        <v>25595.660058083056</v>
      </c>
      <c r="Q992" s="95">
        <f t="shared" si="318"/>
        <v>1033233598066.7255</v>
      </c>
      <c r="R992" s="95">
        <f t="shared" si="319"/>
        <v>26913533790879.516</v>
      </c>
      <c r="S992" s="95">
        <f t="shared" si="320"/>
        <v>20751014191366.598</v>
      </c>
      <c r="T992">
        <f t="shared" si="321"/>
        <v>0.5</v>
      </c>
    </row>
    <row r="993" spans="1:20" x14ac:dyDescent="0.25">
      <c r="A993">
        <v>475</v>
      </c>
      <c r="B993" s="95">
        <f t="shared" si="303"/>
        <v>9066.1778586249984</v>
      </c>
      <c r="C993" s="95">
        <f t="shared" si="304"/>
        <v>6345.7026221504711</v>
      </c>
      <c r="D993" s="95">
        <f t="shared" si="305"/>
        <v>130.99395734815073</v>
      </c>
      <c r="E993" s="95">
        <f t="shared" si="306"/>
        <v>-121.02323307537003</v>
      </c>
      <c r="F993" s="96">
        <f t="shared" si="307"/>
        <v>-74.663848874831331</v>
      </c>
      <c r="G993" s="94">
        <f t="shared" si="308"/>
        <v>69.648606355045445</v>
      </c>
      <c r="H993" s="97">
        <f t="shared" si="309"/>
        <v>473.2801382185304</v>
      </c>
      <c r="I993" s="94">
        <f t="shared" si="310"/>
        <v>585.02149213286668</v>
      </c>
      <c r="J993" s="95">
        <f t="shared" si="311"/>
        <v>-192.38963093217603</v>
      </c>
      <c r="K993" s="94">
        <f t="shared" si="312"/>
        <v>24.187869738513594</v>
      </c>
      <c r="L993" s="94">
        <f t="shared" si="313"/>
        <v>-355.55435616118569</v>
      </c>
      <c r="M993" s="94">
        <f t="shared" si="314"/>
        <v>-539.56075551633478</v>
      </c>
      <c r="N993" s="99">
        <f t="shared" si="315"/>
        <v>1481.5552623321867</v>
      </c>
      <c r="O993" s="99">
        <f t="shared" si="316"/>
        <v>29222.504813909411</v>
      </c>
      <c r="P993" s="100">
        <f t="shared" si="317"/>
        <v>25578.214815245392</v>
      </c>
      <c r="Q993" s="95">
        <f t="shared" si="318"/>
        <v>1033105111258.1604</v>
      </c>
      <c r="R993" s="95">
        <f t="shared" si="319"/>
        <v>27133074516931.926</v>
      </c>
      <c r="S993" s="95">
        <f t="shared" si="320"/>
        <v>20714226605580.141</v>
      </c>
      <c r="T993">
        <f t="shared" si="321"/>
        <v>0.5</v>
      </c>
    </row>
    <row r="994" spans="1:20" x14ac:dyDescent="0.25">
      <c r="A994">
        <v>475.5</v>
      </c>
      <c r="B994" s="95">
        <f t="shared" si="303"/>
        <v>9113.0088750803661</v>
      </c>
      <c r="C994" s="95">
        <f t="shared" si="304"/>
        <v>6302.6031572015472</v>
      </c>
      <c r="D994" s="95">
        <f t="shared" si="305"/>
        <v>93.662032910735064</v>
      </c>
      <c r="E994" s="95">
        <f t="shared" si="306"/>
        <v>-86.198929897847307</v>
      </c>
      <c r="F994" s="96">
        <f t="shared" si="307"/>
        <v>-99.136545631156707</v>
      </c>
      <c r="G994" s="94">
        <f t="shared" si="308"/>
        <v>91.808906317549827</v>
      </c>
      <c r="H994" s="97">
        <f t="shared" si="309"/>
        <v>449.4830715937465</v>
      </c>
      <c r="I994" s="94">
        <f t="shared" si="310"/>
        <v>606.78128077828023</v>
      </c>
      <c r="J994" s="95">
        <f t="shared" si="311"/>
        <v>-191.34967340635518</v>
      </c>
      <c r="K994" s="94">
        <f t="shared" si="312"/>
        <v>24.301702423096579</v>
      </c>
      <c r="L994" s="94">
        <f t="shared" si="313"/>
        <v>-357.26994381854803</v>
      </c>
      <c r="M994" s="94">
        <f t="shared" si="314"/>
        <v>-539.27407688382698</v>
      </c>
      <c r="N994" s="99">
        <f t="shared" si="315"/>
        <v>1484.731028918198</v>
      </c>
      <c r="O994" s="99">
        <f t="shared" si="316"/>
        <v>29294.992483955004</v>
      </c>
      <c r="P994" s="100">
        <f t="shared" si="317"/>
        <v>25563.575258241046</v>
      </c>
      <c r="Q994" s="95">
        <f t="shared" si="318"/>
        <v>1033247960435.4012</v>
      </c>
      <c r="R994" s="95">
        <f t="shared" si="319"/>
        <v>27324492833759.898</v>
      </c>
      <c r="S994" s="95">
        <f t="shared" si="320"/>
        <v>20683391633842.691</v>
      </c>
      <c r="T994">
        <f t="shared" si="321"/>
        <v>0.5</v>
      </c>
    </row>
    <row r="995" spans="1:20" x14ac:dyDescent="0.25">
      <c r="A995">
        <v>476</v>
      </c>
      <c r="B995" s="95">
        <f t="shared" si="303"/>
        <v>9135.0557551279453</v>
      </c>
      <c r="C995" s="95">
        <f t="shared" si="304"/>
        <v>6282.4559188320109</v>
      </c>
      <c r="D995" s="95">
        <f t="shared" si="305"/>
        <v>44.093760095156711</v>
      </c>
      <c r="E995" s="95">
        <f t="shared" si="306"/>
        <v>-40.294476739072394</v>
      </c>
      <c r="F995" s="96">
        <f t="shared" si="307"/>
        <v>-110.52594664070045</v>
      </c>
      <c r="G995" s="94">
        <f t="shared" si="308"/>
        <v>101.83643372812878</v>
      </c>
      <c r="H995" s="97">
        <f t="shared" si="309"/>
        <v>438.20734719834036</v>
      </c>
      <c r="I995" s="94">
        <f t="shared" si="310"/>
        <v>616.84526496223782</v>
      </c>
      <c r="J995" s="95">
        <f t="shared" si="311"/>
        <v>-190.53559991523986</v>
      </c>
      <c r="K995" s="94">
        <f t="shared" si="312"/>
        <v>24.311760295568426</v>
      </c>
      <c r="L995" s="94">
        <f t="shared" si="313"/>
        <v>-358.19769392380095</v>
      </c>
      <c r="M995" s="94">
        <f t="shared" si="314"/>
        <v>-539.32059152967747</v>
      </c>
      <c r="N995" s="99">
        <f t="shared" si="315"/>
        <v>1490.138401233221</v>
      </c>
      <c r="O995" s="99">
        <f t="shared" si="316"/>
        <v>29346.857228221972</v>
      </c>
      <c r="P995" s="100">
        <f t="shared" si="317"/>
        <v>25553.432661411862</v>
      </c>
      <c r="Q995" s="95">
        <f t="shared" si="318"/>
        <v>1033491908502.4375</v>
      </c>
      <c r="R995" s="95">
        <f t="shared" si="319"/>
        <v>27462019054789.129</v>
      </c>
      <c r="S995" s="95">
        <f t="shared" si="320"/>
        <v>20662047835442.258</v>
      </c>
      <c r="T995">
        <f t="shared" si="321"/>
        <v>0.5</v>
      </c>
    </row>
    <row r="996" spans="1:20" x14ac:dyDescent="0.25">
      <c r="A996">
        <v>476.5</v>
      </c>
      <c r="B996" s="95">
        <f t="shared" si="303"/>
        <v>9129.4711485153493</v>
      </c>
      <c r="C996" s="95">
        <f t="shared" si="304"/>
        <v>6287.7677888945063</v>
      </c>
      <c r="D996" s="95">
        <f t="shared" si="305"/>
        <v>-11.169213225193516</v>
      </c>
      <c r="E996" s="95">
        <f t="shared" si="306"/>
        <v>10.623740124991997</v>
      </c>
      <c r="F996" s="96">
        <f t="shared" si="307"/>
        <v>-107.30214036331026</v>
      </c>
      <c r="G996" s="94">
        <f t="shared" si="308"/>
        <v>98.575468240452778</v>
      </c>
      <c r="H996" s="97">
        <f t="shared" si="309"/>
        <v>440.97177805201898</v>
      </c>
      <c r="I996" s="94">
        <f t="shared" si="310"/>
        <v>614.06372991710703</v>
      </c>
      <c r="J996" s="95">
        <f t="shared" si="311"/>
        <v>-190.04992285665591</v>
      </c>
      <c r="K996" s="94">
        <f t="shared" si="312"/>
        <v>24.21978214947957</v>
      </c>
      <c r="L996" s="94">
        <f t="shared" si="313"/>
        <v>-358.22399555867332</v>
      </c>
      <c r="M996" s="94">
        <f t="shared" si="314"/>
        <v>-539.7080438261338</v>
      </c>
      <c r="N996" s="99">
        <f t="shared" si="315"/>
        <v>1493.4999619432508</v>
      </c>
      <c r="O996" s="99">
        <f t="shared" si="316"/>
        <v>29371.271811922634</v>
      </c>
      <c r="P996" s="100">
        <f t="shared" si="317"/>
        <v>25548.83032816969</v>
      </c>
      <c r="Q996" s="95">
        <f t="shared" si="318"/>
        <v>1033644018612.4276</v>
      </c>
      <c r="R996" s="95">
        <f t="shared" si="319"/>
        <v>27526921520886.465</v>
      </c>
      <c r="S996" s="95">
        <f t="shared" si="320"/>
        <v>20652368029328.125</v>
      </c>
      <c r="T996">
        <f t="shared" si="321"/>
        <v>0.5</v>
      </c>
    </row>
    <row r="997" spans="1:20" x14ac:dyDescent="0.25">
      <c r="A997">
        <v>477</v>
      </c>
      <c r="B997" s="95">
        <f t="shared" si="303"/>
        <v>9097.0610068119258</v>
      </c>
      <c r="C997" s="95">
        <f t="shared" si="304"/>
        <v>6317.7235260171155</v>
      </c>
      <c r="D997" s="95">
        <f t="shared" si="305"/>
        <v>-64.820283406848645</v>
      </c>
      <c r="E997" s="95">
        <f t="shared" si="306"/>
        <v>59.911474245218386</v>
      </c>
      <c r="F997" s="96">
        <f t="shared" si="307"/>
        <v>-89.8952524180213</v>
      </c>
      <c r="G997" s="94">
        <f t="shared" si="308"/>
        <v>82.562505936350476</v>
      </c>
      <c r="H997" s="97">
        <f t="shared" si="309"/>
        <v>457.41091125169169</v>
      </c>
      <c r="I997" s="94">
        <f t="shared" si="310"/>
        <v>598.91771580996192</v>
      </c>
      <c r="J997" s="95">
        <f t="shared" si="311"/>
        <v>-189.95248570579912</v>
      </c>
      <c r="K997" s="94">
        <f t="shared" si="312"/>
        <v>24.038770414829319</v>
      </c>
      <c r="L997" s="94">
        <f t="shared" si="313"/>
        <v>-357.35367796391387</v>
      </c>
      <c r="M997" s="94">
        <f t="shared" si="314"/>
        <v>-540.39398028844073</v>
      </c>
      <c r="N997" s="99">
        <f t="shared" si="315"/>
        <v>1492.4233363589899</v>
      </c>
      <c r="O997" s="99">
        <f t="shared" si="316"/>
        <v>29365.060146053802</v>
      </c>
      <c r="P997" s="100">
        <f t="shared" si="317"/>
        <v>25550.166582052301</v>
      </c>
      <c r="Q997" s="95">
        <f t="shared" si="318"/>
        <v>1033595263347.5527</v>
      </c>
      <c r="R997" s="95">
        <f t="shared" si="319"/>
        <v>27510398786322.59</v>
      </c>
      <c r="S997" s="95">
        <f t="shared" si="320"/>
        <v>20655178155033.879</v>
      </c>
      <c r="T997">
        <f t="shared" si="321"/>
        <v>0.5</v>
      </c>
    </row>
    <row r="998" spans="1:20" x14ac:dyDescent="0.25">
      <c r="A998">
        <v>477.5</v>
      </c>
      <c r="B998" s="95">
        <f t="shared" si="303"/>
        <v>9042.1770520039972</v>
      </c>
      <c r="C998" s="95">
        <f t="shared" si="304"/>
        <v>6368.3198896238127</v>
      </c>
      <c r="D998" s="95">
        <f t="shared" si="305"/>
        <v>-109.7679096158593</v>
      </c>
      <c r="E998" s="95">
        <f t="shared" si="306"/>
        <v>101.19272721339362</v>
      </c>
      <c r="F998" s="96">
        <f t="shared" si="307"/>
        <v>-60.644815701987909</v>
      </c>
      <c r="G998" s="94">
        <f t="shared" si="308"/>
        <v>55.91080713605993</v>
      </c>
      <c r="H998" s="97">
        <f t="shared" si="309"/>
        <v>485.31550876587448</v>
      </c>
      <c r="I998" s="94">
        <f t="shared" si="310"/>
        <v>573.40650448660199</v>
      </c>
      <c r="J998" s="95">
        <f t="shared" si="311"/>
        <v>-190.25414091353392</v>
      </c>
      <c r="K998" s="94">
        <f t="shared" si="312"/>
        <v>23.790991227522746</v>
      </c>
      <c r="L998" s="94">
        <f t="shared" si="313"/>
        <v>-355.7061835543285</v>
      </c>
      <c r="M998" s="94">
        <f t="shared" si="314"/>
        <v>-541.28668857806485</v>
      </c>
      <c r="N998" s="99">
        <f t="shared" si="315"/>
        <v>1487.6412492106069</v>
      </c>
      <c r="O998" s="99">
        <f t="shared" si="316"/>
        <v>29329.134308141161</v>
      </c>
      <c r="P998" s="100">
        <f t="shared" si="317"/>
        <v>25557.239001141748</v>
      </c>
      <c r="Q998" s="95">
        <f t="shared" si="318"/>
        <v>1033379139450.9103</v>
      </c>
      <c r="R998" s="95">
        <f t="shared" si="319"/>
        <v>27414971139855.004</v>
      </c>
      <c r="S998" s="95">
        <f t="shared" si="320"/>
        <v>20670055936884.914</v>
      </c>
      <c r="T998">
        <f t="shared" si="321"/>
        <v>0.5</v>
      </c>
    </row>
    <row r="999" spans="1:20" x14ac:dyDescent="0.25">
      <c r="A999">
        <v>478</v>
      </c>
      <c r="B999" s="95">
        <f t="shared" si="303"/>
        <v>8972.131893270569</v>
      </c>
      <c r="C999" s="95">
        <f t="shared" si="304"/>
        <v>6432.8939550145251</v>
      </c>
      <c r="D999" s="95">
        <f t="shared" si="305"/>
        <v>-140.09031746685326</v>
      </c>
      <c r="E999" s="95">
        <f t="shared" si="306"/>
        <v>129.14813078142359</v>
      </c>
      <c r="F999" s="96">
        <f t="shared" si="307"/>
        <v>-23.493615550960214</v>
      </c>
      <c r="G999" s="94">
        <f t="shared" si="308"/>
        <v>22.054583414861099</v>
      </c>
      <c r="H999" s="97">
        <f t="shared" si="309"/>
        <v>520.92070919332127</v>
      </c>
      <c r="I999" s="94">
        <f t="shared" si="310"/>
        <v>540.80638760848251</v>
      </c>
      <c r="J999" s="95">
        <f t="shared" si="311"/>
        <v>-190.91579187086816</v>
      </c>
      <c r="K999" s="94">
        <f t="shared" si="312"/>
        <v>23.505929000134923</v>
      </c>
      <c r="L999" s="94">
        <f t="shared" si="313"/>
        <v>-353.49853287341335</v>
      </c>
      <c r="M999" s="94">
        <f t="shared" si="314"/>
        <v>-542.25773319375628</v>
      </c>
      <c r="N999" s="99">
        <f t="shared" si="315"/>
        <v>1482.6073896783371</v>
      </c>
      <c r="O999" s="99">
        <f t="shared" si="316"/>
        <v>29268.364292253325</v>
      </c>
      <c r="P999" s="100">
        <f t="shared" si="317"/>
        <v>25569.275141566301</v>
      </c>
      <c r="Q999" s="95">
        <f t="shared" si="318"/>
        <v>1033152402394.3945</v>
      </c>
      <c r="R999" s="95">
        <f t="shared" si="319"/>
        <v>27254068479808.938</v>
      </c>
      <c r="S999" s="95">
        <f t="shared" si="320"/>
        <v>20695393251983.23</v>
      </c>
      <c r="T999">
        <f t="shared" si="321"/>
        <v>0.5</v>
      </c>
    </row>
    <row r="1000" spans="1:20" x14ac:dyDescent="0.25">
      <c r="A1000">
        <v>478.5</v>
      </c>
      <c r="B1000" s="95">
        <f t="shared" si="303"/>
        <v>8896.2133306494034</v>
      </c>
      <c r="C1000" s="95">
        <f t="shared" si="304"/>
        <v>6502.9816662589519</v>
      </c>
      <c r="D1000" s="95">
        <f t="shared" si="305"/>
        <v>-151.83712524233337</v>
      </c>
      <c r="E1000" s="95">
        <f t="shared" si="306"/>
        <v>140.17542248885414</v>
      </c>
      <c r="F1000" s="96">
        <f t="shared" si="307"/>
        <v>16.549391583906356</v>
      </c>
      <c r="G1000" s="94">
        <f t="shared" si="308"/>
        <v>-14.638717949312422</v>
      </c>
      <c r="H1000" s="97">
        <f t="shared" si="309"/>
        <v>559.4198090098904</v>
      </c>
      <c r="I1000" s="94">
        <f t="shared" si="310"/>
        <v>505.30761181318189</v>
      </c>
      <c r="J1000" s="95">
        <f t="shared" si="311"/>
        <v>-191.85270348198168</v>
      </c>
      <c r="K1000" s="94">
        <f t="shared" si="312"/>
        <v>23.218004856804438</v>
      </c>
      <c r="L1000" s="94">
        <f t="shared" si="313"/>
        <v>-351.01771394400237</v>
      </c>
      <c r="M1000" s="94">
        <f t="shared" si="314"/>
        <v>-543.16433461929876</v>
      </c>
      <c r="N1000" s="99">
        <f t="shared" si="315"/>
        <v>1481.630235948257</v>
      </c>
      <c r="O1000" s="99">
        <f t="shared" si="316"/>
        <v>29190.900499594693</v>
      </c>
      <c r="P1000" s="100">
        <f t="shared" si="317"/>
        <v>25584.945044495344</v>
      </c>
      <c r="Q1000" s="95">
        <f t="shared" si="318"/>
        <v>1033108480045.759</v>
      </c>
      <c r="R1000" s="95">
        <f t="shared" si="319"/>
        <v>27049905600242.176</v>
      </c>
      <c r="S1000" s="95">
        <f t="shared" si="320"/>
        <v>20728413400075.664</v>
      </c>
      <c r="T1000">
        <f t="shared" si="321"/>
        <v>0.5</v>
      </c>
    </row>
    <row r="1001" spans="1:20" x14ac:dyDescent="0.25">
      <c r="A1001">
        <v>479</v>
      </c>
      <c r="B1001" s="95">
        <f t="shared" si="303"/>
        <v>8824.4321159242118</v>
      </c>
      <c r="C1001" s="95">
        <f t="shared" si="304"/>
        <v>6569.4096980160502</v>
      </c>
      <c r="D1001" s="95">
        <f t="shared" si="305"/>
        <v>-143.56242945038019</v>
      </c>
      <c r="E1001" s="95">
        <f t="shared" si="306"/>
        <v>132.85606351419793</v>
      </c>
      <c r="F1001" s="96">
        <f t="shared" si="307"/>
        <v>54.120619111867825</v>
      </c>
      <c r="G1001" s="94">
        <f t="shared" si="308"/>
        <v>-49.390539861814432</v>
      </c>
      <c r="H1001" s="97">
        <f t="shared" si="309"/>
        <v>595.64982218479815</v>
      </c>
      <c r="I1001" s="94">
        <f t="shared" si="310"/>
        <v>471.52185374596496</v>
      </c>
      <c r="J1001" s="95">
        <f t="shared" si="311"/>
        <v>-192.94403209381153</v>
      </c>
      <c r="K1001" s="94">
        <f t="shared" si="312"/>
        <v>22.963572106630785</v>
      </c>
      <c r="L1001" s="94">
        <f t="shared" si="313"/>
        <v>-348.5851709791188</v>
      </c>
      <c r="M1001" s="94">
        <f t="shared" si="314"/>
        <v>-543.8759657144102</v>
      </c>
      <c r="N1001" s="99">
        <f t="shared" si="315"/>
        <v>1487.4106928659144</v>
      </c>
      <c r="O1001" s="99">
        <f t="shared" si="316"/>
        <v>29107.048666550192</v>
      </c>
      <c r="P1001" s="100">
        <f t="shared" si="317"/>
        <v>25602.401556697503</v>
      </c>
      <c r="Q1001" s="95">
        <f t="shared" si="318"/>
        <v>1033368737485.8326</v>
      </c>
      <c r="R1001" s="95">
        <f t="shared" si="319"/>
        <v>26830091396998.996</v>
      </c>
      <c r="S1001" s="95">
        <f t="shared" si="320"/>
        <v>20765242849855.25</v>
      </c>
      <c r="T1001">
        <f t="shared" si="321"/>
        <v>0.5</v>
      </c>
    </row>
    <row r="1002" spans="1:20" x14ac:dyDescent="0.25">
      <c r="A1002">
        <v>479.5</v>
      </c>
      <c r="B1002" s="95">
        <f t="shared" si="303"/>
        <v>8766.1810559769892</v>
      </c>
      <c r="C1002" s="95">
        <f t="shared" si="304"/>
        <v>6623.4900948076956</v>
      </c>
      <c r="D1002" s="95">
        <f t="shared" si="305"/>
        <v>-116.50211989444628</v>
      </c>
      <c r="E1002" s="95">
        <f t="shared" si="306"/>
        <v>108.16079358329071</v>
      </c>
      <c r="F1002" s="96">
        <f t="shared" si="307"/>
        <v>84.274996606116929</v>
      </c>
      <c r="G1002" s="94">
        <f t="shared" si="308"/>
        <v>-77.632713509181372</v>
      </c>
      <c r="H1002" s="97">
        <f t="shared" si="309"/>
        <v>624.83894468478013</v>
      </c>
      <c r="I1002" s="94">
        <f t="shared" si="310"/>
        <v>443.88808165025381</v>
      </c>
      <c r="J1002" s="95">
        <f t="shared" si="311"/>
        <v>-194.04728056344706</v>
      </c>
      <c r="K1002" s="94">
        <f t="shared" si="312"/>
        <v>22.776835187928857</v>
      </c>
      <c r="L1002" s="94">
        <f t="shared" si="313"/>
        <v>-346.51666751521611</v>
      </c>
      <c r="M1002" s="94">
        <f t="shared" si="314"/>
        <v>-544.29763034736402</v>
      </c>
      <c r="N1002" s="99">
        <f t="shared" si="315"/>
        <v>1499.3192322574284</v>
      </c>
      <c r="O1002" s="99">
        <f t="shared" si="316"/>
        <v>29027.863108151611</v>
      </c>
      <c r="P1002" s="100">
        <f t="shared" si="317"/>
        <v>25619.413694475243</v>
      </c>
      <c r="Q1002" s="95">
        <f t="shared" si="318"/>
        <v>1033908167690.0642</v>
      </c>
      <c r="R1002" s="95">
        <f t="shared" si="319"/>
        <v>26623637484556.012</v>
      </c>
      <c r="S1002" s="95">
        <f t="shared" si="320"/>
        <v>20801179918012.27</v>
      </c>
      <c r="T1002">
        <f t="shared" si="321"/>
        <v>0.5</v>
      </c>
    </row>
    <row r="1003" spans="1:20" x14ac:dyDescent="0.25">
      <c r="A1003">
        <v>480</v>
      </c>
      <c r="B1003" s="95">
        <f t="shared" si="303"/>
        <v>8728.9987451812958</v>
      </c>
      <c r="C1003" s="95">
        <f t="shared" si="304"/>
        <v>6658.1623132220457</v>
      </c>
      <c r="D1003" s="95">
        <f t="shared" si="305"/>
        <v>-74.364621591387817</v>
      </c>
      <c r="E1003" s="95">
        <f t="shared" si="306"/>
        <v>69.344436828700026</v>
      </c>
      <c r="F1003" s="96">
        <f t="shared" si="307"/>
        <v>103.16831794257041</v>
      </c>
      <c r="G1003" s="94">
        <f t="shared" si="308"/>
        <v>-95.635876261941746</v>
      </c>
      <c r="H1003" s="97">
        <f t="shared" si="309"/>
        <v>643.26681514728682</v>
      </c>
      <c r="I1003" s="94">
        <f t="shared" si="310"/>
        <v>426.06271676880232</v>
      </c>
      <c r="J1003" s="95">
        <f t="shared" si="311"/>
        <v>-195.01658943201173</v>
      </c>
      <c r="K1003" s="94">
        <f t="shared" si="312"/>
        <v>22.684876486345068</v>
      </c>
      <c r="L1003" s="94">
        <f t="shared" si="313"/>
        <v>-345.08190777270465</v>
      </c>
      <c r="M1003" s="94">
        <f t="shared" si="314"/>
        <v>-544.38346951708911</v>
      </c>
      <c r="N1003" s="99">
        <f t="shared" si="315"/>
        <v>1513.4658240377548</v>
      </c>
      <c r="O1003" s="99">
        <f t="shared" si="316"/>
        <v>28963.666751381999</v>
      </c>
      <c r="P1003" s="100">
        <f t="shared" si="317"/>
        <v>25633.631516938567</v>
      </c>
      <c r="Q1003" s="95">
        <f t="shared" si="318"/>
        <v>1034554690427.484</v>
      </c>
      <c r="R1003" s="95">
        <f t="shared" si="319"/>
        <v>26457065696600.512</v>
      </c>
      <c r="S1003" s="95">
        <f t="shared" si="320"/>
        <v>20831248382637.184</v>
      </c>
      <c r="T1003">
        <f t="shared" si="321"/>
        <v>0.5</v>
      </c>
    </row>
    <row r="1004" spans="1:20" x14ac:dyDescent="0.25">
      <c r="A1004">
        <v>480.5</v>
      </c>
      <c r="B1004" s="95">
        <f t="shared" si="303"/>
        <v>8717.6085138712442</v>
      </c>
      <c r="C1004" s="95">
        <f t="shared" si="304"/>
        <v>6668.9255625709102</v>
      </c>
      <c r="D1004" s="95">
        <f t="shared" si="305"/>
        <v>-22.780462620102611</v>
      </c>
      <c r="E1004" s="95">
        <f t="shared" si="306"/>
        <v>21.526498697729153</v>
      </c>
      <c r="F1004" s="96">
        <f t="shared" si="307"/>
        <v>108.52055319546412</v>
      </c>
      <c r="G1004" s="94">
        <f t="shared" si="308"/>
        <v>-101.02711465078727</v>
      </c>
      <c r="H1004" s="97">
        <f t="shared" si="309"/>
        <v>648.71229042909965</v>
      </c>
      <c r="I1004" s="94">
        <f t="shared" si="310"/>
        <v>420.40843818232446</v>
      </c>
      <c r="J1004" s="95">
        <f t="shared" si="311"/>
        <v>-195.72263862574223</v>
      </c>
      <c r="K1004" s="94">
        <f t="shared" si="312"/>
        <v>22.702680066046128</v>
      </c>
      <c r="L1004" s="94">
        <f t="shared" si="313"/>
        <v>-344.46909860789333</v>
      </c>
      <c r="M1004" s="94">
        <f t="shared" si="314"/>
        <v>-544.13823289915786</v>
      </c>
      <c r="N1004" s="99">
        <f t="shared" si="315"/>
        <v>1524.5113579866756</v>
      </c>
      <c r="O1004" s="99">
        <f t="shared" si="316"/>
        <v>28922.711629883495</v>
      </c>
      <c r="P1004" s="100">
        <f t="shared" si="317"/>
        <v>25642.960073498951</v>
      </c>
      <c r="Q1004" s="95">
        <f t="shared" si="318"/>
        <v>1035063805451.4951</v>
      </c>
      <c r="R1004" s="95">
        <f t="shared" si="319"/>
        <v>26351172931309.727</v>
      </c>
      <c r="S1004" s="95">
        <f t="shared" si="320"/>
        <v>20850993749589.121</v>
      </c>
      <c r="T1004">
        <f t="shared" si="321"/>
        <v>0.5</v>
      </c>
    </row>
    <row r="1005" spans="1:20" x14ac:dyDescent="0.25">
      <c r="A1005">
        <v>481</v>
      </c>
      <c r="B1005" s="95">
        <f t="shared" ref="B1005:B1068" si="322">B1004+(D1004*$T1004)+(F1004*($T1004)^2)</f>
        <v>8733.3484208600585</v>
      </c>
      <c r="C1005" s="95">
        <f t="shared" ref="C1005:C1068" si="323">C1004+(E1004*$T1004)+(G1004*($T1004)^2)</f>
        <v>6654.4320332570778</v>
      </c>
      <c r="D1005" s="95">
        <f t="shared" ref="D1005:D1068" si="324">D1004+(F1004*$T1004)</f>
        <v>31.479813977629448</v>
      </c>
      <c r="E1005" s="95">
        <f t="shared" ref="E1005:E1068" si="325">E1004+(G1004*$T1004)</f>
        <v>-28.987058627664481</v>
      </c>
      <c r="F1005" s="96">
        <f t="shared" ref="F1005:F1068" si="326">SUM(H1005,J1005,L1005)</f>
        <v>99.815590272475788</v>
      </c>
      <c r="G1005" s="94">
        <f t="shared" ref="G1005:G1068" si="327">SUM(I1005,K1005,M1005)</f>
        <v>-93.108577837509017</v>
      </c>
      <c r="H1005" s="97">
        <f t="shared" ref="H1005:H1068" si="328">$D$22*(($D$18-$B1005)/$Q1005)</f>
        <v>640.64604104491502</v>
      </c>
      <c r="I1005" s="94">
        <f t="shared" ref="I1005:I1068" si="329">$D$22*(($E$18-$C1005)/$Q1005)</f>
        <v>427.67070222742177</v>
      </c>
      <c r="J1005" s="95">
        <f t="shared" ref="J1005:J1068" si="330">$D$30*(($D$26-$B1005)/$R1005)</f>
        <v>-196.07103840987395</v>
      </c>
      <c r="K1005" s="94">
        <f t="shared" ref="K1005:K1068" si="331">$D$30*(($E$26-$C1005)/$R1005)</f>
        <v>22.829535065042059</v>
      </c>
      <c r="L1005" s="94">
        <f t="shared" ref="L1005:L1068" si="332">$D$38*(($D$34-$B1005)/$S1005)</f>
        <v>-344.75941236256529</v>
      </c>
      <c r="M1005" s="94">
        <f t="shared" ref="M1005:M1068" si="333">$D$38*(($E$34-$C1005)/$S1005)</f>
        <v>-543.60881512997287</v>
      </c>
      <c r="N1005" s="99">
        <f t="shared" ref="N1005:N1068" si="334">SQRT(($D$18-$B1004)^2+($E$18-$C1004)^2)</f>
        <v>1528.1402567315597</v>
      </c>
      <c r="O1005" s="99">
        <f t="shared" ref="O1005:O1068" si="335">SQRT(($D$26-$B1004)^2+($E$26-$C1004)^2)</f>
        <v>28910.155580066734</v>
      </c>
      <c r="P1005" s="100">
        <f t="shared" ref="P1005:P1068" si="336">SQRT(($D$34-$B1004)^2+($E$34-$C1004)^2)</f>
        <v>25645.957154609612</v>
      </c>
      <c r="Q1005" s="95">
        <f t="shared" ref="Q1005:Q1068" si="337">(N1005^2+$D$39^2)^(3/2)</f>
        <v>1035231896330.1416</v>
      </c>
      <c r="R1005" s="95">
        <f t="shared" ref="R1005:R1068" si="338">(O1005^2+$D$31^2)^(3/2)</f>
        <v>26318766594427.809</v>
      </c>
      <c r="S1005" s="95">
        <f t="shared" ref="S1005:S1068" si="339">(P1005^2+$D$23^2)^(3/2)</f>
        <v>20857340395002.793</v>
      </c>
      <c r="T1005">
        <f t="shared" si="321"/>
        <v>0.5</v>
      </c>
    </row>
    <row r="1006" spans="1:20" x14ac:dyDescent="0.25">
      <c r="A1006">
        <v>481.5</v>
      </c>
      <c r="B1006" s="95">
        <f t="shared" si="322"/>
        <v>8774.0422254169916</v>
      </c>
      <c r="C1006" s="95">
        <f t="shared" si="323"/>
        <v>6616.6613594838682</v>
      </c>
      <c r="D1006" s="95">
        <f t="shared" si="324"/>
        <v>81.387609113867342</v>
      </c>
      <c r="E1006" s="95">
        <f t="shared" si="325"/>
        <v>-75.54134754641899</v>
      </c>
      <c r="F1006" s="96">
        <f t="shared" si="326"/>
        <v>78.276727371473896</v>
      </c>
      <c r="G1006" s="94">
        <f t="shared" si="327"/>
        <v>-72.944970504358025</v>
      </c>
      <c r="H1006" s="97">
        <f t="shared" si="328"/>
        <v>620.20778307571288</v>
      </c>
      <c r="I1006" s="94">
        <f t="shared" si="329"/>
        <v>446.87795232259822</v>
      </c>
      <c r="J1006" s="95">
        <f t="shared" si="330"/>
        <v>-196.01597877485653</v>
      </c>
      <c r="K1006" s="94">
        <f t="shared" si="331"/>
        <v>23.048149785564274</v>
      </c>
      <c r="L1006" s="94">
        <f t="shared" si="332"/>
        <v>-345.91507692938245</v>
      </c>
      <c r="M1006" s="94">
        <f t="shared" si="333"/>
        <v>-542.87107261252049</v>
      </c>
      <c r="N1006" s="99">
        <f t="shared" si="334"/>
        <v>1522.9548283910021</v>
      </c>
      <c r="O1006" s="99">
        <f t="shared" si="335"/>
        <v>28927.463360872785</v>
      </c>
      <c r="P1006" s="100">
        <f t="shared" si="336"/>
        <v>25642.138864215085</v>
      </c>
      <c r="Q1006" s="95">
        <f t="shared" si="337"/>
        <v>1034991832130.0979</v>
      </c>
      <c r="R1006" s="95">
        <f t="shared" si="338"/>
        <v>26363443973986.395</v>
      </c>
      <c r="S1006" s="95">
        <f t="shared" si="339"/>
        <v>20849254991391.797</v>
      </c>
      <c r="T1006">
        <f t="shared" si="321"/>
        <v>0.5</v>
      </c>
    </row>
    <row r="1007" spans="1:20" x14ac:dyDescent="0.25">
      <c r="A1007">
        <v>482</v>
      </c>
      <c r="B1007" s="95">
        <f t="shared" si="322"/>
        <v>8834.3052118167925</v>
      </c>
      <c r="C1007" s="95">
        <f t="shared" si="323"/>
        <v>6560.6544430845688</v>
      </c>
      <c r="D1007" s="95">
        <f t="shared" si="324"/>
        <v>120.52597279960429</v>
      </c>
      <c r="E1007" s="95">
        <f t="shared" si="325"/>
        <v>-112.013832798598</v>
      </c>
      <c r="F1007" s="96">
        <f t="shared" si="326"/>
        <v>46.683656990071825</v>
      </c>
      <c r="G1007" s="94">
        <f t="shared" si="327"/>
        <v>-43.226570418140341</v>
      </c>
      <c r="H1007" s="97">
        <f t="shared" si="328"/>
        <v>590.03345538007534</v>
      </c>
      <c r="I1007" s="94">
        <f t="shared" si="329"/>
        <v>475.46348354748295</v>
      </c>
      <c r="J1007" s="95">
        <f t="shared" si="330"/>
        <v>-195.56670485430473</v>
      </c>
      <c r="K1007" s="94">
        <f t="shared" si="331"/>
        <v>23.327126229682577</v>
      </c>
      <c r="L1007" s="94">
        <f t="shared" si="332"/>
        <v>-347.78309353569881</v>
      </c>
      <c r="M1007" s="94">
        <f t="shared" si="333"/>
        <v>-542.01718019530585</v>
      </c>
      <c r="N1007" s="99">
        <f t="shared" si="334"/>
        <v>1511.0458692208554</v>
      </c>
      <c r="O1007" s="99">
        <f t="shared" si="335"/>
        <v>28972.270990491743</v>
      </c>
      <c r="P1007" s="100">
        <f t="shared" si="336"/>
        <v>25632.094872604019</v>
      </c>
      <c r="Q1007" s="95">
        <f t="shared" si="337"/>
        <v>1034443654421.0518</v>
      </c>
      <c r="R1007" s="95">
        <f t="shared" si="338"/>
        <v>26479349703090.785</v>
      </c>
      <c r="S1007" s="95">
        <f t="shared" si="339"/>
        <v>20827997118890.719</v>
      </c>
      <c r="T1007">
        <f t="shared" si="321"/>
        <v>0.5</v>
      </c>
    </row>
    <row r="1008" spans="1:20" x14ac:dyDescent="0.25">
      <c r="A1008">
        <v>482.5</v>
      </c>
      <c r="B1008" s="95">
        <f t="shared" si="322"/>
        <v>8906.2391124641126</v>
      </c>
      <c r="C1008" s="95">
        <f t="shared" si="323"/>
        <v>6493.8408840807342</v>
      </c>
      <c r="D1008" s="95">
        <f t="shared" si="324"/>
        <v>143.8678012946402</v>
      </c>
      <c r="E1008" s="95">
        <f t="shared" si="325"/>
        <v>-133.62711800766817</v>
      </c>
      <c r="F1008" s="96">
        <f t="shared" si="326"/>
        <v>9.0640924439517221</v>
      </c>
      <c r="G1008" s="94">
        <f t="shared" si="327"/>
        <v>-7.9236273294555986</v>
      </c>
      <c r="H1008" s="97">
        <f t="shared" si="328"/>
        <v>553.96459933719052</v>
      </c>
      <c r="I1008" s="94">
        <f t="shared" si="329"/>
        <v>509.59632756239859</v>
      </c>
      <c r="J1008" s="95">
        <f t="shared" si="330"/>
        <v>-194.78577274001373</v>
      </c>
      <c r="K1008" s="94">
        <f t="shared" si="331"/>
        <v>23.626384258659773</v>
      </c>
      <c r="L1008" s="94">
        <f t="shared" si="332"/>
        <v>-350.11473415322507</v>
      </c>
      <c r="M1008" s="94">
        <f t="shared" si="333"/>
        <v>-541.146339150514</v>
      </c>
      <c r="N1008" s="99">
        <f t="shared" si="334"/>
        <v>1497.0686071433915</v>
      </c>
      <c r="O1008" s="99">
        <f t="shared" si="335"/>
        <v>29038.7027070439</v>
      </c>
      <c r="P1008" s="100">
        <f t="shared" si="336"/>
        <v>25617.373415473405</v>
      </c>
      <c r="Q1008" s="95">
        <f t="shared" si="337"/>
        <v>1033805882535.302</v>
      </c>
      <c r="R1008" s="95">
        <f t="shared" si="338"/>
        <v>26651834060474.734</v>
      </c>
      <c r="S1008" s="95">
        <f t="shared" si="339"/>
        <v>20796867604197.375</v>
      </c>
      <c r="T1008">
        <f t="shared" si="321"/>
        <v>0.5</v>
      </c>
    </row>
    <row r="1009" spans="1:20" x14ac:dyDescent="0.25">
      <c r="A1009">
        <v>483</v>
      </c>
      <c r="B1009" s="95">
        <f t="shared" si="322"/>
        <v>8980.4390362224203</v>
      </c>
      <c r="C1009" s="95">
        <f t="shared" si="323"/>
        <v>6425.0464182445367</v>
      </c>
      <c r="D1009" s="95">
        <f t="shared" si="324"/>
        <v>148.39984751661606</v>
      </c>
      <c r="E1009" s="95">
        <f t="shared" si="325"/>
        <v>-137.58893167239597</v>
      </c>
      <c r="F1009" s="96">
        <f t="shared" si="326"/>
        <v>-29.747753350853543</v>
      </c>
      <c r="G1009" s="94">
        <f t="shared" si="327"/>
        <v>28.244920427270131</v>
      </c>
      <c r="H1009" s="97">
        <f t="shared" si="328"/>
        <v>516.63071441028967</v>
      </c>
      <c r="I1009" s="94">
        <f t="shared" si="329"/>
        <v>544.69919566416138</v>
      </c>
      <c r="J1009" s="95">
        <f t="shared" si="330"/>
        <v>-193.77955403508702</v>
      </c>
      <c r="K1009" s="94">
        <f t="shared" si="331"/>
        <v>23.904155140743185</v>
      </c>
      <c r="L1009" s="94">
        <f t="shared" si="332"/>
        <v>-352.5989137260562</v>
      </c>
      <c r="M1009" s="94">
        <f t="shared" si="333"/>
        <v>-540.35843037763448</v>
      </c>
      <c r="N1009" s="99">
        <f t="shared" si="334"/>
        <v>1486.1591589230038</v>
      </c>
      <c r="O1009" s="99">
        <f t="shared" si="335"/>
        <v>29118.101094904763</v>
      </c>
      <c r="P1009" s="100">
        <f t="shared" si="336"/>
        <v>25600.169573719766</v>
      </c>
      <c r="Q1009" s="95">
        <f t="shared" si="337"/>
        <v>1033312301013.9207</v>
      </c>
      <c r="R1009" s="95">
        <f t="shared" si="338"/>
        <v>26858994529275.516</v>
      </c>
      <c r="S1009" s="95">
        <f t="shared" si="339"/>
        <v>20760531234591.207</v>
      </c>
      <c r="T1009">
        <f t="shared" si="321"/>
        <v>0.5</v>
      </c>
    </row>
    <row r="1010" spans="1:20" x14ac:dyDescent="0.25">
      <c r="A1010">
        <v>483.5</v>
      </c>
      <c r="B1010" s="95">
        <f t="shared" si="322"/>
        <v>9047.2020216430155</v>
      </c>
      <c r="C1010" s="95">
        <f t="shared" si="323"/>
        <v>6363.3131825151568</v>
      </c>
      <c r="D1010" s="95">
        <f t="shared" si="324"/>
        <v>133.52597084118929</v>
      </c>
      <c r="E1010" s="95">
        <f t="shared" si="325"/>
        <v>-123.46647145876091</v>
      </c>
      <c r="F1010" s="96">
        <f t="shared" si="326"/>
        <v>-64.690584370841407</v>
      </c>
      <c r="G1010" s="94">
        <f t="shared" si="327"/>
        <v>60.47160080304468</v>
      </c>
      <c r="H1010" s="97">
        <f t="shared" si="328"/>
        <v>482.89731160297276</v>
      </c>
      <c r="I1010" s="94">
        <f t="shared" si="329"/>
        <v>576.09589941039155</v>
      </c>
      <c r="J1010" s="95">
        <f t="shared" si="330"/>
        <v>-192.68275887370456</v>
      </c>
      <c r="K1010" s="94">
        <f t="shared" si="331"/>
        <v>24.123729666991739</v>
      </c>
      <c r="L1010" s="94">
        <f t="shared" si="332"/>
        <v>-354.90513710010964</v>
      </c>
      <c r="M1010" s="94">
        <f t="shared" si="333"/>
        <v>-539.74802827433859</v>
      </c>
      <c r="N1010" s="99">
        <f t="shared" si="334"/>
        <v>1481.5632830857974</v>
      </c>
      <c r="O1010" s="99">
        <f t="shared" si="335"/>
        <v>29200.105134124271</v>
      </c>
      <c r="P1010" s="100">
        <f t="shared" si="336"/>
        <v>25582.910109474738</v>
      </c>
      <c r="Q1010" s="95">
        <f t="shared" si="337"/>
        <v>1033105471646.1593</v>
      </c>
      <c r="R1010" s="95">
        <f t="shared" si="338"/>
        <v>27074110154862.199</v>
      </c>
      <c r="S1010" s="95">
        <f t="shared" si="339"/>
        <v>20724123181794.199</v>
      </c>
      <c r="T1010">
        <f t="shared" si="321"/>
        <v>0.5</v>
      </c>
    </row>
    <row r="1011" spans="1:20" x14ac:dyDescent="0.25">
      <c r="A1011">
        <v>484</v>
      </c>
      <c r="B1011" s="95">
        <f t="shared" si="322"/>
        <v>9097.7923609708996</v>
      </c>
      <c r="C1011" s="95">
        <f t="shared" si="323"/>
        <v>6316.6978469865371</v>
      </c>
      <c r="D1011" s="95">
        <f t="shared" si="324"/>
        <v>101.18067865576859</v>
      </c>
      <c r="E1011" s="95">
        <f t="shared" si="325"/>
        <v>-93.230671057238567</v>
      </c>
      <c r="F1011" s="96">
        <f t="shared" si="326"/>
        <v>-91.144540582305524</v>
      </c>
      <c r="G1011" s="94">
        <f t="shared" si="327"/>
        <v>84.541145322133048</v>
      </c>
      <c r="H1011" s="97">
        <f t="shared" si="328"/>
        <v>457.22454635409997</v>
      </c>
      <c r="I1011" s="94">
        <f t="shared" si="329"/>
        <v>599.67879533101518</v>
      </c>
      <c r="J1011" s="95">
        <f t="shared" si="330"/>
        <v>-191.63963681856754</v>
      </c>
      <c r="K1011" s="94">
        <f t="shared" si="331"/>
        <v>24.258427517110629</v>
      </c>
      <c r="L1011" s="94">
        <f t="shared" si="332"/>
        <v>-356.72945011783798</v>
      </c>
      <c r="M1011" s="94">
        <f t="shared" si="333"/>
        <v>-539.39607752599272</v>
      </c>
      <c r="N1011" s="99">
        <f t="shared" si="334"/>
        <v>1483.1995511747493</v>
      </c>
      <c r="O1011" s="99">
        <f t="shared" si="335"/>
        <v>29273.971993814066</v>
      </c>
      <c r="P1011" s="100">
        <f t="shared" si="336"/>
        <v>25567.851586926063</v>
      </c>
      <c r="Q1011" s="95">
        <f t="shared" si="337"/>
        <v>1033179034017.1726</v>
      </c>
      <c r="R1011" s="95">
        <f t="shared" si="338"/>
        <v>27268888973443.426</v>
      </c>
      <c r="S1011" s="95">
        <f t="shared" si="339"/>
        <v>20692395361260.648</v>
      </c>
      <c r="T1011">
        <f t="shared" si="321"/>
        <v>0.5</v>
      </c>
    </row>
    <row r="1012" spans="1:20" x14ac:dyDescent="0.25">
      <c r="A1012">
        <v>484.5</v>
      </c>
      <c r="B1012" s="95">
        <f t="shared" si="322"/>
        <v>9125.5965651532078</v>
      </c>
      <c r="C1012" s="95">
        <f t="shared" si="323"/>
        <v>6291.2177977884503</v>
      </c>
      <c r="D1012" s="95">
        <f t="shared" si="324"/>
        <v>55.608408364615826</v>
      </c>
      <c r="E1012" s="95">
        <f t="shared" si="325"/>
        <v>-50.960098396172043</v>
      </c>
      <c r="F1012" s="96">
        <f t="shared" si="326"/>
        <v>-105.57980364368183</v>
      </c>
      <c r="G1012" s="94">
        <f t="shared" si="327"/>
        <v>97.398773492746614</v>
      </c>
      <c r="H1012" s="97">
        <f t="shared" si="328"/>
        <v>443.04081494140632</v>
      </c>
      <c r="I1012" s="94">
        <f t="shared" si="329"/>
        <v>612.46311555066904</v>
      </c>
      <c r="J1012" s="95">
        <f t="shared" si="330"/>
        <v>-190.78484425970487</v>
      </c>
      <c r="K1012" s="94">
        <f t="shared" si="331"/>
        <v>24.294075256424662</v>
      </c>
      <c r="L1012" s="94">
        <f t="shared" si="332"/>
        <v>-357.83577432538328</v>
      </c>
      <c r="M1012" s="94">
        <f t="shared" si="333"/>
        <v>-539.35841731434709</v>
      </c>
      <c r="N1012" s="99">
        <f t="shared" si="334"/>
        <v>1488.0129734813336</v>
      </c>
      <c r="O1012" s="99">
        <f t="shared" si="335"/>
        <v>29329.988664037533</v>
      </c>
      <c r="P1012" s="100">
        <f t="shared" si="336"/>
        <v>25556.786898058406</v>
      </c>
      <c r="Q1012" s="95">
        <f t="shared" si="337"/>
        <v>1033395913930.1368</v>
      </c>
      <c r="R1012" s="95">
        <f t="shared" si="338"/>
        <v>27417237875606.645</v>
      </c>
      <c r="S1012" s="95">
        <f t="shared" si="339"/>
        <v>20669104647386.023</v>
      </c>
      <c r="T1012">
        <f t="shared" si="321"/>
        <v>0.5</v>
      </c>
    </row>
    <row r="1013" spans="1:20" x14ac:dyDescent="0.25">
      <c r="A1013">
        <v>485</v>
      </c>
      <c r="B1013" s="95">
        <f t="shared" si="322"/>
        <v>9127.0058184245954</v>
      </c>
      <c r="C1013" s="95">
        <f t="shared" si="323"/>
        <v>6290.0874419635511</v>
      </c>
      <c r="D1013" s="95">
        <f t="shared" si="324"/>
        <v>2.8185065427749123</v>
      </c>
      <c r="E1013" s="95">
        <f t="shared" si="325"/>
        <v>-2.2607116497987363</v>
      </c>
      <c r="F1013" s="96">
        <f t="shared" si="326"/>
        <v>-106.06092664964916</v>
      </c>
      <c r="G1013" s="94">
        <f t="shared" si="327"/>
        <v>97.507947306905862</v>
      </c>
      <c r="H1013" s="97">
        <f t="shared" si="328"/>
        <v>442.25179452777553</v>
      </c>
      <c r="I1013" s="94">
        <f t="shared" si="329"/>
        <v>612.93192017350577</v>
      </c>
      <c r="J1013" s="95">
        <f t="shared" si="330"/>
        <v>-190.22665704888851</v>
      </c>
      <c r="K1013" s="94">
        <f t="shared" si="331"/>
        <v>24.229207363722601</v>
      </c>
      <c r="L1013" s="94">
        <f t="shared" si="332"/>
        <v>-358.08606412853618</v>
      </c>
      <c r="M1013" s="94">
        <f t="shared" si="333"/>
        <v>-539.6531802303225</v>
      </c>
      <c r="N1013" s="99">
        <f t="shared" si="334"/>
        <v>1491.8900023980561</v>
      </c>
      <c r="O1013" s="99">
        <f t="shared" si="335"/>
        <v>29360.780655485058</v>
      </c>
      <c r="P1013" s="100">
        <f t="shared" si="336"/>
        <v>25550.898881141769</v>
      </c>
      <c r="Q1013" s="95">
        <f t="shared" si="337"/>
        <v>1033571124488.9314</v>
      </c>
      <c r="R1013" s="95">
        <f t="shared" si="338"/>
        <v>27499019502572.074</v>
      </c>
      <c r="S1013" s="95">
        <f t="shared" si="339"/>
        <v>20656718287540.02</v>
      </c>
      <c r="T1013">
        <f t="shared" si="321"/>
        <v>0.5</v>
      </c>
    </row>
    <row r="1014" spans="1:20" x14ac:dyDescent="0.25">
      <c r="A1014">
        <v>485.5</v>
      </c>
      <c r="B1014" s="95">
        <f t="shared" si="322"/>
        <v>9101.8998400335713</v>
      </c>
      <c r="C1014" s="95">
        <f t="shared" si="323"/>
        <v>6313.3340729653783</v>
      </c>
      <c r="D1014" s="95">
        <f t="shared" si="324"/>
        <v>-50.211956782049668</v>
      </c>
      <c r="E1014" s="95">
        <f t="shared" si="325"/>
        <v>46.493262003654195</v>
      </c>
      <c r="F1014" s="96">
        <f t="shared" si="326"/>
        <v>-92.521524405845469</v>
      </c>
      <c r="G1014" s="94">
        <f t="shared" si="327"/>
        <v>84.975389462617613</v>
      </c>
      <c r="H1014" s="97">
        <f t="shared" si="328"/>
        <v>454.9684679566891</v>
      </c>
      <c r="I1014" s="94">
        <f t="shared" si="329"/>
        <v>601.15297030960062</v>
      </c>
      <c r="J1014" s="95">
        <f t="shared" si="330"/>
        <v>-190.03438182104892</v>
      </c>
      <c r="K1014" s="94">
        <f t="shared" si="331"/>
        <v>24.073798764882991</v>
      </c>
      <c r="L1014" s="94">
        <f t="shared" si="332"/>
        <v>-357.45561054148567</v>
      </c>
      <c r="M1014" s="94">
        <f t="shared" si="333"/>
        <v>-540.25137961186601</v>
      </c>
      <c r="N1014" s="99">
        <f t="shared" si="334"/>
        <v>1491.9809781491231</v>
      </c>
      <c r="O1014" s="99">
        <f t="shared" si="335"/>
        <v>29362.321419377193</v>
      </c>
      <c r="P1014" s="100">
        <f t="shared" si="336"/>
        <v>25550.736127952488</v>
      </c>
      <c r="Q1014" s="95">
        <f t="shared" si="337"/>
        <v>1033575241455.6858</v>
      </c>
      <c r="R1014" s="95">
        <f t="shared" si="338"/>
        <v>27503116064512.988</v>
      </c>
      <c r="S1014" s="95">
        <f t="shared" si="339"/>
        <v>20656375986563.176</v>
      </c>
      <c r="T1014">
        <f t="shared" si="321"/>
        <v>0.5</v>
      </c>
    </row>
    <row r="1015" spans="1:20" x14ac:dyDescent="0.25">
      <c r="A1015">
        <v>486</v>
      </c>
      <c r="B1015" s="95">
        <f t="shared" si="322"/>
        <v>9053.6634805410849</v>
      </c>
      <c r="C1015" s="95">
        <f t="shared" si="323"/>
        <v>6357.8245513328602</v>
      </c>
      <c r="D1015" s="95">
        <f t="shared" si="324"/>
        <v>-96.472718984972403</v>
      </c>
      <c r="E1015" s="95">
        <f t="shared" si="325"/>
        <v>88.980956734963002</v>
      </c>
      <c r="F1015" s="96">
        <f t="shared" si="326"/>
        <v>-66.780276736227165</v>
      </c>
      <c r="G1015" s="94">
        <f t="shared" si="327"/>
        <v>61.482004688979373</v>
      </c>
      <c r="H1015" s="97">
        <f t="shared" si="328"/>
        <v>479.48365029019175</v>
      </c>
      <c r="I1015" s="94">
        <f t="shared" si="329"/>
        <v>578.7100488438183</v>
      </c>
      <c r="J1015" s="95">
        <f t="shared" si="330"/>
        <v>-190.23084489942434</v>
      </c>
      <c r="K1015" s="94">
        <f t="shared" si="331"/>
        <v>23.847392372253992</v>
      </c>
      <c r="L1015" s="94">
        <f t="shared" si="332"/>
        <v>-356.0330821269946</v>
      </c>
      <c r="M1015" s="94">
        <f t="shared" si="333"/>
        <v>-541.07543652709296</v>
      </c>
      <c r="N1015" s="99">
        <f t="shared" si="334"/>
        <v>1488.2069478794483</v>
      </c>
      <c r="O1015" s="99">
        <f t="shared" si="335"/>
        <v>29334.486188731924</v>
      </c>
      <c r="P1015" s="100">
        <f t="shared" si="336"/>
        <v>25556.247541534063</v>
      </c>
      <c r="Q1015" s="95">
        <f t="shared" si="337"/>
        <v>1033404668944.933</v>
      </c>
      <c r="R1015" s="95">
        <f t="shared" si="338"/>
        <v>27429172609484.156</v>
      </c>
      <c r="S1015" s="95">
        <f t="shared" si="339"/>
        <v>20667969805280.957</v>
      </c>
      <c r="T1015">
        <f t="shared" si="321"/>
        <v>0.5</v>
      </c>
    </row>
    <row r="1016" spans="1:20" x14ac:dyDescent="0.25">
      <c r="A1016">
        <v>486.5</v>
      </c>
      <c r="B1016" s="95">
        <f t="shared" si="322"/>
        <v>8988.7320518645411</v>
      </c>
      <c r="C1016" s="95">
        <f t="shared" si="323"/>
        <v>6417.6855308725862</v>
      </c>
      <c r="D1016" s="95">
        <f t="shared" si="324"/>
        <v>-129.86285735308599</v>
      </c>
      <c r="E1016" s="95">
        <f t="shared" si="325"/>
        <v>119.72195907945269</v>
      </c>
      <c r="F1016" s="96">
        <f t="shared" si="326"/>
        <v>-32.304401063864077</v>
      </c>
      <c r="G1016" s="94">
        <f t="shared" si="327"/>
        <v>30.066500262493719</v>
      </c>
      <c r="H1016" s="97">
        <f t="shared" si="328"/>
        <v>512.49280410196945</v>
      </c>
      <c r="I1016" s="94">
        <f t="shared" si="329"/>
        <v>548.4979309647257</v>
      </c>
      <c r="J1016" s="95">
        <f t="shared" si="330"/>
        <v>-190.7901343867907</v>
      </c>
      <c r="K1016" s="94">
        <f t="shared" si="331"/>
        <v>23.57710084586482</v>
      </c>
      <c r="L1016" s="94">
        <f t="shared" si="332"/>
        <v>-354.00707077904286</v>
      </c>
      <c r="M1016" s="94">
        <f t="shared" si="333"/>
        <v>-542.00853154809681</v>
      </c>
      <c r="N1016" s="99">
        <f t="shared" si="334"/>
        <v>1483.2793275710396</v>
      </c>
      <c r="O1016" s="99">
        <f t="shared" si="335"/>
        <v>29281.065616527696</v>
      </c>
      <c r="P1016" s="100">
        <f t="shared" si="336"/>
        <v>25566.816907660032</v>
      </c>
      <c r="Q1016" s="95">
        <f t="shared" si="337"/>
        <v>1033182622677.717</v>
      </c>
      <c r="R1016" s="95">
        <f t="shared" si="338"/>
        <v>27287644497183.863</v>
      </c>
      <c r="S1016" s="95">
        <f t="shared" si="339"/>
        <v>20690216606155.313</v>
      </c>
      <c r="T1016">
        <f t="shared" si="321"/>
        <v>0.5</v>
      </c>
    </row>
    <row r="1017" spans="1:20" x14ac:dyDescent="0.25">
      <c r="A1017">
        <v>487</v>
      </c>
      <c r="B1017" s="95">
        <f t="shared" si="322"/>
        <v>8915.7245229220316</v>
      </c>
      <c r="C1017" s="95">
        <f t="shared" si="323"/>
        <v>6485.0631354779362</v>
      </c>
      <c r="D1017" s="95">
        <f t="shared" si="324"/>
        <v>-146.01505788501802</v>
      </c>
      <c r="E1017" s="95">
        <f t="shared" si="325"/>
        <v>134.75520921069955</v>
      </c>
      <c r="F1017" s="96">
        <f t="shared" si="326"/>
        <v>6.258365406513235</v>
      </c>
      <c r="G1017" s="94">
        <f t="shared" si="327"/>
        <v>-5.2208366973324019</v>
      </c>
      <c r="H1017" s="97">
        <f t="shared" si="328"/>
        <v>549.54053250842242</v>
      </c>
      <c r="I1017" s="94">
        <f t="shared" si="329"/>
        <v>514.39782304675032</v>
      </c>
      <c r="J1017" s="95">
        <f t="shared" si="330"/>
        <v>-191.64052139364244</v>
      </c>
      <c r="K1017" s="94">
        <f t="shared" si="331"/>
        <v>23.29543334972514</v>
      </c>
      <c r="L1017" s="94">
        <f t="shared" si="332"/>
        <v>-351.64164570826676</v>
      </c>
      <c r="M1017" s="94">
        <f t="shared" si="333"/>
        <v>-542.91409309380788</v>
      </c>
      <c r="N1017" s="99">
        <f t="shared" si="334"/>
        <v>1481.2384929540067</v>
      </c>
      <c r="O1017" s="99">
        <f t="shared" si="335"/>
        <v>29209.237630080628</v>
      </c>
      <c r="P1017" s="100">
        <f t="shared" si="336"/>
        <v>25581.279833468285</v>
      </c>
      <c r="Q1017" s="95">
        <f t="shared" si="337"/>
        <v>1033090879789.8077</v>
      </c>
      <c r="R1017" s="95">
        <f t="shared" si="338"/>
        <v>27098139689109.555</v>
      </c>
      <c r="S1017" s="95">
        <f t="shared" si="339"/>
        <v>20720686558867.117</v>
      </c>
      <c r="T1017">
        <f t="shared" si="321"/>
        <v>0.5</v>
      </c>
    </row>
    <row r="1018" spans="1:20" x14ac:dyDescent="0.25">
      <c r="A1018">
        <v>487.5</v>
      </c>
      <c r="B1018" s="95">
        <f t="shared" si="322"/>
        <v>8844.2815853311513</v>
      </c>
      <c r="C1018" s="95">
        <f t="shared" si="323"/>
        <v>6551.1355309089531</v>
      </c>
      <c r="D1018" s="95">
        <f t="shared" si="324"/>
        <v>-142.88587518176141</v>
      </c>
      <c r="E1018" s="95">
        <f t="shared" si="325"/>
        <v>132.14479086203335</v>
      </c>
      <c r="F1018" s="96">
        <f t="shared" si="326"/>
        <v>43.733331752055904</v>
      </c>
      <c r="G1018" s="94">
        <f t="shared" si="327"/>
        <v>-39.795271790185382</v>
      </c>
      <c r="H1018" s="97">
        <f t="shared" si="328"/>
        <v>585.64934284575986</v>
      </c>
      <c r="I1018" s="94">
        <f t="shared" si="329"/>
        <v>480.82806825578643</v>
      </c>
      <c r="J1018" s="95">
        <f t="shared" si="330"/>
        <v>-192.67249600309501</v>
      </c>
      <c r="K1018" s="94">
        <f t="shared" si="331"/>
        <v>23.037541207963219</v>
      </c>
      <c r="L1018" s="94">
        <f t="shared" si="332"/>
        <v>-349.24351509060892</v>
      </c>
      <c r="M1018" s="94">
        <f t="shared" si="333"/>
        <v>-543.66088125393503</v>
      </c>
      <c r="N1018" s="99">
        <f t="shared" si="334"/>
        <v>1485.1768073729586</v>
      </c>
      <c r="O1018" s="99">
        <f t="shared" si="335"/>
        <v>29128.575417398817</v>
      </c>
      <c r="P1018" s="100">
        <f t="shared" si="336"/>
        <v>25597.955522528096</v>
      </c>
      <c r="Q1018" s="95">
        <f t="shared" si="337"/>
        <v>1033268037007.5778</v>
      </c>
      <c r="R1018" s="95">
        <f t="shared" si="338"/>
        <v>26886405564867.574</v>
      </c>
      <c r="S1018" s="95">
        <f t="shared" si="339"/>
        <v>20755858230429.273</v>
      </c>
      <c r="T1018">
        <f t="shared" si="321"/>
        <v>0.5</v>
      </c>
    </row>
    <row r="1019" spans="1:20" x14ac:dyDescent="0.25">
      <c r="A1019">
        <v>488</v>
      </c>
      <c r="B1019" s="95">
        <f t="shared" si="322"/>
        <v>8783.7719806782843</v>
      </c>
      <c r="C1019" s="95">
        <f t="shared" si="323"/>
        <v>6607.2591083924235</v>
      </c>
      <c r="D1019" s="95">
        <f t="shared" si="324"/>
        <v>-121.01920930573345</v>
      </c>
      <c r="E1019" s="95">
        <f t="shared" si="325"/>
        <v>112.24715496694066</v>
      </c>
      <c r="F1019" s="96">
        <f t="shared" si="326"/>
        <v>75.162710348339147</v>
      </c>
      <c r="G1019" s="94">
        <f t="shared" si="327"/>
        <v>-69.122214882078083</v>
      </c>
      <c r="H1019" s="97">
        <f t="shared" si="328"/>
        <v>616.03823661221486</v>
      </c>
      <c r="I1019" s="94">
        <f t="shared" si="329"/>
        <v>452.18702075640323</v>
      </c>
      <c r="J1019" s="95">
        <f t="shared" si="330"/>
        <v>-193.7516985226392</v>
      </c>
      <c r="K1019" s="94">
        <f t="shared" si="331"/>
        <v>22.837497143787861</v>
      </c>
      <c r="L1019" s="94">
        <f t="shared" si="332"/>
        <v>-347.12382774123648</v>
      </c>
      <c r="M1019" s="94">
        <f t="shared" si="333"/>
        <v>-544.14673278226917</v>
      </c>
      <c r="N1019" s="99">
        <f t="shared" si="334"/>
        <v>1495.33569298272</v>
      </c>
      <c r="O1019" s="99">
        <f t="shared" si="335"/>
        <v>29049.7374566455</v>
      </c>
      <c r="P1019" s="100">
        <f t="shared" si="336"/>
        <v>25614.753078754158</v>
      </c>
      <c r="Q1019" s="95">
        <f t="shared" si="337"/>
        <v>1033727233015.9899</v>
      </c>
      <c r="R1019" s="95">
        <f t="shared" si="338"/>
        <v>26680559309765.262</v>
      </c>
      <c r="S1019" s="95">
        <f t="shared" si="339"/>
        <v>20791330226945.195</v>
      </c>
      <c r="T1019">
        <f t="shared" si="321"/>
        <v>0.5</v>
      </c>
    </row>
    <row r="1020" spans="1:20" x14ac:dyDescent="0.25">
      <c r="A1020">
        <v>488.5</v>
      </c>
      <c r="B1020" s="95">
        <f t="shared" si="322"/>
        <v>8742.0530536125025</v>
      </c>
      <c r="C1020" s="95">
        <f t="shared" si="323"/>
        <v>6646.1021321553744</v>
      </c>
      <c r="D1020" s="95">
        <f t="shared" si="324"/>
        <v>-83.437854131563881</v>
      </c>
      <c r="E1020" s="95">
        <f t="shared" si="325"/>
        <v>77.686047525901614</v>
      </c>
      <c r="F1020" s="96">
        <f t="shared" si="326"/>
        <v>96.499675045436106</v>
      </c>
      <c r="G1020" s="94">
        <f t="shared" si="327"/>
        <v>-89.333086407589519</v>
      </c>
      <c r="H1020" s="97">
        <f t="shared" si="328"/>
        <v>636.79418908512071</v>
      </c>
      <c r="I1020" s="94">
        <f t="shared" si="329"/>
        <v>432.25765750866032</v>
      </c>
      <c r="J1020" s="95">
        <f t="shared" si="330"/>
        <v>-194.73589094162733</v>
      </c>
      <c r="K1020" s="94">
        <f t="shared" si="331"/>
        <v>22.723647757648898</v>
      </c>
      <c r="L1020" s="94">
        <f t="shared" si="332"/>
        <v>-345.5586230980573</v>
      </c>
      <c r="M1020" s="94">
        <f t="shared" si="333"/>
        <v>-544.31439167389874</v>
      </c>
      <c r="N1020" s="99">
        <f t="shared" si="334"/>
        <v>1508.7070274017797</v>
      </c>
      <c r="O1020" s="99">
        <f t="shared" si="335"/>
        <v>28983.033315946526</v>
      </c>
      <c r="P1020" s="100">
        <f t="shared" si="336"/>
        <v>25629.397499600709</v>
      </c>
      <c r="Q1020" s="95">
        <f t="shared" si="337"/>
        <v>1034336512778.8077</v>
      </c>
      <c r="R1020" s="95">
        <f t="shared" si="338"/>
        <v>26507241032966.168</v>
      </c>
      <c r="S1020" s="95">
        <f t="shared" si="339"/>
        <v>20822290841911.918</v>
      </c>
      <c r="T1020">
        <f t="shared" si="321"/>
        <v>0.5</v>
      </c>
    </row>
    <row r="1021" spans="1:20" x14ac:dyDescent="0.25">
      <c r="A1021">
        <v>489</v>
      </c>
      <c r="B1021" s="95">
        <f t="shared" si="322"/>
        <v>8724.45904530808</v>
      </c>
      <c r="C1021" s="95">
        <f t="shared" si="323"/>
        <v>6662.6118843164277</v>
      </c>
      <c r="D1021" s="95">
        <f t="shared" si="324"/>
        <v>-35.188016608845828</v>
      </c>
      <c r="E1021" s="95">
        <f t="shared" si="325"/>
        <v>33.019504322106854</v>
      </c>
      <c r="F1021" s="96">
        <f t="shared" si="326"/>
        <v>105.11881557431093</v>
      </c>
      <c r="G1021" s="94">
        <f t="shared" si="327"/>
        <v>-97.76195578550039</v>
      </c>
      <c r="H1021" s="97">
        <f t="shared" si="328"/>
        <v>645.36571934593917</v>
      </c>
      <c r="I1021" s="94">
        <f t="shared" si="329"/>
        <v>423.68030729393286</v>
      </c>
      <c r="J1021" s="95">
        <f t="shared" si="330"/>
        <v>-195.49407872361726</v>
      </c>
      <c r="K1021" s="94">
        <f t="shared" si="331"/>
        <v>22.71373027389631</v>
      </c>
      <c r="L1021" s="94">
        <f t="shared" si="332"/>
        <v>-344.752825048011</v>
      </c>
      <c r="M1021" s="94">
        <f t="shared" si="333"/>
        <v>-544.15599335332956</v>
      </c>
      <c r="N1021" s="99">
        <f t="shared" si="334"/>
        <v>1520.3855065854934</v>
      </c>
      <c r="O1021" s="99">
        <f t="shared" si="335"/>
        <v>28937.073878410865</v>
      </c>
      <c r="P1021" s="100">
        <f t="shared" si="336"/>
        <v>25639.769102782542</v>
      </c>
      <c r="Q1021" s="95">
        <f t="shared" si="337"/>
        <v>1034873192178.6062</v>
      </c>
      <c r="R1021" s="95">
        <f t="shared" si="338"/>
        <v>26388274507478.633</v>
      </c>
      <c r="S1021" s="95">
        <f t="shared" si="339"/>
        <v>20844238044667.379</v>
      </c>
      <c r="T1021">
        <f t="shared" si="321"/>
        <v>0.5</v>
      </c>
    </row>
    <row r="1022" spans="1:20" x14ac:dyDescent="0.25">
      <c r="A1022">
        <v>489.5</v>
      </c>
      <c r="B1022" s="95">
        <f t="shared" si="322"/>
        <v>8733.1447408972344</v>
      </c>
      <c r="C1022" s="95">
        <f t="shared" si="323"/>
        <v>6654.681147531106</v>
      </c>
      <c r="D1022" s="95">
        <f t="shared" si="324"/>
        <v>17.371391178309636</v>
      </c>
      <c r="E1022" s="95">
        <f t="shared" si="325"/>
        <v>-15.861473570643341</v>
      </c>
      <c r="F1022" s="96">
        <f t="shared" si="326"/>
        <v>100.07704227022168</v>
      </c>
      <c r="G1022" s="94">
        <f t="shared" si="327"/>
        <v>-93.307693216220912</v>
      </c>
      <c r="H1022" s="97">
        <f t="shared" si="328"/>
        <v>640.8147044041101</v>
      </c>
      <c r="I1022" s="94">
        <f t="shared" si="329"/>
        <v>427.58850837918374</v>
      </c>
      <c r="J1022" s="95">
        <f t="shared" si="330"/>
        <v>-195.92494145013148</v>
      </c>
      <c r="K1022" s="94">
        <f t="shared" si="331"/>
        <v>22.810987318387145</v>
      </c>
      <c r="L1022" s="94">
        <f t="shared" si="332"/>
        <v>-344.81272068375694</v>
      </c>
      <c r="M1022" s="94">
        <f t="shared" si="333"/>
        <v>-543.70718891379181</v>
      </c>
      <c r="N1022" s="99">
        <f t="shared" si="334"/>
        <v>1525.8517566868868</v>
      </c>
      <c r="O1022" s="99">
        <f t="shared" si="335"/>
        <v>28917.688477474945</v>
      </c>
      <c r="P1022" s="100">
        <f t="shared" si="336"/>
        <v>25644.288442787143</v>
      </c>
      <c r="Q1022" s="95">
        <f t="shared" si="337"/>
        <v>1035125845221.1934</v>
      </c>
      <c r="R1022" s="95">
        <f t="shared" si="338"/>
        <v>26338205222194.043</v>
      </c>
      <c r="S1022" s="95">
        <f t="shared" si="339"/>
        <v>20853806545156.09</v>
      </c>
      <c r="T1022">
        <f t="shared" si="321"/>
        <v>0.5</v>
      </c>
    </row>
    <row r="1023" spans="1:20" x14ac:dyDescent="0.25">
      <c r="A1023">
        <v>490</v>
      </c>
      <c r="B1023" s="95">
        <f t="shared" si="322"/>
        <v>8766.8496970539436</v>
      </c>
      <c r="C1023" s="95">
        <f t="shared" si="323"/>
        <v>6623.4234874417289</v>
      </c>
      <c r="D1023" s="95">
        <f t="shared" si="324"/>
        <v>67.409912313420477</v>
      </c>
      <c r="E1023" s="95">
        <f t="shared" si="325"/>
        <v>-62.515320178753797</v>
      </c>
      <c r="F1023" s="96">
        <f t="shared" si="326"/>
        <v>82.14328148275797</v>
      </c>
      <c r="G1023" s="94">
        <f t="shared" si="327"/>
        <v>-76.576303705886119</v>
      </c>
      <c r="H1023" s="97">
        <f t="shared" si="328"/>
        <v>623.8455912061379</v>
      </c>
      <c r="I1023" s="94">
        <f t="shared" si="329"/>
        <v>443.4563989546786</v>
      </c>
      <c r="J1023" s="95">
        <f t="shared" si="330"/>
        <v>-195.97141888513474</v>
      </c>
      <c r="K1023" s="94">
        <f t="shared" si="331"/>
        <v>23.002605329009359</v>
      </c>
      <c r="L1023" s="94">
        <f t="shared" si="332"/>
        <v>-345.73089083824516</v>
      </c>
      <c r="M1023" s="94">
        <f t="shared" si="333"/>
        <v>-543.03530798957411</v>
      </c>
      <c r="N1023" s="99">
        <f t="shared" si="334"/>
        <v>1522.9859519561114</v>
      </c>
      <c r="O1023" s="99">
        <f t="shared" si="335"/>
        <v>28927.232237565247</v>
      </c>
      <c r="P1023" s="100">
        <f t="shared" si="336"/>
        <v>25642.240153225153</v>
      </c>
      <c r="Q1023" s="95">
        <f t="shared" si="337"/>
        <v>1034993270534.912</v>
      </c>
      <c r="R1023" s="95">
        <f t="shared" si="338"/>
        <v>26362847022059.887</v>
      </c>
      <c r="S1023" s="95">
        <f t="shared" si="339"/>
        <v>20849469446442.258</v>
      </c>
      <c r="T1023">
        <f t="shared" si="321"/>
        <v>0.5</v>
      </c>
    </row>
    <row r="1024" spans="1:20" x14ac:dyDescent="0.25">
      <c r="A1024">
        <v>490.5</v>
      </c>
      <c r="B1024" s="95">
        <f t="shared" si="322"/>
        <v>8821.0904735813438</v>
      </c>
      <c r="C1024" s="95">
        <f t="shared" si="323"/>
        <v>6573.0217514258802</v>
      </c>
      <c r="D1024" s="95">
        <f t="shared" si="324"/>
        <v>108.48155305479946</v>
      </c>
      <c r="E1024" s="95">
        <f t="shared" si="325"/>
        <v>-100.80347203169686</v>
      </c>
      <c r="F1024" s="96">
        <f t="shared" si="326"/>
        <v>53.656827138517372</v>
      </c>
      <c r="G1024" s="94">
        <f t="shared" si="327"/>
        <v>-49.80168662692779</v>
      </c>
      <c r="H1024" s="97">
        <f t="shared" si="328"/>
        <v>596.67165464635832</v>
      </c>
      <c r="I1024" s="94">
        <f t="shared" si="329"/>
        <v>469.1637763570713</v>
      </c>
      <c r="J1024" s="95">
        <f t="shared" si="330"/>
        <v>-195.62885883436567</v>
      </c>
      <c r="K1024" s="94">
        <f t="shared" si="331"/>
        <v>23.261293483439854</v>
      </c>
      <c r="L1024" s="94">
        <f t="shared" si="332"/>
        <v>-347.38596867347525</v>
      </c>
      <c r="M1024" s="94">
        <f t="shared" si="333"/>
        <v>-542.22675646743892</v>
      </c>
      <c r="N1024" s="99">
        <f t="shared" si="334"/>
        <v>1512.9593689272594</v>
      </c>
      <c r="O1024" s="99">
        <f t="shared" si="335"/>
        <v>28964.338598318667</v>
      </c>
      <c r="P1024" s="100">
        <f t="shared" si="336"/>
        <v>25633.934420968642</v>
      </c>
      <c r="Q1024" s="95">
        <f t="shared" si="337"/>
        <v>1034531437461.7513</v>
      </c>
      <c r="R1024" s="95">
        <f t="shared" si="338"/>
        <v>26458805240898.059</v>
      </c>
      <c r="S1024" s="95">
        <f t="shared" si="339"/>
        <v>20831889316182</v>
      </c>
      <c r="T1024">
        <f t="shared" si="321"/>
        <v>0.5</v>
      </c>
    </row>
    <row r="1025" spans="1:20" x14ac:dyDescent="0.25">
      <c r="A1025">
        <v>491</v>
      </c>
      <c r="B1025" s="95">
        <f t="shared" si="322"/>
        <v>8888.7454568933736</v>
      </c>
      <c r="C1025" s="95">
        <f t="shared" si="323"/>
        <v>6510.1695937532995</v>
      </c>
      <c r="D1025" s="95">
        <f t="shared" si="324"/>
        <v>135.30996662405815</v>
      </c>
      <c r="E1025" s="95">
        <f t="shared" si="325"/>
        <v>-125.70431534516075</v>
      </c>
      <c r="F1025" s="96">
        <f t="shared" si="326"/>
        <v>18.256313453546397</v>
      </c>
      <c r="G1025" s="94">
        <f t="shared" si="327"/>
        <v>-16.559075557886672</v>
      </c>
      <c r="H1025" s="97">
        <f t="shared" si="328"/>
        <v>562.75948902969515</v>
      </c>
      <c r="I1025" s="94">
        <f t="shared" si="329"/>
        <v>501.26810018539584</v>
      </c>
      <c r="J1025" s="95">
        <f t="shared" si="330"/>
        <v>-194.94535524492281</v>
      </c>
      <c r="K1025" s="94">
        <f t="shared" si="331"/>
        <v>23.549870980221407</v>
      </c>
      <c r="L1025" s="94">
        <f t="shared" si="332"/>
        <v>-349.55782033122597</v>
      </c>
      <c r="M1025" s="94">
        <f t="shared" si="333"/>
        <v>-541.3770467235039</v>
      </c>
      <c r="N1025" s="99">
        <f t="shared" si="334"/>
        <v>1499.7054193441465</v>
      </c>
      <c r="O1025" s="99">
        <f t="shared" si="335"/>
        <v>29024.118177863071</v>
      </c>
      <c r="P1025" s="100">
        <f t="shared" si="336"/>
        <v>25620.652009002719</v>
      </c>
      <c r="Q1025" s="95">
        <f t="shared" si="337"/>
        <v>1033925734689.7869</v>
      </c>
      <c r="R1025" s="95">
        <f t="shared" si="338"/>
        <v>26613900719322.852</v>
      </c>
      <c r="S1025" s="95">
        <f t="shared" si="339"/>
        <v>20803797520350.273</v>
      </c>
      <c r="T1025">
        <f t="shared" si="321"/>
        <v>0.5</v>
      </c>
    </row>
    <row r="1026" spans="1:20" x14ac:dyDescent="0.25">
      <c r="A1026">
        <v>491.5</v>
      </c>
      <c r="B1026" s="95">
        <f t="shared" si="322"/>
        <v>8960.9645185687896</v>
      </c>
      <c r="C1026" s="95">
        <f t="shared" si="323"/>
        <v>6443.1776671912476</v>
      </c>
      <c r="D1026" s="95">
        <f t="shared" si="324"/>
        <v>144.43812335083135</v>
      </c>
      <c r="E1026" s="95">
        <f t="shared" si="325"/>
        <v>-133.98385312410409</v>
      </c>
      <c r="F1026" s="96">
        <f t="shared" si="326"/>
        <v>-19.518559541135915</v>
      </c>
      <c r="G1026" s="94">
        <f t="shared" si="327"/>
        <v>18.708626283682065</v>
      </c>
      <c r="H1026" s="97">
        <f t="shared" si="328"/>
        <v>526.45260145863972</v>
      </c>
      <c r="I1026" s="94">
        <f t="shared" si="329"/>
        <v>535.46474237856967</v>
      </c>
      <c r="J1026" s="95">
        <f t="shared" si="330"/>
        <v>-194.01436206378895</v>
      </c>
      <c r="K1026" s="94">
        <f t="shared" si="331"/>
        <v>23.827749777866522</v>
      </c>
      <c r="L1026" s="94">
        <f t="shared" si="332"/>
        <v>-351.95679893598668</v>
      </c>
      <c r="M1026" s="94">
        <f t="shared" si="333"/>
        <v>-540.58386587275413</v>
      </c>
      <c r="N1026" s="99">
        <f t="shared" si="334"/>
        <v>1488.170317102725</v>
      </c>
      <c r="O1026" s="99">
        <f t="shared" si="335"/>
        <v>29098.771973015315</v>
      </c>
      <c r="P1026" s="100">
        <f t="shared" si="336"/>
        <v>25604.387247470018</v>
      </c>
      <c r="Q1026" s="95">
        <f t="shared" si="337"/>
        <v>1033403015529.2385</v>
      </c>
      <c r="R1026" s="95">
        <f t="shared" si="338"/>
        <v>26808461046195.008</v>
      </c>
      <c r="S1026" s="95">
        <f t="shared" si="339"/>
        <v>20769435198276.797</v>
      </c>
      <c r="T1026">
        <f t="shared" si="321"/>
        <v>0.5</v>
      </c>
    </row>
    <row r="1027" spans="1:20" x14ac:dyDescent="0.25">
      <c r="A1027">
        <v>492</v>
      </c>
      <c r="B1027" s="95">
        <f t="shared" si="322"/>
        <v>9028.303940358921</v>
      </c>
      <c r="C1027" s="95">
        <f t="shared" si="323"/>
        <v>6380.8628972001161</v>
      </c>
      <c r="D1027" s="95">
        <f t="shared" si="324"/>
        <v>134.67884358026339</v>
      </c>
      <c r="E1027" s="95">
        <f t="shared" si="325"/>
        <v>-124.62953998226305</v>
      </c>
      <c r="F1027" s="96">
        <f t="shared" si="326"/>
        <v>-54.759629352173533</v>
      </c>
      <c r="G1027" s="94">
        <f t="shared" si="327"/>
        <v>51.305835288512299</v>
      </c>
      <c r="H1027" s="97">
        <f t="shared" si="328"/>
        <v>492.46484459334602</v>
      </c>
      <c r="I1027" s="94">
        <f t="shared" si="329"/>
        <v>567.18937361191786</v>
      </c>
      <c r="J1027" s="95">
        <f t="shared" si="330"/>
        <v>-192.96099521679946</v>
      </c>
      <c r="K1027" s="94">
        <f t="shared" si="331"/>
        <v>24.057633495127142</v>
      </c>
      <c r="L1027" s="94">
        <f t="shared" si="332"/>
        <v>-354.26347872872009</v>
      </c>
      <c r="M1027" s="94">
        <f t="shared" si="333"/>
        <v>-539.94117181853267</v>
      </c>
      <c r="N1027" s="99">
        <f t="shared" si="334"/>
        <v>1482.0486411708357</v>
      </c>
      <c r="O1027" s="99">
        <f t="shared" si="335"/>
        <v>29178.561495607828</v>
      </c>
      <c r="P1027" s="100">
        <f t="shared" si="336"/>
        <v>25587.465657142879</v>
      </c>
      <c r="Q1027" s="95">
        <f t="shared" si="337"/>
        <v>1033127283434.5889</v>
      </c>
      <c r="R1027" s="95">
        <f t="shared" si="338"/>
        <v>27017482178924.688</v>
      </c>
      <c r="S1027" s="95">
        <f t="shared" si="339"/>
        <v>20733728447682.766</v>
      </c>
      <c r="T1027">
        <f t="shared" si="321"/>
        <v>0.5</v>
      </c>
    </row>
    <row r="1028" spans="1:20" x14ac:dyDescent="0.25">
      <c r="A1028">
        <v>492.5</v>
      </c>
      <c r="B1028" s="95">
        <f t="shared" si="322"/>
        <v>9081.9534548110096</v>
      </c>
      <c r="C1028" s="95">
        <f t="shared" si="323"/>
        <v>6331.3745860311128</v>
      </c>
      <c r="D1028" s="95">
        <f t="shared" si="324"/>
        <v>107.29902890417662</v>
      </c>
      <c r="E1028" s="95">
        <f t="shared" si="325"/>
        <v>-98.976622338006905</v>
      </c>
      <c r="F1028" s="96">
        <f t="shared" si="326"/>
        <v>-82.823977406113954</v>
      </c>
      <c r="G1028" s="94">
        <f t="shared" si="327"/>
        <v>76.948021607418582</v>
      </c>
      <c r="H1028" s="97">
        <f t="shared" si="328"/>
        <v>465.27344079381362</v>
      </c>
      <c r="I1028" s="94">
        <f t="shared" si="329"/>
        <v>592.26884541509366</v>
      </c>
      <c r="J1028" s="95">
        <f t="shared" si="330"/>
        <v>-191.92440822750967</v>
      </c>
      <c r="K1028" s="94">
        <f t="shared" si="331"/>
        <v>24.210848238872433</v>
      </c>
      <c r="L1028" s="94">
        <f t="shared" si="332"/>
        <v>-356.1730099724179</v>
      </c>
      <c r="M1028" s="94">
        <f t="shared" si="333"/>
        <v>-539.53167204654756</v>
      </c>
      <c r="N1028" s="99">
        <f t="shared" si="334"/>
        <v>1482.1137227572376</v>
      </c>
      <c r="O1028" s="99">
        <f t="shared" si="335"/>
        <v>29253.043995842894</v>
      </c>
      <c r="P1028" s="100">
        <f t="shared" si="336"/>
        <v>25572.145191046413</v>
      </c>
      <c r="Q1028" s="95">
        <f t="shared" si="337"/>
        <v>1033130208728.6368</v>
      </c>
      <c r="R1028" s="95">
        <f t="shared" si="338"/>
        <v>27213606903990.234</v>
      </c>
      <c r="S1028" s="95">
        <f t="shared" si="339"/>
        <v>20701438291301.938</v>
      </c>
      <c r="T1028">
        <f t="shared" si="321"/>
        <v>0.5</v>
      </c>
    </row>
    <row r="1029" spans="1:20" x14ac:dyDescent="0.25">
      <c r="A1029">
        <v>493</v>
      </c>
      <c r="B1029" s="95">
        <f t="shared" si="322"/>
        <v>9114.8969749115695</v>
      </c>
      <c r="C1029" s="95">
        <f t="shared" si="323"/>
        <v>6301.1232802639643</v>
      </c>
      <c r="D1029" s="95">
        <f t="shared" si="324"/>
        <v>65.887040201119646</v>
      </c>
      <c r="E1029" s="95">
        <f t="shared" si="325"/>
        <v>-60.502611534297614</v>
      </c>
      <c r="F1029" s="96">
        <f t="shared" si="326"/>
        <v>-99.976464907552554</v>
      </c>
      <c r="G1029" s="94">
        <f t="shared" si="327"/>
        <v>92.348939167185563</v>
      </c>
      <c r="H1029" s="97">
        <f t="shared" si="328"/>
        <v>448.49949502458566</v>
      </c>
      <c r="I1029" s="94">
        <f t="shared" si="329"/>
        <v>607.49493353570062</v>
      </c>
      <c r="J1029" s="95">
        <f t="shared" si="330"/>
        <v>-191.03909313542857</v>
      </c>
      <c r="K1029" s="94">
        <f t="shared" si="331"/>
        <v>24.270395144005736</v>
      </c>
      <c r="L1029" s="94">
        <f t="shared" si="332"/>
        <v>-357.43686679670964</v>
      </c>
      <c r="M1029" s="94">
        <f t="shared" si="333"/>
        <v>-539.41638951252082</v>
      </c>
      <c r="N1029" s="99">
        <f t="shared" si="334"/>
        <v>1486.1005407802643</v>
      </c>
      <c r="O1029" s="99">
        <f t="shared" si="335"/>
        <v>29312.43471934415</v>
      </c>
      <c r="P1029" s="100">
        <f t="shared" si="336"/>
        <v>25560.30036664354</v>
      </c>
      <c r="Q1029" s="95">
        <f t="shared" si="337"/>
        <v>1033309658886.568</v>
      </c>
      <c r="R1029" s="95">
        <f t="shared" si="338"/>
        <v>27370690396578.133</v>
      </c>
      <c r="S1029" s="95">
        <f t="shared" si="339"/>
        <v>20676498314213.242</v>
      </c>
      <c r="T1029">
        <f t="shared" si="321"/>
        <v>0.5</v>
      </c>
    </row>
    <row r="1030" spans="1:20" x14ac:dyDescent="0.25">
      <c r="A1030">
        <v>493.5</v>
      </c>
      <c r="B1030" s="95">
        <f t="shared" si="322"/>
        <v>9122.8463787852415</v>
      </c>
      <c r="C1030" s="95">
        <f t="shared" si="323"/>
        <v>6293.9592092886123</v>
      </c>
      <c r="D1030" s="95">
        <f t="shared" si="324"/>
        <v>15.898807747343369</v>
      </c>
      <c r="E1030" s="95">
        <f t="shared" si="325"/>
        <v>-14.328141950704833</v>
      </c>
      <c r="F1030" s="96">
        <f t="shared" si="326"/>
        <v>-103.92138015850622</v>
      </c>
      <c r="G1030" s="94">
        <f t="shared" si="327"/>
        <v>95.624673206193847</v>
      </c>
      <c r="H1030" s="97">
        <f t="shared" si="328"/>
        <v>444.39168646402021</v>
      </c>
      <c r="I1030" s="94">
        <f t="shared" si="329"/>
        <v>611.01554843540146</v>
      </c>
      <c r="J1030" s="95">
        <f t="shared" si="330"/>
        <v>-190.4178194141864</v>
      </c>
      <c r="K1030" s="94">
        <f t="shared" si="331"/>
        <v>24.23170444429358</v>
      </c>
      <c r="L1030" s="94">
        <f t="shared" si="332"/>
        <v>-357.89524720834004</v>
      </c>
      <c r="M1030" s="94">
        <f t="shared" si="333"/>
        <v>-539.62257967350115</v>
      </c>
      <c r="N1030" s="99">
        <f t="shared" si="334"/>
        <v>1490.2056080104276</v>
      </c>
      <c r="O1030" s="99">
        <f t="shared" si="335"/>
        <v>29348.916757650873</v>
      </c>
      <c r="P1030" s="100">
        <f t="shared" si="336"/>
        <v>25553.241861129307</v>
      </c>
      <c r="Q1030" s="95">
        <f t="shared" si="337"/>
        <v>1033494946168.0499</v>
      </c>
      <c r="R1030" s="95">
        <f t="shared" si="338"/>
        <v>27467489945027.211</v>
      </c>
      <c r="S1030" s="95">
        <f t="shared" si="339"/>
        <v>20661646472187.355</v>
      </c>
      <c r="T1030">
        <f t="shared" si="321"/>
        <v>0.5</v>
      </c>
    </row>
    <row r="1031" spans="1:20" x14ac:dyDescent="0.25">
      <c r="A1031">
        <v>494</v>
      </c>
      <c r="B1031" s="95">
        <f t="shared" si="322"/>
        <v>9104.815437619287</v>
      </c>
      <c r="C1031" s="95">
        <f t="shared" si="323"/>
        <v>6310.7013066148083</v>
      </c>
      <c r="D1031" s="95">
        <f t="shared" si="324"/>
        <v>-36.061882331909743</v>
      </c>
      <c r="E1031" s="95">
        <f t="shared" si="325"/>
        <v>33.484194652392091</v>
      </c>
      <c r="F1031" s="96">
        <f t="shared" si="326"/>
        <v>-94.128755199760917</v>
      </c>
      <c r="G1031" s="94">
        <f t="shared" si="327"/>
        <v>86.473122755045097</v>
      </c>
      <c r="H1031" s="97">
        <f t="shared" si="328"/>
        <v>453.50525943066947</v>
      </c>
      <c r="I1031" s="94">
        <f t="shared" si="329"/>
        <v>602.50504214439979</v>
      </c>
      <c r="J1031" s="95">
        <f t="shared" si="330"/>
        <v>-190.1382426938064</v>
      </c>
      <c r="K1031" s="94">
        <f t="shared" si="331"/>
        <v>24.101742608067735</v>
      </c>
      <c r="L1031" s="94">
        <f t="shared" si="332"/>
        <v>-357.49577193662401</v>
      </c>
      <c r="M1031" s="94">
        <f t="shared" si="333"/>
        <v>-540.13366199742245</v>
      </c>
      <c r="N1031" s="99">
        <f t="shared" si="334"/>
        <v>1491.2856413410254</v>
      </c>
      <c r="O1031" s="99">
        <f t="shared" si="335"/>
        <v>29357.706305921471</v>
      </c>
      <c r="P1031" s="100">
        <f t="shared" si="336"/>
        <v>25551.663128759636</v>
      </c>
      <c r="Q1031" s="95">
        <f t="shared" si="337"/>
        <v>1033543781577.0171</v>
      </c>
      <c r="R1031" s="95">
        <f t="shared" si="338"/>
        <v>27490846714254.285</v>
      </c>
      <c r="S1031" s="95">
        <f t="shared" si="339"/>
        <v>20658325700385.301</v>
      </c>
      <c r="T1031">
        <f t="shared" si="321"/>
        <v>0.5</v>
      </c>
    </row>
    <row r="1032" spans="1:20" x14ac:dyDescent="0.25">
      <c r="A1032">
        <v>494.5</v>
      </c>
      <c r="B1032" s="95">
        <f t="shared" si="322"/>
        <v>9063.2523076533926</v>
      </c>
      <c r="C1032" s="95">
        <f t="shared" si="323"/>
        <v>6349.0616846297653</v>
      </c>
      <c r="D1032" s="95">
        <f t="shared" si="324"/>
        <v>-83.126259931790202</v>
      </c>
      <c r="E1032" s="95">
        <f t="shared" si="325"/>
        <v>76.720756029914639</v>
      </c>
      <c r="F1032" s="96">
        <f t="shared" si="326"/>
        <v>-71.913473514074212</v>
      </c>
      <c r="G1032" s="94">
        <f t="shared" si="327"/>
        <v>66.152751357664329</v>
      </c>
      <c r="H1032" s="97">
        <f t="shared" si="328"/>
        <v>474.61809342363364</v>
      </c>
      <c r="I1032" s="94">
        <f t="shared" si="329"/>
        <v>583.14117382112386</v>
      </c>
      <c r="J1032" s="95">
        <f t="shared" si="330"/>
        <v>-190.23428851973983</v>
      </c>
      <c r="K1032" s="94">
        <f t="shared" si="331"/>
        <v>23.897313538822999</v>
      </c>
      <c r="L1032" s="94">
        <f t="shared" si="332"/>
        <v>-356.29727841796802</v>
      </c>
      <c r="M1032" s="94">
        <f t="shared" si="333"/>
        <v>-540.88573600228256</v>
      </c>
      <c r="N1032" s="99">
        <f t="shared" si="334"/>
        <v>1488.5519080006827</v>
      </c>
      <c r="O1032" s="99">
        <f t="shared" si="335"/>
        <v>29337.709632943326</v>
      </c>
      <c r="P1032" s="100">
        <f t="shared" si="336"/>
        <v>25555.660991433138</v>
      </c>
      <c r="Q1032" s="95">
        <f t="shared" si="337"/>
        <v>1033420241565.5148</v>
      </c>
      <c r="R1032" s="95">
        <f t="shared" si="338"/>
        <v>27437728605446.195</v>
      </c>
      <c r="S1032" s="95">
        <f t="shared" si="339"/>
        <v>20666735715503.367</v>
      </c>
      <c r="T1032">
        <f t="shared" si="321"/>
        <v>0.5</v>
      </c>
    </row>
    <row r="1033" spans="1:20" x14ac:dyDescent="0.25">
      <c r="A1033">
        <v>495</v>
      </c>
      <c r="B1033" s="95">
        <f t="shared" si="322"/>
        <v>9003.7108093089792</v>
      </c>
      <c r="C1033" s="95">
        <f t="shared" si="323"/>
        <v>6403.9602504841387</v>
      </c>
      <c r="D1033" s="95">
        <f t="shared" si="324"/>
        <v>-119.08299668882731</v>
      </c>
      <c r="E1033" s="95">
        <f t="shared" si="325"/>
        <v>109.7971317087468</v>
      </c>
      <c r="F1033" s="96">
        <f t="shared" si="326"/>
        <v>-40.265856456827294</v>
      </c>
      <c r="G1033" s="94">
        <f t="shared" si="327"/>
        <v>37.306169841334281</v>
      </c>
      <c r="H1033" s="97">
        <f t="shared" si="328"/>
        <v>504.88673352527718</v>
      </c>
      <c r="I1033" s="94">
        <f t="shared" si="329"/>
        <v>555.43704992232995</v>
      </c>
      <c r="J1033" s="95">
        <f t="shared" si="330"/>
        <v>-190.69264912789205</v>
      </c>
      <c r="K1033" s="94">
        <f t="shared" si="331"/>
        <v>23.6431245199248</v>
      </c>
      <c r="L1033" s="94">
        <f t="shared" si="332"/>
        <v>-354.45994085421245</v>
      </c>
      <c r="M1033" s="94">
        <f t="shared" si="333"/>
        <v>-541.77400460092042</v>
      </c>
      <c r="N1033" s="99">
        <f t="shared" si="334"/>
        <v>1483.966052476932</v>
      </c>
      <c r="O1033" s="99">
        <f t="shared" si="335"/>
        <v>29291.670919921224</v>
      </c>
      <c r="P1033" s="100">
        <f t="shared" si="336"/>
        <v>25564.770687077267</v>
      </c>
      <c r="Q1033" s="95">
        <f t="shared" si="337"/>
        <v>1033213522457.3529</v>
      </c>
      <c r="R1033" s="95">
        <f t="shared" si="338"/>
        <v>27315701392768.809</v>
      </c>
      <c r="S1033" s="95">
        <f t="shared" si="339"/>
        <v>20685908302971.227</v>
      </c>
      <c r="T1033">
        <f t="shared" si="321"/>
        <v>0.5</v>
      </c>
    </row>
    <row r="1034" spans="1:20" x14ac:dyDescent="0.25">
      <c r="A1034">
        <v>495.5</v>
      </c>
      <c r="B1034" s="95">
        <f t="shared" si="322"/>
        <v>8934.1028468503591</v>
      </c>
      <c r="C1034" s="95">
        <f t="shared" si="323"/>
        <v>6468.1853587988453</v>
      </c>
      <c r="D1034" s="95">
        <f t="shared" si="324"/>
        <v>-139.21592491724095</v>
      </c>
      <c r="E1034" s="95">
        <f t="shared" si="325"/>
        <v>128.45021662941394</v>
      </c>
      <c r="F1034" s="96">
        <f t="shared" si="326"/>
        <v>-3.4511280118438776</v>
      </c>
      <c r="G1034" s="94">
        <f t="shared" si="327"/>
        <v>3.6536186149277228</v>
      </c>
      <c r="H1034" s="97">
        <f t="shared" si="328"/>
        <v>540.22725953961196</v>
      </c>
      <c r="I1034" s="94">
        <f t="shared" si="329"/>
        <v>522.95326460140438</v>
      </c>
      <c r="J1034" s="95">
        <f t="shared" si="330"/>
        <v>-191.45436985840936</v>
      </c>
      <c r="K1034" s="94">
        <f t="shared" si="331"/>
        <v>23.369701496083451</v>
      </c>
      <c r="L1034" s="94">
        <f t="shared" si="332"/>
        <v>-352.22401769304651</v>
      </c>
      <c r="M1034" s="94">
        <f t="shared" si="333"/>
        <v>-542.66934748256006</v>
      </c>
      <c r="N1034" s="99">
        <f t="shared" si="334"/>
        <v>1481.1803684921567</v>
      </c>
      <c r="O1034" s="99">
        <f t="shared" si="335"/>
        <v>29225.788998590346</v>
      </c>
      <c r="P1034" s="100">
        <f t="shared" si="336"/>
        <v>25577.987231896535</v>
      </c>
      <c r="Q1034" s="95">
        <f t="shared" si="337"/>
        <v>1033088268775.0444</v>
      </c>
      <c r="R1034" s="95">
        <f t="shared" si="338"/>
        <v>27141727119384.254</v>
      </c>
      <c r="S1034" s="95">
        <f t="shared" si="339"/>
        <v>20713746999586.426</v>
      </c>
      <c r="T1034">
        <f t="shared" si="321"/>
        <v>0.5</v>
      </c>
    </row>
    <row r="1035" spans="1:20" x14ac:dyDescent="0.25">
      <c r="A1035">
        <v>496</v>
      </c>
      <c r="B1035" s="95">
        <f t="shared" si="322"/>
        <v>8863.6321023887776</v>
      </c>
      <c r="C1035" s="95">
        <f t="shared" si="323"/>
        <v>6533.3238717672839</v>
      </c>
      <c r="D1035" s="95">
        <f t="shared" si="324"/>
        <v>-140.94148892316289</v>
      </c>
      <c r="E1035" s="95">
        <f t="shared" si="325"/>
        <v>130.27702593687781</v>
      </c>
      <c r="F1035" s="96">
        <f t="shared" si="326"/>
        <v>33.584472835866165</v>
      </c>
      <c r="G1035" s="94">
        <f t="shared" si="327"/>
        <v>-30.441018522369063</v>
      </c>
      <c r="H1035" s="97">
        <f t="shared" si="328"/>
        <v>575.88567363811671</v>
      </c>
      <c r="I1035" s="94">
        <f t="shared" si="329"/>
        <v>489.88970426516073</v>
      </c>
      <c r="J1035" s="95">
        <f t="shared" si="330"/>
        <v>-192.42145275252832</v>
      </c>
      <c r="K1035" s="94">
        <f t="shared" si="331"/>
        <v>23.110842545759951</v>
      </c>
      <c r="L1035" s="94">
        <f t="shared" si="332"/>
        <v>-349.8797480497222</v>
      </c>
      <c r="M1035" s="94">
        <f t="shared" si="333"/>
        <v>-543.44156533328976</v>
      </c>
      <c r="N1035" s="99">
        <f t="shared" si="334"/>
        <v>1483.5020036688782</v>
      </c>
      <c r="O1035" s="99">
        <f t="shared" si="335"/>
        <v>29148.85970688934</v>
      </c>
      <c r="P1035" s="100">
        <f t="shared" si="336"/>
        <v>25593.792308807002</v>
      </c>
      <c r="Q1035" s="95">
        <f t="shared" si="337"/>
        <v>1033192640580.1583</v>
      </c>
      <c r="R1035" s="95">
        <f t="shared" si="338"/>
        <v>26939543583612.488</v>
      </c>
      <c r="S1035" s="95">
        <f t="shared" si="339"/>
        <v>20747073343394.668</v>
      </c>
      <c r="T1035">
        <f t="shared" si="321"/>
        <v>0.5</v>
      </c>
    </row>
    <row r="1036" spans="1:20" x14ac:dyDescent="0.25">
      <c r="A1036">
        <v>496.5</v>
      </c>
      <c r="B1036" s="95">
        <f t="shared" si="322"/>
        <v>8801.5574761361622</v>
      </c>
      <c r="C1036" s="95">
        <f t="shared" si="323"/>
        <v>6590.8521301051305</v>
      </c>
      <c r="D1036" s="95">
        <f t="shared" si="324"/>
        <v>-124.14925250522981</v>
      </c>
      <c r="E1036" s="95">
        <f t="shared" si="325"/>
        <v>115.05651667569327</v>
      </c>
      <c r="F1036" s="96">
        <f t="shared" si="326"/>
        <v>65.921225958476384</v>
      </c>
      <c r="G1036" s="94">
        <f t="shared" si="327"/>
        <v>-60.51629395354945</v>
      </c>
      <c r="H1036" s="97">
        <f t="shared" si="328"/>
        <v>607.12076837829341</v>
      </c>
      <c r="I1036" s="94">
        <f t="shared" si="329"/>
        <v>460.56656230830941</v>
      </c>
      <c r="J1036" s="95">
        <f t="shared" si="330"/>
        <v>-193.4683053272779</v>
      </c>
      <c r="K1036" s="94">
        <f t="shared" si="331"/>
        <v>22.900222029490831</v>
      </c>
      <c r="L1036" s="94">
        <f t="shared" si="332"/>
        <v>-347.73123709253912</v>
      </c>
      <c r="M1036" s="94">
        <f t="shared" si="333"/>
        <v>-543.98307829134967</v>
      </c>
      <c r="N1036" s="99">
        <f t="shared" si="334"/>
        <v>1491.9097612175958</v>
      </c>
      <c r="O1036" s="99">
        <f t="shared" si="335"/>
        <v>29071.069837900817</v>
      </c>
      <c r="P1036" s="100">
        <f t="shared" si="336"/>
        <v>25610.238812568841</v>
      </c>
      <c r="Q1036" s="95">
        <f t="shared" si="337"/>
        <v>1033572018621.9146</v>
      </c>
      <c r="R1036" s="95">
        <f t="shared" si="338"/>
        <v>26736151175155.902</v>
      </c>
      <c r="S1036" s="95">
        <f t="shared" si="339"/>
        <v>20781793020025.156</v>
      </c>
      <c r="T1036">
        <f t="shared" si="321"/>
        <v>0.5</v>
      </c>
    </row>
    <row r="1037" spans="1:20" x14ac:dyDescent="0.25">
      <c r="A1037">
        <v>497</v>
      </c>
      <c r="B1037" s="95">
        <f t="shared" si="322"/>
        <v>8755.9631563731655</v>
      </c>
      <c r="C1037" s="95">
        <f t="shared" si="323"/>
        <v>6633.2513149545894</v>
      </c>
      <c r="D1037" s="95">
        <f t="shared" si="324"/>
        <v>-91.188639525991618</v>
      </c>
      <c r="E1037" s="95">
        <f t="shared" si="325"/>
        <v>84.798369698918549</v>
      </c>
      <c r="F1037" s="96">
        <f t="shared" si="326"/>
        <v>89.360913548772885</v>
      </c>
      <c r="G1037" s="94">
        <f t="shared" si="327"/>
        <v>-82.610336661868701</v>
      </c>
      <c r="H1037" s="97">
        <f t="shared" si="328"/>
        <v>629.87628028855443</v>
      </c>
      <c r="I1037" s="94">
        <f t="shared" si="329"/>
        <v>438.84909074699596</v>
      </c>
      <c r="J1037" s="95">
        <f t="shared" si="330"/>
        <v>-194.45736712201943</v>
      </c>
      <c r="K1037" s="94">
        <f t="shared" si="331"/>
        <v>22.767072050248935</v>
      </c>
      <c r="L1037" s="94">
        <f t="shared" si="332"/>
        <v>-346.05799961776211</v>
      </c>
      <c r="M1037" s="94">
        <f t="shared" si="333"/>
        <v>-544.2264994591136</v>
      </c>
      <c r="N1037" s="99">
        <f t="shared" si="334"/>
        <v>1504.2653796253851</v>
      </c>
      <c r="O1037" s="99">
        <f t="shared" si="335"/>
        <v>29002.620610041151</v>
      </c>
      <c r="P1037" s="100">
        <f t="shared" si="336"/>
        <v>25625.141647826167</v>
      </c>
      <c r="Q1037" s="95">
        <f t="shared" si="337"/>
        <v>1034133509240.5433</v>
      </c>
      <c r="R1037" s="95">
        <f t="shared" si="338"/>
        <v>26558054609471.227</v>
      </c>
      <c r="S1037" s="95">
        <f t="shared" si="339"/>
        <v>20813289893046.621</v>
      </c>
      <c r="T1037">
        <f t="shared" si="321"/>
        <v>0.5</v>
      </c>
    </row>
    <row r="1038" spans="1:20" x14ac:dyDescent="0.25">
      <c r="A1038">
        <v>497.5</v>
      </c>
      <c r="B1038" s="95">
        <f t="shared" si="322"/>
        <v>8732.7090649973634</v>
      </c>
      <c r="C1038" s="95">
        <f t="shared" si="323"/>
        <v>6654.9979156385807</v>
      </c>
      <c r="D1038" s="95">
        <f t="shared" si="324"/>
        <v>-46.508182751605176</v>
      </c>
      <c r="E1038" s="95">
        <f t="shared" si="325"/>
        <v>43.493201367984199</v>
      </c>
      <c r="F1038" s="96">
        <f t="shared" si="326"/>
        <v>100.97483033997258</v>
      </c>
      <c r="G1038" s="94">
        <f t="shared" si="327"/>
        <v>-93.808245677784669</v>
      </c>
      <c r="H1038" s="97">
        <f t="shared" si="328"/>
        <v>641.31090700403445</v>
      </c>
      <c r="I1038" s="94">
        <f t="shared" si="329"/>
        <v>427.61219083524333</v>
      </c>
      <c r="J1038" s="95">
        <f t="shared" si="330"/>
        <v>-195.25732904143482</v>
      </c>
      <c r="K1038" s="94">
        <f t="shared" si="331"/>
        <v>22.731451153908203</v>
      </c>
      <c r="L1038" s="94">
        <f t="shared" si="332"/>
        <v>-345.07874762262708</v>
      </c>
      <c r="M1038" s="94">
        <f t="shared" si="333"/>
        <v>-544.1518876669362</v>
      </c>
      <c r="N1038" s="99">
        <f t="shared" si="334"/>
        <v>1516.2061045019459</v>
      </c>
      <c r="O1038" s="99">
        <f t="shared" si="335"/>
        <v>28952.381832224892</v>
      </c>
      <c r="P1038" s="100">
        <f t="shared" si="336"/>
        <v>25636.382053938116</v>
      </c>
      <c r="Q1038" s="95">
        <f t="shared" si="337"/>
        <v>1034680643424.6869</v>
      </c>
      <c r="R1038" s="95">
        <f t="shared" si="338"/>
        <v>26427858541595.383</v>
      </c>
      <c r="S1038" s="95">
        <f t="shared" si="339"/>
        <v>20837068934606.266</v>
      </c>
      <c r="T1038">
        <f t="shared" si="321"/>
        <v>0.5</v>
      </c>
    </row>
    <row r="1039" spans="1:20" x14ac:dyDescent="0.25">
      <c r="A1039">
        <v>498</v>
      </c>
      <c r="B1039" s="95">
        <f t="shared" si="322"/>
        <v>8734.6986812065552</v>
      </c>
      <c r="C1039" s="95">
        <f t="shared" si="323"/>
        <v>6653.2924549031268</v>
      </c>
      <c r="D1039" s="95">
        <f t="shared" si="324"/>
        <v>3.9792324183811161</v>
      </c>
      <c r="E1039" s="95">
        <f t="shared" si="325"/>
        <v>-3.4109214709081357</v>
      </c>
      <c r="F1039" s="96">
        <f t="shared" si="326"/>
        <v>99.421648790470613</v>
      </c>
      <c r="G1039" s="94">
        <f t="shared" si="327"/>
        <v>-92.641111940952499</v>
      </c>
      <c r="H1039" s="97">
        <f t="shared" si="328"/>
        <v>640.10531997290673</v>
      </c>
      <c r="I1039" s="94">
        <f t="shared" si="329"/>
        <v>428.34224230045606</v>
      </c>
      <c r="J1039" s="95">
        <f t="shared" si="330"/>
        <v>-195.76139536151391</v>
      </c>
      <c r="K1039" s="94">
        <f t="shared" si="331"/>
        <v>22.800174317594795</v>
      </c>
      <c r="L1039" s="94">
        <f t="shared" si="332"/>
        <v>-344.92227582092221</v>
      </c>
      <c r="M1039" s="94">
        <f t="shared" si="333"/>
        <v>-543.78352855900334</v>
      </c>
      <c r="N1039" s="99">
        <f t="shared" si="334"/>
        <v>1523.172622034351</v>
      </c>
      <c r="O1039" s="99">
        <f t="shared" si="335"/>
        <v>28926.762853077144</v>
      </c>
      <c r="P1039" s="100">
        <f t="shared" si="336"/>
        <v>25642.274333416139</v>
      </c>
      <c r="Q1039" s="95">
        <f t="shared" si="337"/>
        <v>1035001898298.8645</v>
      </c>
      <c r="R1039" s="95">
        <f t="shared" si="338"/>
        <v>26361634710849.266</v>
      </c>
      <c r="S1039" s="95">
        <f t="shared" si="339"/>
        <v>20849541815110.289</v>
      </c>
      <c r="T1039">
        <f t="shared" si="321"/>
        <v>0.5</v>
      </c>
    </row>
    <row r="1040" spans="1:20" x14ac:dyDescent="0.25">
      <c r="A1040">
        <v>498.5</v>
      </c>
      <c r="B1040" s="95">
        <f t="shared" si="322"/>
        <v>8761.5437096133628</v>
      </c>
      <c r="C1040" s="95">
        <f t="shared" si="323"/>
        <v>6628.4267161824346</v>
      </c>
      <c r="D1040" s="95">
        <f t="shared" si="324"/>
        <v>53.690056813616422</v>
      </c>
      <c r="E1040" s="95">
        <f t="shared" si="325"/>
        <v>-49.731477441384385</v>
      </c>
      <c r="F1040" s="96">
        <f t="shared" si="326"/>
        <v>85.03227685340903</v>
      </c>
      <c r="G1040" s="94">
        <f t="shared" si="327"/>
        <v>-79.279513071931376</v>
      </c>
      <c r="H1040" s="97">
        <f t="shared" si="328"/>
        <v>626.54442752434011</v>
      </c>
      <c r="I1040" s="94">
        <f t="shared" si="329"/>
        <v>440.93553272235687</v>
      </c>
      <c r="J1040" s="95">
        <f t="shared" si="330"/>
        <v>-195.90256321260668</v>
      </c>
      <c r="K1040" s="94">
        <f t="shared" si="331"/>
        <v>22.964686980213745</v>
      </c>
      <c r="L1040" s="94">
        <f t="shared" si="332"/>
        <v>-345.60958745832443</v>
      </c>
      <c r="M1040" s="94">
        <f t="shared" si="333"/>
        <v>-543.17973277450199</v>
      </c>
      <c r="N1040" s="99">
        <f t="shared" si="334"/>
        <v>1522.4654657050203</v>
      </c>
      <c r="O1040" s="99">
        <f t="shared" si="335"/>
        <v>28928.936373329423</v>
      </c>
      <c r="P1040" s="100">
        <f t="shared" si="336"/>
        <v>25641.899734635532</v>
      </c>
      <c r="Q1040" s="95">
        <f t="shared" si="337"/>
        <v>1034969219725.864</v>
      </c>
      <c r="R1040" s="95">
        <f t="shared" si="338"/>
        <v>26367248730860.824</v>
      </c>
      <c r="S1040" s="95">
        <f t="shared" si="339"/>
        <v>20848748698457.074</v>
      </c>
      <c r="T1040">
        <f t="shared" si="321"/>
        <v>0.5</v>
      </c>
    </row>
    <row r="1041" spans="1:20" x14ac:dyDescent="0.25">
      <c r="A1041">
        <v>499</v>
      </c>
      <c r="B1041" s="95">
        <f t="shared" si="322"/>
        <v>8809.6468072335228</v>
      </c>
      <c r="C1041" s="95">
        <f t="shared" si="323"/>
        <v>6583.7410991937595</v>
      </c>
      <c r="D1041" s="95">
        <f t="shared" si="324"/>
        <v>96.206195240320938</v>
      </c>
      <c r="E1041" s="95">
        <f t="shared" si="325"/>
        <v>-89.371233977350073</v>
      </c>
      <c r="F1041" s="96">
        <f t="shared" si="326"/>
        <v>59.711752179442101</v>
      </c>
      <c r="G1041" s="94">
        <f t="shared" si="327"/>
        <v>-55.509994488914174</v>
      </c>
      <c r="H1041" s="97">
        <f t="shared" si="328"/>
        <v>602.42495483135508</v>
      </c>
      <c r="I1041" s="94">
        <f t="shared" si="329"/>
        <v>463.70878012196255</v>
      </c>
      <c r="J1041" s="95">
        <f t="shared" si="330"/>
        <v>-195.6632265597415</v>
      </c>
      <c r="K1041" s="94">
        <f t="shared" si="331"/>
        <v>23.201819993411167</v>
      </c>
      <c r="L1041" s="94">
        <f t="shared" si="332"/>
        <v>-347.04997609217151</v>
      </c>
      <c r="M1041" s="94">
        <f t="shared" si="333"/>
        <v>-542.42059460428788</v>
      </c>
      <c r="N1041" s="99">
        <f t="shared" si="334"/>
        <v>1514.4021831279713</v>
      </c>
      <c r="O1041" s="99">
        <f t="shared" si="335"/>
        <v>28958.485854204329</v>
      </c>
      <c r="P1041" s="100">
        <f t="shared" si="336"/>
        <v>25635.306268677057</v>
      </c>
      <c r="Q1041" s="95">
        <f t="shared" si="337"/>
        <v>1034597702607.6765</v>
      </c>
      <c r="R1041" s="95">
        <f t="shared" si="338"/>
        <v>26443653967112.863</v>
      </c>
      <c r="S1041" s="95">
        <f t="shared" si="339"/>
        <v>20834792271508.629</v>
      </c>
      <c r="T1041">
        <f t="shared" ref="T1041:T1104" si="340">A1042-A1041</f>
        <v>0.5</v>
      </c>
    </row>
    <row r="1042" spans="1:20" x14ac:dyDescent="0.25">
      <c r="A1042">
        <v>499.5</v>
      </c>
      <c r="B1042" s="95">
        <f t="shared" si="322"/>
        <v>8872.6778428985435</v>
      </c>
      <c r="C1042" s="95">
        <f t="shared" si="323"/>
        <v>6525.1779835828556</v>
      </c>
      <c r="D1042" s="95">
        <f t="shared" si="324"/>
        <v>126.06207133004199</v>
      </c>
      <c r="E1042" s="95">
        <f t="shared" si="325"/>
        <v>-117.12623122180716</v>
      </c>
      <c r="F1042" s="96">
        <f t="shared" si="326"/>
        <v>26.705303651693271</v>
      </c>
      <c r="G1042" s="94">
        <f t="shared" si="327"/>
        <v>-24.505666851872547</v>
      </c>
      <c r="H1042" s="97">
        <f t="shared" si="328"/>
        <v>570.83482955439433</v>
      </c>
      <c r="I1042" s="94">
        <f t="shared" si="329"/>
        <v>493.61431963522676</v>
      </c>
      <c r="J1042" s="95">
        <f t="shared" si="330"/>
        <v>-195.0774529608363</v>
      </c>
      <c r="K1042" s="94">
        <f t="shared" si="331"/>
        <v>23.477539289678962</v>
      </c>
      <c r="L1042" s="94">
        <f t="shared" si="332"/>
        <v>-349.05207294186476</v>
      </c>
      <c r="M1042" s="94">
        <f t="shared" si="333"/>
        <v>-541.5975257767783</v>
      </c>
      <c r="N1042" s="99">
        <f t="shared" si="334"/>
        <v>1502.1554835755205</v>
      </c>
      <c r="O1042" s="99">
        <f t="shared" si="335"/>
        <v>29011.490379414816</v>
      </c>
      <c r="P1042" s="100">
        <f t="shared" si="336"/>
        <v>25623.50922058805</v>
      </c>
      <c r="Q1042" s="95">
        <f t="shared" si="337"/>
        <v>1034037291704.7275</v>
      </c>
      <c r="R1042" s="95">
        <f t="shared" si="338"/>
        <v>26581086631516.289</v>
      </c>
      <c r="S1042" s="95">
        <f t="shared" si="339"/>
        <v>20809838118397.629</v>
      </c>
      <c r="T1042">
        <f t="shared" si="340"/>
        <v>0.5</v>
      </c>
    </row>
    <row r="1043" spans="1:20" x14ac:dyDescent="0.25">
      <c r="A1043">
        <v>500</v>
      </c>
      <c r="B1043" s="95">
        <f t="shared" si="322"/>
        <v>8942.3852044764881</v>
      </c>
      <c r="C1043" s="95">
        <f t="shared" si="323"/>
        <v>6460.4884512589833</v>
      </c>
      <c r="D1043" s="95">
        <f t="shared" si="324"/>
        <v>139.41472315588862</v>
      </c>
      <c r="E1043" s="95">
        <f t="shared" si="325"/>
        <v>-129.37906464774343</v>
      </c>
      <c r="F1043" s="96">
        <f t="shared" si="326"/>
        <v>-9.7593869771546338</v>
      </c>
      <c r="G1043" s="94">
        <f t="shared" si="327"/>
        <v>9.5908418477386022</v>
      </c>
      <c r="H1043" s="97">
        <f t="shared" si="328"/>
        <v>535.81529104468746</v>
      </c>
      <c r="I1043" s="94">
        <f t="shared" si="329"/>
        <v>526.64371318413464</v>
      </c>
      <c r="J1043" s="95">
        <f t="shared" si="330"/>
        <v>-194.22565727107568</v>
      </c>
      <c r="K1043" s="94">
        <f t="shared" si="331"/>
        <v>23.752843869497585</v>
      </c>
      <c r="L1043" s="94">
        <f t="shared" si="332"/>
        <v>-351.34902075076644</v>
      </c>
      <c r="M1043" s="94">
        <f t="shared" si="333"/>
        <v>-540.80571520589365</v>
      </c>
      <c r="N1043" s="99">
        <f t="shared" si="334"/>
        <v>1490.3466742954367</v>
      </c>
      <c r="O1043" s="99">
        <f t="shared" si="335"/>
        <v>29081.023260290924</v>
      </c>
      <c r="P1043" s="100">
        <f t="shared" si="336"/>
        <v>25608.289239185196</v>
      </c>
      <c r="Q1043" s="95">
        <f t="shared" si="337"/>
        <v>1033501322649.9568</v>
      </c>
      <c r="R1043" s="95">
        <f t="shared" si="338"/>
        <v>26762116810031.473</v>
      </c>
      <c r="S1043" s="95">
        <f t="shared" si="339"/>
        <v>20777675162960.594</v>
      </c>
      <c r="T1043">
        <f t="shared" si="340"/>
        <v>0.5</v>
      </c>
    </row>
    <row r="1044" spans="1:20" x14ac:dyDescent="0.25">
      <c r="A1044">
        <v>500.5</v>
      </c>
      <c r="B1044" s="95">
        <f t="shared" si="322"/>
        <v>9009.6527193101447</v>
      </c>
      <c r="C1044" s="95">
        <f t="shared" si="323"/>
        <v>6398.1966293970463</v>
      </c>
      <c r="D1044" s="95">
        <f t="shared" si="324"/>
        <v>134.53502966731131</v>
      </c>
      <c r="E1044" s="95">
        <f t="shared" si="325"/>
        <v>-124.58364372387413</v>
      </c>
      <c r="F1044" s="96">
        <f t="shared" si="326"/>
        <v>-44.959731319641435</v>
      </c>
      <c r="G1044" s="94">
        <f t="shared" si="327"/>
        <v>42.234798853461825</v>
      </c>
      <c r="H1044" s="97">
        <f t="shared" si="328"/>
        <v>501.89782825838159</v>
      </c>
      <c r="I1044" s="94">
        <f t="shared" si="329"/>
        <v>558.38262966520585</v>
      </c>
      <c r="J1044" s="95">
        <f t="shared" si="330"/>
        <v>-193.22272918101251</v>
      </c>
      <c r="K1044" s="94">
        <f t="shared" si="331"/>
        <v>23.990300193356553</v>
      </c>
      <c r="L1044" s="94">
        <f t="shared" si="332"/>
        <v>-353.63483039701049</v>
      </c>
      <c r="M1044" s="94">
        <f t="shared" si="333"/>
        <v>-540.1381310051006</v>
      </c>
      <c r="N1044" s="99">
        <f t="shared" si="334"/>
        <v>1482.9475094136633</v>
      </c>
      <c r="O1044" s="99">
        <f t="shared" si="335"/>
        <v>29158.014392752648</v>
      </c>
      <c r="P1044" s="100">
        <f t="shared" si="336"/>
        <v>25591.847720643877</v>
      </c>
      <c r="Q1044" s="95">
        <f t="shared" si="337"/>
        <v>1033167697468.8193</v>
      </c>
      <c r="R1044" s="95">
        <f t="shared" si="338"/>
        <v>26963549356223.254</v>
      </c>
      <c r="S1044" s="95">
        <f t="shared" si="339"/>
        <v>20742970940257.758</v>
      </c>
      <c r="T1044">
        <f t="shared" si="340"/>
        <v>0.5</v>
      </c>
    </row>
    <row r="1045" spans="1:20" x14ac:dyDescent="0.25">
      <c r="A1045">
        <v>501</v>
      </c>
      <c r="B1045" s="95">
        <f t="shared" si="322"/>
        <v>9065.6803013138888</v>
      </c>
      <c r="C1045" s="95">
        <f t="shared" si="323"/>
        <v>6346.4635072484743</v>
      </c>
      <c r="D1045" s="95">
        <f t="shared" si="324"/>
        <v>112.05516400749059</v>
      </c>
      <c r="E1045" s="95">
        <f t="shared" si="325"/>
        <v>-103.46624429714322</v>
      </c>
      <c r="F1045" s="96">
        <f t="shared" si="326"/>
        <v>-74.274439394242791</v>
      </c>
      <c r="G1045" s="94">
        <f t="shared" si="327"/>
        <v>69.119006737757786</v>
      </c>
      <c r="H1045" s="97">
        <f t="shared" si="328"/>
        <v>473.53403129910555</v>
      </c>
      <c r="I1045" s="94">
        <f t="shared" si="329"/>
        <v>584.63798465494278</v>
      </c>
      <c r="J1045" s="95">
        <f t="shared" si="330"/>
        <v>-192.20171146566517</v>
      </c>
      <c r="K1045" s="94">
        <f t="shared" si="331"/>
        <v>24.159626044512848</v>
      </c>
      <c r="L1045" s="94">
        <f t="shared" si="332"/>
        <v>-355.60675922768314</v>
      </c>
      <c r="M1045" s="94">
        <f t="shared" si="333"/>
        <v>-539.67860396169783</v>
      </c>
      <c r="N1045" s="99">
        <f t="shared" si="334"/>
        <v>1481.4717020050775</v>
      </c>
      <c r="O1045" s="99">
        <f t="shared" si="335"/>
        <v>29232.395358838887</v>
      </c>
      <c r="P1045" s="100">
        <f t="shared" si="336"/>
        <v>25576.418598115204</v>
      </c>
      <c r="Q1045" s="95">
        <f t="shared" si="337"/>
        <v>1033101356849.2883</v>
      </c>
      <c r="R1045" s="95">
        <f t="shared" si="338"/>
        <v>27159138147442.82</v>
      </c>
      <c r="S1045" s="95">
        <f t="shared" si="339"/>
        <v>20710441499256.332</v>
      </c>
      <c r="T1045">
        <f t="shared" si="340"/>
        <v>0.5</v>
      </c>
    </row>
    <row r="1046" spans="1:20" x14ac:dyDescent="0.25">
      <c r="A1046">
        <v>501.5</v>
      </c>
      <c r="B1046" s="95">
        <f t="shared" si="322"/>
        <v>9103.1392734690744</v>
      </c>
      <c r="C1046" s="95">
        <f t="shared" si="323"/>
        <v>6312.0101367843417</v>
      </c>
      <c r="D1046" s="95">
        <f t="shared" si="324"/>
        <v>74.917944310369194</v>
      </c>
      <c r="E1046" s="95">
        <f t="shared" si="325"/>
        <v>-68.906740928264327</v>
      </c>
      <c r="F1046" s="96">
        <f t="shared" si="326"/>
        <v>-93.812659390889962</v>
      </c>
      <c r="G1046" s="94">
        <f t="shared" si="327"/>
        <v>86.770489113482995</v>
      </c>
      <c r="H1046" s="97">
        <f t="shared" si="328"/>
        <v>454.49000868385309</v>
      </c>
      <c r="I1046" s="94">
        <f t="shared" si="329"/>
        <v>602.02159295978061</v>
      </c>
      <c r="J1046" s="95">
        <f t="shared" si="330"/>
        <v>-191.29571114451866</v>
      </c>
      <c r="K1046" s="94">
        <f t="shared" si="331"/>
        <v>24.241255795410307</v>
      </c>
      <c r="L1046" s="94">
        <f t="shared" si="332"/>
        <v>-357.00695693022442</v>
      </c>
      <c r="M1046" s="94">
        <f t="shared" si="333"/>
        <v>-539.49235964170794</v>
      </c>
      <c r="N1046" s="99">
        <f t="shared" si="334"/>
        <v>1484.4526733656403</v>
      </c>
      <c r="O1046" s="99">
        <f t="shared" si="335"/>
        <v>29294.403907266202</v>
      </c>
      <c r="P1046" s="100">
        <f t="shared" si="336"/>
        <v>25563.936836979166</v>
      </c>
      <c r="Q1046" s="95">
        <f t="shared" si="337"/>
        <v>1033235427229.0452</v>
      </c>
      <c r="R1046" s="95">
        <f t="shared" si="338"/>
        <v>27322934860798.059</v>
      </c>
      <c r="S1046" s="95">
        <f t="shared" si="339"/>
        <v>20684152822052.535</v>
      </c>
      <c r="T1046">
        <f t="shared" si="340"/>
        <v>0.5</v>
      </c>
    </row>
    <row r="1047" spans="1:20" x14ac:dyDescent="0.25">
      <c r="A1047">
        <v>502</v>
      </c>
      <c r="B1047" s="95">
        <f t="shared" si="322"/>
        <v>9117.1450807765359</v>
      </c>
      <c r="C1047" s="95">
        <f t="shared" si="323"/>
        <v>6299.2493885985796</v>
      </c>
      <c r="D1047" s="95">
        <f t="shared" si="324"/>
        <v>28.011614614924213</v>
      </c>
      <c r="E1047" s="95">
        <f t="shared" si="325"/>
        <v>-25.521496371522829</v>
      </c>
      <c r="F1047" s="96">
        <f t="shared" si="326"/>
        <v>-100.96418573182245</v>
      </c>
      <c r="G1047" s="94">
        <f t="shared" si="327"/>
        <v>92.993387018513431</v>
      </c>
      <c r="H1047" s="97">
        <f t="shared" si="328"/>
        <v>447.31317113142853</v>
      </c>
      <c r="I1047" s="94">
        <f t="shared" si="329"/>
        <v>608.38032617680847</v>
      </c>
      <c r="J1047" s="95">
        <f t="shared" si="330"/>
        <v>-190.62074530156124</v>
      </c>
      <c r="K1047" s="94">
        <f t="shared" si="331"/>
        <v>24.227644494799268</v>
      </c>
      <c r="L1047" s="94">
        <f t="shared" si="332"/>
        <v>-357.65661156168972</v>
      </c>
      <c r="M1047" s="94">
        <f t="shared" si="333"/>
        <v>-539.61458365309431</v>
      </c>
      <c r="N1047" s="99">
        <f t="shared" si="334"/>
        <v>1488.5157298116599</v>
      </c>
      <c r="O1047" s="99">
        <f t="shared" si="335"/>
        <v>29335.882205962709</v>
      </c>
      <c r="P1047" s="100">
        <f t="shared" si="336"/>
        <v>25555.827387061141</v>
      </c>
      <c r="Q1047" s="95">
        <f t="shared" si="337"/>
        <v>1033418608191.4412</v>
      </c>
      <c r="R1047" s="95">
        <f t="shared" si="338"/>
        <v>27432877836875.715</v>
      </c>
      <c r="S1047" s="95">
        <f t="shared" si="339"/>
        <v>20667085803230.551</v>
      </c>
      <c r="T1047">
        <f t="shared" si="340"/>
        <v>0.5</v>
      </c>
    </row>
    <row r="1048" spans="1:20" x14ac:dyDescent="0.25">
      <c r="A1048">
        <v>502.5</v>
      </c>
      <c r="B1048" s="95">
        <f t="shared" si="322"/>
        <v>9105.9098416510424</v>
      </c>
      <c r="C1048" s="95">
        <f t="shared" si="323"/>
        <v>6309.7369871674464</v>
      </c>
      <c r="D1048" s="95">
        <f t="shared" si="324"/>
        <v>-22.470478250987014</v>
      </c>
      <c r="E1048" s="95">
        <f t="shared" si="325"/>
        <v>20.975197137733886</v>
      </c>
      <c r="F1048" s="96">
        <f t="shared" si="326"/>
        <v>-94.770629680949469</v>
      </c>
      <c r="G1048" s="94">
        <f t="shared" si="327"/>
        <v>87.100218786600749</v>
      </c>
      <c r="H1048" s="97">
        <f t="shared" si="328"/>
        <v>452.96876140746656</v>
      </c>
      <c r="I1048" s="94">
        <f t="shared" si="329"/>
        <v>603.01744475913779</v>
      </c>
      <c r="J1048" s="95">
        <f t="shared" si="330"/>
        <v>-190.26169209547137</v>
      </c>
      <c r="K1048" s="94">
        <f t="shared" si="331"/>
        <v>24.122787740313637</v>
      </c>
      <c r="L1048" s="94">
        <f t="shared" si="332"/>
        <v>-357.47769899294462</v>
      </c>
      <c r="M1048" s="94">
        <f t="shared" si="333"/>
        <v>-540.04001371285062</v>
      </c>
      <c r="N1048" s="99">
        <f t="shared" si="334"/>
        <v>1490.3807698631763</v>
      </c>
      <c r="O1048" s="99">
        <f t="shared" si="335"/>
        <v>29351.383148716814</v>
      </c>
      <c r="P1048" s="100">
        <f t="shared" si="336"/>
        <v>25552.92174584758</v>
      </c>
      <c r="Q1048" s="95">
        <f t="shared" si="337"/>
        <v>1033502863931.2401</v>
      </c>
      <c r="R1048" s="95">
        <f t="shared" si="338"/>
        <v>27474042597096.801</v>
      </c>
      <c r="S1048" s="95">
        <f t="shared" si="339"/>
        <v>20660973097329.492</v>
      </c>
      <c r="T1048">
        <f t="shared" si="340"/>
        <v>0.5</v>
      </c>
    </row>
    <row r="1049" spans="1:20" x14ac:dyDescent="0.25">
      <c r="A1049">
        <v>503</v>
      </c>
      <c r="B1049" s="95">
        <f t="shared" si="322"/>
        <v>9070.9819451053118</v>
      </c>
      <c r="C1049" s="95">
        <f t="shared" si="323"/>
        <v>6341.9996404329631</v>
      </c>
      <c r="D1049" s="95">
        <f t="shared" si="324"/>
        <v>-69.855793091461749</v>
      </c>
      <c r="E1049" s="95">
        <f t="shared" si="325"/>
        <v>64.525306531034261</v>
      </c>
      <c r="F1049" s="96">
        <f t="shared" si="326"/>
        <v>-76.063610777622216</v>
      </c>
      <c r="G1049" s="94">
        <f t="shared" si="327"/>
        <v>69.939286389917811</v>
      </c>
      <c r="H1049" s="97">
        <f t="shared" si="328"/>
        <v>470.69942573110603</v>
      </c>
      <c r="I1049" s="94">
        <f t="shared" si="329"/>
        <v>586.71637367306778</v>
      </c>
      <c r="J1049" s="95">
        <f t="shared" si="330"/>
        <v>-190.26266406268425</v>
      </c>
      <c r="K1049" s="94">
        <f t="shared" si="331"/>
        <v>23.94074252007383</v>
      </c>
      <c r="L1049" s="94">
        <f t="shared" si="332"/>
        <v>-356.50037244604403</v>
      </c>
      <c r="M1049" s="94">
        <f t="shared" si="333"/>
        <v>-540.71782980322382</v>
      </c>
      <c r="N1049" s="99">
        <f t="shared" si="334"/>
        <v>1488.664922329297</v>
      </c>
      <c r="O1049" s="99">
        <f t="shared" si="335"/>
        <v>29338.91662645707</v>
      </c>
      <c r="P1049" s="100">
        <f t="shared" si="336"/>
        <v>25555.460921748996</v>
      </c>
      <c r="Q1049" s="95">
        <f t="shared" si="337"/>
        <v>1033425344201.405</v>
      </c>
      <c r="R1049" s="95">
        <f t="shared" si="338"/>
        <v>27440932802142.895</v>
      </c>
      <c r="S1049" s="95">
        <f t="shared" si="339"/>
        <v>20666314784952.945</v>
      </c>
      <c r="T1049">
        <f t="shared" si="340"/>
        <v>0.5</v>
      </c>
    </row>
    <row r="1050" spans="1:20" x14ac:dyDescent="0.25">
      <c r="A1050">
        <v>503.5</v>
      </c>
      <c r="B1050" s="95">
        <f t="shared" si="322"/>
        <v>9017.0381458651755</v>
      </c>
      <c r="C1050" s="95">
        <f t="shared" si="323"/>
        <v>6391.7471152959597</v>
      </c>
      <c r="D1050" s="95">
        <f t="shared" si="324"/>
        <v>-107.88759848027286</v>
      </c>
      <c r="E1050" s="95">
        <f t="shared" si="325"/>
        <v>99.494949725993166</v>
      </c>
      <c r="F1050" s="96">
        <f t="shared" si="326"/>
        <v>-47.359844537781612</v>
      </c>
      <c r="G1050" s="94">
        <f t="shared" si="327"/>
        <v>43.759081161078711</v>
      </c>
      <c r="H1050" s="97">
        <f t="shared" si="328"/>
        <v>498.11910125114554</v>
      </c>
      <c r="I1050" s="94">
        <f t="shared" si="329"/>
        <v>561.61073653632036</v>
      </c>
      <c r="J1050" s="95">
        <f t="shared" si="330"/>
        <v>-190.62231923622949</v>
      </c>
      <c r="K1050" s="94">
        <f t="shared" si="331"/>
        <v>23.703781544330724</v>
      </c>
      <c r="L1050" s="94">
        <f t="shared" si="332"/>
        <v>-354.85662655269766</v>
      </c>
      <c r="M1050" s="94">
        <f t="shared" si="333"/>
        <v>-541.55543691957234</v>
      </c>
      <c r="N1050" s="99">
        <f t="shared" si="334"/>
        <v>1484.6007473653301</v>
      </c>
      <c r="O1050" s="99">
        <f t="shared" si="335"/>
        <v>29300.221123452833</v>
      </c>
      <c r="P1050" s="100">
        <f t="shared" si="336"/>
        <v>25563.127382065766</v>
      </c>
      <c r="Q1050" s="95">
        <f t="shared" si="337"/>
        <v>1033242094093.745</v>
      </c>
      <c r="R1050" s="95">
        <f t="shared" si="338"/>
        <v>27338335809783.523</v>
      </c>
      <c r="S1050" s="95">
        <f t="shared" si="339"/>
        <v>20682448801895.875</v>
      </c>
      <c r="T1050">
        <f t="shared" si="340"/>
        <v>0.5</v>
      </c>
    </row>
    <row r="1051" spans="1:20" x14ac:dyDescent="0.25">
      <c r="A1051">
        <v>504</v>
      </c>
      <c r="B1051" s="95">
        <f t="shared" si="322"/>
        <v>8951.2543854905944</v>
      </c>
      <c r="C1051" s="95">
        <f t="shared" si="323"/>
        <v>6452.434360449226</v>
      </c>
      <c r="D1051" s="95">
        <f t="shared" si="324"/>
        <v>-131.56752074916366</v>
      </c>
      <c r="E1051" s="95">
        <f t="shared" si="325"/>
        <v>121.37449030653252</v>
      </c>
      <c r="F1051" s="96">
        <f t="shared" si="326"/>
        <v>-12.526294427819096</v>
      </c>
      <c r="G1051" s="94">
        <f t="shared" si="327"/>
        <v>11.94030492351169</v>
      </c>
      <c r="H1051" s="97">
        <f t="shared" si="328"/>
        <v>531.53012987665659</v>
      </c>
      <c r="I1051" s="94">
        <f t="shared" si="329"/>
        <v>530.93208948026734</v>
      </c>
      <c r="J1051" s="95">
        <f t="shared" si="330"/>
        <v>-191.29416501613369</v>
      </c>
      <c r="K1051" s="94">
        <f t="shared" si="331"/>
        <v>23.440386997459346</v>
      </c>
      <c r="L1051" s="94">
        <f t="shared" si="332"/>
        <v>-352.76225928834202</v>
      </c>
      <c r="M1051" s="94">
        <f t="shared" si="333"/>
        <v>-542.43217155421496</v>
      </c>
      <c r="N1051" s="99">
        <f t="shared" si="334"/>
        <v>1481.3637173695727</v>
      </c>
      <c r="O1051" s="99">
        <f t="shared" si="335"/>
        <v>29240.519688243741</v>
      </c>
      <c r="P1051" s="100">
        <f t="shared" si="336"/>
        <v>25575.069951564401</v>
      </c>
      <c r="Q1051" s="95">
        <f t="shared" si="337"/>
        <v>1033096505363.9312</v>
      </c>
      <c r="R1051" s="95">
        <f t="shared" si="338"/>
        <v>27180560274908.27</v>
      </c>
      <c r="S1051" s="95">
        <f t="shared" si="339"/>
        <v>20707599869215.035</v>
      </c>
      <c r="T1051">
        <f t="shared" si="340"/>
        <v>0.5</v>
      </c>
    </row>
    <row r="1052" spans="1:20" x14ac:dyDescent="0.25">
      <c r="A1052">
        <v>504.5</v>
      </c>
      <c r="B1052" s="95">
        <f t="shared" si="322"/>
        <v>8882.3390515090578</v>
      </c>
      <c r="C1052" s="95">
        <f t="shared" si="323"/>
        <v>6516.1066818333702</v>
      </c>
      <c r="D1052" s="95">
        <f t="shared" si="324"/>
        <v>-137.83066796307321</v>
      </c>
      <c r="E1052" s="95">
        <f t="shared" si="325"/>
        <v>127.34464276828837</v>
      </c>
      <c r="F1052" s="96">
        <f t="shared" si="326"/>
        <v>23.75330982459036</v>
      </c>
      <c r="G1052" s="94">
        <f t="shared" si="327"/>
        <v>-21.396858982645654</v>
      </c>
      <c r="H1052" s="97">
        <f t="shared" si="328"/>
        <v>566.43465191312862</v>
      </c>
      <c r="I1052" s="94">
        <f t="shared" si="329"/>
        <v>498.64072816344327</v>
      </c>
      <c r="J1052" s="95">
        <f t="shared" si="330"/>
        <v>-192.19178743724285</v>
      </c>
      <c r="K1052" s="94">
        <f t="shared" si="331"/>
        <v>23.182875973617772</v>
      </c>
      <c r="L1052" s="94">
        <f t="shared" si="332"/>
        <v>-350.48955465129541</v>
      </c>
      <c r="M1052" s="94">
        <f t="shared" si="333"/>
        <v>-543.22046311970666</v>
      </c>
      <c r="N1052" s="99">
        <f t="shared" si="334"/>
        <v>1482.3161380488755</v>
      </c>
      <c r="O1052" s="99">
        <f t="shared" si="335"/>
        <v>29167.796496484094</v>
      </c>
      <c r="P1052" s="100">
        <f t="shared" si="336"/>
        <v>25589.928466450488</v>
      </c>
      <c r="Q1052" s="95">
        <f t="shared" si="337"/>
        <v>1033139307751.3218</v>
      </c>
      <c r="R1052" s="95">
        <f t="shared" si="338"/>
        <v>26989216578632.672</v>
      </c>
      <c r="S1052" s="95">
        <f t="shared" si="339"/>
        <v>20738922553747.285</v>
      </c>
      <c r="T1052">
        <f t="shared" si="340"/>
        <v>0.5</v>
      </c>
    </row>
    <row r="1053" spans="1:20" x14ac:dyDescent="0.25">
      <c r="A1053">
        <v>505</v>
      </c>
      <c r="B1053" s="95">
        <f t="shared" si="322"/>
        <v>8819.362044983669</v>
      </c>
      <c r="C1053" s="95">
        <f t="shared" si="323"/>
        <v>6574.4297884718526</v>
      </c>
      <c r="D1053" s="95">
        <f t="shared" si="324"/>
        <v>-125.95401305077803</v>
      </c>
      <c r="E1053" s="95">
        <f t="shared" si="325"/>
        <v>116.64621327696554</v>
      </c>
      <c r="F1053" s="96">
        <f t="shared" si="326"/>
        <v>56.644221767457395</v>
      </c>
      <c r="G1053" s="94">
        <f t="shared" si="327"/>
        <v>-51.899699776607576</v>
      </c>
      <c r="H1053" s="97">
        <f t="shared" si="328"/>
        <v>598.17645655810645</v>
      </c>
      <c r="I1053" s="94">
        <f t="shared" si="329"/>
        <v>468.9450369397839</v>
      </c>
      <c r="J1053" s="95">
        <f t="shared" si="330"/>
        <v>-193.19886341579084</v>
      </c>
      <c r="K1053" s="94">
        <f t="shared" si="331"/>
        <v>22.96429290784474</v>
      </c>
      <c r="L1053" s="94">
        <f t="shared" si="332"/>
        <v>-348.33337137485825</v>
      </c>
      <c r="M1053" s="94">
        <f t="shared" si="333"/>
        <v>-543.80902962423625</v>
      </c>
      <c r="N1053" s="99">
        <f t="shared" si="334"/>
        <v>1489.0305763531567</v>
      </c>
      <c r="O1053" s="99">
        <f t="shared" si="335"/>
        <v>29091.700220830877</v>
      </c>
      <c r="P1053" s="100">
        <f t="shared" si="336"/>
        <v>25605.90135662262</v>
      </c>
      <c r="Q1053" s="95">
        <f t="shared" si="337"/>
        <v>1033441856318.4969</v>
      </c>
      <c r="R1053" s="95">
        <f t="shared" si="338"/>
        <v>26789989173984.75</v>
      </c>
      <c r="S1053" s="95">
        <f t="shared" si="339"/>
        <v>20772632314106.535</v>
      </c>
      <c r="T1053">
        <f t="shared" si="340"/>
        <v>0.5</v>
      </c>
    </row>
    <row r="1054" spans="1:20" x14ac:dyDescent="0.25">
      <c r="A1054">
        <v>505.5</v>
      </c>
      <c r="B1054" s="95">
        <f t="shared" si="322"/>
        <v>8770.5460939001441</v>
      </c>
      <c r="C1054" s="95">
        <f t="shared" si="323"/>
        <v>6619.777970166183</v>
      </c>
      <c r="D1054" s="95">
        <f t="shared" si="324"/>
        <v>-97.631902167049333</v>
      </c>
      <c r="E1054" s="95">
        <f t="shared" si="325"/>
        <v>90.696363388661752</v>
      </c>
      <c r="F1054" s="96">
        <f t="shared" si="326"/>
        <v>81.846924436653865</v>
      </c>
      <c r="G1054" s="94">
        <f t="shared" si="327"/>
        <v>-75.556483946882508</v>
      </c>
      <c r="H1054" s="97">
        <f t="shared" si="328"/>
        <v>622.60436865200575</v>
      </c>
      <c r="I1054" s="94">
        <f t="shared" si="329"/>
        <v>445.75081541427039</v>
      </c>
      <c r="J1054" s="95">
        <f t="shared" si="330"/>
        <v>-194.18343529234565</v>
      </c>
      <c r="K1054" s="94">
        <f t="shared" si="331"/>
        <v>22.814413173170909</v>
      </c>
      <c r="L1054" s="94">
        <f t="shared" si="332"/>
        <v>-346.57400892300626</v>
      </c>
      <c r="M1054" s="94">
        <f t="shared" si="333"/>
        <v>-544.12171253432382</v>
      </c>
      <c r="N1054" s="99">
        <f t="shared" si="334"/>
        <v>1500.195386372523</v>
      </c>
      <c r="O1054" s="99">
        <f t="shared" si="335"/>
        <v>29022.235612611828</v>
      </c>
      <c r="P1054" s="100">
        <f t="shared" si="336"/>
        <v>25620.905292905572</v>
      </c>
      <c r="Q1054" s="95">
        <f t="shared" si="337"/>
        <v>1033948029118.6945</v>
      </c>
      <c r="R1054" s="95">
        <f t="shared" si="338"/>
        <v>26609006999416.488</v>
      </c>
      <c r="S1054" s="95">
        <f t="shared" si="339"/>
        <v>20804332951833.832</v>
      </c>
      <c r="T1054">
        <f t="shared" si="340"/>
        <v>0.5</v>
      </c>
    </row>
    <row r="1055" spans="1:20" x14ac:dyDescent="0.25">
      <c r="A1055">
        <v>506</v>
      </c>
      <c r="B1055" s="95">
        <f t="shared" si="322"/>
        <v>8742.1918739257835</v>
      </c>
      <c r="C1055" s="95">
        <f t="shared" si="323"/>
        <v>6646.2370308737936</v>
      </c>
      <c r="D1055" s="95">
        <f t="shared" si="324"/>
        <v>-56.7084399487224</v>
      </c>
      <c r="E1055" s="95">
        <f t="shared" si="325"/>
        <v>52.918121415220497</v>
      </c>
      <c r="F1055" s="96">
        <f t="shared" si="326"/>
        <v>96.172883692251219</v>
      </c>
      <c r="G1055" s="94">
        <f t="shared" si="327"/>
        <v>-89.246954848852567</v>
      </c>
      <c r="H1055" s="97">
        <f t="shared" si="328"/>
        <v>636.62913609044824</v>
      </c>
      <c r="I1055" s="94">
        <f t="shared" si="329"/>
        <v>432.12503576142581</v>
      </c>
      <c r="J1055" s="95">
        <f t="shared" si="330"/>
        <v>-195.01513276656593</v>
      </c>
      <c r="K1055" s="94">
        <f t="shared" si="331"/>
        <v>22.7552071728066</v>
      </c>
      <c r="L1055" s="94">
        <f t="shared" si="332"/>
        <v>-345.44111963163112</v>
      </c>
      <c r="M1055" s="94">
        <f t="shared" si="333"/>
        <v>-544.12719778308497</v>
      </c>
      <c r="N1055" s="99">
        <f t="shared" si="334"/>
        <v>1512.0673692097712</v>
      </c>
      <c r="O1055" s="99">
        <f t="shared" si="335"/>
        <v>28968.434951032592</v>
      </c>
      <c r="P1055" s="100">
        <f t="shared" si="336"/>
        <v>25632.844929962641</v>
      </c>
      <c r="Q1055" s="95">
        <f t="shared" si="337"/>
        <v>1034490502263.9156</v>
      </c>
      <c r="R1055" s="95">
        <f t="shared" si="338"/>
        <v>26469413204390.098</v>
      </c>
      <c r="S1055" s="95">
        <f t="shared" si="339"/>
        <v>20829584060222.484</v>
      </c>
      <c r="T1055">
        <f t="shared" si="340"/>
        <v>0.5</v>
      </c>
    </row>
    <row r="1056" spans="1:20" x14ac:dyDescent="0.25">
      <c r="A1056">
        <v>506.5</v>
      </c>
      <c r="B1056" s="95">
        <f t="shared" si="322"/>
        <v>8737.880874874485</v>
      </c>
      <c r="C1056" s="95">
        <f t="shared" si="323"/>
        <v>6650.3843528691914</v>
      </c>
      <c r="D1056" s="95">
        <f t="shared" si="324"/>
        <v>-8.6219981025967911</v>
      </c>
      <c r="E1056" s="95">
        <f t="shared" si="325"/>
        <v>8.2946439907942136</v>
      </c>
      <c r="F1056" s="96">
        <f t="shared" si="326"/>
        <v>97.913849407011867</v>
      </c>
      <c r="G1056" s="94">
        <f t="shared" si="327"/>
        <v>-91.171232307472906</v>
      </c>
      <c r="H1056" s="97">
        <f t="shared" si="328"/>
        <v>638.58031029426547</v>
      </c>
      <c r="I1056" s="94">
        <f t="shared" si="329"/>
        <v>429.87053501918831</v>
      </c>
      <c r="J1056" s="95">
        <f t="shared" si="330"/>
        <v>-195.58308374862114</v>
      </c>
      <c r="K1056" s="94">
        <f t="shared" si="331"/>
        <v>22.796675944580691</v>
      </c>
      <c r="L1056" s="94">
        <f t="shared" si="332"/>
        <v>-345.0833771386325</v>
      </c>
      <c r="M1056" s="94">
        <f t="shared" si="333"/>
        <v>-543.83844327124189</v>
      </c>
      <c r="N1056" s="99">
        <f t="shared" si="334"/>
        <v>1520.1948853582976</v>
      </c>
      <c r="O1056" s="99">
        <f t="shared" si="335"/>
        <v>28937.196128350919</v>
      </c>
      <c r="P1056" s="100">
        <f t="shared" si="336"/>
        <v>25639.9573926433</v>
      </c>
      <c r="Q1056" s="95">
        <f t="shared" si="337"/>
        <v>1034864398293.757</v>
      </c>
      <c r="R1056" s="95">
        <f t="shared" si="338"/>
        <v>26388590465926.148</v>
      </c>
      <c r="S1056" s="95">
        <f t="shared" si="339"/>
        <v>20844636635481.352</v>
      </c>
      <c r="T1056">
        <f t="shared" si="340"/>
        <v>0.5</v>
      </c>
    </row>
    <row r="1057" spans="1:20" x14ac:dyDescent="0.25">
      <c r="A1057">
        <v>507</v>
      </c>
      <c r="B1057" s="95">
        <f t="shared" si="322"/>
        <v>8758.04833817494</v>
      </c>
      <c r="C1057" s="95">
        <f t="shared" si="323"/>
        <v>6631.7388667877203</v>
      </c>
      <c r="D1057" s="95">
        <f t="shared" si="324"/>
        <v>40.334926600909142</v>
      </c>
      <c r="E1057" s="95">
        <f t="shared" si="325"/>
        <v>-37.290972162942239</v>
      </c>
      <c r="F1057" s="96">
        <f t="shared" si="326"/>
        <v>86.981596527944305</v>
      </c>
      <c r="G1057" s="94">
        <f t="shared" si="327"/>
        <v>-81.090158328777022</v>
      </c>
      <c r="H1057" s="97">
        <f t="shared" si="328"/>
        <v>628.34140718398817</v>
      </c>
      <c r="I1057" s="94">
        <f t="shared" si="329"/>
        <v>439.27991645347595</v>
      </c>
      <c r="J1057" s="95">
        <f t="shared" si="330"/>
        <v>-195.81165754205534</v>
      </c>
      <c r="K1057" s="94">
        <f t="shared" si="331"/>
        <v>22.93426827067621</v>
      </c>
      <c r="L1057" s="94">
        <f t="shared" si="332"/>
        <v>-345.54815311398852</v>
      </c>
      <c r="M1057" s="94">
        <f t="shared" si="333"/>
        <v>-543.3043430529292</v>
      </c>
      <c r="N1057" s="99">
        <f t="shared" si="334"/>
        <v>1521.4438648392843</v>
      </c>
      <c r="O1057" s="99">
        <f t="shared" si="335"/>
        <v>28932.433740734294</v>
      </c>
      <c r="P1057" s="100">
        <f t="shared" si="336"/>
        <v>25641.148834621377</v>
      </c>
      <c r="Q1057" s="95">
        <f t="shared" si="337"/>
        <v>1034922037683.6641</v>
      </c>
      <c r="R1057" s="95">
        <f t="shared" si="338"/>
        <v>26376283858708.785</v>
      </c>
      <c r="S1057" s="95">
        <f t="shared" si="339"/>
        <v>20847158925819.148</v>
      </c>
      <c r="T1057">
        <f t="shared" si="340"/>
        <v>0.5</v>
      </c>
    </row>
    <row r="1058" spans="1:20" x14ac:dyDescent="0.25">
      <c r="A1058">
        <v>507.5</v>
      </c>
      <c r="B1058" s="95">
        <f t="shared" si="322"/>
        <v>8799.9612006073803</v>
      </c>
      <c r="C1058" s="95">
        <f t="shared" si="323"/>
        <v>6592.8208411240548</v>
      </c>
      <c r="D1058" s="95">
        <f t="shared" si="324"/>
        <v>83.825724864881295</v>
      </c>
      <c r="E1058" s="95">
        <f t="shared" si="325"/>
        <v>-77.83605132733075</v>
      </c>
      <c r="F1058" s="96">
        <f t="shared" si="326"/>
        <v>64.855324000546602</v>
      </c>
      <c r="G1058" s="94">
        <f t="shared" si="327"/>
        <v>-60.355215321404671</v>
      </c>
      <c r="H1058" s="97">
        <f t="shared" si="328"/>
        <v>607.30084525228904</v>
      </c>
      <c r="I1058" s="94">
        <f t="shared" si="329"/>
        <v>459.09404784200882</v>
      </c>
      <c r="J1058" s="95">
        <f t="shared" si="330"/>
        <v>-195.67130649035386</v>
      </c>
      <c r="K1058" s="94">
        <f t="shared" si="331"/>
        <v>23.148892209268013</v>
      </c>
      <c r="L1058" s="94">
        <f t="shared" si="332"/>
        <v>-346.77421476138858</v>
      </c>
      <c r="M1058" s="94">
        <f t="shared" si="333"/>
        <v>-542.5981553726815</v>
      </c>
      <c r="N1058" s="99">
        <f t="shared" si="334"/>
        <v>1515.361780485802</v>
      </c>
      <c r="O1058" s="99">
        <f t="shared" si="335"/>
        <v>28954.628771274463</v>
      </c>
      <c r="P1058" s="100">
        <f t="shared" si="336"/>
        <v>25636.224770360644</v>
      </c>
      <c r="Q1058" s="95">
        <f t="shared" si="337"/>
        <v>1034641810471.0514</v>
      </c>
      <c r="R1058" s="95">
        <f t="shared" si="338"/>
        <v>26433672210249.977</v>
      </c>
      <c r="S1058" s="95">
        <f t="shared" si="339"/>
        <v>20836736067339.773</v>
      </c>
      <c r="T1058">
        <f t="shared" si="340"/>
        <v>0.5</v>
      </c>
    </row>
    <row r="1059" spans="1:20" x14ac:dyDescent="0.25">
      <c r="A1059">
        <v>508</v>
      </c>
      <c r="B1059" s="95">
        <f t="shared" si="322"/>
        <v>8858.087894039958</v>
      </c>
      <c r="C1059" s="95">
        <f t="shared" si="323"/>
        <v>6538.8140116300383</v>
      </c>
      <c r="D1059" s="95">
        <f t="shared" si="324"/>
        <v>116.2533868651546</v>
      </c>
      <c r="E1059" s="95">
        <f t="shared" si="325"/>
        <v>-108.01365898803309</v>
      </c>
      <c r="F1059" s="96">
        <f t="shared" si="326"/>
        <v>34.385239999671853</v>
      </c>
      <c r="G1059" s="94">
        <f t="shared" si="327"/>
        <v>-31.734465559830426</v>
      </c>
      <c r="H1059" s="97">
        <f t="shared" si="328"/>
        <v>578.16670476327806</v>
      </c>
      <c r="I1059" s="94">
        <f t="shared" si="329"/>
        <v>486.66244333514516</v>
      </c>
      <c r="J1059" s="95">
        <f t="shared" si="330"/>
        <v>-195.18262311247412</v>
      </c>
      <c r="K1059" s="94">
        <f t="shared" si="331"/>
        <v>23.409844850798798</v>
      </c>
      <c r="L1059" s="94">
        <f t="shared" si="332"/>
        <v>-348.59884165113209</v>
      </c>
      <c r="M1059" s="94">
        <f t="shared" si="333"/>
        <v>-541.80675374577436</v>
      </c>
      <c r="N1059" s="99">
        <f t="shared" si="334"/>
        <v>1504.3494096607169</v>
      </c>
      <c r="O1059" s="99">
        <f t="shared" si="335"/>
        <v>29000.804040184285</v>
      </c>
      <c r="P1059" s="100">
        <f t="shared" si="336"/>
        <v>25625.940783025908</v>
      </c>
      <c r="Q1059" s="95">
        <f t="shared" si="337"/>
        <v>1034137344118.3472</v>
      </c>
      <c r="R1059" s="95">
        <f t="shared" si="338"/>
        <v>26553339234512.898</v>
      </c>
      <c r="S1059" s="95">
        <f t="shared" si="339"/>
        <v>20814979817731.605</v>
      </c>
      <c r="T1059">
        <f t="shared" si="340"/>
        <v>0.5</v>
      </c>
    </row>
    <row r="1060" spans="1:20" x14ac:dyDescent="0.25">
      <c r="A1060">
        <v>508.5</v>
      </c>
      <c r="B1060" s="95">
        <f t="shared" si="322"/>
        <v>8924.8108974724528</v>
      </c>
      <c r="C1060" s="95">
        <f t="shared" si="323"/>
        <v>6476.8735657460638</v>
      </c>
      <c r="D1060" s="95">
        <f t="shared" si="324"/>
        <v>133.44600686499052</v>
      </c>
      <c r="E1060" s="95">
        <f t="shared" si="325"/>
        <v>-123.8808917679483</v>
      </c>
      <c r="F1060" s="96">
        <f t="shared" si="326"/>
        <v>-0.52672017336948329</v>
      </c>
      <c r="G1060" s="94">
        <f t="shared" si="327"/>
        <v>0.94912860951455968</v>
      </c>
      <c r="H1060" s="97">
        <f t="shared" si="328"/>
        <v>544.66527550242597</v>
      </c>
      <c r="I1060" s="94">
        <f t="shared" si="329"/>
        <v>518.29156366701307</v>
      </c>
      <c r="J1060" s="95">
        <f t="shared" si="330"/>
        <v>-194.41300214544762</v>
      </c>
      <c r="K1060" s="94">
        <f t="shared" si="331"/>
        <v>23.680071390929861</v>
      </c>
      <c r="L1060" s="94">
        <f t="shared" si="332"/>
        <v>-350.7789935303478</v>
      </c>
      <c r="M1060" s="94">
        <f t="shared" si="333"/>
        <v>-541.02250644842832</v>
      </c>
      <c r="N1060" s="99">
        <f t="shared" si="334"/>
        <v>1492.5956458387645</v>
      </c>
      <c r="O1060" s="99">
        <f t="shared" si="335"/>
        <v>29064.910895205307</v>
      </c>
      <c r="P1060" s="100">
        <f t="shared" si="336"/>
        <v>25611.854854862177</v>
      </c>
      <c r="Q1060" s="95">
        <f t="shared" si="337"/>
        <v>1033603064011.651</v>
      </c>
      <c r="R1060" s="95">
        <f t="shared" si="338"/>
        <v>26720092911977.367</v>
      </c>
      <c r="S1060" s="95">
        <f t="shared" si="339"/>
        <v>20785206841993.063</v>
      </c>
      <c r="T1060">
        <f t="shared" si="340"/>
        <v>0.5</v>
      </c>
    </row>
    <row r="1061" spans="1:20" x14ac:dyDescent="0.25">
      <c r="A1061">
        <v>509</v>
      </c>
      <c r="B1061" s="95">
        <f t="shared" si="322"/>
        <v>8991.4022208616061</v>
      </c>
      <c r="C1061" s="95">
        <f t="shared" si="323"/>
        <v>6415.170402014468</v>
      </c>
      <c r="D1061" s="95">
        <f t="shared" si="324"/>
        <v>133.18264677830578</v>
      </c>
      <c r="E1061" s="95">
        <f t="shared" si="325"/>
        <v>-123.40632746319102</v>
      </c>
      <c r="F1061" s="96">
        <f t="shared" si="326"/>
        <v>-35.371454650498492</v>
      </c>
      <c r="G1061" s="94">
        <f t="shared" si="327"/>
        <v>33.336137059115686</v>
      </c>
      <c r="H1061" s="97">
        <f t="shared" si="328"/>
        <v>511.11934151663888</v>
      </c>
      <c r="I1061" s="94">
        <f t="shared" si="329"/>
        <v>549.75075421422594</v>
      </c>
      <c r="J1061" s="95">
        <f t="shared" si="330"/>
        <v>-193.46661527752798</v>
      </c>
      <c r="K1061" s="94">
        <f t="shared" si="331"/>
        <v>23.922432015720222</v>
      </c>
      <c r="L1061" s="94">
        <f t="shared" si="332"/>
        <v>-353.0241808896094</v>
      </c>
      <c r="M1061" s="94">
        <f t="shared" si="333"/>
        <v>-540.33704917083048</v>
      </c>
      <c r="N1061" s="99">
        <f t="shared" si="334"/>
        <v>1484.1897812150462</v>
      </c>
      <c r="O1061" s="99">
        <f t="shared" si="335"/>
        <v>29138.584477051732</v>
      </c>
      <c r="P1061" s="100">
        <f t="shared" si="336"/>
        <v>25596.024235990433</v>
      </c>
      <c r="Q1061" s="95">
        <f t="shared" si="337"/>
        <v>1033223592480.3772</v>
      </c>
      <c r="R1061" s="95">
        <f t="shared" si="338"/>
        <v>26912616942169.992</v>
      </c>
      <c r="S1061" s="95">
        <f t="shared" si="339"/>
        <v>20751782649238.008</v>
      </c>
      <c r="T1061">
        <f t="shared" si="340"/>
        <v>0.5</v>
      </c>
    </row>
    <row r="1062" spans="1:20" x14ac:dyDescent="0.25">
      <c r="A1062">
        <v>509.5</v>
      </c>
      <c r="B1062" s="95">
        <f t="shared" si="322"/>
        <v>9049.1506805881345</v>
      </c>
      <c r="C1062" s="95">
        <f t="shared" si="323"/>
        <v>6361.801272547651</v>
      </c>
      <c r="D1062" s="95">
        <f t="shared" si="324"/>
        <v>115.49691945305653</v>
      </c>
      <c r="E1062" s="95">
        <f t="shared" si="325"/>
        <v>-106.73825893363318</v>
      </c>
      <c r="F1062" s="96">
        <f t="shared" si="326"/>
        <v>-65.589952906876135</v>
      </c>
      <c r="G1062" s="94">
        <f t="shared" si="327"/>
        <v>61.140475708793019</v>
      </c>
      <c r="H1062" s="97">
        <f t="shared" si="328"/>
        <v>481.91609344429179</v>
      </c>
      <c r="I1062" s="94">
        <f t="shared" si="329"/>
        <v>576.86982900337694</v>
      </c>
      <c r="J1062" s="95">
        <f t="shared" si="330"/>
        <v>-192.46949671431094</v>
      </c>
      <c r="K1062" s="94">
        <f t="shared" si="331"/>
        <v>24.105430334916175</v>
      </c>
      <c r="L1062" s="94">
        <f t="shared" si="332"/>
        <v>-355.03654963685699</v>
      </c>
      <c r="M1062" s="94">
        <f t="shared" si="333"/>
        <v>-539.83478362950007</v>
      </c>
      <c r="N1062" s="99">
        <f t="shared" si="334"/>
        <v>1481.2578225104337</v>
      </c>
      <c r="O1062" s="99">
        <f t="shared" si="335"/>
        <v>29212.196185469733</v>
      </c>
      <c r="P1062" s="100">
        <f t="shared" si="336"/>
        <v>25580.634461507158</v>
      </c>
      <c r="Q1062" s="95">
        <f t="shared" si="337"/>
        <v>1033091748117.933</v>
      </c>
      <c r="R1062" s="95">
        <f t="shared" si="338"/>
        <v>27105927411596.215</v>
      </c>
      <c r="S1062" s="95">
        <f t="shared" si="339"/>
        <v>20719326227330.77</v>
      </c>
      <c r="T1062">
        <f t="shared" si="340"/>
        <v>0.5</v>
      </c>
    </row>
    <row r="1063" spans="1:20" x14ac:dyDescent="0.25">
      <c r="A1063">
        <v>510</v>
      </c>
      <c r="B1063" s="95">
        <f t="shared" si="322"/>
        <v>9090.5016520879435</v>
      </c>
      <c r="C1063" s="95">
        <f t="shared" si="323"/>
        <v>6323.7172620080328</v>
      </c>
      <c r="D1063" s="95">
        <f t="shared" si="324"/>
        <v>82.701942999618467</v>
      </c>
      <c r="E1063" s="95">
        <f t="shared" si="325"/>
        <v>-76.168021079236667</v>
      </c>
      <c r="F1063" s="96">
        <f t="shared" si="326"/>
        <v>-87.182989148993215</v>
      </c>
      <c r="G1063" s="94">
        <f t="shared" si="327"/>
        <v>80.746779623527573</v>
      </c>
      <c r="H1063" s="97">
        <f t="shared" si="328"/>
        <v>460.92118965443387</v>
      </c>
      <c r="I1063" s="94">
        <f t="shared" si="329"/>
        <v>596.12383047193566</v>
      </c>
      <c r="J1063" s="95">
        <f t="shared" si="330"/>
        <v>-191.5522254045006</v>
      </c>
      <c r="K1063" s="94">
        <f t="shared" si="331"/>
        <v>24.207218840723176</v>
      </c>
      <c r="L1063" s="94">
        <f t="shared" si="332"/>
        <v>-356.55195339892646</v>
      </c>
      <c r="M1063" s="94">
        <f t="shared" si="333"/>
        <v>-539.58426968913125</v>
      </c>
      <c r="N1063" s="99">
        <f t="shared" si="334"/>
        <v>1483.1084826809381</v>
      </c>
      <c r="O1063" s="99">
        <f t="shared" si="335"/>
        <v>29276.093408170942</v>
      </c>
      <c r="P1063" s="100">
        <f t="shared" si="336"/>
        <v>25567.65903350732</v>
      </c>
      <c r="Q1063" s="95">
        <f t="shared" si="337"/>
        <v>1033174937634.0425</v>
      </c>
      <c r="R1063" s="95">
        <f t="shared" si="338"/>
        <v>27274497061791.754</v>
      </c>
      <c r="S1063" s="95">
        <f t="shared" si="339"/>
        <v>20691989883293.313</v>
      </c>
      <c r="T1063">
        <f t="shared" si="340"/>
        <v>0.5</v>
      </c>
    </row>
    <row r="1064" spans="1:20" x14ac:dyDescent="0.25">
      <c r="A1064">
        <v>510.5</v>
      </c>
      <c r="B1064" s="95">
        <f t="shared" si="322"/>
        <v>9110.0568763005049</v>
      </c>
      <c r="C1064" s="95">
        <f t="shared" si="323"/>
        <v>6305.8199463742967</v>
      </c>
      <c r="D1064" s="95">
        <f t="shared" si="324"/>
        <v>39.110448425121859</v>
      </c>
      <c r="E1064" s="95">
        <f t="shared" si="325"/>
        <v>-35.79463126747288</v>
      </c>
      <c r="F1064" s="96">
        <f t="shared" si="326"/>
        <v>-97.271578817227407</v>
      </c>
      <c r="G1064" s="94">
        <f t="shared" si="327"/>
        <v>89.684238099857225</v>
      </c>
      <c r="H1064" s="97">
        <f t="shared" si="328"/>
        <v>450.93662729502637</v>
      </c>
      <c r="I1064" s="94">
        <f t="shared" si="329"/>
        <v>605.09431605744066</v>
      </c>
      <c r="J1064" s="95">
        <f t="shared" si="330"/>
        <v>-190.83285397542258</v>
      </c>
      <c r="K1064" s="94">
        <f t="shared" si="331"/>
        <v>24.217435428867663</v>
      </c>
      <c r="L1064" s="94">
        <f t="shared" si="332"/>
        <v>-357.37535213683117</v>
      </c>
      <c r="M1064" s="94">
        <f t="shared" si="333"/>
        <v>-539.62751338645114</v>
      </c>
      <c r="N1064" s="99">
        <f t="shared" si="334"/>
        <v>1486.8854443273831</v>
      </c>
      <c r="O1064" s="99">
        <f t="shared" si="335"/>
        <v>29321.874788965815</v>
      </c>
      <c r="P1064" s="100">
        <f t="shared" si="336"/>
        <v>25558.621924461269</v>
      </c>
      <c r="Q1064" s="95">
        <f t="shared" si="337"/>
        <v>1033345046101.8262</v>
      </c>
      <c r="R1064" s="95">
        <f t="shared" si="338"/>
        <v>27395715718934.051</v>
      </c>
      <c r="S1064" s="95">
        <f t="shared" si="339"/>
        <v>20672966000253.41</v>
      </c>
      <c r="T1064">
        <f t="shared" si="340"/>
        <v>0.5</v>
      </c>
    </row>
    <row r="1065" spans="1:20" x14ac:dyDescent="0.25">
      <c r="A1065">
        <v>511</v>
      </c>
      <c r="B1065" s="95">
        <f t="shared" si="322"/>
        <v>9105.2942058087592</v>
      </c>
      <c r="C1065" s="95">
        <f t="shared" si="323"/>
        <v>6310.3436902655249</v>
      </c>
      <c r="D1065" s="95">
        <f t="shared" si="324"/>
        <v>-9.5253409834918443</v>
      </c>
      <c r="E1065" s="95">
        <f t="shared" si="325"/>
        <v>9.0474877824557325</v>
      </c>
      <c r="F1065" s="96">
        <f t="shared" si="326"/>
        <v>-94.505844103602442</v>
      </c>
      <c r="G1065" s="94">
        <f t="shared" si="327"/>
        <v>86.905792771045753</v>
      </c>
      <c r="H1065" s="97">
        <f t="shared" si="328"/>
        <v>453.30174460953862</v>
      </c>
      <c r="I1065" s="94">
        <f t="shared" si="329"/>
        <v>602.73811144349781</v>
      </c>
      <c r="J1065" s="95">
        <f t="shared" si="330"/>
        <v>-190.40235310528467</v>
      </c>
      <c r="K1065" s="94">
        <f t="shared" si="331"/>
        <v>24.137163450593068</v>
      </c>
      <c r="L1065" s="94">
        <f t="shared" si="332"/>
        <v>-357.40523560785635</v>
      </c>
      <c r="M1065" s="94">
        <f t="shared" si="333"/>
        <v>-539.96948212304517</v>
      </c>
      <c r="N1065" s="99">
        <f t="shared" si="334"/>
        <v>1489.316878269196</v>
      </c>
      <c r="O1065" s="99">
        <f t="shared" si="335"/>
        <v>29343.52360590078</v>
      </c>
      <c r="P1065" s="100">
        <f t="shared" si="336"/>
        <v>25554.484315668669</v>
      </c>
      <c r="Q1065" s="95">
        <f t="shared" si="337"/>
        <v>1033454787964.1659</v>
      </c>
      <c r="R1065" s="95">
        <f t="shared" si="338"/>
        <v>27453165274690.059</v>
      </c>
      <c r="S1065" s="95">
        <f t="shared" si="339"/>
        <v>20664260172502.352</v>
      </c>
      <c r="T1065">
        <f t="shared" si="340"/>
        <v>0.5</v>
      </c>
    </row>
    <row r="1066" spans="1:20" x14ac:dyDescent="0.25">
      <c r="A1066">
        <v>511.5</v>
      </c>
      <c r="B1066" s="95">
        <f t="shared" si="322"/>
        <v>9076.9050742911131</v>
      </c>
      <c r="C1066" s="95">
        <f t="shared" si="323"/>
        <v>6336.5938823495144</v>
      </c>
      <c r="D1066" s="95">
        <f t="shared" si="324"/>
        <v>-56.778263035293065</v>
      </c>
      <c r="E1066" s="95">
        <f t="shared" si="325"/>
        <v>52.500384167978609</v>
      </c>
      <c r="F1066" s="96">
        <f t="shared" si="326"/>
        <v>-79.257743463486293</v>
      </c>
      <c r="G1066" s="94">
        <f t="shared" si="327"/>
        <v>72.864224021305745</v>
      </c>
      <c r="H1066" s="97">
        <f t="shared" si="328"/>
        <v>467.70074488762708</v>
      </c>
      <c r="I1066" s="94">
        <f t="shared" si="329"/>
        <v>589.45823736826981</v>
      </c>
      <c r="J1066" s="95">
        <f t="shared" si="330"/>
        <v>-190.31407934942587</v>
      </c>
      <c r="K1066" s="94">
        <f t="shared" si="331"/>
        <v>23.977715674428747</v>
      </c>
      <c r="L1066" s="94">
        <f t="shared" si="332"/>
        <v>-356.64440900168751</v>
      </c>
      <c r="M1066" s="94">
        <f t="shared" si="333"/>
        <v>-540.5717290213928</v>
      </c>
      <c r="N1066" s="99">
        <f t="shared" si="334"/>
        <v>1488.5498290115881</v>
      </c>
      <c r="O1066" s="99">
        <f t="shared" si="335"/>
        <v>29338.229573214678</v>
      </c>
      <c r="P1066" s="100">
        <f t="shared" si="336"/>
        <v>25555.62702869295</v>
      </c>
      <c r="Q1066" s="95">
        <f t="shared" si="337"/>
        <v>1033420147702.1471</v>
      </c>
      <c r="R1066" s="95">
        <f t="shared" si="338"/>
        <v>27439108855560.992</v>
      </c>
      <c r="S1066" s="95">
        <f t="shared" si="339"/>
        <v>20666664260191.531</v>
      </c>
      <c r="T1066">
        <f t="shared" si="340"/>
        <v>0.5</v>
      </c>
    </row>
    <row r="1067" spans="1:20" x14ac:dyDescent="0.25">
      <c r="A1067">
        <v>512</v>
      </c>
      <c r="B1067" s="95">
        <f t="shared" si="322"/>
        <v>9028.7015069075951</v>
      </c>
      <c r="C1067" s="95">
        <f t="shared" si="323"/>
        <v>6381.0601304388301</v>
      </c>
      <c r="D1067" s="95">
        <f t="shared" si="324"/>
        <v>-96.407134767036212</v>
      </c>
      <c r="E1067" s="95">
        <f t="shared" si="325"/>
        <v>88.932496178631482</v>
      </c>
      <c r="F1067" s="96">
        <f t="shared" si="326"/>
        <v>-53.577857896436399</v>
      </c>
      <c r="G1067" s="94">
        <f t="shared" si="327"/>
        <v>49.418327671759357</v>
      </c>
      <c r="H1067" s="97">
        <f t="shared" si="328"/>
        <v>492.19725142898591</v>
      </c>
      <c r="I1067" s="94">
        <f t="shared" si="329"/>
        <v>567.0132634087397</v>
      </c>
      <c r="J1067" s="95">
        <f t="shared" si="330"/>
        <v>-190.57796686033964</v>
      </c>
      <c r="K1067" s="94">
        <f t="shared" si="331"/>
        <v>23.758906417728454</v>
      </c>
      <c r="L1067" s="94">
        <f t="shared" si="332"/>
        <v>-355.19714246508266</v>
      </c>
      <c r="M1067" s="94">
        <f t="shared" si="333"/>
        <v>-541.35384215470879</v>
      </c>
      <c r="N1067" s="99">
        <f t="shared" si="334"/>
        <v>1485.1323296110925</v>
      </c>
      <c r="O1067" s="99">
        <f t="shared" si="335"/>
        <v>29306.773160519999</v>
      </c>
      <c r="P1067" s="100">
        <f t="shared" si="336"/>
        <v>25561.875810881284</v>
      </c>
      <c r="Q1067" s="95">
        <f t="shared" si="337"/>
        <v>1033266033581.3201</v>
      </c>
      <c r="R1067" s="95">
        <f t="shared" si="338"/>
        <v>27355689307126.391</v>
      </c>
      <c r="S1067" s="95">
        <f t="shared" si="339"/>
        <v>20679814261098.43</v>
      </c>
      <c r="T1067">
        <f t="shared" si="340"/>
        <v>0.5</v>
      </c>
    </row>
    <row r="1068" spans="1:20" x14ac:dyDescent="0.25">
      <c r="A1068">
        <v>512.5</v>
      </c>
      <c r="B1068" s="95">
        <f t="shared" si="322"/>
        <v>8967.1034750499675</v>
      </c>
      <c r="C1068" s="95">
        <f t="shared" si="323"/>
        <v>6437.8809604460857</v>
      </c>
      <c r="D1068" s="95">
        <f t="shared" si="324"/>
        <v>-123.19606371525441</v>
      </c>
      <c r="E1068" s="95">
        <f t="shared" si="325"/>
        <v>113.64166001451116</v>
      </c>
      <c r="F1068" s="96">
        <f t="shared" si="326"/>
        <v>-20.924287933754499</v>
      </c>
      <c r="G1068" s="94">
        <f t="shared" si="327"/>
        <v>19.602871303327106</v>
      </c>
      <c r="H1068" s="97">
        <f t="shared" si="328"/>
        <v>523.48966975693168</v>
      </c>
      <c r="I1068" s="94">
        <f t="shared" si="329"/>
        <v>538.30014123198407</v>
      </c>
      <c r="J1068" s="95">
        <f t="shared" si="330"/>
        <v>-191.15960064012691</v>
      </c>
      <c r="K1068" s="94">
        <f t="shared" si="331"/>
        <v>23.507122609625853</v>
      </c>
      <c r="L1068" s="94">
        <f t="shared" si="332"/>
        <v>-353.25435705055929</v>
      </c>
      <c r="M1068" s="94">
        <f t="shared" si="333"/>
        <v>-542.20439253828283</v>
      </c>
      <c r="N1068" s="99">
        <f t="shared" si="334"/>
        <v>1481.7041521090316</v>
      </c>
      <c r="O1068" s="99">
        <f t="shared" si="335"/>
        <v>29253.414107700977</v>
      </c>
      <c r="P1068" s="100">
        <f t="shared" si="336"/>
        <v>25572.528194751339</v>
      </c>
      <c r="Q1068" s="95">
        <f t="shared" si="337"/>
        <v>1033111801489.2087</v>
      </c>
      <c r="R1068" s="95">
        <f t="shared" si="338"/>
        <v>27214583899798.605</v>
      </c>
      <c r="S1068" s="95">
        <f t="shared" si="339"/>
        <v>20702245088357.727</v>
      </c>
      <c r="T1068">
        <f t="shared" si="340"/>
        <v>0.5</v>
      </c>
    </row>
    <row r="1069" spans="1:20" x14ac:dyDescent="0.25">
      <c r="A1069">
        <v>513</v>
      </c>
      <c r="B1069" s="95">
        <f t="shared" ref="B1069:B1132" si="341">B1068+(D1068*$T1068)+(F1068*($T1068)^2)</f>
        <v>8900.2743712089014</v>
      </c>
      <c r="C1069" s="95">
        <f t="shared" ref="C1069:C1132" si="342">C1068+(E1068*$T1068)+(G1068*($T1068)^2)</f>
        <v>6499.602508279173</v>
      </c>
      <c r="D1069" s="95">
        <f t="shared" ref="D1069:D1132" si="343">D1068+(F1068*$T1068)</f>
        <v>-133.65820768213166</v>
      </c>
      <c r="E1069" s="95">
        <f t="shared" ref="E1069:E1132" si="344">E1068+(G1068*$T1068)</f>
        <v>123.44309566617471</v>
      </c>
      <c r="F1069" s="96">
        <f t="shared" ref="F1069:F1132" si="345">SUM(H1069,J1069,L1069)</f>
        <v>14.310430014557255</v>
      </c>
      <c r="G1069" s="94">
        <f t="shared" ref="G1069:G1132" si="346">SUM(I1069,K1069,M1069)</f>
        <v>-12.724617827375027</v>
      </c>
      <c r="H1069" s="97">
        <f t="shared" ref="H1069:H1132" si="347">$D$22*(($D$18-$B1069)/$Q1069)</f>
        <v>557.36369228164699</v>
      </c>
      <c r="I1069" s="94">
        <f t="shared" ref="I1069:I1132" si="348">$D$22*(($E$18-$C1069)/$Q1069)</f>
        <v>507.02213819255832</v>
      </c>
      <c r="J1069" s="95">
        <f t="shared" ref="J1069:J1132" si="349">$D$30*(($D$26-$B1069)/$R1069)</f>
        <v>-191.98412620606206</v>
      </c>
      <c r="K1069" s="94">
        <f t="shared" ref="K1069:K1132" si="350">$D$30*(($E$26-$C1069)/$R1069)</f>
        <v>23.253092520512418</v>
      </c>
      <c r="L1069" s="94">
        <f t="shared" ref="L1069:L1132" si="351">$D$38*(($D$34-$B1069)/$S1069)</f>
        <v>-351.06913606102768</v>
      </c>
      <c r="M1069" s="94">
        <f t="shared" ref="M1069:M1132" si="352">$D$38*(($E$34-$C1069)/$S1069)</f>
        <v>-542.99984854044578</v>
      </c>
      <c r="N1069" s="99">
        <f t="shared" ref="N1069:N1132" si="353">SQRT(($D$18-$B1068)^2+($E$18-$C1068)^2)</f>
        <v>1481.5438182641722</v>
      </c>
      <c r="O1069" s="99">
        <f t="shared" ref="O1069:O1132" si="354">SQRT(($D$26-$B1068)^2+($E$26-$C1068)^2)</f>
        <v>29185.300680071883</v>
      </c>
      <c r="P1069" s="100">
        <f t="shared" ref="P1069:P1132" si="355">SQRT(($D$34-$B1068)^2+($E$34-$C1068)^2)</f>
        <v>25586.377616947062</v>
      </c>
      <c r="Q1069" s="95">
        <f t="shared" ref="Q1069:Q1132" si="356">(N1069^2+$D$39^2)^(3/2)</f>
        <v>1033104597057.4591</v>
      </c>
      <c r="R1069" s="95">
        <f t="shared" ref="R1069:R1132" si="357">(O1069^2+$D$31^2)^(3/2)</f>
        <v>27035187548940.848</v>
      </c>
      <c r="S1069" s="95">
        <f t="shared" ref="S1069:S1132" si="358">(P1069^2+$D$23^2)^(3/2)</f>
        <v>20731434050016.297</v>
      </c>
      <c r="T1069">
        <f t="shared" si="340"/>
        <v>0.5</v>
      </c>
    </row>
    <row r="1070" spans="1:20" x14ac:dyDescent="0.25">
      <c r="A1070">
        <v>513.5</v>
      </c>
      <c r="B1070" s="95">
        <f t="shared" si="341"/>
        <v>8837.0228748714744</v>
      </c>
      <c r="C1070" s="95">
        <f t="shared" si="342"/>
        <v>6558.1429016554166</v>
      </c>
      <c r="D1070" s="95">
        <f t="shared" si="343"/>
        <v>-126.50299267485303</v>
      </c>
      <c r="E1070" s="95">
        <f t="shared" si="344"/>
        <v>117.0807867524872</v>
      </c>
      <c r="F1070" s="96">
        <f t="shared" si="345"/>
        <v>47.419223818198986</v>
      </c>
      <c r="G1070" s="94">
        <f t="shared" si="346"/>
        <v>-43.351803852336786</v>
      </c>
      <c r="H1070" s="97">
        <f t="shared" si="347"/>
        <v>589.28921288449339</v>
      </c>
      <c r="I1070" s="94">
        <f t="shared" si="348"/>
        <v>477.2460404772055</v>
      </c>
      <c r="J1070" s="95">
        <f t="shared" si="349"/>
        <v>-192.94487347593176</v>
      </c>
      <c r="K1070" s="94">
        <f t="shared" si="350"/>
        <v>23.029030605687758</v>
      </c>
      <c r="L1070" s="94">
        <f t="shared" si="351"/>
        <v>-348.92511559036262</v>
      </c>
      <c r="M1070" s="94">
        <f t="shared" si="352"/>
        <v>-543.62687493523003</v>
      </c>
      <c r="N1070" s="99">
        <f t="shared" si="353"/>
        <v>1486.6713154094618</v>
      </c>
      <c r="O1070" s="99">
        <f t="shared" si="354"/>
        <v>29111.486415695083</v>
      </c>
      <c r="P1070" s="100">
        <f t="shared" si="355"/>
        <v>25601.768212545227</v>
      </c>
      <c r="Q1070" s="95">
        <f t="shared" si="356"/>
        <v>1033335390250.0209</v>
      </c>
      <c r="R1070" s="95">
        <f t="shared" si="357"/>
        <v>26841693960714.363</v>
      </c>
      <c r="S1070" s="95">
        <f t="shared" si="358"/>
        <v>20763905810993.637</v>
      </c>
      <c r="T1070">
        <f t="shared" si="340"/>
        <v>0.5</v>
      </c>
    </row>
    <row r="1071" spans="1:20" x14ac:dyDescent="0.25">
      <c r="A1071">
        <v>514</v>
      </c>
      <c r="B1071" s="95">
        <f t="shared" si="341"/>
        <v>8785.6261844885976</v>
      </c>
      <c r="C1071" s="95">
        <f t="shared" si="342"/>
        <v>6605.8453440685762</v>
      </c>
      <c r="D1071" s="95">
        <f t="shared" si="343"/>
        <v>-102.79338076575354</v>
      </c>
      <c r="E1071" s="95">
        <f t="shared" si="344"/>
        <v>95.404884826318806</v>
      </c>
      <c r="F1071" s="96">
        <f t="shared" si="345"/>
        <v>74.04957588103224</v>
      </c>
      <c r="G1071" s="94">
        <f t="shared" si="346"/>
        <v>-68.257698490448263</v>
      </c>
      <c r="H1071" s="97">
        <f t="shared" si="347"/>
        <v>615.06673100977503</v>
      </c>
      <c r="I1071" s="94">
        <f t="shared" si="348"/>
        <v>452.87931460322824</v>
      </c>
      <c r="J1071" s="95">
        <f t="shared" si="349"/>
        <v>-193.91628637702533</v>
      </c>
      <c r="K1071" s="94">
        <f t="shared" si="350"/>
        <v>22.864948709094936</v>
      </c>
      <c r="L1071" s="94">
        <f t="shared" si="351"/>
        <v>-347.10086875171743</v>
      </c>
      <c r="M1071" s="94">
        <f t="shared" si="352"/>
        <v>-544.00196180277146</v>
      </c>
      <c r="N1071" s="99">
        <f t="shared" si="353"/>
        <v>1496.5328553941904</v>
      </c>
      <c r="O1071" s="99">
        <f t="shared" si="354"/>
        <v>29041.698789349179</v>
      </c>
      <c r="P1071" s="100">
        <f t="shared" si="355"/>
        <v>25616.72749216637</v>
      </c>
      <c r="Q1071" s="95">
        <f t="shared" si="356"/>
        <v>1033781557127.172</v>
      </c>
      <c r="R1071" s="95">
        <f t="shared" si="357"/>
        <v>26659631251051.496</v>
      </c>
      <c r="S1071" s="95">
        <f t="shared" si="358"/>
        <v>20795502520672.855</v>
      </c>
      <c r="T1071">
        <f t="shared" si="340"/>
        <v>0.5</v>
      </c>
    </row>
    <row r="1072" spans="1:20" x14ac:dyDescent="0.25">
      <c r="A1072">
        <v>514.5</v>
      </c>
      <c r="B1072" s="95">
        <f t="shared" si="341"/>
        <v>8752.7418880759797</v>
      </c>
      <c r="C1072" s="95">
        <f t="shared" si="342"/>
        <v>6636.4833618591238</v>
      </c>
      <c r="D1072" s="95">
        <f t="shared" si="343"/>
        <v>-65.76859282523742</v>
      </c>
      <c r="E1072" s="95">
        <f t="shared" si="344"/>
        <v>61.276035581094675</v>
      </c>
      <c r="F1072" s="96">
        <f t="shared" si="345"/>
        <v>90.79734113965543</v>
      </c>
      <c r="G1072" s="94">
        <f t="shared" si="346"/>
        <v>-84.159386224462821</v>
      </c>
      <c r="H1072" s="97">
        <f t="shared" si="347"/>
        <v>631.40165944493185</v>
      </c>
      <c r="I1072" s="94">
        <f t="shared" si="348"/>
        <v>437.13954077988927</v>
      </c>
      <c r="J1072" s="95">
        <f t="shared" si="349"/>
        <v>-194.77007702943149</v>
      </c>
      <c r="K1072" s="94">
        <f t="shared" si="350"/>
        <v>22.784345133086386</v>
      </c>
      <c r="L1072" s="94">
        <f t="shared" si="351"/>
        <v>-345.83424127584493</v>
      </c>
      <c r="M1072" s="94">
        <f t="shared" si="352"/>
        <v>-544.08327213743848</v>
      </c>
      <c r="N1072" s="99">
        <f t="shared" si="353"/>
        <v>1508.0505006542601</v>
      </c>
      <c r="O1072" s="99">
        <f t="shared" si="354"/>
        <v>28985.0402908379</v>
      </c>
      <c r="P1072" s="100">
        <f t="shared" si="355"/>
        <v>25629.202920306892</v>
      </c>
      <c r="Q1072" s="95">
        <f t="shared" si="356"/>
        <v>1034306467982.0031</v>
      </c>
      <c r="R1072" s="95">
        <f t="shared" si="357"/>
        <v>26512444479741.832</v>
      </c>
      <c r="S1072" s="95">
        <f t="shared" si="358"/>
        <v>20821879253918.09</v>
      </c>
      <c r="T1072">
        <f t="shared" si="340"/>
        <v>0.5</v>
      </c>
    </row>
    <row r="1073" spans="1:20" x14ac:dyDescent="0.25">
      <c r="A1073">
        <v>515</v>
      </c>
      <c r="B1073" s="95">
        <f t="shared" si="341"/>
        <v>8742.5569269482748</v>
      </c>
      <c r="C1073" s="95">
        <f t="shared" si="342"/>
        <v>6646.0815330935557</v>
      </c>
      <c r="D1073" s="95">
        <f t="shared" si="343"/>
        <v>-20.369922255409705</v>
      </c>
      <c r="E1073" s="95">
        <f t="shared" si="344"/>
        <v>19.196342468863264</v>
      </c>
      <c r="F1073" s="96">
        <f t="shared" si="345"/>
        <v>95.620921404340436</v>
      </c>
      <c r="G1073" s="94">
        <f t="shared" si="346"/>
        <v>-88.963710234749954</v>
      </c>
      <c r="H1073" s="97">
        <f t="shared" si="347"/>
        <v>636.3047107976779</v>
      </c>
      <c r="I1073" s="94">
        <f t="shared" si="348"/>
        <v>432.10890001646266</v>
      </c>
      <c r="J1073" s="95">
        <f t="shared" si="349"/>
        <v>-195.39262869692695</v>
      </c>
      <c r="K1073" s="94">
        <f t="shared" si="350"/>
        <v>22.800022536255156</v>
      </c>
      <c r="L1073" s="94">
        <f t="shared" si="351"/>
        <v>-345.29116069641049</v>
      </c>
      <c r="M1073" s="94">
        <f t="shared" si="352"/>
        <v>-543.87263278746775</v>
      </c>
      <c r="N1073" s="99">
        <f t="shared" si="353"/>
        <v>1517.008168108001</v>
      </c>
      <c r="O1073" s="99">
        <f t="shared" si="354"/>
        <v>28948.806715603485</v>
      </c>
      <c r="P1073" s="100">
        <f t="shared" si="355"/>
        <v>25637.381334840855</v>
      </c>
      <c r="Q1073" s="95">
        <f t="shared" si="356"/>
        <v>1034717553181.5162</v>
      </c>
      <c r="R1073" s="95">
        <f t="shared" si="357"/>
        <v>26418610191202.5</v>
      </c>
      <c r="S1073" s="95">
        <f t="shared" si="358"/>
        <v>20839183852918.246</v>
      </c>
      <c r="T1073">
        <f t="shared" si="340"/>
        <v>0.5</v>
      </c>
    </row>
    <row r="1074" spans="1:20" x14ac:dyDescent="0.25">
      <c r="A1074">
        <v>515.5</v>
      </c>
      <c r="B1074" s="95">
        <f t="shared" si="341"/>
        <v>8756.2771961716553</v>
      </c>
      <c r="C1074" s="95">
        <f t="shared" si="342"/>
        <v>6633.4387767692997</v>
      </c>
      <c r="D1074" s="95">
        <f t="shared" si="343"/>
        <v>27.440538446760513</v>
      </c>
      <c r="E1074" s="95">
        <f t="shared" si="344"/>
        <v>-25.285512648511713</v>
      </c>
      <c r="F1074" s="96">
        <f t="shared" si="345"/>
        <v>88.034344272554563</v>
      </c>
      <c r="G1074" s="94">
        <f t="shared" si="346"/>
        <v>-82.049588803698668</v>
      </c>
      <c r="H1074" s="97">
        <f t="shared" si="347"/>
        <v>629.27855057990757</v>
      </c>
      <c r="I1074" s="94">
        <f t="shared" si="348"/>
        <v>438.44849420211227</v>
      </c>
      <c r="J1074" s="95">
        <f t="shared" si="349"/>
        <v>-195.70098923337702</v>
      </c>
      <c r="K1074" s="94">
        <f t="shared" si="350"/>
        <v>22.911149353807442</v>
      </c>
      <c r="L1074" s="94">
        <f t="shared" si="351"/>
        <v>-345.543217073976</v>
      </c>
      <c r="M1074" s="94">
        <f t="shared" si="352"/>
        <v>-543.40923235961839</v>
      </c>
      <c r="N1074" s="99">
        <f t="shared" si="353"/>
        <v>1519.9802071374543</v>
      </c>
      <c r="O1074" s="99">
        <f t="shared" si="354"/>
        <v>28937.576743423389</v>
      </c>
      <c r="P1074" s="100">
        <f t="shared" si="355"/>
        <v>25640.021775102839</v>
      </c>
      <c r="Q1074" s="95">
        <f t="shared" si="356"/>
        <v>1034854495943.1472</v>
      </c>
      <c r="R1074" s="95">
        <f t="shared" si="357"/>
        <v>26389574193029.66</v>
      </c>
      <c r="S1074" s="95">
        <f t="shared" si="358"/>
        <v>20844772927967.113</v>
      </c>
      <c r="T1074">
        <f t="shared" si="340"/>
        <v>0.5</v>
      </c>
    </row>
    <row r="1075" spans="1:20" x14ac:dyDescent="0.25">
      <c r="A1075">
        <v>516</v>
      </c>
      <c r="B1075" s="95">
        <f t="shared" si="341"/>
        <v>8792.006051463175</v>
      </c>
      <c r="C1075" s="95">
        <f t="shared" si="342"/>
        <v>6600.2836232441186</v>
      </c>
      <c r="D1075" s="95">
        <f t="shared" si="343"/>
        <v>71.457710583037795</v>
      </c>
      <c r="E1075" s="95">
        <f t="shared" si="344"/>
        <v>-66.310307050361047</v>
      </c>
      <c r="F1075" s="96">
        <f t="shared" si="345"/>
        <v>69.101650232456166</v>
      </c>
      <c r="G1075" s="94">
        <f t="shared" si="346"/>
        <v>-64.348718734757597</v>
      </c>
      <c r="H1075" s="97">
        <f t="shared" si="347"/>
        <v>611.31366059206005</v>
      </c>
      <c r="I1075" s="94">
        <f t="shared" si="348"/>
        <v>455.30767139641523</v>
      </c>
      <c r="J1075" s="95">
        <f t="shared" si="349"/>
        <v>-195.65473361218292</v>
      </c>
      <c r="K1075" s="94">
        <f t="shared" si="350"/>
        <v>23.102613998559665</v>
      </c>
      <c r="L1075" s="94">
        <f t="shared" si="351"/>
        <v>-346.55727674742099</v>
      </c>
      <c r="M1075" s="94">
        <f t="shared" si="352"/>
        <v>-542.75900412973249</v>
      </c>
      <c r="N1075" s="99">
        <f t="shared" si="353"/>
        <v>1515.8412734748076</v>
      </c>
      <c r="O1075" s="99">
        <f t="shared" si="354"/>
        <v>28952.671943239067</v>
      </c>
      <c r="P1075" s="100">
        <f t="shared" si="355"/>
        <v>25636.708751439564</v>
      </c>
      <c r="Q1075" s="95">
        <f t="shared" si="356"/>
        <v>1034663861055.3097</v>
      </c>
      <c r="R1075" s="95">
        <f t="shared" si="357"/>
        <v>26428609117570.531</v>
      </c>
      <c r="S1075" s="95">
        <f t="shared" si="358"/>
        <v>20837760353402.211</v>
      </c>
      <c r="T1075">
        <f t="shared" si="340"/>
        <v>0.5</v>
      </c>
    </row>
    <row r="1076" spans="1:20" x14ac:dyDescent="0.25">
      <c r="A1076">
        <v>516.5</v>
      </c>
      <c r="B1076" s="95">
        <f t="shared" si="341"/>
        <v>8845.0103193128089</v>
      </c>
      <c r="C1076" s="95">
        <f t="shared" si="342"/>
        <v>6551.0412900352494</v>
      </c>
      <c r="D1076" s="95">
        <f t="shared" si="343"/>
        <v>106.00853569926588</v>
      </c>
      <c r="E1076" s="95">
        <f t="shared" si="344"/>
        <v>-98.484666417739845</v>
      </c>
      <c r="F1076" s="96">
        <f t="shared" si="345"/>
        <v>41.278903696461271</v>
      </c>
      <c r="G1076" s="94">
        <f t="shared" si="346"/>
        <v>-38.225036409295967</v>
      </c>
      <c r="H1076" s="97">
        <f t="shared" si="347"/>
        <v>584.7394234517385</v>
      </c>
      <c r="I1076" s="94">
        <f t="shared" si="348"/>
        <v>480.43162482122386</v>
      </c>
      <c r="J1076" s="95">
        <f t="shared" si="349"/>
        <v>-195.26163183558236</v>
      </c>
      <c r="K1076" s="94">
        <f t="shared" si="350"/>
        <v>23.347168137095892</v>
      </c>
      <c r="L1076" s="94">
        <f t="shared" si="351"/>
        <v>-348.19888791969487</v>
      </c>
      <c r="M1076" s="94">
        <f t="shared" si="352"/>
        <v>-542.00382936761571</v>
      </c>
      <c r="N1076" s="99">
        <f t="shared" si="353"/>
        <v>1506.2333611709444</v>
      </c>
      <c r="O1076" s="99">
        <f t="shared" si="354"/>
        <v>28992.027937173942</v>
      </c>
      <c r="P1076" s="100">
        <f t="shared" si="355"/>
        <v>25627.947313980978</v>
      </c>
      <c r="Q1076" s="95">
        <f t="shared" si="356"/>
        <v>1034223379478.3577</v>
      </c>
      <c r="R1076" s="95">
        <f t="shared" si="357"/>
        <v>26530566689231.988</v>
      </c>
      <c r="S1076" s="95">
        <f t="shared" si="358"/>
        <v>20819223446256.066</v>
      </c>
      <c r="T1076">
        <f t="shared" si="340"/>
        <v>0.5</v>
      </c>
    </row>
    <row r="1077" spans="1:20" x14ac:dyDescent="0.25">
      <c r="A1077">
        <v>517</v>
      </c>
      <c r="B1077" s="95">
        <f t="shared" si="341"/>
        <v>8908.3343130865578</v>
      </c>
      <c r="C1077" s="95">
        <f t="shared" si="342"/>
        <v>6492.2426977240557</v>
      </c>
      <c r="D1077" s="95">
        <f t="shared" si="343"/>
        <v>126.64798754749651</v>
      </c>
      <c r="E1077" s="95">
        <f t="shared" si="344"/>
        <v>-117.59718462238783</v>
      </c>
      <c r="F1077" s="96">
        <f t="shared" si="345"/>
        <v>8.1319505741490161</v>
      </c>
      <c r="G1077" s="94">
        <f t="shared" si="346"/>
        <v>-7.1670221134269241</v>
      </c>
      <c r="H1077" s="97">
        <f t="shared" si="347"/>
        <v>552.95770573252992</v>
      </c>
      <c r="I1077" s="94">
        <f t="shared" si="348"/>
        <v>510.45587718091741</v>
      </c>
      <c r="J1077" s="95">
        <f t="shared" si="349"/>
        <v>-194.57620814880275</v>
      </c>
      <c r="K1077" s="94">
        <f t="shared" si="350"/>
        <v>23.610011825349382</v>
      </c>
      <c r="L1077" s="94">
        <f t="shared" si="351"/>
        <v>-350.24954700957818</v>
      </c>
      <c r="M1077" s="94">
        <f t="shared" si="352"/>
        <v>-541.23291111969377</v>
      </c>
      <c r="N1077" s="99">
        <f t="shared" si="353"/>
        <v>1494.8323637491474</v>
      </c>
      <c r="O1077" s="99">
        <f t="shared" si="354"/>
        <v>29050.472225151592</v>
      </c>
      <c r="P1077" s="100">
        <f t="shared" si="355"/>
        <v>25615.067663909897</v>
      </c>
      <c r="Q1077" s="95">
        <f t="shared" si="356"/>
        <v>1033704406512.1305</v>
      </c>
      <c r="R1077" s="95">
        <f t="shared" si="357"/>
        <v>26682472785648.027</v>
      </c>
      <c r="S1077" s="95">
        <f t="shared" si="358"/>
        <v>20791994962222.688</v>
      </c>
      <c r="T1077">
        <f t="shared" si="340"/>
        <v>0.5</v>
      </c>
    </row>
    <row r="1078" spans="1:20" x14ac:dyDescent="0.25">
      <c r="A1078">
        <v>517.5</v>
      </c>
      <c r="B1078" s="95">
        <f t="shared" si="341"/>
        <v>8973.6912945038439</v>
      </c>
      <c r="C1078" s="95">
        <f t="shared" si="342"/>
        <v>6431.6523498845054</v>
      </c>
      <c r="D1078" s="95">
        <f t="shared" si="343"/>
        <v>130.71396283457102</v>
      </c>
      <c r="E1078" s="95">
        <f t="shared" si="344"/>
        <v>-121.18069567910129</v>
      </c>
      <c r="F1078" s="96">
        <f t="shared" si="345"/>
        <v>-26.067281047101233</v>
      </c>
      <c r="G1078" s="94">
        <f t="shared" si="346"/>
        <v>24.681131930230436</v>
      </c>
      <c r="H1078" s="97">
        <f t="shared" si="347"/>
        <v>520.06030421404978</v>
      </c>
      <c r="I1078" s="94">
        <f t="shared" si="348"/>
        <v>541.36265331280515</v>
      </c>
      <c r="J1078" s="95">
        <f t="shared" si="349"/>
        <v>-193.69156108774911</v>
      </c>
      <c r="K1078" s="94">
        <f t="shared" si="350"/>
        <v>23.854703904634356</v>
      </c>
      <c r="L1078" s="94">
        <f t="shared" si="351"/>
        <v>-352.4360241734019</v>
      </c>
      <c r="M1078" s="94">
        <f t="shared" si="352"/>
        <v>-540.53622528720905</v>
      </c>
      <c r="N1078" s="99">
        <f t="shared" si="353"/>
        <v>1485.7014344324657</v>
      </c>
      <c r="O1078" s="99">
        <f t="shared" si="354"/>
        <v>29120.373521794805</v>
      </c>
      <c r="P1078" s="100">
        <f t="shared" si="355"/>
        <v>25599.966006665982</v>
      </c>
      <c r="Q1078" s="95">
        <f t="shared" si="356"/>
        <v>1033291672579.7371</v>
      </c>
      <c r="R1078" s="95">
        <f t="shared" si="357"/>
        <v>26864939783648.73</v>
      </c>
      <c r="S1078" s="95">
        <f t="shared" si="358"/>
        <v>20760101551908.832</v>
      </c>
      <c r="T1078">
        <f t="shared" si="340"/>
        <v>0.5</v>
      </c>
    </row>
    <row r="1079" spans="1:20" x14ac:dyDescent="0.25">
      <c r="A1079">
        <v>518</v>
      </c>
      <c r="B1079" s="95">
        <f t="shared" si="341"/>
        <v>9032.5314556593548</v>
      </c>
      <c r="C1079" s="95">
        <f t="shared" si="342"/>
        <v>6377.2322850275123</v>
      </c>
      <c r="D1079" s="95">
        <f t="shared" si="343"/>
        <v>117.6803223110204</v>
      </c>
      <c r="E1079" s="95">
        <f t="shared" si="344"/>
        <v>-108.84012971398607</v>
      </c>
      <c r="F1079" s="96">
        <f t="shared" si="345"/>
        <v>-56.858639881943873</v>
      </c>
      <c r="G1079" s="94">
        <f t="shared" si="346"/>
        <v>53.095037508053906</v>
      </c>
      <c r="H1079" s="97">
        <f t="shared" si="347"/>
        <v>490.33519571798388</v>
      </c>
      <c r="I1079" s="94">
        <f t="shared" si="348"/>
        <v>569.04436892268211</v>
      </c>
      <c r="J1079" s="95">
        <f t="shared" si="349"/>
        <v>-192.72593801888905</v>
      </c>
      <c r="K1079" s="94">
        <f t="shared" si="350"/>
        <v>24.048929634639858</v>
      </c>
      <c r="L1079" s="94">
        <f t="shared" si="351"/>
        <v>-354.4678975810387</v>
      </c>
      <c r="M1079" s="94">
        <f t="shared" si="352"/>
        <v>-539.99826104926808</v>
      </c>
      <c r="N1079" s="99">
        <f t="shared" si="353"/>
        <v>1481.443978179565</v>
      </c>
      <c r="O1079" s="99">
        <f t="shared" si="354"/>
        <v>29192.599955832859</v>
      </c>
      <c r="P1079" s="100">
        <f t="shared" si="355"/>
        <v>25584.756610927583</v>
      </c>
      <c r="Q1079" s="95">
        <f t="shared" si="356"/>
        <v>1033100111251.2045</v>
      </c>
      <c r="R1079" s="95">
        <f t="shared" si="357"/>
        <v>27054373381624.789</v>
      </c>
      <c r="S1079" s="95">
        <f t="shared" si="358"/>
        <v>20728016102073.336</v>
      </c>
      <c r="T1079">
        <f t="shared" si="340"/>
        <v>0.5</v>
      </c>
    </row>
    <row r="1080" spans="1:20" x14ac:dyDescent="0.25">
      <c r="A1080">
        <v>518.5</v>
      </c>
      <c r="B1080" s="95">
        <f t="shared" si="341"/>
        <v>9077.1569568443792</v>
      </c>
      <c r="C1080" s="95">
        <f t="shared" si="342"/>
        <v>6336.0859795475326</v>
      </c>
      <c r="D1080" s="95">
        <f t="shared" si="343"/>
        <v>89.251002370048468</v>
      </c>
      <c r="E1080" s="95">
        <f t="shared" si="344"/>
        <v>-82.29261095995912</v>
      </c>
      <c r="F1080" s="96">
        <f t="shared" si="345"/>
        <v>-80.179215054143299</v>
      </c>
      <c r="G1080" s="94">
        <f t="shared" si="346"/>
        <v>74.360297575574577</v>
      </c>
      <c r="H1080" s="97">
        <f t="shared" si="347"/>
        <v>467.70474553186426</v>
      </c>
      <c r="I1080" s="94">
        <f t="shared" si="348"/>
        <v>589.8815782316002</v>
      </c>
      <c r="J1080" s="95">
        <f t="shared" si="349"/>
        <v>-191.80633186627634</v>
      </c>
      <c r="K1080" s="94">
        <f t="shared" si="350"/>
        <v>24.168865944474256</v>
      </c>
      <c r="L1080" s="94">
        <f t="shared" si="351"/>
        <v>-356.07762871973119</v>
      </c>
      <c r="M1080" s="94">
        <f t="shared" si="352"/>
        <v>-539.69014660049993</v>
      </c>
      <c r="N1080" s="99">
        <f t="shared" si="353"/>
        <v>1482.0940341534165</v>
      </c>
      <c r="O1080" s="99">
        <f t="shared" si="354"/>
        <v>29257.688368025538</v>
      </c>
      <c r="P1080" s="100">
        <f t="shared" si="355"/>
        <v>25571.429354302662</v>
      </c>
      <c r="Q1080" s="95">
        <f t="shared" si="356"/>
        <v>1033129323749.3379</v>
      </c>
      <c r="R1080" s="95">
        <f t="shared" si="357"/>
        <v>27225868540911.918</v>
      </c>
      <c r="S1080" s="95">
        <f t="shared" si="358"/>
        <v>20699930442163.035</v>
      </c>
      <c r="T1080">
        <f t="shared" si="340"/>
        <v>0.5</v>
      </c>
    </row>
    <row r="1081" spans="1:20" x14ac:dyDescent="0.25">
      <c r="A1081">
        <v>519</v>
      </c>
      <c r="B1081" s="95">
        <f t="shared" si="341"/>
        <v>9101.7376542658676</v>
      </c>
      <c r="C1081" s="95">
        <f t="shared" si="342"/>
        <v>6313.5297484614466</v>
      </c>
      <c r="D1081" s="95">
        <f t="shared" si="343"/>
        <v>49.161394842976819</v>
      </c>
      <c r="E1081" s="95">
        <f t="shared" si="344"/>
        <v>-45.112462172171831</v>
      </c>
      <c r="F1081" s="96">
        <f t="shared" si="345"/>
        <v>-92.926381673332742</v>
      </c>
      <c r="G1081" s="94">
        <f t="shared" si="346"/>
        <v>85.769215734857994</v>
      </c>
      <c r="H1081" s="97">
        <f t="shared" si="347"/>
        <v>455.18201439058566</v>
      </c>
      <c r="I1081" s="94">
        <f t="shared" si="348"/>
        <v>601.22738270682282</v>
      </c>
      <c r="J1081" s="95">
        <f t="shared" si="349"/>
        <v>-191.05166215288207</v>
      </c>
      <c r="K1081" s="94">
        <f t="shared" si="350"/>
        <v>24.201519421310344</v>
      </c>
      <c r="L1081" s="94">
        <f t="shared" si="351"/>
        <v>-357.05673391103636</v>
      </c>
      <c r="M1081" s="94">
        <f t="shared" si="352"/>
        <v>-539.65968639327514</v>
      </c>
      <c r="N1081" s="99">
        <f t="shared" si="353"/>
        <v>1485.3737338819997</v>
      </c>
      <c r="O1081" s="99">
        <f t="shared" si="354"/>
        <v>29307.086560117707</v>
      </c>
      <c r="P1081" s="100">
        <f t="shared" si="355"/>
        <v>25561.590578723324</v>
      </c>
      <c r="Q1081" s="95">
        <f t="shared" si="356"/>
        <v>1033276907968.6534</v>
      </c>
      <c r="R1081" s="95">
        <f t="shared" si="357"/>
        <v>27356519555624.516</v>
      </c>
      <c r="S1081" s="95">
        <f t="shared" si="358"/>
        <v>20679213884877.277</v>
      </c>
      <c r="T1081">
        <f t="shared" si="340"/>
        <v>0.5</v>
      </c>
    </row>
    <row r="1082" spans="1:20" x14ac:dyDescent="0.25">
      <c r="A1082">
        <v>519.5</v>
      </c>
      <c r="B1082" s="95">
        <f t="shared" si="341"/>
        <v>9103.0867562690237</v>
      </c>
      <c r="C1082" s="95">
        <f t="shared" si="342"/>
        <v>6312.415821309075</v>
      </c>
      <c r="D1082" s="95">
        <f t="shared" si="343"/>
        <v>2.6982040063104478</v>
      </c>
      <c r="E1082" s="95">
        <f t="shared" si="344"/>
        <v>-2.2278543047428343</v>
      </c>
      <c r="F1082" s="96">
        <f t="shared" si="345"/>
        <v>-93.397010315114471</v>
      </c>
      <c r="G1082" s="94">
        <f t="shared" si="346"/>
        <v>85.943111057696569</v>
      </c>
      <c r="H1082" s="97">
        <f t="shared" si="347"/>
        <v>454.44333933719304</v>
      </c>
      <c r="I1082" s="94">
        <f t="shared" si="348"/>
        <v>601.71897748250706</v>
      </c>
      <c r="J1082" s="95">
        <f t="shared" si="349"/>
        <v>-190.55786727088542</v>
      </c>
      <c r="K1082" s="94">
        <f t="shared" si="350"/>
        <v>24.145142484648499</v>
      </c>
      <c r="L1082" s="94">
        <f t="shared" si="351"/>
        <v>-357.28248238142208</v>
      </c>
      <c r="M1082" s="94">
        <f t="shared" si="352"/>
        <v>-539.92100890945903</v>
      </c>
      <c r="N1082" s="99">
        <f t="shared" si="353"/>
        <v>1488.1488163318022</v>
      </c>
      <c r="O1082" s="99">
        <f t="shared" si="354"/>
        <v>29334.300697531457</v>
      </c>
      <c r="P1082" s="100">
        <f t="shared" si="355"/>
        <v>25556.321237773853</v>
      </c>
      <c r="Q1082" s="95">
        <f t="shared" si="356"/>
        <v>1033402045061.0715</v>
      </c>
      <c r="R1082" s="95">
        <f t="shared" si="357"/>
        <v>27428680315401.051</v>
      </c>
      <c r="S1082" s="95">
        <f t="shared" si="358"/>
        <v>20668124864447.637</v>
      </c>
      <c r="T1082">
        <f t="shared" si="340"/>
        <v>0.5</v>
      </c>
    </row>
    <row r="1083" spans="1:20" x14ac:dyDescent="0.25">
      <c r="A1083">
        <v>520</v>
      </c>
      <c r="B1083" s="95">
        <f t="shared" si="341"/>
        <v>9081.086605693401</v>
      </c>
      <c r="C1083" s="95">
        <f t="shared" si="342"/>
        <v>6332.7876719211272</v>
      </c>
      <c r="D1083" s="95">
        <f t="shared" si="343"/>
        <v>-44.000301151246788</v>
      </c>
      <c r="E1083" s="95">
        <f t="shared" si="344"/>
        <v>40.74370122410545</v>
      </c>
      <c r="F1083" s="96">
        <f t="shared" si="345"/>
        <v>-81.529680311862137</v>
      </c>
      <c r="G1083" s="94">
        <f t="shared" si="346"/>
        <v>74.956207689150688</v>
      </c>
      <c r="H1083" s="97">
        <f t="shared" si="347"/>
        <v>465.58874000107051</v>
      </c>
      <c r="I1083" s="94">
        <f t="shared" si="348"/>
        <v>591.39514181750781</v>
      </c>
      <c r="J1083" s="95">
        <f t="shared" si="349"/>
        <v>-190.38658102363755</v>
      </c>
      <c r="K1083" s="94">
        <f t="shared" si="350"/>
        <v>24.008319444775555</v>
      </c>
      <c r="L1083" s="94">
        <f t="shared" si="351"/>
        <v>-356.73183928929512</v>
      </c>
      <c r="M1083" s="94">
        <f t="shared" si="352"/>
        <v>-540.44725357313268</v>
      </c>
      <c r="N1083" s="99">
        <f t="shared" si="353"/>
        <v>1488.2236217239063</v>
      </c>
      <c r="O1083" s="99">
        <f t="shared" si="354"/>
        <v>29335.779107053782</v>
      </c>
      <c r="P1083" s="100">
        <f t="shared" si="355"/>
        <v>25556.136722815445</v>
      </c>
      <c r="Q1083" s="95">
        <f t="shared" si="356"/>
        <v>1033405421571.6337</v>
      </c>
      <c r="R1083" s="95">
        <f t="shared" si="357"/>
        <v>27432604186038.199</v>
      </c>
      <c r="S1083" s="95">
        <f t="shared" si="358"/>
        <v>20667736640842.969</v>
      </c>
      <c r="T1083">
        <f t="shared" si="340"/>
        <v>0.5</v>
      </c>
    </row>
    <row r="1084" spans="1:20" x14ac:dyDescent="0.25">
      <c r="A1084">
        <v>520.5</v>
      </c>
      <c r="B1084" s="95">
        <f t="shared" si="341"/>
        <v>9038.7040350398129</v>
      </c>
      <c r="C1084" s="95">
        <f t="shared" si="342"/>
        <v>6371.8985744554684</v>
      </c>
      <c r="D1084" s="95">
        <f t="shared" si="343"/>
        <v>-84.765141307177856</v>
      </c>
      <c r="E1084" s="95">
        <f t="shared" si="344"/>
        <v>78.221805068680794</v>
      </c>
      <c r="F1084" s="96">
        <f t="shared" si="345"/>
        <v>-58.92008728615707</v>
      </c>
      <c r="G1084" s="94">
        <f t="shared" si="346"/>
        <v>54.28438929534309</v>
      </c>
      <c r="H1084" s="97">
        <f t="shared" si="347"/>
        <v>487.12020224169891</v>
      </c>
      <c r="I1084" s="94">
        <f t="shared" si="348"/>
        <v>571.64600143012137</v>
      </c>
      <c r="J1084" s="95">
        <f t="shared" si="349"/>
        <v>-190.55827876305955</v>
      </c>
      <c r="K1084" s="94">
        <f t="shared" si="350"/>
        <v>23.808389038137761</v>
      </c>
      <c r="L1084" s="94">
        <f t="shared" si="351"/>
        <v>-355.48201076479643</v>
      </c>
      <c r="M1084" s="94">
        <f t="shared" si="352"/>
        <v>-541.17000117291605</v>
      </c>
      <c r="N1084" s="99">
        <f t="shared" si="353"/>
        <v>1485.5256460443143</v>
      </c>
      <c r="O1084" s="99">
        <f t="shared" si="354"/>
        <v>29311.397858632638</v>
      </c>
      <c r="P1084" s="100">
        <f t="shared" si="355"/>
        <v>25561.002129265358</v>
      </c>
      <c r="Q1084" s="95">
        <f t="shared" si="356"/>
        <v>1033283751986.5283</v>
      </c>
      <c r="R1084" s="95">
        <f t="shared" si="357"/>
        <v>27367942667757.27</v>
      </c>
      <c r="S1084" s="95">
        <f t="shared" si="358"/>
        <v>20677975315598.395</v>
      </c>
      <c r="T1084">
        <f t="shared" si="340"/>
        <v>0.5</v>
      </c>
    </row>
    <row r="1085" spans="1:20" x14ac:dyDescent="0.25">
      <c r="A1085">
        <v>521</v>
      </c>
      <c r="B1085" s="95">
        <f t="shared" si="341"/>
        <v>8981.5914425646861</v>
      </c>
      <c r="C1085" s="95">
        <f t="shared" si="342"/>
        <v>6424.5805743136443</v>
      </c>
      <c r="D1085" s="95">
        <f t="shared" si="343"/>
        <v>-114.22518495025639</v>
      </c>
      <c r="E1085" s="95">
        <f t="shared" si="344"/>
        <v>105.36399971635234</v>
      </c>
      <c r="F1085" s="96">
        <f t="shared" si="345"/>
        <v>-28.611614173516216</v>
      </c>
      <c r="G1085" s="94">
        <f t="shared" si="346"/>
        <v>26.612939748709096</v>
      </c>
      <c r="H1085" s="97">
        <f t="shared" si="347"/>
        <v>516.13740754086632</v>
      </c>
      <c r="I1085" s="94">
        <f t="shared" si="348"/>
        <v>545.03096064969861</v>
      </c>
      <c r="J1085" s="95">
        <f t="shared" si="349"/>
        <v>-191.05017341315917</v>
      </c>
      <c r="K1085" s="94">
        <f t="shared" si="350"/>
        <v>23.569599435416912</v>
      </c>
      <c r="L1085" s="94">
        <f t="shared" si="351"/>
        <v>-353.69884830122334</v>
      </c>
      <c r="M1085" s="94">
        <f t="shared" si="352"/>
        <v>-541.98762033640639</v>
      </c>
      <c r="N1085" s="99">
        <f t="shared" si="353"/>
        <v>1482.1277807815161</v>
      </c>
      <c r="O1085" s="99">
        <f t="shared" si="354"/>
        <v>29264.474230518405</v>
      </c>
      <c r="P1085" s="100">
        <f t="shared" si="355"/>
        <v>25570.359005306411</v>
      </c>
      <c r="Q1085" s="95">
        <f t="shared" si="356"/>
        <v>1033130840627.4349</v>
      </c>
      <c r="R1085" s="95">
        <f t="shared" si="357"/>
        <v>27243790751031.727</v>
      </c>
      <c r="S1085" s="95">
        <f t="shared" si="358"/>
        <v>20697675990191.234</v>
      </c>
      <c r="T1085">
        <f t="shared" si="340"/>
        <v>0.5</v>
      </c>
    </row>
    <row r="1086" spans="1:20" x14ac:dyDescent="0.25">
      <c r="A1086">
        <v>521.5</v>
      </c>
      <c r="B1086" s="95">
        <f t="shared" si="341"/>
        <v>8917.3259465461779</v>
      </c>
      <c r="C1086" s="95">
        <f t="shared" si="342"/>
        <v>6483.9158091089976</v>
      </c>
      <c r="D1086" s="95">
        <f t="shared" si="343"/>
        <v>-128.5309920370145</v>
      </c>
      <c r="E1086" s="95">
        <f t="shared" si="344"/>
        <v>118.67046959070689</v>
      </c>
      <c r="F1086" s="96">
        <f t="shared" si="345"/>
        <v>5.3179044821998787</v>
      </c>
      <c r="G1086" s="94">
        <f t="shared" si="346"/>
        <v>-4.4786179857086381</v>
      </c>
      <c r="H1086" s="97">
        <f t="shared" si="347"/>
        <v>548.73198431945207</v>
      </c>
      <c r="I1086" s="94">
        <f t="shared" si="348"/>
        <v>514.98222620611216</v>
      </c>
      <c r="J1086" s="95">
        <f t="shared" si="349"/>
        <v>-191.79885766168439</v>
      </c>
      <c r="K1086" s="94">
        <f t="shared" si="350"/>
        <v>23.320999061317028</v>
      </c>
      <c r="L1086" s="94">
        <f t="shared" si="351"/>
        <v>-351.61522217556779</v>
      </c>
      <c r="M1086" s="94">
        <f t="shared" si="352"/>
        <v>-542.78184325313782</v>
      </c>
      <c r="N1086" s="99">
        <f t="shared" si="353"/>
        <v>1481.108683048293</v>
      </c>
      <c r="O1086" s="99">
        <f t="shared" si="354"/>
        <v>29201.305905957593</v>
      </c>
      <c r="P1086" s="100">
        <f t="shared" si="355"/>
        <v>25583.149768002681</v>
      </c>
      <c r="Q1086" s="95">
        <f t="shared" si="356"/>
        <v>1033085048730.1781</v>
      </c>
      <c r="R1086" s="95">
        <f t="shared" si="357"/>
        <v>27077268805543.766</v>
      </c>
      <c r="S1086" s="95">
        <f t="shared" si="358"/>
        <v>20724628416614.559</v>
      </c>
      <c r="T1086">
        <f t="shared" si="340"/>
        <v>0.5</v>
      </c>
    </row>
    <row r="1087" spans="1:20" x14ac:dyDescent="0.25">
      <c r="A1087">
        <v>522</v>
      </c>
      <c r="B1087" s="95">
        <f t="shared" si="341"/>
        <v>8854.3899266482222</v>
      </c>
      <c r="C1087" s="95">
        <f t="shared" si="342"/>
        <v>6542.131389407924</v>
      </c>
      <c r="D1087" s="95">
        <f t="shared" si="343"/>
        <v>-125.87203979591456</v>
      </c>
      <c r="E1087" s="95">
        <f t="shared" si="344"/>
        <v>116.43116059785257</v>
      </c>
      <c r="F1087" s="96">
        <f t="shared" si="345"/>
        <v>38.327366256738628</v>
      </c>
      <c r="G1087" s="94">
        <f t="shared" si="346"/>
        <v>-34.946086857740966</v>
      </c>
      <c r="H1087" s="97">
        <f t="shared" si="347"/>
        <v>580.53674934546768</v>
      </c>
      <c r="I1087" s="94">
        <f t="shared" si="348"/>
        <v>485.39895242561374</v>
      </c>
      <c r="J1087" s="95">
        <f t="shared" si="349"/>
        <v>-192.70758823130214</v>
      </c>
      <c r="K1087" s="94">
        <f t="shared" si="350"/>
        <v>23.093800356267931</v>
      </c>
      <c r="L1087" s="94">
        <f t="shared" si="351"/>
        <v>-349.50179485742694</v>
      </c>
      <c r="M1087" s="94">
        <f t="shared" si="352"/>
        <v>-543.43883963962264</v>
      </c>
      <c r="N1087" s="99">
        <f t="shared" si="353"/>
        <v>1484.7929784992764</v>
      </c>
      <c r="O1087" s="99">
        <f t="shared" si="354"/>
        <v>29130.303601854655</v>
      </c>
      <c r="P1087" s="100">
        <f t="shared" si="355"/>
        <v>25597.863191979344</v>
      </c>
      <c r="Q1087" s="95">
        <f t="shared" si="356"/>
        <v>1033250750096.9821</v>
      </c>
      <c r="R1087" s="95">
        <f t="shared" si="357"/>
        <v>26890930022986.863</v>
      </c>
      <c r="S1087" s="95">
        <f t="shared" si="358"/>
        <v>20755663372812.184</v>
      </c>
      <c r="T1087">
        <f t="shared" si="340"/>
        <v>0.5</v>
      </c>
    </row>
    <row r="1088" spans="1:20" x14ac:dyDescent="0.25">
      <c r="A1088">
        <v>522.5</v>
      </c>
      <c r="B1088" s="95">
        <f t="shared" si="341"/>
        <v>8801.0357483144489</v>
      </c>
      <c r="C1088" s="95">
        <f t="shared" si="342"/>
        <v>6591.6104479924152</v>
      </c>
      <c r="D1088" s="95">
        <f t="shared" si="343"/>
        <v>-106.70835666754525</v>
      </c>
      <c r="E1088" s="95">
        <f t="shared" si="344"/>
        <v>98.958117168982085</v>
      </c>
      <c r="F1088" s="96">
        <f t="shared" si="345"/>
        <v>66.057197908091212</v>
      </c>
      <c r="G1088" s="94">
        <f t="shared" si="346"/>
        <v>-60.79676850921004</v>
      </c>
      <c r="H1088" s="97">
        <f t="shared" si="347"/>
        <v>607.34817594118942</v>
      </c>
      <c r="I1088" s="94">
        <f t="shared" si="348"/>
        <v>460.15445137770121</v>
      </c>
      <c r="J1088" s="95">
        <f t="shared" si="349"/>
        <v>-193.65788832437394</v>
      </c>
      <c r="K1088" s="94">
        <f t="shared" si="350"/>
        <v>22.917978679543744</v>
      </c>
      <c r="L1088" s="94">
        <f t="shared" si="351"/>
        <v>-347.63308970872424</v>
      </c>
      <c r="M1088" s="94">
        <f t="shared" si="352"/>
        <v>-543.869198566455</v>
      </c>
      <c r="N1088" s="99">
        <f t="shared" si="353"/>
        <v>1493.2965932200675</v>
      </c>
      <c r="O1088" s="99">
        <f t="shared" si="354"/>
        <v>29060.844333349582</v>
      </c>
      <c r="P1088" s="100">
        <f t="shared" si="355"/>
        <v>25612.644241431339</v>
      </c>
      <c r="Q1088" s="95">
        <f t="shared" si="356"/>
        <v>1033634806255.6359</v>
      </c>
      <c r="R1088" s="95">
        <f t="shared" si="357"/>
        <v>26709493758306.262</v>
      </c>
      <c r="S1088" s="95">
        <f t="shared" si="358"/>
        <v>20786874534471.129</v>
      </c>
      <c r="T1088">
        <f t="shared" si="340"/>
        <v>0.5</v>
      </c>
    </row>
    <row r="1089" spans="1:20" x14ac:dyDescent="0.25">
      <c r="A1089">
        <v>523</v>
      </c>
      <c r="B1089" s="95">
        <f t="shared" si="341"/>
        <v>8764.1958694576988</v>
      </c>
      <c r="C1089" s="95">
        <f t="shared" si="342"/>
        <v>6625.8903144496035</v>
      </c>
      <c r="D1089" s="95">
        <f t="shared" si="343"/>
        <v>-73.67975771349964</v>
      </c>
      <c r="E1089" s="95">
        <f t="shared" si="344"/>
        <v>68.559732914377065</v>
      </c>
      <c r="F1089" s="96">
        <f t="shared" si="345"/>
        <v>84.931990231872931</v>
      </c>
      <c r="G1089" s="94">
        <f t="shared" si="346"/>
        <v>-78.626416650617614</v>
      </c>
      <c r="H1089" s="97">
        <f t="shared" si="347"/>
        <v>625.70909245843666</v>
      </c>
      <c r="I1089" s="94">
        <f t="shared" si="348"/>
        <v>442.57691371759535</v>
      </c>
      <c r="J1089" s="95">
        <f t="shared" si="349"/>
        <v>-194.52458516323136</v>
      </c>
      <c r="K1089" s="94">
        <f t="shared" si="350"/>
        <v>22.818203917664611</v>
      </c>
      <c r="L1089" s="94">
        <f t="shared" si="351"/>
        <v>-346.25251706333239</v>
      </c>
      <c r="M1089" s="94">
        <f t="shared" si="352"/>
        <v>-544.02153428587758</v>
      </c>
      <c r="N1089" s="99">
        <f t="shared" si="353"/>
        <v>1504.2230070758903</v>
      </c>
      <c r="O1089" s="99">
        <f t="shared" si="354"/>
        <v>29002.013370004523</v>
      </c>
      <c r="P1089" s="100">
        <f t="shared" si="355"/>
        <v>25625.499594429541</v>
      </c>
      <c r="Q1089" s="95">
        <f t="shared" si="356"/>
        <v>1034131575568.0044</v>
      </c>
      <c r="R1089" s="95">
        <f t="shared" si="357"/>
        <v>26556478297630.707</v>
      </c>
      <c r="S1089" s="95">
        <f t="shared" si="358"/>
        <v>20814046827636.52</v>
      </c>
      <c r="T1089">
        <f t="shared" si="340"/>
        <v>0.5</v>
      </c>
    </row>
    <row r="1090" spans="1:20" x14ac:dyDescent="0.25">
      <c r="A1090">
        <v>523.5</v>
      </c>
      <c r="B1090" s="95">
        <f t="shared" si="341"/>
        <v>8748.5889881589173</v>
      </c>
      <c r="C1090" s="95">
        <f t="shared" si="342"/>
        <v>6640.513576744137</v>
      </c>
      <c r="D1090" s="95">
        <f t="shared" si="343"/>
        <v>-31.213762597563175</v>
      </c>
      <c r="E1090" s="95">
        <f t="shared" si="344"/>
        <v>29.246524589068258</v>
      </c>
      <c r="F1090" s="96">
        <f t="shared" si="345"/>
        <v>92.612249034651825</v>
      </c>
      <c r="G1090" s="94">
        <f t="shared" si="346"/>
        <v>-86.086736210328127</v>
      </c>
      <c r="H1090" s="97">
        <f t="shared" si="347"/>
        <v>633.34548300104154</v>
      </c>
      <c r="I1090" s="94">
        <f t="shared" si="348"/>
        <v>434.99045375105726</v>
      </c>
      <c r="J1090" s="95">
        <f t="shared" si="349"/>
        <v>-195.19257329522119</v>
      </c>
      <c r="K1090" s="94">
        <f t="shared" si="350"/>
        <v>22.809703814533719</v>
      </c>
      <c r="L1090" s="94">
        <f t="shared" si="351"/>
        <v>-345.5406606711685</v>
      </c>
      <c r="M1090" s="94">
        <f t="shared" si="352"/>
        <v>-543.88689377591913</v>
      </c>
      <c r="N1090" s="99">
        <f t="shared" si="353"/>
        <v>1513.6973249095824</v>
      </c>
      <c r="O1090" s="99">
        <f t="shared" si="354"/>
        <v>28961.415369188231</v>
      </c>
      <c r="P1090" s="100">
        <f t="shared" si="355"/>
        <v>25634.59029954256</v>
      </c>
      <c r="Q1090" s="95">
        <f t="shared" si="356"/>
        <v>1034565322018.9485</v>
      </c>
      <c r="R1090" s="95">
        <f t="shared" si="357"/>
        <v>26451236995902.219</v>
      </c>
      <c r="S1090" s="95">
        <f t="shared" si="358"/>
        <v>20833277179078.215</v>
      </c>
      <c r="T1090">
        <f t="shared" si="340"/>
        <v>0.5</v>
      </c>
    </row>
    <row r="1091" spans="1:20" x14ac:dyDescent="0.25">
      <c r="A1091">
        <v>524</v>
      </c>
      <c r="B1091" s="95">
        <f t="shared" si="341"/>
        <v>8756.1351691187992</v>
      </c>
      <c r="C1091" s="95">
        <f t="shared" si="342"/>
        <v>6633.6151549860897</v>
      </c>
      <c r="D1091" s="95">
        <f t="shared" si="343"/>
        <v>15.092361919762737</v>
      </c>
      <c r="E1091" s="95">
        <f t="shared" si="344"/>
        <v>-13.796843516095805</v>
      </c>
      <c r="F1091" s="96">
        <f t="shared" si="345"/>
        <v>88.238052744226366</v>
      </c>
      <c r="G1091" s="94">
        <f t="shared" si="346"/>
        <v>-82.204324593460569</v>
      </c>
      <c r="H1091" s="97">
        <f t="shared" si="347"/>
        <v>629.40202536029165</v>
      </c>
      <c r="I1091" s="94">
        <f t="shared" si="348"/>
        <v>438.39520392814978</v>
      </c>
      <c r="J1091" s="95">
        <f t="shared" si="349"/>
        <v>-195.57286316296089</v>
      </c>
      <c r="K1091" s="94">
        <f t="shared" si="350"/>
        <v>22.895062871828404</v>
      </c>
      <c r="L1091" s="94">
        <f t="shared" si="351"/>
        <v>-345.59110945310442</v>
      </c>
      <c r="M1091" s="94">
        <f t="shared" si="352"/>
        <v>-543.49459139343878</v>
      </c>
      <c r="N1091" s="99">
        <f t="shared" si="353"/>
        <v>1518.1391347034958</v>
      </c>
      <c r="O1091" s="99">
        <f t="shared" si="354"/>
        <v>28944.213892212254</v>
      </c>
      <c r="P1091" s="100">
        <f t="shared" si="355"/>
        <v>25638.555478625782</v>
      </c>
      <c r="Q1091" s="95">
        <f t="shared" si="356"/>
        <v>1034769632471.9688</v>
      </c>
      <c r="R1091" s="95">
        <f t="shared" si="357"/>
        <v>26406732428208.77</v>
      </c>
      <c r="S1091" s="95">
        <f t="shared" si="358"/>
        <v>20841669054836.27</v>
      </c>
      <c r="T1091">
        <f t="shared" si="340"/>
        <v>0.5</v>
      </c>
    </row>
    <row r="1092" spans="1:20" x14ac:dyDescent="0.25">
      <c r="A1092">
        <v>524.5</v>
      </c>
      <c r="B1092" s="95">
        <f t="shared" si="341"/>
        <v>8785.7408632647384</v>
      </c>
      <c r="C1092" s="95">
        <f t="shared" si="342"/>
        <v>6606.165652079676</v>
      </c>
      <c r="D1092" s="95">
        <f t="shared" si="343"/>
        <v>59.21138829187592</v>
      </c>
      <c r="E1092" s="95">
        <f t="shared" si="344"/>
        <v>-54.89900581282609</v>
      </c>
      <c r="F1092" s="96">
        <f t="shared" si="345"/>
        <v>72.47122639173989</v>
      </c>
      <c r="G1092" s="94">
        <f t="shared" si="346"/>
        <v>-67.509077638001088</v>
      </c>
      <c r="H1092" s="97">
        <f t="shared" si="347"/>
        <v>614.4837729019174</v>
      </c>
      <c r="I1092" s="94">
        <f t="shared" si="348"/>
        <v>452.33071413087924</v>
      </c>
      <c r="J1092" s="95">
        <f t="shared" si="349"/>
        <v>-195.61525286697832</v>
      </c>
      <c r="K1092" s="94">
        <f t="shared" si="350"/>
        <v>23.063007733954013</v>
      </c>
      <c r="L1092" s="94">
        <f t="shared" si="351"/>
        <v>-346.39729364319919</v>
      </c>
      <c r="M1092" s="94">
        <f t="shared" si="352"/>
        <v>-542.90279950283434</v>
      </c>
      <c r="N1092" s="99">
        <f t="shared" si="353"/>
        <v>1515.8569910030747</v>
      </c>
      <c r="O1092" s="99">
        <f t="shared" si="354"/>
        <v>28952.510371112388</v>
      </c>
      <c r="P1092" s="100">
        <f t="shared" si="355"/>
        <v>25636.781378814128</v>
      </c>
      <c r="Q1092" s="95">
        <f t="shared" si="356"/>
        <v>1034664583982.6154</v>
      </c>
      <c r="R1092" s="95">
        <f t="shared" si="357"/>
        <v>26428191095936.789</v>
      </c>
      <c r="S1092" s="95">
        <f t="shared" si="358"/>
        <v>20837914063369.781</v>
      </c>
      <c r="T1092">
        <f t="shared" si="340"/>
        <v>0.5</v>
      </c>
    </row>
    <row r="1093" spans="1:20" x14ac:dyDescent="0.25">
      <c r="A1093">
        <v>525</v>
      </c>
      <c r="B1093" s="95">
        <f t="shared" si="341"/>
        <v>8833.4643640086106</v>
      </c>
      <c r="C1093" s="95">
        <f t="shared" si="342"/>
        <v>6561.8388797637626</v>
      </c>
      <c r="D1093" s="95">
        <f t="shared" si="343"/>
        <v>95.447001487745865</v>
      </c>
      <c r="E1093" s="95">
        <f t="shared" si="344"/>
        <v>-88.653544631826634</v>
      </c>
      <c r="F1093" s="96">
        <f t="shared" si="345"/>
        <v>47.376909913521786</v>
      </c>
      <c r="G1093" s="94">
        <f t="shared" si="346"/>
        <v>-43.965261697212611</v>
      </c>
      <c r="H1093" s="97">
        <f t="shared" si="347"/>
        <v>590.54475157909553</v>
      </c>
      <c r="I1093" s="94">
        <f t="shared" si="348"/>
        <v>474.93287697141915</v>
      </c>
      <c r="J1093" s="95">
        <f t="shared" si="349"/>
        <v>-195.3154292471207</v>
      </c>
      <c r="K1093" s="94">
        <f t="shared" si="350"/>
        <v>23.289810289253158</v>
      </c>
      <c r="L1093" s="94">
        <f t="shared" si="351"/>
        <v>-347.85241241845301</v>
      </c>
      <c r="M1093" s="94">
        <f t="shared" si="352"/>
        <v>-542.18794895788494</v>
      </c>
      <c r="N1093" s="99">
        <f t="shared" si="353"/>
        <v>1507.768248991606</v>
      </c>
      <c r="O1093" s="99">
        <f t="shared" si="354"/>
        <v>28985.116674392622</v>
      </c>
      <c r="P1093" s="100">
        <f t="shared" si="355"/>
        <v>25629.534629684458</v>
      </c>
      <c r="Q1093" s="95">
        <f t="shared" si="356"/>
        <v>1034293555337.891</v>
      </c>
      <c r="R1093" s="95">
        <f t="shared" si="357"/>
        <v>26512642531817.828</v>
      </c>
      <c r="S1093" s="95">
        <f t="shared" si="358"/>
        <v>20822580912747.375</v>
      </c>
      <c r="T1093">
        <f t="shared" si="340"/>
        <v>0.5</v>
      </c>
    </row>
    <row r="1094" spans="1:20" x14ac:dyDescent="0.25">
      <c r="A1094">
        <v>525.5</v>
      </c>
      <c r="B1094" s="95">
        <f t="shared" si="341"/>
        <v>8893.0320922308638</v>
      </c>
      <c r="C1094" s="95">
        <f t="shared" si="342"/>
        <v>6506.5207920235462</v>
      </c>
      <c r="D1094" s="95">
        <f t="shared" si="343"/>
        <v>119.13545644450676</v>
      </c>
      <c r="E1094" s="95">
        <f t="shared" si="344"/>
        <v>-110.63617548043294</v>
      </c>
      <c r="F1094" s="96">
        <f t="shared" si="345"/>
        <v>16.177565646389269</v>
      </c>
      <c r="G1094" s="94">
        <f t="shared" si="346"/>
        <v>-14.716342371847531</v>
      </c>
      <c r="H1094" s="97">
        <f t="shared" si="347"/>
        <v>560.65581084714131</v>
      </c>
      <c r="I1094" s="94">
        <f t="shared" si="348"/>
        <v>503.17618695047082</v>
      </c>
      <c r="J1094" s="95">
        <f t="shared" si="349"/>
        <v>-194.71531592817897</v>
      </c>
      <c r="K1094" s="94">
        <f t="shared" si="350"/>
        <v>23.543181812772424</v>
      </c>
      <c r="L1094" s="94">
        <f t="shared" si="351"/>
        <v>-349.7629292725731</v>
      </c>
      <c r="M1094" s="94">
        <f t="shared" si="352"/>
        <v>-541.43571113509074</v>
      </c>
      <c r="N1094" s="99">
        <f t="shared" si="353"/>
        <v>1496.9808541062732</v>
      </c>
      <c r="O1094" s="99">
        <f t="shared" si="354"/>
        <v>29037.727513000369</v>
      </c>
      <c r="P1094" s="100">
        <f t="shared" si="355"/>
        <v>25617.916234291741</v>
      </c>
      <c r="Q1094" s="95">
        <f t="shared" si="356"/>
        <v>1033801897564.8429</v>
      </c>
      <c r="R1094" s="95">
        <f t="shared" si="357"/>
        <v>26649296492482.039</v>
      </c>
      <c r="S1094" s="95">
        <f t="shared" si="358"/>
        <v>20798014838133.324</v>
      </c>
      <c r="T1094">
        <f t="shared" si="340"/>
        <v>0.5</v>
      </c>
    </row>
    <row r="1095" spans="1:20" x14ac:dyDescent="0.25">
      <c r="A1095">
        <v>526</v>
      </c>
      <c r="B1095" s="95">
        <f t="shared" si="341"/>
        <v>8956.6442118647137</v>
      </c>
      <c r="C1095" s="95">
        <f t="shared" si="342"/>
        <v>6447.5236186903676</v>
      </c>
      <c r="D1095" s="95">
        <f t="shared" si="343"/>
        <v>127.22423926770139</v>
      </c>
      <c r="E1095" s="95">
        <f t="shared" si="344"/>
        <v>-117.99434666635671</v>
      </c>
      <c r="F1095" s="96">
        <f t="shared" si="345"/>
        <v>-17.111835332082478</v>
      </c>
      <c r="G1095" s="94">
        <f t="shared" si="346"/>
        <v>16.334215190475561</v>
      </c>
      <c r="H1095" s="97">
        <f t="shared" si="347"/>
        <v>528.65921624473378</v>
      </c>
      <c r="I1095" s="94">
        <f t="shared" si="348"/>
        <v>533.28054071915335</v>
      </c>
      <c r="J1095" s="95">
        <f t="shared" si="349"/>
        <v>-193.89671487806419</v>
      </c>
      <c r="K1095" s="94">
        <f t="shared" si="350"/>
        <v>23.787752992994125</v>
      </c>
      <c r="L1095" s="94">
        <f t="shared" si="351"/>
        <v>-351.87433669875207</v>
      </c>
      <c r="M1095" s="94">
        <f t="shared" si="352"/>
        <v>-540.7340785216719</v>
      </c>
      <c r="N1095" s="99">
        <f t="shared" si="353"/>
        <v>1487.4067653175109</v>
      </c>
      <c r="O1095" s="99">
        <f t="shared" si="354"/>
        <v>29103.465437285067</v>
      </c>
      <c r="P1095" s="100">
        <f t="shared" si="355"/>
        <v>25603.647734131515</v>
      </c>
      <c r="Q1095" s="95">
        <f t="shared" si="356"/>
        <v>1033368560301.6779</v>
      </c>
      <c r="R1095" s="95">
        <f t="shared" si="357"/>
        <v>26820725499427.922</v>
      </c>
      <c r="S1095" s="95">
        <f t="shared" si="358"/>
        <v>20767873807886.5</v>
      </c>
      <c r="T1095">
        <f t="shared" si="340"/>
        <v>0.5</v>
      </c>
    </row>
    <row r="1096" spans="1:20" x14ac:dyDescent="0.25">
      <c r="A1096">
        <v>526.5</v>
      </c>
      <c r="B1096" s="95">
        <f t="shared" si="341"/>
        <v>9015.9783726655423</v>
      </c>
      <c r="C1096" s="95">
        <f t="shared" si="342"/>
        <v>6392.6099991548081</v>
      </c>
      <c r="D1096" s="95">
        <f t="shared" si="343"/>
        <v>118.66832160166015</v>
      </c>
      <c r="E1096" s="95">
        <f t="shared" si="344"/>
        <v>-109.82723907111892</v>
      </c>
      <c r="F1096" s="96">
        <f t="shared" si="345"/>
        <v>-48.162561791150154</v>
      </c>
      <c r="G1096" s="94">
        <f t="shared" si="346"/>
        <v>45.0608180744224</v>
      </c>
      <c r="H1096" s="97">
        <f t="shared" si="347"/>
        <v>498.71280691355003</v>
      </c>
      <c r="I1096" s="94">
        <f t="shared" si="348"/>
        <v>561.23723333754947</v>
      </c>
      <c r="J1096" s="95">
        <f t="shared" si="349"/>
        <v>-192.96942904925228</v>
      </c>
      <c r="K1096" s="94">
        <f t="shared" si="350"/>
        <v>23.990781213045477</v>
      </c>
      <c r="L1096" s="94">
        <f t="shared" si="351"/>
        <v>-353.90593965544787</v>
      </c>
      <c r="M1096" s="94">
        <f t="shared" si="352"/>
        <v>-540.16719647617253</v>
      </c>
      <c r="N1096" s="99">
        <f t="shared" si="353"/>
        <v>1481.9911719878844</v>
      </c>
      <c r="O1096" s="99">
        <f t="shared" si="354"/>
        <v>29173.743888165624</v>
      </c>
      <c r="P1096" s="100">
        <f t="shared" si="355"/>
        <v>25588.751181541822</v>
      </c>
      <c r="Q1096" s="95">
        <f t="shared" si="356"/>
        <v>1033124700412.7592</v>
      </c>
      <c r="R1096" s="95">
        <f t="shared" si="357"/>
        <v>27004830104352.898</v>
      </c>
      <c r="S1096" s="95">
        <f t="shared" si="358"/>
        <v>20736439523690.105</v>
      </c>
      <c r="T1096">
        <f t="shared" si="340"/>
        <v>0.5</v>
      </c>
    </row>
    <row r="1097" spans="1:20" x14ac:dyDescent="0.25">
      <c r="A1097">
        <v>527</v>
      </c>
      <c r="B1097" s="95">
        <f t="shared" si="341"/>
        <v>9063.2718930185856</v>
      </c>
      <c r="C1097" s="95">
        <f t="shared" si="342"/>
        <v>6348.9615841378545</v>
      </c>
      <c r="D1097" s="95">
        <f t="shared" si="343"/>
        <v>94.587040706085077</v>
      </c>
      <c r="E1097" s="95">
        <f t="shared" si="344"/>
        <v>-87.296830033907725</v>
      </c>
      <c r="F1097" s="96">
        <f t="shared" si="345"/>
        <v>-72.889767554837306</v>
      </c>
      <c r="G1097" s="94">
        <f t="shared" si="346"/>
        <v>67.691868791243564</v>
      </c>
      <c r="H1097" s="97">
        <f t="shared" si="347"/>
        <v>474.75569219455605</v>
      </c>
      <c r="I1097" s="94">
        <f t="shared" si="348"/>
        <v>583.37316430711144</v>
      </c>
      <c r="J1097" s="95">
        <f t="shared" si="349"/>
        <v>-192.05589864693246</v>
      </c>
      <c r="K1097" s="94">
        <f t="shared" si="350"/>
        <v>24.126790215981021</v>
      </c>
      <c r="L1097" s="94">
        <f t="shared" si="351"/>
        <v>-355.58956110246089</v>
      </c>
      <c r="M1097" s="94">
        <f t="shared" si="352"/>
        <v>-539.80808573184891</v>
      </c>
      <c r="N1097" s="99">
        <f t="shared" si="353"/>
        <v>1481.4220117960542</v>
      </c>
      <c r="O1097" s="99">
        <f t="shared" si="354"/>
        <v>29239.361544691645</v>
      </c>
      <c r="P1097" s="100">
        <f t="shared" si="355"/>
        <v>25575.210894906933</v>
      </c>
      <c r="Q1097" s="95">
        <f t="shared" si="356"/>
        <v>1033099124344.9592</v>
      </c>
      <c r="R1097" s="95">
        <f t="shared" si="357"/>
        <v>27177505788935.883</v>
      </c>
      <c r="S1097" s="95">
        <f t="shared" si="358"/>
        <v>20707896827063.359</v>
      </c>
      <c r="T1097">
        <f t="shared" si="340"/>
        <v>0.5</v>
      </c>
    </row>
    <row r="1098" spans="1:20" x14ac:dyDescent="0.25">
      <c r="A1098">
        <v>527.5</v>
      </c>
      <c r="B1098" s="95">
        <f t="shared" si="341"/>
        <v>9092.3429714829199</v>
      </c>
      <c r="C1098" s="95">
        <f t="shared" si="342"/>
        <v>6322.2361363187119</v>
      </c>
      <c r="D1098" s="95">
        <f t="shared" si="343"/>
        <v>58.142156928666424</v>
      </c>
      <c r="E1098" s="95">
        <f t="shared" si="344"/>
        <v>-53.450895638285942</v>
      </c>
      <c r="F1098" s="96">
        <f t="shared" si="345"/>
        <v>-88.011274315240428</v>
      </c>
      <c r="G1098" s="94">
        <f t="shared" si="346"/>
        <v>81.321408864067052</v>
      </c>
      <c r="H1098" s="97">
        <f t="shared" si="347"/>
        <v>459.969548534333</v>
      </c>
      <c r="I1098" s="94">
        <f t="shared" si="348"/>
        <v>596.85045742731177</v>
      </c>
      <c r="J1098" s="95">
        <f t="shared" si="349"/>
        <v>-191.2747936329412</v>
      </c>
      <c r="K1098" s="94">
        <f t="shared" si="350"/>
        <v>24.18036679774745</v>
      </c>
      <c r="L1098" s="94">
        <f t="shared" si="351"/>
        <v>-356.7060292166322</v>
      </c>
      <c r="M1098" s="94">
        <f t="shared" si="352"/>
        <v>-539.70941536099212</v>
      </c>
      <c r="N1098" s="99">
        <f t="shared" si="353"/>
        <v>1484.0313275667133</v>
      </c>
      <c r="O1098" s="99">
        <f t="shared" si="354"/>
        <v>29291.702829327376</v>
      </c>
      <c r="P1098" s="100">
        <f t="shared" si="355"/>
        <v>25564.697867527408</v>
      </c>
      <c r="Q1098" s="95">
        <f t="shared" si="356"/>
        <v>1033216460326.7424</v>
      </c>
      <c r="R1098" s="95">
        <f t="shared" si="357"/>
        <v>27315785840639.313</v>
      </c>
      <c r="S1098" s="95">
        <f t="shared" si="358"/>
        <v>20685754993781.023</v>
      </c>
      <c r="T1098">
        <f t="shared" si="340"/>
        <v>0.5</v>
      </c>
    </row>
    <row r="1099" spans="1:20" x14ac:dyDescent="0.25">
      <c r="A1099">
        <v>528</v>
      </c>
      <c r="B1099" s="95">
        <f t="shared" si="341"/>
        <v>9099.4112313684418</v>
      </c>
      <c r="C1099" s="95">
        <f t="shared" si="342"/>
        <v>6315.8410407155861</v>
      </c>
      <c r="D1099" s="95">
        <f t="shared" si="343"/>
        <v>14.13651977104621</v>
      </c>
      <c r="E1099" s="95">
        <f t="shared" si="344"/>
        <v>-12.790191206252416</v>
      </c>
      <c r="F1099" s="96">
        <f t="shared" si="345"/>
        <v>-91.509783756159834</v>
      </c>
      <c r="G1099" s="94">
        <f t="shared" si="346"/>
        <v>84.268956645756703</v>
      </c>
      <c r="H1099" s="97">
        <f t="shared" si="347"/>
        <v>456.32986275918029</v>
      </c>
      <c r="I1099" s="94">
        <f t="shared" si="348"/>
        <v>600.0153612801505</v>
      </c>
      <c r="J1099" s="95">
        <f t="shared" si="349"/>
        <v>-190.72590918833993</v>
      </c>
      <c r="K1099" s="94">
        <f t="shared" si="350"/>
        <v>24.147037255050478</v>
      </c>
      <c r="L1099" s="94">
        <f t="shared" si="351"/>
        <v>-357.11373732700019</v>
      </c>
      <c r="M1099" s="94">
        <f t="shared" si="352"/>
        <v>-539.89344188944426</v>
      </c>
      <c r="N1099" s="99">
        <f t="shared" si="353"/>
        <v>1486.9327489869645</v>
      </c>
      <c r="O1099" s="99">
        <f t="shared" si="354"/>
        <v>29323.887303824358</v>
      </c>
      <c r="P1099" s="100">
        <f t="shared" si="355"/>
        <v>25558.401442164562</v>
      </c>
      <c r="Q1099" s="95">
        <f t="shared" si="356"/>
        <v>1033347179432.598</v>
      </c>
      <c r="R1099" s="95">
        <f t="shared" si="357"/>
        <v>27401052859479.215</v>
      </c>
      <c r="S1099" s="95">
        <f t="shared" si="358"/>
        <v>20672502023190.184</v>
      </c>
      <c r="T1099">
        <f t="shared" si="340"/>
        <v>0.5</v>
      </c>
    </row>
    <row r="1100" spans="1:20" x14ac:dyDescent="0.25">
      <c r="A1100">
        <v>528.5</v>
      </c>
      <c r="B1100" s="95">
        <f t="shared" si="341"/>
        <v>9083.6020453149249</v>
      </c>
      <c r="C1100" s="95">
        <f t="shared" si="342"/>
        <v>6330.5131842738992</v>
      </c>
      <c r="D1100" s="95">
        <f t="shared" si="343"/>
        <v>-31.618372107033707</v>
      </c>
      <c r="E1100" s="95">
        <f t="shared" si="344"/>
        <v>29.344287116625935</v>
      </c>
      <c r="F1100" s="96">
        <f t="shared" si="345"/>
        <v>-82.919072793143073</v>
      </c>
      <c r="G1100" s="94">
        <f t="shared" si="346"/>
        <v>76.249392566519077</v>
      </c>
      <c r="H1100" s="97">
        <f t="shared" si="347"/>
        <v>464.32457086788429</v>
      </c>
      <c r="I1100" s="94">
        <f t="shared" si="348"/>
        <v>592.56075493346373</v>
      </c>
      <c r="J1100" s="95">
        <f t="shared" si="349"/>
        <v>-190.47817289426354</v>
      </c>
      <c r="K1100" s="94">
        <f t="shared" si="350"/>
        <v>24.032688352359425</v>
      </c>
      <c r="L1100" s="94">
        <f t="shared" si="351"/>
        <v>-356.76547076676383</v>
      </c>
      <c r="M1100" s="94">
        <f t="shared" si="352"/>
        <v>-540.34405071930405</v>
      </c>
      <c r="N1100" s="99">
        <f t="shared" si="353"/>
        <v>1487.7138740493256</v>
      </c>
      <c r="O1100" s="99">
        <f t="shared" si="354"/>
        <v>29331.702324440146</v>
      </c>
      <c r="P1100" s="100">
        <f t="shared" si="355"/>
        <v>25556.965319542411</v>
      </c>
      <c r="Q1100" s="95">
        <f t="shared" si="356"/>
        <v>1033382416392.5554</v>
      </c>
      <c r="R1100" s="95">
        <f t="shared" si="357"/>
        <v>27421784863892.797</v>
      </c>
      <c r="S1100" s="95">
        <f t="shared" si="358"/>
        <v>20669480067933.652</v>
      </c>
      <c r="T1100">
        <f t="shared" si="340"/>
        <v>0.5</v>
      </c>
    </row>
    <row r="1101" spans="1:20" x14ac:dyDescent="0.25">
      <c r="A1101">
        <v>529</v>
      </c>
      <c r="B1101" s="95">
        <f t="shared" si="341"/>
        <v>9047.0630910631226</v>
      </c>
      <c r="C1101" s="95">
        <f t="shared" si="342"/>
        <v>6364.247675973842</v>
      </c>
      <c r="D1101" s="95">
        <f t="shared" si="343"/>
        <v>-73.077908503605244</v>
      </c>
      <c r="E1101" s="95">
        <f t="shared" si="344"/>
        <v>67.468983399885474</v>
      </c>
      <c r="F1101" s="96">
        <f t="shared" si="345"/>
        <v>-63.394605047527591</v>
      </c>
      <c r="G1101" s="94">
        <f t="shared" si="346"/>
        <v>58.364759661599351</v>
      </c>
      <c r="H1101" s="97">
        <f t="shared" si="347"/>
        <v>482.87944646266868</v>
      </c>
      <c r="I1101" s="94">
        <f t="shared" si="348"/>
        <v>575.51706561170556</v>
      </c>
      <c r="J1101" s="95">
        <f t="shared" si="349"/>
        <v>-190.56182709793873</v>
      </c>
      <c r="K1101" s="94">
        <f t="shared" si="350"/>
        <v>23.852174093124255</v>
      </c>
      <c r="L1101" s="94">
        <f t="shared" si="351"/>
        <v>-355.71222441225751</v>
      </c>
      <c r="M1101" s="94">
        <f t="shared" si="352"/>
        <v>-541.0044800432305</v>
      </c>
      <c r="N1101" s="99">
        <f t="shared" si="353"/>
        <v>1485.7606211998498</v>
      </c>
      <c r="O1101" s="99">
        <f t="shared" si="354"/>
        <v>29314.178163834546</v>
      </c>
      <c r="P1101" s="100">
        <f t="shared" si="355"/>
        <v>25560.48980898608</v>
      </c>
      <c r="Q1101" s="95">
        <f t="shared" si="356"/>
        <v>1033294339605.6324</v>
      </c>
      <c r="R1101" s="95">
        <f t="shared" si="357"/>
        <v>27375311031505.609</v>
      </c>
      <c r="S1101" s="95">
        <f t="shared" si="358"/>
        <v>20676897026480.875</v>
      </c>
      <c r="T1101">
        <f t="shared" si="340"/>
        <v>0.5</v>
      </c>
    </row>
    <row r="1102" spans="1:20" x14ac:dyDescent="0.25">
      <c r="A1102">
        <v>529.5</v>
      </c>
      <c r="B1102" s="95">
        <f t="shared" si="341"/>
        <v>8994.6754855494382</v>
      </c>
      <c r="C1102" s="95">
        <f t="shared" si="342"/>
        <v>6412.5733575891845</v>
      </c>
      <c r="D1102" s="95">
        <f t="shared" si="343"/>
        <v>-104.77521102736904</v>
      </c>
      <c r="E1102" s="95">
        <f t="shared" si="344"/>
        <v>96.651363230685149</v>
      </c>
      <c r="F1102" s="96">
        <f t="shared" si="345"/>
        <v>-35.563559232882881</v>
      </c>
      <c r="G1102" s="94">
        <f t="shared" si="346"/>
        <v>32.94994763934335</v>
      </c>
      <c r="H1102" s="97">
        <f t="shared" si="347"/>
        <v>509.49644615947909</v>
      </c>
      <c r="I1102" s="94">
        <f t="shared" si="348"/>
        <v>551.10563982441397</v>
      </c>
      <c r="J1102" s="95">
        <f t="shared" si="349"/>
        <v>-190.96520415085939</v>
      </c>
      <c r="K1102" s="94">
        <f t="shared" si="350"/>
        <v>23.627567809325715</v>
      </c>
      <c r="L1102" s="94">
        <f t="shared" si="351"/>
        <v>-354.09480124150258</v>
      </c>
      <c r="M1102" s="94">
        <f t="shared" si="352"/>
        <v>-541.7832599943963</v>
      </c>
      <c r="N1102" s="99">
        <f t="shared" si="353"/>
        <v>1482.5727954960557</v>
      </c>
      <c r="O1102" s="99">
        <f t="shared" si="354"/>
        <v>29273.718062075121</v>
      </c>
      <c r="P1102" s="100">
        <f t="shared" si="355"/>
        <v>25568.556084469485</v>
      </c>
      <c r="Q1102" s="95">
        <f t="shared" si="356"/>
        <v>1033150846906.0106</v>
      </c>
      <c r="R1102" s="95">
        <f t="shared" si="357"/>
        <v>27268217742384.637</v>
      </c>
      <c r="S1102" s="95">
        <f t="shared" si="358"/>
        <v>20693878937046.551</v>
      </c>
      <c r="T1102">
        <f t="shared" si="340"/>
        <v>0.5</v>
      </c>
    </row>
    <row r="1103" spans="1:20" x14ac:dyDescent="0.25">
      <c r="A1103">
        <v>530</v>
      </c>
      <c r="B1103" s="95">
        <f t="shared" si="341"/>
        <v>8933.396990227533</v>
      </c>
      <c r="C1103" s="95">
        <f t="shared" si="342"/>
        <v>6469.1365261143628</v>
      </c>
      <c r="D1103" s="95">
        <f t="shared" si="343"/>
        <v>-122.55699064381048</v>
      </c>
      <c r="E1103" s="95">
        <f t="shared" si="344"/>
        <v>113.12633705035682</v>
      </c>
      <c r="F1103" s="96">
        <f t="shared" si="345"/>
        <v>-3.1704925692436632</v>
      </c>
      <c r="G1103" s="94">
        <f t="shared" si="346"/>
        <v>3.294454813788434</v>
      </c>
      <c r="H1103" s="97">
        <f t="shared" si="347"/>
        <v>540.59073049769074</v>
      </c>
      <c r="I1103" s="94">
        <f t="shared" si="348"/>
        <v>522.47671653402188</v>
      </c>
      <c r="J1103" s="95">
        <f t="shared" si="349"/>
        <v>-191.63615167661499</v>
      </c>
      <c r="K1103" s="94">
        <f t="shared" si="350"/>
        <v>23.38616127444379</v>
      </c>
      <c r="L1103" s="94">
        <f t="shared" si="351"/>
        <v>-352.12507139031942</v>
      </c>
      <c r="M1103" s="94">
        <f t="shared" si="352"/>
        <v>-542.56842299467723</v>
      </c>
      <c r="N1103" s="99">
        <f t="shared" si="353"/>
        <v>1480.9368933145386</v>
      </c>
      <c r="O1103" s="99">
        <f t="shared" si="354"/>
        <v>29215.76349211159</v>
      </c>
      <c r="P1103" s="100">
        <f t="shared" si="355"/>
        <v>25580.250971012319</v>
      </c>
      <c r="Q1103" s="95">
        <f t="shared" si="356"/>
        <v>1033077332739.6328</v>
      </c>
      <c r="R1103" s="95">
        <f t="shared" si="357"/>
        <v>27115319573922.227</v>
      </c>
      <c r="S1103" s="95">
        <f t="shared" si="358"/>
        <v>20718517926607.156</v>
      </c>
      <c r="T1103">
        <f t="shared" si="340"/>
        <v>0.5</v>
      </c>
    </row>
    <row r="1104" spans="1:20" x14ac:dyDescent="0.25">
      <c r="A1104">
        <v>530.5</v>
      </c>
      <c r="B1104" s="95">
        <f t="shared" si="341"/>
        <v>8871.3258717633162</v>
      </c>
      <c r="C1104" s="95">
        <f t="shared" si="342"/>
        <v>6526.5233083429885</v>
      </c>
      <c r="D1104" s="95">
        <f t="shared" si="343"/>
        <v>-124.14223692843231</v>
      </c>
      <c r="E1104" s="95">
        <f t="shared" si="344"/>
        <v>114.77356445725104</v>
      </c>
      <c r="F1104" s="96">
        <f t="shared" si="345"/>
        <v>29.443258243479136</v>
      </c>
      <c r="G1104" s="94">
        <f t="shared" si="346"/>
        <v>-26.749688951272674</v>
      </c>
      <c r="H1104" s="97">
        <f t="shared" si="347"/>
        <v>571.99047863095632</v>
      </c>
      <c r="I1104" s="94">
        <f t="shared" si="348"/>
        <v>493.33938367745452</v>
      </c>
      <c r="J1104" s="95">
        <f t="shared" si="349"/>
        <v>-192.48802558109429</v>
      </c>
      <c r="K1104" s="94">
        <f t="shared" si="350"/>
        <v>23.158017517058866</v>
      </c>
      <c r="L1104" s="94">
        <f t="shared" si="351"/>
        <v>-350.05919480638289</v>
      </c>
      <c r="M1104" s="94">
        <f t="shared" si="352"/>
        <v>-543.24709014578605</v>
      </c>
      <c r="N1104" s="99">
        <f t="shared" si="353"/>
        <v>1483.3480651038208</v>
      </c>
      <c r="O1104" s="99">
        <f t="shared" si="354"/>
        <v>29148.04381541457</v>
      </c>
      <c r="P1104" s="100">
        <f t="shared" si="355"/>
        <v>25594.205884618095</v>
      </c>
      <c r="Q1104" s="95">
        <f t="shared" si="356"/>
        <v>1033185714924.2788</v>
      </c>
      <c r="R1104" s="95">
        <f t="shared" si="357"/>
        <v>26937404833035.773</v>
      </c>
      <c r="S1104" s="95">
        <f t="shared" si="358"/>
        <v>20747945919253.555</v>
      </c>
      <c r="T1104">
        <f t="shared" si="340"/>
        <v>0.5</v>
      </c>
    </row>
    <row r="1105" spans="1:20" x14ac:dyDescent="0.25">
      <c r="A1105">
        <v>531</v>
      </c>
      <c r="B1105" s="95">
        <f t="shared" si="341"/>
        <v>8816.6155678599698</v>
      </c>
      <c r="C1105" s="95">
        <f t="shared" si="342"/>
        <v>6577.2226683337958</v>
      </c>
      <c r="D1105" s="95">
        <f t="shared" si="343"/>
        <v>-109.42060780669274</v>
      </c>
      <c r="E1105" s="95">
        <f t="shared" si="344"/>
        <v>101.3987199816147</v>
      </c>
      <c r="F1105" s="96">
        <f t="shared" si="345"/>
        <v>57.954196141012119</v>
      </c>
      <c r="G1105" s="94">
        <f t="shared" si="346"/>
        <v>-53.252400470664838</v>
      </c>
      <c r="H1105" s="97">
        <f t="shared" si="347"/>
        <v>599.52970164823432</v>
      </c>
      <c r="I1105" s="94">
        <f t="shared" si="348"/>
        <v>467.50016589379055</v>
      </c>
      <c r="J1105" s="95">
        <f t="shared" si="349"/>
        <v>-193.40999088242506</v>
      </c>
      <c r="K1105" s="94">
        <f t="shared" si="350"/>
        <v>22.972834230001645</v>
      </c>
      <c r="L1105" s="94">
        <f t="shared" si="351"/>
        <v>-348.16551462479714</v>
      </c>
      <c r="M1105" s="94">
        <f t="shared" si="352"/>
        <v>-543.72540059445703</v>
      </c>
      <c r="N1105" s="99">
        <f t="shared" si="353"/>
        <v>1490.4905759347553</v>
      </c>
      <c r="O1105" s="99">
        <f t="shared" si="354"/>
        <v>29079.520249155317</v>
      </c>
      <c r="P1105" s="100">
        <f t="shared" si="355"/>
        <v>25608.687728684661</v>
      </c>
      <c r="Q1105" s="95">
        <f t="shared" si="356"/>
        <v>1033507827931.0347</v>
      </c>
      <c r="R1105" s="95">
        <f t="shared" si="357"/>
        <v>26758194775082.688</v>
      </c>
      <c r="S1105" s="95">
        <f t="shared" si="358"/>
        <v>20778516798368.25</v>
      </c>
      <c r="T1105">
        <f t="shared" ref="T1105:T1144" si="359">A1106-A1105</f>
        <v>0.5</v>
      </c>
    </row>
    <row r="1106" spans="1:20" x14ac:dyDescent="0.25">
      <c r="A1106">
        <v>531.5</v>
      </c>
      <c r="B1106" s="95">
        <f t="shared" si="341"/>
        <v>8776.393812991877</v>
      </c>
      <c r="C1106" s="95">
        <f t="shared" si="342"/>
        <v>6614.608928206937</v>
      </c>
      <c r="D1106" s="95">
        <f t="shared" si="343"/>
        <v>-80.443509736186684</v>
      </c>
      <c r="E1106" s="95">
        <f t="shared" si="344"/>
        <v>74.772519746282285</v>
      </c>
      <c r="F1106" s="96">
        <f t="shared" si="345"/>
        <v>78.659525209898447</v>
      </c>
      <c r="G1106" s="94">
        <f t="shared" si="346"/>
        <v>-72.727664474932169</v>
      </c>
      <c r="H1106" s="97">
        <f t="shared" si="347"/>
        <v>619.63094699722228</v>
      </c>
      <c r="I1106" s="94">
        <f t="shared" si="348"/>
        <v>448.35970437470439</v>
      </c>
      <c r="J1106" s="95">
        <f t="shared" si="349"/>
        <v>-194.28091198642466</v>
      </c>
      <c r="K1106" s="94">
        <f t="shared" si="350"/>
        <v>22.856125375991763</v>
      </c>
      <c r="L1106" s="94">
        <f t="shared" si="351"/>
        <v>-346.69050980089918</v>
      </c>
      <c r="M1106" s="94">
        <f t="shared" si="352"/>
        <v>-543.94349422562834</v>
      </c>
      <c r="N1106" s="99">
        <f t="shared" si="353"/>
        <v>1500.6387700137502</v>
      </c>
      <c r="O1106" s="99">
        <f t="shared" si="354"/>
        <v>29019.178786588662</v>
      </c>
      <c r="P1106" s="100">
        <f t="shared" si="355"/>
        <v>25621.775969453956</v>
      </c>
      <c r="Q1106" s="95">
        <f t="shared" si="356"/>
        <v>1033968210330.2505</v>
      </c>
      <c r="R1106" s="95">
        <f t="shared" si="357"/>
        <v>26601062109028.77</v>
      </c>
      <c r="S1106" s="95">
        <f t="shared" si="358"/>
        <v>20806173600728.363</v>
      </c>
      <c r="T1106">
        <f t="shared" si="359"/>
        <v>0.5</v>
      </c>
    </row>
    <row r="1107" spans="1:20" x14ac:dyDescent="0.25">
      <c r="A1107">
        <v>532</v>
      </c>
      <c r="B1107" s="95">
        <f t="shared" si="341"/>
        <v>8755.8369394262591</v>
      </c>
      <c r="C1107" s="95">
        <f t="shared" si="342"/>
        <v>6633.813271961345</v>
      </c>
      <c r="D1107" s="95">
        <f t="shared" si="343"/>
        <v>-41.11374713123746</v>
      </c>
      <c r="E1107" s="95">
        <f t="shared" si="344"/>
        <v>38.4086875088162</v>
      </c>
      <c r="F1107" s="96">
        <f t="shared" si="345"/>
        <v>88.958751919851238</v>
      </c>
      <c r="G1107" s="94">
        <f t="shared" si="346"/>
        <v>-82.610185388269713</v>
      </c>
      <c r="H1107" s="97">
        <f t="shared" si="347"/>
        <v>629.77099184859048</v>
      </c>
      <c r="I1107" s="94">
        <f t="shared" si="348"/>
        <v>438.4467696633223</v>
      </c>
      <c r="J1107" s="95">
        <f t="shared" si="349"/>
        <v>-194.98536825433061</v>
      </c>
      <c r="K1107" s="94">
        <f t="shared" si="350"/>
        <v>22.82518015949471</v>
      </c>
      <c r="L1107" s="94">
        <f t="shared" si="351"/>
        <v>-345.82687167440861</v>
      </c>
      <c r="M1107" s="94">
        <f t="shared" si="352"/>
        <v>-543.88213521108673</v>
      </c>
      <c r="N1107" s="99">
        <f t="shared" si="353"/>
        <v>1510.3408393125794</v>
      </c>
      <c r="O1107" s="99">
        <f t="shared" si="354"/>
        <v>28974.846222014246</v>
      </c>
      <c r="P1107" s="100">
        <f t="shared" si="355"/>
        <v>25631.627837692322</v>
      </c>
      <c r="Q1107" s="95">
        <f t="shared" si="356"/>
        <v>1034411339348.6732</v>
      </c>
      <c r="R1107" s="95">
        <f t="shared" si="357"/>
        <v>26486021764720.582</v>
      </c>
      <c r="S1107" s="95">
        <f t="shared" si="358"/>
        <v>20827009028941.32</v>
      </c>
      <c r="T1107">
        <f t="shared" si="359"/>
        <v>0.5</v>
      </c>
    </row>
    <row r="1108" spans="1:20" x14ac:dyDescent="0.25">
      <c r="A1108">
        <v>532.5</v>
      </c>
      <c r="B1108" s="95">
        <f t="shared" si="341"/>
        <v>8757.5197538406046</v>
      </c>
      <c r="C1108" s="95">
        <f t="shared" si="342"/>
        <v>6632.3650693686859</v>
      </c>
      <c r="D1108" s="95">
        <f t="shared" si="343"/>
        <v>3.365628828688159</v>
      </c>
      <c r="E1108" s="95">
        <f t="shared" si="344"/>
        <v>-2.8964051853186561</v>
      </c>
      <c r="F1108" s="96">
        <f t="shared" si="345"/>
        <v>87.644066965371337</v>
      </c>
      <c r="G1108" s="94">
        <f t="shared" si="346"/>
        <v>-81.605278861846955</v>
      </c>
      <c r="H1108" s="97">
        <f t="shared" si="347"/>
        <v>628.76157346073342</v>
      </c>
      <c r="I1108" s="94">
        <f t="shared" si="348"/>
        <v>439.06976055316193</v>
      </c>
      <c r="J1108" s="95">
        <f t="shared" si="349"/>
        <v>-195.42958216829896</v>
      </c>
      <c r="K1108" s="94">
        <f t="shared" si="350"/>
        <v>22.885683223802747</v>
      </c>
      <c r="L1108" s="94">
        <f t="shared" si="351"/>
        <v>-345.68792432706312</v>
      </c>
      <c r="M1108" s="94">
        <f t="shared" si="352"/>
        <v>-543.56072263881163</v>
      </c>
      <c r="N1108" s="99">
        <f t="shared" si="353"/>
        <v>1515.988512201372</v>
      </c>
      <c r="O1108" s="99">
        <f t="shared" si="354"/>
        <v>28952.191129082014</v>
      </c>
      <c r="P1108" s="100">
        <f t="shared" si="355"/>
        <v>25636.788538937068</v>
      </c>
      <c r="Q1108" s="95">
        <f t="shared" si="356"/>
        <v>1034670633597.1091</v>
      </c>
      <c r="R1108" s="95">
        <f t="shared" si="357"/>
        <v>26427365161892.484</v>
      </c>
      <c r="S1108" s="95">
        <f t="shared" si="358"/>
        <v>20837929217235.348</v>
      </c>
      <c r="T1108">
        <f t="shared" si="359"/>
        <v>0.5</v>
      </c>
    </row>
    <row r="1109" spans="1:20" x14ac:dyDescent="0.25">
      <c r="A1109">
        <v>533</v>
      </c>
      <c r="B1109" s="95">
        <f t="shared" si="341"/>
        <v>8781.113584996292</v>
      </c>
      <c r="C1109" s="95">
        <f t="shared" si="342"/>
        <v>6610.515547060565</v>
      </c>
      <c r="D1109" s="95">
        <f t="shared" si="343"/>
        <v>47.187662311373828</v>
      </c>
      <c r="E1109" s="95">
        <f t="shared" si="344"/>
        <v>-43.699044616242134</v>
      </c>
      <c r="F1109" s="96">
        <f t="shared" si="345"/>
        <v>74.990279113417728</v>
      </c>
      <c r="G1109" s="94">
        <f t="shared" si="346"/>
        <v>-69.861445912892691</v>
      </c>
      <c r="H1109" s="97">
        <f t="shared" si="347"/>
        <v>616.8369682353939</v>
      </c>
      <c r="I1109" s="94">
        <f t="shared" si="348"/>
        <v>450.1378360525988</v>
      </c>
      <c r="J1109" s="95">
        <f t="shared" si="349"/>
        <v>-195.55469687146103</v>
      </c>
      <c r="K1109" s="94">
        <f t="shared" si="350"/>
        <v>23.030019418381254</v>
      </c>
      <c r="L1109" s="94">
        <f t="shared" si="351"/>
        <v>-346.29199225051514</v>
      </c>
      <c r="M1109" s="94">
        <f t="shared" si="352"/>
        <v>-543.02930138387273</v>
      </c>
      <c r="N1109" s="99">
        <f t="shared" si="353"/>
        <v>1515.4364173227186</v>
      </c>
      <c r="O1109" s="99">
        <f t="shared" si="354"/>
        <v>28954.030935580297</v>
      </c>
      <c r="P1109" s="100">
        <f t="shared" si="355"/>
        <v>25636.469497022343</v>
      </c>
      <c r="Q1109" s="95">
        <f t="shared" si="356"/>
        <v>1034645242348.3676</v>
      </c>
      <c r="R1109" s="95">
        <f t="shared" si="357"/>
        <v>26432125300852.324</v>
      </c>
      <c r="S1109" s="95">
        <f t="shared" si="358"/>
        <v>20837253996520.641</v>
      </c>
      <c r="T1109">
        <f t="shared" si="359"/>
        <v>0.5</v>
      </c>
    </row>
    <row r="1110" spans="1:20" x14ac:dyDescent="0.25">
      <c r="A1110">
        <v>533.5</v>
      </c>
      <c r="B1110" s="95">
        <f t="shared" si="341"/>
        <v>8823.4549859303334</v>
      </c>
      <c r="C1110" s="95">
        <f t="shared" si="342"/>
        <v>6571.2006632742214</v>
      </c>
      <c r="D1110" s="95">
        <f t="shared" si="343"/>
        <v>84.682801868082691</v>
      </c>
      <c r="E1110" s="95">
        <f t="shared" si="344"/>
        <v>-78.629767572688479</v>
      </c>
      <c r="F1110" s="96">
        <f t="shared" si="345"/>
        <v>52.677069548924976</v>
      </c>
      <c r="G1110" s="94">
        <f t="shared" si="346"/>
        <v>-48.95097149256344</v>
      </c>
      <c r="H1110" s="97">
        <f t="shared" si="347"/>
        <v>595.58129269109543</v>
      </c>
      <c r="I1110" s="94">
        <f t="shared" si="348"/>
        <v>470.1694393352094</v>
      </c>
      <c r="J1110" s="95">
        <f t="shared" si="349"/>
        <v>-195.34512808812639</v>
      </c>
      <c r="K1110" s="94">
        <f t="shared" si="350"/>
        <v>23.237993014651813</v>
      </c>
      <c r="L1110" s="94">
        <f t="shared" si="351"/>
        <v>-347.55909505404406</v>
      </c>
      <c r="M1110" s="94">
        <f t="shared" si="352"/>
        <v>-542.35840384242465</v>
      </c>
      <c r="N1110" s="99">
        <f t="shared" si="353"/>
        <v>1508.9289859703661</v>
      </c>
      <c r="O1110" s="99">
        <f t="shared" si="354"/>
        <v>28980.012147153706</v>
      </c>
      <c r="P1110" s="100">
        <f t="shared" si="355"/>
        <v>25630.71348699282</v>
      </c>
      <c r="Q1110" s="95">
        <f t="shared" si="356"/>
        <v>1034346673347.7057</v>
      </c>
      <c r="R1110" s="95">
        <f t="shared" si="357"/>
        <v>26499409425720.176</v>
      </c>
      <c r="S1110" s="95">
        <f t="shared" si="358"/>
        <v>20825074665492.066</v>
      </c>
      <c r="T1110">
        <f t="shared" si="359"/>
        <v>0.5</v>
      </c>
    </row>
    <row r="1111" spans="1:20" x14ac:dyDescent="0.25">
      <c r="A1111">
        <v>534</v>
      </c>
      <c r="B1111" s="95">
        <f t="shared" si="341"/>
        <v>8878.9656542516059</v>
      </c>
      <c r="C1111" s="95">
        <f t="shared" si="342"/>
        <v>6519.6480366147362</v>
      </c>
      <c r="D1111" s="95">
        <f t="shared" si="343"/>
        <v>111.02133664254518</v>
      </c>
      <c r="E1111" s="95">
        <f t="shared" si="344"/>
        <v>-103.1052533189702</v>
      </c>
      <c r="F1111" s="96">
        <f t="shared" si="345"/>
        <v>23.578995662222269</v>
      </c>
      <c r="G1111" s="94">
        <f t="shared" si="346"/>
        <v>-21.665760538821928</v>
      </c>
      <c r="H1111" s="97">
        <f t="shared" si="347"/>
        <v>567.73039809614079</v>
      </c>
      <c r="I1111" s="94">
        <f t="shared" si="348"/>
        <v>496.48399494440412</v>
      </c>
      <c r="J1111" s="95">
        <f t="shared" si="349"/>
        <v>-194.83057805860321</v>
      </c>
      <c r="K1111" s="94">
        <f t="shared" si="350"/>
        <v>23.480030171160845</v>
      </c>
      <c r="L1111" s="94">
        <f t="shared" si="351"/>
        <v>-349.32082437531528</v>
      </c>
      <c r="M1111" s="94">
        <f t="shared" si="352"/>
        <v>-541.62978565438686</v>
      </c>
      <c r="N1111" s="99">
        <f t="shared" si="353"/>
        <v>1498.975109211103</v>
      </c>
      <c r="O1111" s="99">
        <f t="shared" si="354"/>
        <v>29026.681212592721</v>
      </c>
      <c r="P1111" s="100">
        <f t="shared" si="355"/>
        <v>25620.394333485274</v>
      </c>
      <c r="Q1111" s="95">
        <f t="shared" si="356"/>
        <v>1033892518008.3451</v>
      </c>
      <c r="R1111" s="95">
        <f t="shared" si="357"/>
        <v>26620564309105.438</v>
      </c>
      <c r="S1111" s="95">
        <f t="shared" si="358"/>
        <v>20803252815323.727</v>
      </c>
      <c r="T1111">
        <f t="shared" si="359"/>
        <v>0.5</v>
      </c>
    </row>
    <row r="1112" spans="1:20" x14ac:dyDescent="0.25">
      <c r="A1112">
        <v>534.5</v>
      </c>
      <c r="B1112" s="95">
        <f t="shared" si="341"/>
        <v>8940.3710714884346</v>
      </c>
      <c r="C1112" s="95">
        <f t="shared" si="342"/>
        <v>6462.6789698205457</v>
      </c>
      <c r="D1112" s="95">
        <f t="shared" si="343"/>
        <v>122.81083447365631</v>
      </c>
      <c r="E1112" s="95">
        <f t="shared" si="344"/>
        <v>-113.93813358838116</v>
      </c>
      <c r="F1112" s="96">
        <f t="shared" si="345"/>
        <v>-8.562124730371977</v>
      </c>
      <c r="G1112" s="94">
        <f t="shared" si="346"/>
        <v>8.3526253152513164</v>
      </c>
      <c r="H1112" s="97">
        <f t="shared" si="347"/>
        <v>536.86189924912549</v>
      </c>
      <c r="I1112" s="94">
        <f t="shared" si="348"/>
        <v>525.55958355672897</v>
      </c>
      <c r="J1112" s="95">
        <f t="shared" si="349"/>
        <v>-194.08145459417449</v>
      </c>
      <c r="K1112" s="94">
        <f t="shared" si="350"/>
        <v>23.722170293115163</v>
      </c>
      <c r="L1112" s="94">
        <f t="shared" si="351"/>
        <v>-351.34256938532297</v>
      </c>
      <c r="M1112" s="94">
        <f t="shared" si="352"/>
        <v>-540.92912853459279</v>
      </c>
      <c r="N1112" s="99">
        <f t="shared" si="353"/>
        <v>1489.230665968463</v>
      </c>
      <c r="O1112" s="99">
        <f t="shared" si="354"/>
        <v>29087.927170021645</v>
      </c>
      <c r="P1112" s="100">
        <f t="shared" si="355"/>
        <v>25607.048624386065</v>
      </c>
      <c r="Q1112" s="95">
        <f t="shared" si="356"/>
        <v>1033450893671.5101</v>
      </c>
      <c r="R1112" s="95">
        <f t="shared" si="357"/>
        <v>26780137294912.805</v>
      </c>
      <c r="S1112" s="95">
        <f t="shared" si="358"/>
        <v>20775055061466.758</v>
      </c>
      <c r="T1112">
        <f t="shared" si="359"/>
        <v>0.5</v>
      </c>
    </row>
    <row r="1113" spans="1:20" x14ac:dyDescent="0.25">
      <c r="A1113">
        <v>535</v>
      </c>
      <c r="B1113" s="95">
        <f t="shared" si="341"/>
        <v>8999.6359575426704</v>
      </c>
      <c r="C1113" s="95">
        <f t="shared" si="342"/>
        <v>6407.7980593551683</v>
      </c>
      <c r="D1113" s="95">
        <f t="shared" si="343"/>
        <v>118.52977210847033</v>
      </c>
      <c r="E1113" s="95">
        <f t="shared" si="344"/>
        <v>-109.7618209307555</v>
      </c>
      <c r="F1113" s="96">
        <f t="shared" si="345"/>
        <v>-39.577639465831169</v>
      </c>
      <c r="G1113" s="94">
        <f t="shared" si="346"/>
        <v>37.110819321819463</v>
      </c>
      <c r="H1113" s="97">
        <f t="shared" si="347"/>
        <v>506.97634038630912</v>
      </c>
      <c r="I1113" s="94">
        <f t="shared" si="348"/>
        <v>553.51903840002376</v>
      </c>
      <c r="J1113" s="95">
        <f t="shared" si="349"/>
        <v>-193.19857915716446</v>
      </c>
      <c r="K1113" s="94">
        <f t="shared" si="350"/>
        <v>23.931621486361522</v>
      </c>
      <c r="L1113" s="94">
        <f t="shared" si="351"/>
        <v>-353.3554006949758</v>
      </c>
      <c r="M1113" s="94">
        <f t="shared" si="352"/>
        <v>-540.33984056456586</v>
      </c>
      <c r="N1113" s="99">
        <f t="shared" si="353"/>
        <v>1482.8514375321395</v>
      </c>
      <c r="O1113" s="99">
        <f t="shared" si="354"/>
        <v>29155.74930997306</v>
      </c>
      <c r="P1113" s="100">
        <f t="shared" si="355"/>
        <v>25592.587484902124</v>
      </c>
      <c r="Q1113" s="95">
        <f t="shared" si="356"/>
        <v>1033163376784.2144</v>
      </c>
      <c r="R1113" s="95">
        <f t="shared" si="357"/>
        <v>26957608402803.379</v>
      </c>
      <c r="S1113" s="95">
        <f t="shared" si="358"/>
        <v>20744531516355.242</v>
      </c>
      <c r="T1113">
        <f t="shared" si="359"/>
        <v>0.5</v>
      </c>
    </row>
    <row r="1114" spans="1:20" x14ac:dyDescent="0.25">
      <c r="A1114">
        <v>535.5</v>
      </c>
      <c r="B1114" s="95">
        <f t="shared" si="341"/>
        <v>9049.0064337304484</v>
      </c>
      <c r="C1114" s="95">
        <f t="shared" si="342"/>
        <v>6362.1948537202461</v>
      </c>
      <c r="D1114" s="95">
        <f t="shared" si="343"/>
        <v>98.740952375554741</v>
      </c>
      <c r="E1114" s="95">
        <f t="shared" si="344"/>
        <v>-91.206411269845773</v>
      </c>
      <c r="F1114" s="96">
        <f t="shared" si="345"/>
        <v>-65.399374950535105</v>
      </c>
      <c r="G1114" s="94">
        <f t="shared" si="346"/>
        <v>60.819861403596292</v>
      </c>
      <c r="H1114" s="97">
        <f t="shared" si="347"/>
        <v>481.99267841366697</v>
      </c>
      <c r="I1114" s="94">
        <f t="shared" si="348"/>
        <v>576.67451118464169</v>
      </c>
      <c r="J1114" s="95">
        <f t="shared" si="349"/>
        <v>-192.29896871597435</v>
      </c>
      <c r="K1114" s="94">
        <f t="shared" si="350"/>
        <v>24.081587079927736</v>
      </c>
      <c r="L1114" s="94">
        <f t="shared" si="351"/>
        <v>-355.09308464822772</v>
      </c>
      <c r="M1114" s="94">
        <f t="shared" si="352"/>
        <v>-539.93623686097317</v>
      </c>
      <c r="N1114" s="99">
        <f t="shared" si="353"/>
        <v>1481.0919271233324</v>
      </c>
      <c r="O1114" s="99">
        <f t="shared" si="354"/>
        <v>29221.273080623545</v>
      </c>
      <c r="P1114" s="100">
        <f t="shared" si="355"/>
        <v>25578.968405583768</v>
      </c>
      <c r="Q1114" s="95">
        <f t="shared" si="356"/>
        <v>1033084296092.2406</v>
      </c>
      <c r="R1114" s="95">
        <f t="shared" si="357"/>
        <v>27129829846696.469</v>
      </c>
      <c r="S1114" s="95">
        <f t="shared" si="358"/>
        <v>20715814768291.348</v>
      </c>
      <c r="T1114">
        <f t="shared" si="359"/>
        <v>0.5</v>
      </c>
    </row>
    <row r="1115" spans="1:20" x14ac:dyDescent="0.25">
      <c r="A1115">
        <v>536</v>
      </c>
      <c r="B1115" s="95">
        <f t="shared" si="341"/>
        <v>9082.0270661805935</v>
      </c>
      <c r="C1115" s="95">
        <f t="shared" si="342"/>
        <v>6331.7966134362223</v>
      </c>
      <c r="D1115" s="95">
        <f t="shared" si="343"/>
        <v>66.041264900287189</v>
      </c>
      <c r="E1115" s="95">
        <f t="shared" si="344"/>
        <v>-60.796480568047627</v>
      </c>
      <c r="F1115" s="96">
        <f t="shared" si="345"/>
        <v>-82.608209889721365</v>
      </c>
      <c r="G1115" s="94">
        <f t="shared" si="346"/>
        <v>76.414192166338921</v>
      </c>
      <c r="H1115" s="97">
        <f t="shared" si="347"/>
        <v>465.22023601225413</v>
      </c>
      <c r="I1115" s="94">
        <f t="shared" si="348"/>
        <v>592.03472693502397</v>
      </c>
      <c r="J1115" s="95">
        <f t="shared" si="349"/>
        <v>-191.49998743402483</v>
      </c>
      <c r="K1115" s="94">
        <f t="shared" si="350"/>
        <v>24.154468353731112</v>
      </c>
      <c r="L1115" s="94">
        <f t="shared" si="351"/>
        <v>-356.32845846795067</v>
      </c>
      <c r="M1115" s="94">
        <f t="shared" si="352"/>
        <v>-539.77500312241614</v>
      </c>
      <c r="N1115" s="99">
        <f t="shared" si="353"/>
        <v>1482.898956094707</v>
      </c>
      <c r="O1115" s="99">
        <f t="shared" si="354"/>
        <v>29275.901370738571</v>
      </c>
      <c r="P1115" s="100">
        <f t="shared" si="355"/>
        <v>25567.908611055998</v>
      </c>
      <c r="Q1115" s="95">
        <f t="shared" si="356"/>
        <v>1033165513822.4875</v>
      </c>
      <c r="R1115" s="95">
        <f t="shared" si="357"/>
        <v>27273989366563.723</v>
      </c>
      <c r="S1115" s="95">
        <f t="shared" si="358"/>
        <v>20692515443465.328</v>
      </c>
      <c r="T1115">
        <f t="shared" si="359"/>
        <v>0.5</v>
      </c>
    </row>
    <row r="1116" spans="1:20" x14ac:dyDescent="0.25">
      <c r="A1116">
        <v>536.5</v>
      </c>
      <c r="B1116" s="95">
        <f t="shared" si="341"/>
        <v>9094.3956461583057</v>
      </c>
      <c r="C1116" s="95">
        <f t="shared" si="342"/>
        <v>6320.5019211937833</v>
      </c>
      <c r="D1116" s="95">
        <f t="shared" si="343"/>
        <v>24.737159955426506</v>
      </c>
      <c r="E1116" s="95">
        <f t="shared" si="344"/>
        <v>-22.589384484878167</v>
      </c>
      <c r="F1116" s="96">
        <f t="shared" si="345"/>
        <v>-88.912151561912367</v>
      </c>
      <c r="G1116" s="94">
        <f t="shared" si="346"/>
        <v>81.942878524345815</v>
      </c>
      <c r="H1116" s="97">
        <f t="shared" si="347"/>
        <v>458.89548240202419</v>
      </c>
      <c r="I1116" s="94">
        <f t="shared" si="348"/>
        <v>597.68522265812396</v>
      </c>
      <c r="J1116" s="95">
        <f t="shared" si="349"/>
        <v>-190.90419878905396</v>
      </c>
      <c r="K1116" s="94">
        <f t="shared" si="350"/>
        <v>24.143193803481356</v>
      </c>
      <c r="L1116" s="94">
        <f t="shared" si="351"/>
        <v>-356.90343517488259</v>
      </c>
      <c r="M1116" s="94">
        <f t="shared" si="352"/>
        <v>-539.88553793725953</v>
      </c>
      <c r="N1116" s="99">
        <f t="shared" si="353"/>
        <v>1485.723210966325</v>
      </c>
      <c r="O1116" s="99">
        <f t="shared" si="354"/>
        <v>29312.454935799193</v>
      </c>
      <c r="P1116" s="100">
        <f t="shared" si="355"/>
        <v>25560.693125376154</v>
      </c>
      <c r="Q1116" s="95">
        <f t="shared" si="356"/>
        <v>1033292653843.5414</v>
      </c>
      <c r="R1116" s="95">
        <f t="shared" si="357"/>
        <v>27370743972998.633</v>
      </c>
      <c r="S1116" s="95">
        <f t="shared" si="358"/>
        <v>20677324945080.391</v>
      </c>
      <c r="T1116">
        <f t="shared" si="359"/>
        <v>0.5</v>
      </c>
    </row>
    <row r="1117" spans="1:20" x14ac:dyDescent="0.25">
      <c r="A1117">
        <v>537</v>
      </c>
      <c r="B1117" s="95">
        <f t="shared" si="341"/>
        <v>9084.5361882455418</v>
      </c>
      <c r="C1117" s="95">
        <f t="shared" si="342"/>
        <v>6329.6929485824312</v>
      </c>
      <c r="D1117" s="95">
        <f t="shared" si="343"/>
        <v>-19.718915825529677</v>
      </c>
      <c r="E1117" s="95">
        <f t="shared" si="344"/>
        <v>18.382054777294741</v>
      </c>
      <c r="F1117" s="96">
        <f t="shared" si="345"/>
        <v>-83.470661598782499</v>
      </c>
      <c r="G1117" s="94">
        <f t="shared" si="346"/>
        <v>76.782790085246461</v>
      </c>
      <c r="H1117" s="97">
        <f t="shared" si="347"/>
        <v>463.86458115759604</v>
      </c>
      <c r="I1117" s="94">
        <f t="shared" si="348"/>
        <v>592.99339117644604</v>
      </c>
      <c r="J1117" s="95">
        <f t="shared" si="349"/>
        <v>-190.5868312680212</v>
      </c>
      <c r="K1117" s="94">
        <f t="shared" si="350"/>
        <v>24.051000372942344</v>
      </c>
      <c r="L1117" s="94">
        <f t="shared" si="351"/>
        <v>-356.74841148835731</v>
      </c>
      <c r="M1117" s="94">
        <f t="shared" si="352"/>
        <v>-540.2616014641419</v>
      </c>
      <c r="N1117" s="99">
        <f t="shared" si="353"/>
        <v>1487.0558037964106</v>
      </c>
      <c r="O1117" s="99">
        <f t="shared" si="354"/>
        <v>29326.14130988143</v>
      </c>
      <c r="P1117" s="100">
        <f t="shared" si="355"/>
        <v>25558.086602914427</v>
      </c>
      <c r="Q1117" s="95">
        <f t="shared" si="356"/>
        <v>1033352729244.774</v>
      </c>
      <c r="R1117" s="95">
        <f t="shared" si="357"/>
        <v>27407031275149.801</v>
      </c>
      <c r="S1117" s="95">
        <f t="shared" si="358"/>
        <v>20671839496826.945</v>
      </c>
      <c r="T1117">
        <f t="shared" si="359"/>
        <v>0.5</v>
      </c>
    </row>
    <row r="1118" spans="1:20" x14ac:dyDescent="0.25">
      <c r="A1118">
        <v>537.5</v>
      </c>
      <c r="B1118" s="95">
        <f t="shared" si="341"/>
        <v>9053.8090649330807</v>
      </c>
      <c r="C1118" s="95">
        <f t="shared" si="342"/>
        <v>6358.0796734923897</v>
      </c>
      <c r="D1118" s="95">
        <f t="shared" si="343"/>
        <v>-61.454246624920927</v>
      </c>
      <c r="E1118" s="95">
        <f t="shared" si="344"/>
        <v>56.773449819917971</v>
      </c>
      <c r="F1118" s="96">
        <f t="shared" si="345"/>
        <v>-67.016676467177717</v>
      </c>
      <c r="G1118" s="94">
        <f t="shared" si="346"/>
        <v>61.673420149514754</v>
      </c>
      <c r="H1118" s="97">
        <f t="shared" si="347"/>
        <v>479.45961188075779</v>
      </c>
      <c r="I1118" s="94">
        <f t="shared" si="348"/>
        <v>578.6407967514134</v>
      </c>
      <c r="J1118" s="95">
        <f t="shared" si="349"/>
        <v>-190.58708671224329</v>
      </c>
      <c r="K1118" s="94">
        <f t="shared" si="350"/>
        <v>23.890257677260813</v>
      </c>
      <c r="L1118" s="94">
        <f t="shared" si="351"/>
        <v>-355.88920163569219</v>
      </c>
      <c r="M1118" s="94">
        <f t="shared" si="352"/>
        <v>-540.85763427915947</v>
      </c>
      <c r="N1118" s="99">
        <f t="shared" si="353"/>
        <v>1485.8306044868257</v>
      </c>
      <c r="O1118" s="99">
        <f t="shared" si="354"/>
        <v>29315.207642741505</v>
      </c>
      <c r="P1118" s="100">
        <f t="shared" si="355"/>
        <v>25560.32004726868</v>
      </c>
      <c r="Q1118" s="95">
        <f t="shared" si="356"/>
        <v>1033297493275.536</v>
      </c>
      <c r="R1118" s="95">
        <f t="shared" si="357"/>
        <v>27378039701142.793</v>
      </c>
      <c r="S1118" s="95">
        <f t="shared" si="358"/>
        <v>20676539735037.703</v>
      </c>
      <c r="T1118">
        <f t="shared" si="359"/>
        <v>0.5</v>
      </c>
    </row>
    <row r="1119" spans="1:20" x14ac:dyDescent="0.25">
      <c r="A1119">
        <v>538</v>
      </c>
      <c r="B1119" s="95">
        <f t="shared" si="341"/>
        <v>9006.3277725038242</v>
      </c>
      <c r="C1119" s="95">
        <f t="shared" si="342"/>
        <v>6401.8847534397282</v>
      </c>
      <c r="D1119" s="95">
        <f t="shared" si="343"/>
        <v>-94.962584858509786</v>
      </c>
      <c r="E1119" s="95">
        <f t="shared" si="344"/>
        <v>87.610159894675348</v>
      </c>
      <c r="F1119" s="96">
        <f t="shared" si="345"/>
        <v>-41.763693712896952</v>
      </c>
      <c r="G1119" s="94">
        <f t="shared" si="346"/>
        <v>38.600822587868493</v>
      </c>
      <c r="H1119" s="97">
        <f t="shared" si="347"/>
        <v>503.58194583868141</v>
      </c>
      <c r="I1119" s="94">
        <f t="shared" si="348"/>
        <v>556.51249709509796</v>
      </c>
      <c r="J1119" s="95">
        <f t="shared" si="349"/>
        <v>-190.90385556020018</v>
      </c>
      <c r="K1119" s="94">
        <f t="shared" si="350"/>
        <v>23.680835392387333</v>
      </c>
      <c r="L1119" s="94">
        <f t="shared" si="351"/>
        <v>-354.4417839913782</v>
      </c>
      <c r="M1119" s="94">
        <f t="shared" si="352"/>
        <v>-541.59250989961674</v>
      </c>
      <c r="N1119" s="99">
        <f t="shared" si="353"/>
        <v>1482.989992445687</v>
      </c>
      <c r="O1119" s="99">
        <f t="shared" si="354"/>
        <v>29281.178337734582</v>
      </c>
      <c r="P1119" s="100">
        <f t="shared" si="355"/>
        <v>25567.110055163528</v>
      </c>
      <c r="Q1119" s="95">
        <f t="shared" si="356"/>
        <v>1033169608168.7992</v>
      </c>
      <c r="R1119" s="95">
        <f t="shared" si="357"/>
        <v>27287942603198.691</v>
      </c>
      <c r="S1119" s="95">
        <f t="shared" si="358"/>
        <v>20690833878913.789</v>
      </c>
      <c r="T1119">
        <f t="shared" si="359"/>
        <v>0.5</v>
      </c>
    </row>
    <row r="1120" spans="1:20" x14ac:dyDescent="0.25">
      <c r="A1120">
        <v>538.5</v>
      </c>
      <c r="B1120" s="95">
        <f t="shared" si="341"/>
        <v>8948.4055566463448</v>
      </c>
      <c r="C1120" s="95">
        <f t="shared" si="342"/>
        <v>6455.340039034033</v>
      </c>
      <c r="D1120" s="95">
        <f t="shared" si="343"/>
        <v>-115.84443171495826</v>
      </c>
      <c r="E1120" s="95">
        <f t="shared" si="344"/>
        <v>106.91057118860959</v>
      </c>
      <c r="F1120" s="96">
        <f t="shared" si="345"/>
        <v>-11.109083530621888</v>
      </c>
      <c r="G1120" s="94">
        <f t="shared" si="346"/>
        <v>10.555515541895375</v>
      </c>
      <c r="H1120" s="97">
        <f t="shared" si="347"/>
        <v>532.9833497616263</v>
      </c>
      <c r="I1120" s="94">
        <f t="shared" si="348"/>
        <v>529.46872140350558</v>
      </c>
      <c r="J1120" s="95">
        <f t="shared" si="349"/>
        <v>-191.49597534438246</v>
      </c>
      <c r="K1120" s="94">
        <f t="shared" si="350"/>
        <v>23.448203914412606</v>
      </c>
      <c r="L1120" s="94">
        <f t="shared" si="351"/>
        <v>-352.5964579478657</v>
      </c>
      <c r="M1120" s="94">
        <f t="shared" si="352"/>
        <v>-542.36140977602281</v>
      </c>
      <c r="N1120" s="99">
        <f t="shared" si="353"/>
        <v>1480.9596856178557</v>
      </c>
      <c r="O1120" s="99">
        <f t="shared" si="354"/>
        <v>29228.641504070216</v>
      </c>
      <c r="P1120" s="100">
        <f t="shared" si="355"/>
        <v>25577.68341094103</v>
      </c>
      <c r="Q1120" s="95">
        <f t="shared" si="356"/>
        <v>1033078356410.5841</v>
      </c>
      <c r="R1120" s="95">
        <f t="shared" si="357"/>
        <v>27149243943427.281</v>
      </c>
      <c r="S1120" s="95">
        <f t="shared" si="358"/>
        <v>20713106743937.848</v>
      </c>
      <c r="T1120">
        <f t="shared" si="359"/>
        <v>0.5</v>
      </c>
    </row>
    <row r="1121" spans="1:20" x14ac:dyDescent="0.25">
      <c r="A1121">
        <v>539</v>
      </c>
      <c r="B1121" s="95">
        <f t="shared" si="341"/>
        <v>8887.7060699062094</v>
      </c>
      <c r="C1121" s="95">
        <f t="shared" si="342"/>
        <v>6511.4342035138116</v>
      </c>
      <c r="D1121" s="95">
        <f t="shared" si="343"/>
        <v>-121.39897348026921</v>
      </c>
      <c r="E1121" s="95">
        <f t="shared" si="344"/>
        <v>112.18832895955728</v>
      </c>
      <c r="F1121" s="96">
        <f t="shared" si="345"/>
        <v>20.834870799479006</v>
      </c>
      <c r="G1121" s="94">
        <f t="shared" si="346"/>
        <v>-18.823111382565571</v>
      </c>
      <c r="H1121" s="97">
        <f t="shared" si="347"/>
        <v>563.71542023756808</v>
      </c>
      <c r="I1121" s="94">
        <f t="shared" si="348"/>
        <v>501.00946190698704</v>
      </c>
      <c r="J1121" s="95">
        <f t="shared" si="349"/>
        <v>-192.28697998094782</v>
      </c>
      <c r="K1121" s="94">
        <f t="shared" si="350"/>
        <v>23.221150888473328</v>
      </c>
      <c r="L1121" s="94">
        <f t="shared" si="351"/>
        <v>-350.59356945714126</v>
      </c>
      <c r="M1121" s="94">
        <f t="shared" si="352"/>
        <v>-543.05372417802596</v>
      </c>
      <c r="N1121" s="99">
        <f t="shared" si="353"/>
        <v>1482.283814705436</v>
      </c>
      <c r="O1121" s="99">
        <f t="shared" si="354"/>
        <v>29164.615521397642</v>
      </c>
      <c r="P1121" s="100">
        <f t="shared" si="355"/>
        <v>25590.811510447638</v>
      </c>
      <c r="Q1121" s="95">
        <f t="shared" si="356"/>
        <v>1033137854659.1611</v>
      </c>
      <c r="R1121" s="95">
        <f t="shared" si="357"/>
        <v>26980868193124.531</v>
      </c>
      <c r="S1121" s="95">
        <f t="shared" si="358"/>
        <v>20740785135709.336</v>
      </c>
      <c r="T1121">
        <f t="shared" si="359"/>
        <v>0.5</v>
      </c>
    </row>
    <row r="1122" spans="1:20" x14ac:dyDescent="0.25">
      <c r="A1122">
        <v>539.5</v>
      </c>
      <c r="B1122" s="95">
        <f t="shared" si="341"/>
        <v>8832.2153008659443</v>
      </c>
      <c r="C1122" s="95">
        <f t="shared" si="342"/>
        <v>6562.8225901479491</v>
      </c>
      <c r="D1122" s="95">
        <f t="shared" si="343"/>
        <v>-110.9815380805297</v>
      </c>
      <c r="E1122" s="95">
        <f t="shared" si="344"/>
        <v>102.7767732682745</v>
      </c>
      <c r="F1122" s="96">
        <f t="shared" si="345"/>
        <v>49.820704313479666</v>
      </c>
      <c r="G1122" s="94">
        <f t="shared" si="346"/>
        <v>-45.698620964564157</v>
      </c>
      <c r="H1122" s="97">
        <f t="shared" si="347"/>
        <v>591.68818093925904</v>
      </c>
      <c r="I1122" s="94">
        <f t="shared" si="348"/>
        <v>474.84506113491273</v>
      </c>
      <c r="J1122" s="95">
        <f t="shared" si="349"/>
        <v>-193.1741299536022</v>
      </c>
      <c r="K1122" s="94">
        <f t="shared" si="350"/>
        <v>23.028884486181131</v>
      </c>
      <c r="L1122" s="94">
        <f t="shared" si="351"/>
        <v>-348.69334667217714</v>
      </c>
      <c r="M1122" s="94">
        <f t="shared" si="352"/>
        <v>-543.57256658565802</v>
      </c>
      <c r="N1122" s="99">
        <f t="shared" si="353"/>
        <v>1488.106219631469</v>
      </c>
      <c r="O1122" s="99">
        <f t="shared" si="354"/>
        <v>29097.5884447098</v>
      </c>
      <c r="P1122" s="100">
        <f t="shared" si="355"/>
        <v>25604.885888755951</v>
      </c>
      <c r="Q1122" s="95">
        <f t="shared" si="356"/>
        <v>1033400122440.1492</v>
      </c>
      <c r="R1122" s="95">
        <f t="shared" si="357"/>
        <v>26805368985487.094</v>
      </c>
      <c r="S1122" s="95">
        <f t="shared" si="358"/>
        <v>20770488064845.426</v>
      </c>
      <c r="T1122">
        <f t="shared" si="359"/>
        <v>0.5</v>
      </c>
    </row>
    <row r="1123" spans="1:20" x14ac:dyDescent="0.25">
      <c r="A1123">
        <v>540</v>
      </c>
      <c r="B1123" s="95">
        <f t="shared" si="341"/>
        <v>8789.1797079040498</v>
      </c>
      <c r="C1123" s="95">
        <f t="shared" si="342"/>
        <v>6602.7863215409452</v>
      </c>
      <c r="D1123" s="95">
        <f t="shared" si="343"/>
        <v>-86.071185923789869</v>
      </c>
      <c r="E1123" s="95">
        <f t="shared" si="344"/>
        <v>79.927462785992418</v>
      </c>
      <c r="F1123" s="96">
        <f t="shared" si="345"/>
        <v>72.061084000229187</v>
      </c>
      <c r="G1123" s="94">
        <f t="shared" si="346"/>
        <v>-66.540692643350781</v>
      </c>
      <c r="H1123" s="97">
        <f t="shared" si="347"/>
        <v>613.24520977392467</v>
      </c>
      <c r="I1123" s="94">
        <f t="shared" si="348"/>
        <v>454.41259454467144</v>
      </c>
      <c r="J1123" s="95">
        <f t="shared" si="349"/>
        <v>-194.04113991177226</v>
      </c>
      <c r="K1123" s="94">
        <f t="shared" si="350"/>
        <v>22.897464303613948</v>
      </c>
      <c r="L1123" s="94">
        <f t="shared" si="351"/>
        <v>-347.14298586192325</v>
      </c>
      <c r="M1123" s="94">
        <f t="shared" si="352"/>
        <v>-543.85075149163617</v>
      </c>
      <c r="N1123" s="99">
        <f t="shared" si="353"/>
        <v>1497.3385058391493</v>
      </c>
      <c r="O1123" s="99">
        <f t="shared" si="354"/>
        <v>29036.370773605395</v>
      </c>
      <c r="P1123" s="100">
        <f t="shared" si="355"/>
        <v>25618.069759131045</v>
      </c>
      <c r="Q1123" s="95">
        <f t="shared" si="356"/>
        <v>1033818140454.3459</v>
      </c>
      <c r="R1123" s="95">
        <f t="shared" si="357"/>
        <v>26645766374957.461</v>
      </c>
      <c r="S1123" s="95">
        <f t="shared" si="358"/>
        <v>20798339317261.145</v>
      </c>
      <c r="T1123">
        <f t="shared" si="359"/>
        <v>0.5</v>
      </c>
    </row>
    <row r="1124" spans="1:20" x14ac:dyDescent="0.25">
      <c r="A1124">
        <v>540.5</v>
      </c>
      <c r="B1124" s="95">
        <f t="shared" si="341"/>
        <v>8764.1593859422119</v>
      </c>
      <c r="C1124" s="95">
        <f t="shared" si="342"/>
        <v>6626.1148797731039</v>
      </c>
      <c r="D1124" s="95">
        <f t="shared" si="343"/>
        <v>-50.040643923675276</v>
      </c>
      <c r="E1124" s="95">
        <f t="shared" si="344"/>
        <v>46.657116464317028</v>
      </c>
      <c r="F1124" s="96">
        <f t="shared" si="345"/>
        <v>84.732389070277918</v>
      </c>
      <c r="G1124" s="94">
        <f t="shared" si="346"/>
        <v>-78.604738796596052</v>
      </c>
      <c r="H1124" s="97">
        <f t="shared" si="347"/>
        <v>625.65055515307165</v>
      </c>
      <c r="I1124" s="94">
        <f t="shared" si="348"/>
        <v>442.40875756200086</v>
      </c>
      <c r="J1124" s="95">
        <f t="shared" si="349"/>
        <v>-194.77336028630822</v>
      </c>
      <c r="K1124" s="94">
        <f t="shared" si="350"/>
        <v>22.845894200118021</v>
      </c>
      <c r="L1124" s="94">
        <f t="shared" si="351"/>
        <v>-346.14480579648551</v>
      </c>
      <c r="M1124" s="94">
        <f t="shared" si="352"/>
        <v>-543.85939055871495</v>
      </c>
      <c r="N1124" s="99">
        <f t="shared" si="353"/>
        <v>1507.0096763343461</v>
      </c>
      <c r="O1124" s="99">
        <f t="shared" si="354"/>
        <v>28988.927697158852</v>
      </c>
      <c r="P1124" s="100">
        <f t="shared" si="355"/>
        <v>25628.535929136284</v>
      </c>
      <c r="Q1124" s="95">
        <f t="shared" si="356"/>
        <v>1034258863874.8861</v>
      </c>
      <c r="R1124" s="95">
        <f t="shared" si="357"/>
        <v>26522525279714.887</v>
      </c>
      <c r="S1124" s="95">
        <f t="shared" si="358"/>
        <v>20820468430938.816</v>
      </c>
      <c r="T1124">
        <f t="shared" si="359"/>
        <v>0.5</v>
      </c>
    </row>
    <row r="1125" spans="1:20" x14ac:dyDescent="0.25">
      <c r="A1125">
        <v>541</v>
      </c>
      <c r="B1125" s="95">
        <f t="shared" si="341"/>
        <v>8760.3221612479429</v>
      </c>
      <c r="C1125" s="95">
        <f t="shared" si="342"/>
        <v>6629.7922533061137</v>
      </c>
      <c r="D1125" s="95">
        <f t="shared" si="343"/>
        <v>-7.674449388536317</v>
      </c>
      <c r="E1125" s="95">
        <f t="shared" si="344"/>
        <v>7.3547470660190015</v>
      </c>
      <c r="F1125" s="96">
        <f t="shared" si="345"/>
        <v>86.307034811566837</v>
      </c>
      <c r="G1125" s="94">
        <f t="shared" si="346"/>
        <v>-80.306897511231455</v>
      </c>
      <c r="H1125" s="97">
        <f t="shared" si="347"/>
        <v>627.41004623451011</v>
      </c>
      <c r="I1125" s="94">
        <f t="shared" si="348"/>
        <v>440.41852287724794</v>
      </c>
      <c r="J1125" s="95">
        <f t="shared" si="349"/>
        <v>-195.27342979250901</v>
      </c>
      <c r="K1125" s="94">
        <f t="shared" si="350"/>
        <v>22.882637479525449</v>
      </c>
      <c r="L1125" s="94">
        <f t="shared" si="351"/>
        <v>-345.82958163043429</v>
      </c>
      <c r="M1125" s="94">
        <f t="shared" si="352"/>
        <v>-543.60805786800483</v>
      </c>
      <c r="N1125" s="99">
        <f t="shared" si="353"/>
        <v>1513.5974453958052</v>
      </c>
      <c r="O1125" s="99">
        <f t="shared" si="354"/>
        <v>28961.352972269371</v>
      </c>
      <c r="P1125" s="100">
        <f t="shared" si="355"/>
        <v>25634.760158713492</v>
      </c>
      <c r="Q1125" s="95">
        <f t="shared" si="356"/>
        <v>1034560734885.5033</v>
      </c>
      <c r="R1125" s="95">
        <f t="shared" si="357"/>
        <v>26451075466370.316</v>
      </c>
      <c r="S1125" s="95">
        <f t="shared" si="358"/>
        <v>20833636618069.758</v>
      </c>
      <c r="T1125">
        <f t="shared" si="359"/>
        <v>0.5</v>
      </c>
    </row>
    <row r="1126" spans="1:20" x14ac:dyDescent="0.25">
      <c r="A1126">
        <v>541.5</v>
      </c>
      <c r="B1126" s="95">
        <f t="shared" si="341"/>
        <v>8778.0616952565651</v>
      </c>
      <c r="C1126" s="95">
        <f t="shared" si="342"/>
        <v>6613.3929024613153</v>
      </c>
      <c r="D1126" s="95">
        <f t="shared" si="343"/>
        <v>35.479068017247101</v>
      </c>
      <c r="E1126" s="95">
        <f t="shared" si="344"/>
        <v>-32.798701689596726</v>
      </c>
      <c r="F1126" s="96">
        <f t="shared" si="345"/>
        <v>76.690238523398989</v>
      </c>
      <c r="G1126" s="94">
        <f t="shared" si="346"/>
        <v>-71.436808078525587</v>
      </c>
      <c r="H1126" s="97">
        <f t="shared" si="347"/>
        <v>618.40395804451475</v>
      </c>
      <c r="I1126" s="94">
        <f t="shared" si="348"/>
        <v>448.69805310129954</v>
      </c>
      <c r="J1126" s="95">
        <f t="shared" si="349"/>
        <v>-195.47496609624784</v>
      </c>
      <c r="K1126" s="94">
        <f t="shared" si="350"/>
        <v>23.003526595462212</v>
      </c>
      <c r="L1126" s="94">
        <f t="shared" si="351"/>
        <v>-346.23875342486792</v>
      </c>
      <c r="M1126" s="94">
        <f t="shared" si="352"/>
        <v>-543.13838777528736</v>
      </c>
      <c r="N1126" s="99">
        <f t="shared" si="353"/>
        <v>1514.6163429393671</v>
      </c>
      <c r="O1126" s="99">
        <f t="shared" si="354"/>
        <v>28957.11365234189</v>
      </c>
      <c r="P1126" s="100">
        <f t="shared" si="355"/>
        <v>25635.802677164458</v>
      </c>
      <c r="Q1126" s="95">
        <f t="shared" si="356"/>
        <v>1034607543980.6099</v>
      </c>
      <c r="R1126" s="95">
        <f t="shared" si="357"/>
        <v>26440102545336.277</v>
      </c>
      <c r="S1126" s="95">
        <f t="shared" si="358"/>
        <v>20835842788810.176</v>
      </c>
      <c r="T1126">
        <f t="shared" si="359"/>
        <v>0.5</v>
      </c>
    </row>
    <row r="1127" spans="1:20" x14ac:dyDescent="0.25">
      <c r="A1127">
        <v>542</v>
      </c>
      <c r="B1127" s="95">
        <f t="shared" si="341"/>
        <v>8814.973788896039</v>
      </c>
      <c r="C1127" s="95">
        <f t="shared" si="342"/>
        <v>6579.1343495968858</v>
      </c>
      <c r="D1127" s="95">
        <f t="shared" si="343"/>
        <v>73.824187278946596</v>
      </c>
      <c r="E1127" s="95">
        <f t="shared" si="344"/>
        <v>-68.517105728859519</v>
      </c>
      <c r="F1127" s="96">
        <f t="shared" si="345"/>
        <v>57.183875219228923</v>
      </c>
      <c r="G1127" s="94">
        <f t="shared" si="346"/>
        <v>-53.185406077904531</v>
      </c>
      <c r="H1127" s="97">
        <f t="shared" si="347"/>
        <v>599.85400236624912</v>
      </c>
      <c r="I1127" s="94">
        <f t="shared" si="348"/>
        <v>466.13732325912844</v>
      </c>
      <c r="J1127" s="95">
        <f t="shared" si="349"/>
        <v>-195.35198466536721</v>
      </c>
      <c r="K1127" s="94">
        <f t="shared" si="350"/>
        <v>23.191861945657998</v>
      </c>
      <c r="L1127" s="94">
        <f t="shared" si="351"/>
        <v>-347.31814248165296</v>
      </c>
      <c r="M1127" s="94">
        <f t="shared" si="352"/>
        <v>-542.51459128269096</v>
      </c>
      <c r="N1127" s="99">
        <f t="shared" si="353"/>
        <v>1509.7037345139047</v>
      </c>
      <c r="O1127" s="99">
        <f t="shared" si="354"/>
        <v>28976.644777632428</v>
      </c>
      <c r="P1127" s="100">
        <f t="shared" si="355"/>
        <v>25631.498918995381</v>
      </c>
      <c r="Q1127" s="95">
        <f t="shared" si="356"/>
        <v>1034382150887.248</v>
      </c>
      <c r="R1127" s="95">
        <f t="shared" si="357"/>
        <v>26490682252695.684</v>
      </c>
      <c r="S1127" s="95">
        <f t="shared" si="358"/>
        <v>20826736285941.832</v>
      </c>
      <c r="T1127">
        <f t="shared" si="359"/>
        <v>0.5</v>
      </c>
    </row>
    <row r="1128" spans="1:20" x14ac:dyDescent="0.25">
      <c r="A1128">
        <v>542.5</v>
      </c>
      <c r="B1128" s="95">
        <f t="shared" si="341"/>
        <v>8866.1818513403196</v>
      </c>
      <c r="C1128" s="95">
        <f t="shared" si="342"/>
        <v>6531.5794452129803</v>
      </c>
      <c r="D1128" s="95">
        <f t="shared" si="343"/>
        <v>102.41612488856106</v>
      </c>
      <c r="E1128" s="95">
        <f t="shared" si="344"/>
        <v>-95.109808767811785</v>
      </c>
      <c r="F1128" s="96">
        <f t="shared" si="345"/>
        <v>30.312630870221881</v>
      </c>
      <c r="G1128" s="94">
        <f t="shared" si="346"/>
        <v>-27.990180009162259</v>
      </c>
      <c r="H1128" s="97">
        <f t="shared" si="347"/>
        <v>574.15945566538142</v>
      </c>
      <c r="I1128" s="94">
        <f t="shared" si="348"/>
        <v>490.40299738452649</v>
      </c>
      <c r="J1128" s="95">
        <f t="shared" si="349"/>
        <v>-194.92244369669859</v>
      </c>
      <c r="K1128" s="94">
        <f t="shared" si="350"/>
        <v>23.420936436578064</v>
      </c>
      <c r="L1128" s="94">
        <f t="shared" si="351"/>
        <v>-348.92438109846097</v>
      </c>
      <c r="M1128" s="94">
        <f t="shared" si="352"/>
        <v>-541.81411383026682</v>
      </c>
      <c r="N1128" s="99">
        <f t="shared" si="353"/>
        <v>1500.7600298168124</v>
      </c>
      <c r="O1128" s="99">
        <f t="shared" si="354"/>
        <v>29017.323037331917</v>
      </c>
      <c r="P1128" s="100">
        <f t="shared" si="355"/>
        <v>25622.50065988558</v>
      </c>
      <c r="Q1128" s="95">
        <f t="shared" si="356"/>
        <v>1033973730697.0792</v>
      </c>
      <c r="R1128" s="95">
        <f t="shared" si="357"/>
        <v>26596239689553.809</v>
      </c>
      <c r="S1128" s="95">
        <f t="shared" si="358"/>
        <v>20807705717578.953</v>
      </c>
      <c r="T1128">
        <f t="shared" si="359"/>
        <v>0.5</v>
      </c>
    </row>
    <row r="1129" spans="1:20" x14ac:dyDescent="0.25">
      <c r="A1129">
        <v>543</v>
      </c>
      <c r="B1129" s="95">
        <f t="shared" si="341"/>
        <v>8924.968071502155</v>
      </c>
      <c r="C1129" s="95">
        <f t="shared" si="342"/>
        <v>6477.0269958267845</v>
      </c>
      <c r="D1129" s="95">
        <f t="shared" si="343"/>
        <v>117.572440323672</v>
      </c>
      <c r="E1129" s="95">
        <f t="shared" si="344"/>
        <v>-109.10489877239291</v>
      </c>
      <c r="F1129" s="96">
        <f t="shared" si="345"/>
        <v>-0.46773719410424519</v>
      </c>
      <c r="G1129" s="94">
        <f t="shared" si="346"/>
        <v>0.78625677542640915</v>
      </c>
      <c r="H1129" s="97">
        <f t="shared" si="347"/>
        <v>544.62129399413504</v>
      </c>
      <c r="I1129" s="94">
        <f t="shared" si="348"/>
        <v>518.24775291313699</v>
      </c>
      <c r="J1129" s="95">
        <f t="shared" si="349"/>
        <v>-194.24537827595941</v>
      </c>
      <c r="K1129" s="94">
        <f t="shared" si="350"/>
        <v>23.658495392630545</v>
      </c>
      <c r="L1129" s="94">
        <f t="shared" si="351"/>
        <v>-350.84365291227988</v>
      </c>
      <c r="M1129" s="94">
        <f t="shared" si="352"/>
        <v>-541.11999153034117</v>
      </c>
      <c r="N1129" s="99">
        <f t="shared" si="353"/>
        <v>1491.1009238693616</v>
      </c>
      <c r="O1129" s="99">
        <f t="shared" si="354"/>
        <v>29073.809448015552</v>
      </c>
      <c r="P1129" s="100">
        <f t="shared" si="355"/>
        <v>25610.152528635157</v>
      </c>
      <c r="Q1129" s="95">
        <f t="shared" si="356"/>
        <v>1033535426722.7959</v>
      </c>
      <c r="R1129" s="95">
        <f t="shared" si="357"/>
        <v>26743296310582.859</v>
      </c>
      <c r="S1129" s="95">
        <f t="shared" si="358"/>
        <v>20781610760126.527</v>
      </c>
      <c r="T1129">
        <f t="shared" si="359"/>
        <v>0.5</v>
      </c>
    </row>
    <row r="1130" spans="1:20" x14ac:dyDescent="0.25">
      <c r="A1130">
        <v>543.5</v>
      </c>
      <c r="B1130" s="95">
        <f t="shared" si="341"/>
        <v>8983.6373573654637</v>
      </c>
      <c r="C1130" s="95">
        <f t="shared" si="342"/>
        <v>6422.6711106344446</v>
      </c>
      <c r="D1130" s="95">
        <f t="shared" si="343"/>
        <v>117.33857172661988</v>
      </c>
      <c r="E1130" s="95">
        <f t="shared" si="344"/>
        <v>-108.71177038467971</v>
      </c>
      <c r="F1130" s="96">
        <f t="shared" si="345"/>
        <v>-31.173576044734318</v>
      </c>
      <c r="G1130" s="94">
        <f t="shared" si="346"/>
        <v>29.312431907641326</v>
      </c>
      <c r="H1130" s="97">
        <f t="shared" si="347"/>
        <v>515.05920957230455</v>
      </c>
      <c r="I1130" s="94">
        <f t="shared" si="348"/>
        <v>545.95490126210632</v>
      </c>
      <c r="J1130" s="95">
        <f t="shared" si="349"/>
        <v>-193.41221037479062</v>
      </c>
      <c r="K1130" s="94">
        <f t="shared" si="350"/>
        <v>23.872058541125728</v>
      </c>
      <c r="L1130" s="94">
        <f t="shared" si="351"/>
        <v>-352.82057524224825</v>
      </c>
      <c r="M1130" s="94">
        <f t="shared" si="352"/>
        <v>-540.51452789559073</v>
      </c>
      <c r="N1130" s="99">
        <f t="shared" si="353"/>
        <v>1483.9701528524654</v>
      </c>
      <c r="O1130" s="99">
        <f t="shared" si="354"/>
        <v>29138.721947359878</v>
      </c>
      <c r="P1130" s="100">
        <f t="shared" si="355"/>
        <v>25596.238480914086</v>
      </c>
      <c r="Q1130" s="95">
        <f t="shared" si="356"/>
        <v>1033213707001.1725</v>
      </c>
      <c r="R1130" s="95">
        <f t="shared" si="357"/>
        <v>26912977066597.512</v>
      </c>
      <c r="S1130" s="95">
        <f t="shared" si="358"/>
        <v>20752234740561.813</v>
      </c>
      <c r="T1130">
        <f t="shared" si="359"/>
        <v>0.5</v>
      </c>
    </row>
    <row r="1131" spans="1:20" x14ac:dyDescent="0.25">
      <c r="A1131">
        <v>544</v>
      </c>
      <c r="B1131" s="95">
        <f t="shared" si="341"/>
        <v>9034.5132492175908</v>
      </c>
      <c r="C1131" s="95">
        <f t="shared" si="342"/>
        <v>6375.6433334190151</v>
      </c>
      <c r="D1131" s="95">
        <f t="shared" si="343"/>
        <v>101.75178370425272</v>
      </c>
      <c r="E1131" s="95">
        <f t="shared" si="344"/>
        <v>-94.055554430859047</v>
      </c>
      <c r="F1131" s="96">
        <f t="shared" si="345"/>
        <v>-57.788726126629342</v>
      </c>
      <c r="G1131" s="94">
        <f t="shared" si="346"/>
        <v>53.819478981961424</v>
      </c>
      <c r="H1131" s="97">
        <f t="shared" si="347"/>
        <v>489.33828808055335</v>
      </c>
      <c r="I1131" s="94">
        <f t="shared" si="348"/>
        <v>569.85843251689801</v>
      </c>
      <c r="J1131" s="95">
        <f t="shared" si="349"/>
        <v>-192.53376308959881</v>
      </c>
      <c r="K1131" s="94">
        <f t="shared" si="350"/>
        <v>24.033846264480282</v>
      </c>
      <c r="L1131" s="94">
        <f t="shared" si="351"/>
        <v>-354.59325111758386</v>
      </c>
      <c r="M1131" s="94">
        <f t="shared" si="352"/>
        <v>-540.07279979941688</v>
      </c>
      <c r="N1131" s="99">
        <f t="shared" si="353"/>
        <v>1481.0910023373578</v>
      </c>
      <c r="O1131" s="99">
        <f t="shared" si="354"/>
        <v>29203.570268820906</v>
      </c>
      <c r="P1131" s="100">
        <f t="shared" si="355"/>
        <v>25582.668962731754</v>
      </c>
      <c r="Q1131" s="95">
        <f t="shared" si="356"/>
        <v>1033084254553.2241</v>
      </c>
      <c r="R1131" s="95">
        <f t="shared" si="357"/>
        <v>27083225938121.387</v>
      </c>
      <c r="S1131" s="95">
        <f t="shared" si="358"/>
        <v>20723614818522.508</v>
      </c>
      <c r="T1131">
        <f t="shared" si="359"/>
        <v>0.5</v>
      </c>
    </row>
    <row r="1132" spans="1:20" x14ac:dyDescent="0.25">
      <c r="A1132">
        <v>544.5</v>
      </c>
      <c r="B1132" s="95">
        <f t="shared" si="341"/>
        <v>9070.9419595380605</v>
      </c>
      <c r="C1132" s="95">
        <f t="shared" si="342"/>
        <v>6342.0704259490758</v>
      </c>
      <c r="D1132" s="95">
        <f t="shared" si="343"/>
        <v>72.857420640938045</v>
      </c>
      <c r="E1132" s="95">
        <f t="shared" si="344"/>
        <v>-67.145814939878335</v>
      </c>
      <c r="F1132" s="96">
        <f t="shared" si="345"/>
        <v>-76.797887995870951</v>
      </c>
      <c r="G1132" s="94">
        <f t="shared" si="346"/>
        <v>71.120435280885999</v>
      </c>
      <c r="H1132" s="97">
        <f t="shared" si="347"/>
        <v>470.85635719204134</v>
      </c>
      <c r="I1132" s="94">
        <f t="shared" si="348"/>
        <v>586.85085040699994</v>
      </c>
      <c r="J1132" s="95">
        <f t="shared" si="349"/>
        <v>-191.72510599629442</v>
      </c>
      <c r="K1132" s="94">
        <f t="shared" si="350"/>
        <v>24.12432786966486</v>
      </c>
      <c r="L1132" s="94">
        <f t="shared" si="351"/>
        <v>-355.92913919161788</v>
      </c>
      <c r="M1132" s="94">
        <f t="shared" si="352"/>
        <v>-539.85474299577879</v>
      </c>
      <c r="N1132" s="99">
        <f t="shared" si="353"/>
        <v>1482.0062684150421</v>
      </c>
      <c r="O1132" s="99">
        <f t="shared" si="354"/>
        <v>29259.85168905649</v>
      </c>
      <c r="P1132" s="100">
        <f t="shared" si="355"/>
        <v>25571.188671237105</v>
      </c>
      <c r="Q1132" s="95">
        <f t="shared" si="356"/>
        <v>1033125378929.9983</v>
      </c>
      <c r="R1132" s="95">
        <f t="shared" si="357"/>
        <v>27231581231821.324</v>
      </c>
      <c r="S1132" s="95">
        <f t="shared" si="358"/>
        <v>20699423481488.195</v>
      </c>
      <c r="T1132">
        <f t="shared" si="359"/>
        <v>0.5</v>
      </c>
    </row>
    <row r="1133" spans="1:20" x14ac:dyDescent="0.25">
      <c r="A1133">
        <v>545</v>
      </c>
      <c r="B1133" s="95">
        <f t="shared" ref="B1133:B1144" si="360">B1132+(D1132*$T1132)+(F1132*($T1132)^2)</f>
        <v>9088.1711978595631</v>
      </c>
      <c r="C1133" s="95">
        <f t="shared" ref="C1133:C1144" si="361">C1132+(E1132*$T1132)+(G1132*($T1132)^2)</f>
        <v>6326.2776272993578</v>
      </c>
      <c r="D1133" s="95">
        <f t="shared" ref="D1133:D1144" si="362">D1132+(F1132*$T1132)</f>
        <v>34.45847664300257</v>
      </c>
      <c r="E1133" s="95">
        <f t="shared" ref="E1133:E1144" si="363">E1132+(G1132*$T1132)</f>
        <v>-31.585597299435335</v>
      </c>
      <c r="F1133" s="96">
        <f t="shared" ref="F1133:F1144" si="364">SUM(H1133,J1133,L1133)</f>
        <v>-85.673799486752614</v>
      </c>
      <c r="G1133" s="94">
        <f t="shared" ref="G1133:G1144" si="365">SUM(I1133,K1133,M1133)</f>
        <v>79.026411848455155</v>
      </c>
      <c r="H1133" s="97">
        <f t="shared" ref="H1133:H1144" si="366">$D$22*(($D$18-$B1133)/$Q1133)</f>
        <v>462.07280479967523</v>
      </c>
      <c r="I1133" s="94">
        <f t="shared" ref="I1133:I1144" si="367">$D$22*(($E$18-$C1133)/$Q1133)</f>
        <v>594.78839398010723</v>
      </c>
      <c r="J1133" s="95">
        <f t="shared" ref="J1133:J1144" si="368">$D$30*(($D$26-$B1133)/$R1133)</f>
        <v>-191.09051315651567</v>
      </c>
      <c r="K1133" s="94">
        <f t="shared" ref="K1133:K1144" si="369">$D$30*(($E$26-$C1133)/$R1133)</f>
        <v>24.13398520721012</v>
      </c>
      <c r="L1133" s="94">
        <f t="shared" ref="L1133:L1144" si="370">$D$38*(($D$34-$B1133)/$S1133)</f>
        <v>-356.65609112991217</v>
      </c>
      <c r="M1133" s="94">
        <f t="shared" ref="M1133:M1144" si="371">$D$38*(($E$34-$C1133)/$S1133)</f>
        <v>-539.89596733886219</v>
      </c>
      <c r="N1133" s="99">
        <f t="shared" ref="N1133:N1144" si="372">SQRT(($D$18-$B1132)^2+($E$18-$C1132)^2)</f>
        <v>1484.5705577737735</v>
      </c>
      <c r="O1133" s="99">
        <f t="shared" ref="O1133:O1144" si="373">SQRT(($D$26-$B1132)^2+($E$26-$C1132)^2)</f>
        <v>29300.172613545248</v>
      </c>
      <c r="P1133" s="100">
        <f t="shared" ref="P1133:P1144" si="374">SQRT(($D$34-$B1132)^2+($E$34-$C1132)^2)</f>
        <v>25563.164469502968</v>
      </c>
      <c r="Q1133" s="95">
        <f t="shared" ref="Q1133:Q1144" si="375">(N1133^2+$D$39^2)^(3/2)</f>
        <v>1033240734786.3287</v>
      </c>
      <c r="R1133" s="95">
        <f t="shared" ref="R1133:R1144" si="376">(O1133^2+$D$31^2)^(3/2)</f>
        <v>27338207356288.434</v>
      </c>
      <c r="S1133" s="95">
        <f t="shared" ref="S1133:S1144" si="377">(P1133^2+$D$23^2)^(3/2)</f>
        <v>20682526874135.383</v>
      </c>
      <c r="T1133">
        <f t="shared" si="359"/>
        <v>0.5</v>
      </c>
    </row>
    <row r="1134" spans="1:20" x14ac:dyDescent="0.25">
      <c r="A1134">
        <v>545.5</v>
      </c>
      <c r="B1134" s="95">
        <f t="shared" si="360"/>
        <v>9083.9819863093762</v>
      </c>
      <c r="C1134" s="95">
        <f t="shared" si="361"/>
        <v>6330.2414316117538</v>
      </c>
      <c r="D1134" s="95">
        <f t="shared" si="362"/>
        <v>-8.3784231003737375</v>
      </c>
      <c r="E1134" s="95">
        <f t="shared" si="363"/>
        <v>7.9276086247922422</v>
      </c>
      <c r="F1134" s="96">
        <f t="shared" si="364"/>
        <v>-83.233615608506454</v>
      </c>
      <c r="G1134" s="94">
        <f t="shared" si="365"/>
        <v>76.599545508772735</v>
      </c>
      <c r="H1134" s="97">
        <f t="shared" si="366"/>
        <v>464.16091861874554</v>
      </c>
      <c r="I1134" s="94">
        <f t="shared" si="367"/>
        <v>592.73529947044824</v>
      </c>
      <c r="J1134" s="95">
        <f t="shared" si="368"/>
        <v>-190.71051918326995</v>
      </c>
      <c r="K1134" s="94">
        <f t="shared" si="369"/>
        <v>24.063471163749856</v>
      </c>
      <c r="L1134" s="94">
        <f t="shared" si="370"/>
        <v>-356.68401504398201</v>
      </c>
      <c r="M1134" s="94">
        <f t="shared" si="371"/>
        <v>-540.19922512542541</v>
      </c>
      <c r="N1134" s="99">
        <f t="shared" si="372"/>
        <v>1486.2893300400463</v>
      </c>
      <c r="O1134" s="99">
        <f t="shared" si="373"/>
        <v>29319.241799672582</v>
      </c>
      <c r="P1134" s="100">
        <f t="shared" si="374"/>
        <v>25559.473490994467</v>
      </c>
      <c r="Q1134" s="95">
        <f t="shared" si="375"/>
        <v>1033318168668.038</v>
      </c>
      <c r="R1134" s="95">
        <f t="shared" si="376"/>
        <v>27388734171614.758</v>
      </c>
      <c r="S1134" s="95">
        <f t="shared" si="377"/>
        <v>20674758084325.055</v>
      </c>
      <c r="T1134">
        <f t="shared" si="359"/>
        <v>0.5</v>
      </c>
    </row>
    <row r="1135" spans="1:20" x14ac:dyDescent="0.25">
      <c r="A1135">
        <v>546</v>
      </c>
      <c r="B1135" s="95">
        <f t="shared" si="360"/>
        <v>9058.9843708570625</v>
      </c>
      <c r="C1135" s="95">
        <f t="shared" si="361"/>
        <v>6353.3551223013428</v>
      </c>
      <c r="D1135" s="95">
        <f t="shared" si="362"/>
        <v>-49.995230904626965</v>
      </c>
      <c r="E1135" s="95">
        <f t="shared" si="363"/>
        <v>46.22738137917861</v>
      </c>
      <c r="F1135" s="96">
        <f t="shared" si="364"/>
        <v>-69.808159860072294</v>
      </c>
      <c r="G1135" s="94">
        <f t="shared" si="365"/>
        <v>64.230213047493294</v>
      </c>
      <c r="H1135" s="97">
        <f t="shared" si="366"/>
        <v>476.83902827470871</v>
      </c>
      <c r="I1135" s="94">
        <f t="shared" si="367"/>
        <v>581.0371393682218</v>
      </c>
      <c r="J1135" s="95">
        <f t="shared" si="368"/>
        <v>-190.6324507578818</v>
      </c>
      <c r="K1135" s="94">
        <f t="shared" si="369"/>
        <v>23.922682266092838</v>
      </c>
      <c r="L1135" s="94">
        <f t="shared" si="370"/>
        <v>-356.01473737689918</v>
      </c>
      <c r="M1135" s="94">
        <f t="shared" si="371"/>
        <v>-540.72960858682131</v>
      </c>
      <c r="N1135" s="99">
        <f t="shared" si="372"/>
        <v>1485.7402564793872</v>
      </c>
      <c r="O1135" s="99">
        <f t="shared" si="373"/>
        <v>29314.58913459691</v>
      </c>
      <c r="P1135" s="100">
        <f t="shared" si="374"/>
        <v>25560.472376729143</v>
      </c>
      <c r="Q1135" s="95">
        <f t="shared" si="375"/>
        <v>1033293421934.9391</v>
      </c>
      <c r="R1135" s="95">
        <f t="shared" si="376"/>
        <v>27376400301437.398</v>
      </c>
      <c r="S1135" s="95">
        <f t="shared" si="377"/>
        <v>20676860337226.113</v>
      </c>
      <c r="T1135">
        <f t="shared" si="359"/>
        <v>0.5</v>
      </c>
    </row>
    <row r="1136" spans="1:20" x14ac:dyDescent="0.25">
      <c r="A1136">
        <v>546.5</v>
      </c>
      <c r="B1136" s="95">
        <f t="shared" si="360"/>
        <v>9016.5347154397314</v>
      </c>
      <c r="C1136" s="95">
        <f t="shared" si="361"/>
        <v>6392.526366252805</v>
      </c>
      <c r="D1136" s="95">
        <f t="shared" si="362"/>
        <v>-84.899310834663112</v>
      </c>
      <c r="E1136" s="95">
        <f t="shared" si="363"/>
        <v>78.342487902925257</v>
      </c>
      <c r="F1136" s="96">
        <f t="shared" si="364"/>
        <v>-47.203442205993156</v>
      </c>
      <c r="G1136" s="94">
        <f t="shared" si="365"/>
        <v>43.559519943220835</v>
      </c>
      <c r="H1136" s="97">
        <f t="shared" si="366"/>
        <v>498.40153304808558</v>
      </c>
      <c r="I1136" s="94">
        <f t="shared" si="367"/>
        <v>561.24660985540925</v>
      </c>
      <c r="J1136" s="95">
        <f t="shared" si="368"/>
        <v>-190.86514795608065</v>
      </c>
      <c r="K1136" s="94">
        <f t="shared" si="369"/>
        <v>23.72926318063903</v>
      </c>
      <c r="L1136" s="94">
        <f t="shared" si="370"/>
        <v>-354.73982729799809</v>
      </c>
      <c r="M1136" s="94">
        <f t="shared" si="371"/>
        <v>-541.41635309282742</v>
      </c>
      <c r="N1136" s="99">
        <f t="shared" si="372"/>
        <v>1483.342472203856</v>
      </c>
      <c r="O1136" s="99">
        <f t="shared" si="373"/>
        <v>29286.901364428446</v>
      </c>
      <c r="P1136" s="100">
        <f t="shared" si="374"/>
        <v>25566.009006474127</v>
      </c>
      <c r="Q1136" s="95">
        <f t="shared" si="375"/>
        <v>1033185463314.9932</v>
      </c>
      <c r="R1136" s="95">
        <f t="shared" si="376"/>
        <v>27303080832985.742</v>
      </c>
      <c r="S1136" s="95">
        <f t="shared" si="377"/>
        <v>20688515498910.008</v>
      </c>
      <c r="T1136">
        <f t="shared" si="359"/>
        <v>0.5</v>
      </c>
    </row>
    <row r="1137" spans="1:20" x14ac:dyDescent="0.25">
      <c r="A1137">
        <v>547</v>
      </c>
      <c r="B1137" s="95">
        <f t="shared" si="360"/>
        <v>8962.2841994709015</v>
      </c>
      <c r="C1137" s="95">
        <f t="shared" si="361"/>
        <v>6442.5874901900725</v>
      </c>
      <c r="D1137" s="95">
        <f t="shared" si="362"/>
        <v>-108.50103193765969</v>
      </c>
      <c r="E1137" s="95">
        <f t="shared" si="363"/>
        <v>100.12224787453567</v>
      </c>
      <c r="F1137" s="96">
        <f t="shared" si="364"/>
        <v>-18.460122166243934</v>
      </c>
      <c r="G1137" s="94">
        <f t="shared" si="365"/>
        <v>17.272874548082541</v>
      </c>
      <c r="H1137" s="97">
        <f t="shared" si="366"/>
        <v>525.94563500488402</v>
      </c>
      <c r="I1137" s="94">
        <f t="shared" si="367"/>
        <v>535.92852074771486</v>
      </c>
      <c r="J1137" s="95">
        <f t="shared" si="368"/>
        <v>-191.37810694568145</v>
      </c>
      <c r="K1137" s="94">
        <f t="shared" si="369"/>
        <v>23.506808615763354</v>
      </c>
      <c r="L1137" s="94">
        <f t="shared" si="370"/>
        <v>-353.02765022544651</v>
      </c>
      <c r="M1137" s="94">
        <f t="shared" si="371"/>
        <v>-542.16245481539568</v>
      </c>
      <c r="N1137" s="99">
        <f t="shared" si="372"/>
        <v>1481.1150581168317</v>
      </c>
      <c r="O1137" s="99">
        <f t="shared" si="373"/>
        <v>29239.923955279028</v>
      </c>
      <c r="P1137" s="100">
        <f t="shared" si="374"/>
        <v>25575.445836973176</v>
      </c>
      <c r="Q1137" s="95">
        <f t="shared" si="375"/>
        <v>1033085335086.0092</v>
      </c>
      <c r="R1137" s="95">
        <f t="shared" si="376"/>
        <v>27178989060327.762</v>
      </c>
      <c r="S1137" s="95">
        <f t="shared" si="377"/>
        <v>20708391840496.922</v>
      </c>
      <c r="T1137">
        <f t="shared" si="359"/>
        <v>0.5</v>
      </c>
    </row>
    <row r="1138" spans="1:20" x14ac:dyDescent="0.25">
      <c r="A1138">
        <v>547.5</v>
      </c>
      <c r="B1138" s="95">
        <f t="shared" si="360"/>
        <v>8903.4186529605104</v>
      </c>
      <c r="C1138" s="95">
        <f t="shared" si="361"/>
        <v>6496.9668327643603</v>
      </c>
      <c r="D1138" s="95">
        <f t="shared" si="362"/>
        <v>-117.73109302078166</v>
      </c>
      <c r="E1138" s="95">
        <f t="shared" si="363"/>
        <v>108.75868514857694</v>
      </c>
      <c r="F1138" s="96">
        <f t="shared" si="364"/>
        <v>12.563408504117831</v>
      </c>
      <c r="G1138" s="94">
        <f t="shared" si="365"/>
        <v>-11.220097213260033</v>
      </c>
      <c r="H1138" s="97">
        <f t="shared" si="366"/>
        <v>555.77007905138612</v>
      </c>
      <c r="I1138" s="94">
        <f t="shared" si="367"/>
        <v>508.35792907722953</v>
      </c>
      <c r="J1138" s="95">
        <f t="shared" si="368"/>
        <v>-192.10503230519089</v>
      </c>
      <c r="K1138" s="94">
        <f t="shared" si="369"/>
        <v>23.282723328959182</v>
      </c>
      <c r="L1138" s="94">
        <f t="shared" si="370"/>
        <v>-351.1016382420774</v>
      </c>
      <c r="M1138" s="94">
        <f t="shared" si="371"/>
        <v>-542.86074961944871</v>
      </c>
      <c r="N1138" s="99">
        <f t="shared" si="372"/>
        <v>1481.5449026507019</v>
      </c>
      <c r="O1138" s="99">
        <f t="shared" si="373"/>
        <v>29179.943279860465</v>
      </c>
      <c r="P1138" s="100">
        <f t="shared" si="374"/>
        <v>25587.69114909062</v>
      </c>
      <c r="Q1138" s="95">
        <f t="shared" si="375"/>
        <v>1033104645780.549</v>
      </c>
      <c r="R1138" s="95">
        <f t="shared" si="376"/>
        <v>27021111792041.148</v>
      </c>
      <c r="S1138" s="95">
        <f t="shared" si="377"/>
        <v>20734203975150.324</v>
      </c>
      <c r="T1138">
        <f t="shared" si="359"/>
        <v>0.5</v>
      </c>
    </row>
    <row r="1139" spans="1:20" x14ac:dyDescent="0.25">
      <c r="A1139">
        <v>548</v>
      </c>
      <c r="B1139" s="95">
        <f t="shared" si="360"/>
        <v>8847.6939585761484</v>
      </c>
      <c r="C1139" s="95">
        <f t="shared" si="361"/>
        <v>6548.5411510353342</v>
      </c>
      <c r="D1139" s="95">
        <f t="shared" si="362"/>
        <v>-111.44938876872274</v>
      </c>
      <c r="E1139" s="95">
        <f t="shared" si="363"/>
        <v>103.14863654194693</v>
      </c>
      <c r="F1139" s="96">
        <f t="shared" si="364"/>
        <v>41.732225891518112</v>
      </c>
      <c r="G1139" s="94">
        <f t="shared" si="365"/>
        <v>-38.20433707936786</v>
      </c>
      <c r="H1139" s="97">
        <f t="shared" si="366"/>
        <v>583.89602311233602</v>
      </c>
      <c r="I1139" s="94">
        <f t="shared" si="367"/>
        <v>482.12281988822843</v>
      </c>
      <c r="J1139" s="95">
        <f t="shared" si="368"/>
        <v>-192.95163113547687</v>
      </c>
      <c r="K1139" s="94">
        <f t="shared" si="369"/>
        <v>23.085540759722416</v>
      </c>
      <c r="L1139" s="94">
        <f t="shared" si="370"/>
        <v>-349.21216608534104</v>
      </c>
      <c r="M1139" s="94">
        <f t="shared" si="371"/>
        <v>-543.41269772731869</v>
      </c>
      <c r="N1139" s="99">
        <f t="shared" si="372"/>
        <v>1486.1245524012111</v>
      </c>
      <c r="O1139" s="99">
        <f t="shared" si="373"/>
        <v>29114.924887401969</v>
      </c>
      <c r="P1139" s="100">
        <f t="shared" si="374"/>
        <v>25601.262337011063</v>
      </c>
      <c r="Q1139" s="95">
        <f t="shared" si="375"/>
        <v>1033310741162.5122</v>
      </c>
      <c r="R1139" s="95">
        <f t="shared" si="376"/>
        <v>26850686264239.246</v>
      </c>
      <c r="S1139" s="95">
        <f t="shared" si="377"/>
        <v>20762837912693.191</v>
      </c>
      <c r="T1139">
        <f t="shared" si="359"/>
        <v>0.5</v>
      </c>
    </row>
    <row r="1140" spans="1:20" x14ac:dyDescent="0.25">
      <c r="A1140">
        <v>548.5</v>
      </c>
      <c r="B1140" s="95">
        <f t="shared" si="360"/>
        <v>8802.4023206646652</v>
      </c>
      <c r="C1140" s="95">
        <f t="shared" si="361"/>
        <v>6590.5643850364659</v>
      </c>
      <c r="D1140" s="95">
        <f t="shared" si="362"/>
        <v>-90.583275822963685</v>
      </c>
      <c r="E1140" s="95">
        <f t="shared" si="363"/>
        <v>84.046468002262998</v>
      </c>
      <c r="F1140" s="96">
        <f t="shared" si="364"/>
        <v>65.215775031963005</v>
      </c>
      <c r="G1140" s="94">
        <f t="shared" si="365"/>
        <v>-60.140324698047664</v>
      </c>
      <c r="H1140" s="97">
        <f t="shared" si="366"/>
        <v>606.62789982641141</v>
      </c>
      <c r="I1140" s="94">
        <f t="shared" si="367"/>
        <v>460.66306461019229</v>
      </c>
      <c r="J1140" s="95">
        <f t="shared" si="368"/>
        <v>-193.80717494259332</v>
      </c>
      <c r="K1140" s="94">
        <f t="shared" si="369"/>
        <v>22.941596236598134</v>
      </c>
      <c r="L1140" s="94">
        <f t="shared" si="370"/>
        <v>-347.60494985185511</v>
      </c>
      <c r="M1140" s="94">
        <f t="shared" si="371"/>
        <v>-543.74498554483807</v>
      </c>
      <c r="N1140" s="99">
        <f t="shared" si="372"/>
        <v>1494.3504121775034</v>
      </c>
      <c r="O1140" s="99">
        <f t="shared" si="373"/>
        <v>29053.433788689548</v>
      </c>
      <c r="P1140" s="100">
        <f t="shared" si="374"/>
        <v>25614.41495932026</v>
      </c>
      <c r="Q1140" s="95">
        <f t="shared" si="375"/>
        <v>1033682556866.8716</v>
      </c>
      <c r="R1140" s="95">
        <f t="shared" si="376"/>
        <v>26690186210561.273</v>
      </c>
      <c r="S1140" s="95">
        <f t="shared" si="377"/>
        <v>20790615779479.438</v>
      </c>
      <c r="T1140">
        <f t="shared" si="359"/>
        <v>0.5</v>
      </c>
    </row>
    <row r="1141" spans="1:20" x14ac:dyDescent="0.25">
      <c r="A1141">
        <v>549</v>
      </c>
      <c r="B1141" s="95">
        <f t="shared" si="360"/>
        <v>8773.414626511174</v>
      </c>
      <c r="C1141" s="95">
        <f t="shared" si="361"/>
        <v>6617.5525378630855</v>
      </c>
      <c r="D1141" s="95">
        <f t="shared" si="362"/>
        <v>-57.975388306982182</v>
      </c>
      <c r="E1141" s="95">
        <f t="shared" si="363"/>
        <v>53.976305653239166</v>
      </c>
      <c r="F1141" s="96">
        <f t="shared" si="364"/>
        <v>80.005666009007484</v>
      </c>
      <c r="G1141" s="94">
        <f t="shared" si="365"/>
        <v>-74.141061893995357</v>
      </c>
      <c r="H1141" s="97">
        <f t="shared" si="366"/>
        <v>621.05398792286792</v>
      </c>
      <c r="I1141" s="94">
        <f t="shared" si="367"/>
        <v>446.80747654255089</v>
      </c>
      <c r="J1141" s="95">
        <f t="shared" si="368"/>
        <v>-194.55878089255066</v>
      </c>
      <c r="K1141" s="94">
        <f t="shared" si="369"/>
        <v>22.871281118651641</v>
      </c>
      <c r="L1141" s="94">
        <f t="shared" si="370"/>
        <v>-346.48954102130978</v>
      </c>
      <c r="M1141" s="94">
        <f t="shared" si="371"/>
        <v>-543.81981955519791</v>
      </c>
      <c r="N1141" s="99">
        <f t="shared" si="372"/>
        <v>1503.7663845536251</v>
      </c>
      <c r="O1141" s="99">
        <f t="shared" si="373"/>
        <v>29003.493421552019</v>
      </c>
      <c r="P1141" s="100">
        <f t="shared" si="374"/>
        <v>25625.354247032261</v>
      </c>
      <c r="Q1141" s="95">
        <f t="shared" si="375"/>
        <v>1034110741118.5234</v>
      </c>
      <c r="R1141" s="95">
        <f t="shared" si="376"/>
        <v>26560320420873.355</v>
      </c>
      <c r="S1141" s="95">
        <f t="shared" si="377"/>
        <v>20813739465242.371</v>
      </c>
      <c r="T1141">
        <f t="shared" si="359"/>
        <v>0.5</v>
      </c>
    </row>
    <row r="1142" spans="1:20" x14ac:dyDescent="0.25">
      <c r="A1142">
        <v>549.5</v>
      </c>
      <c r="B1142" s="95">
        <f t="shared" si="360"/>
        <v>8764.428348859934</v>
      </c>
      <c r="C1142" s="95">
        <f t="shared" si="361"/>
        <v>6626.0054252162063</v>
      </c>
      <c r="D1142" s="95">
        <f t="shared" si="362"/>
        <v>-17.97255530247844</v>
      </c>
      <c r="E1142" s="95">
        <f t="shared" si="363"/>
        <v>16.905774706241488</v>
      </c>
      <c r="F1142" s="96">
        <f t="shared" si="364"/>
        <v>84.284429500703084</v>
      </c>
      <c r="G1142" s="94">
        <f t="shared" si="365"/>
        <v>-78.366301203794308</v>
      </c>
      <c r="H1142" s="97">
        <f t="shared" si="366"/>
        <v>625.4029665787059</v>
      </c>
      <c r="I1142" s="94">
        <f t="shared" si="367"/>
        <v>442.385352026433</v>
      </c>
      <c r="J1142" s="95">
        <f t="shared" si="368"/>
        <v>-195.10665372848757</v>
      </c>
      <c r="K1142" s="94">
        <f t="shared" si="369"/>
        <v>22.885516207737474</v>
      </c>
      <c r="L1142" s="94">
        <f t="shared" si="370"/>
        <v>-346.01188334951524</v>
      </c>
      <c r="M1142" s="94">
        <f t="shared" si="371"/>
        <v>-543.63716943796476</v>
      </c>
      <c r="N1142" s="99">
        <f t="shared" si="372"/>
        <v>1511.034480708036</v>
      </c>
      <c r="O1142" s="99">
        <f t="shared" si="373"/>
        <v>28971.543626518134</v>
      </c>
      <c r="P1142" s="100">
        <f t="shared" si="374"/>
        <v>25632.5092061051</v>
      </c>
      <c r="Q1142" s="95">
        <f t="shared" si="375"/>
        <v>1034443132305.6256</v>
      </c>
      <c r="R1142" s="95">
        <f t="shared" si="376"/>
        <v>26477465414511.414</v>
      </c>
      <c r="S1142" s="95">
        <f t="shared" si="377"/>
        <v>20828873738401.543</v>
      </c>
      <c r="T1142">
        <f t="shared" si="359"/>
        <v>0.5</v>
      </c>
    </row>
    <row r="1143" spans="1:20" x14ac:dyDescent="0.25">
      <c r="A1143">
        <v>550</v>
      </c>
      <c r="B1143" s="95">
        <f t="shared" si="360"/>
        <v>8776.5131785838694</v>
      </c>
      <c r="C1143" s="95">
        <f t="shared" si="361"/>
        <v>6614.8667372683785</v>
      </c>
      <c r="D1143" s="95">
        <f t="shared" si="362"/>
        <v>24.169659447873101</v>
      </c>
      <c r="E1143" s="95">
        <f t="shared" si="363"/>
        <v>-22.277375895655666</v>
      </c>
      <c r="F1143" s="96">
        <f t="shared" si="364"/>
        <v>77.607273534763578</v>
      </c>
      <c r="G1143" s="94">
        <f t="shared" si="365"/>
        <v>-72.271177387372632</v>
      </c>
      <c r="H1143" s="97">
        <f t="shared" si="366"/>
        <v>619.21995225271257</v>
      </c>
      <c r="I1143" s="94">
        <f t="shared" si="367"/>
        <v>447.97554586780956</v>
      </c>
      <c r="J1143" s="95">
        <f t="shared" si="368"/>
        <v>-195.3780098383339</v>
      </c>
      <c r="K1143" s="94">
        <f t="shared" si="369"/>
        <v>22.983347419668078</v>
      </c>
      <c r="L1143" s="94">
        <f t="shared" si="370"/>
        <v>-346.23466887961507</v>
      </c>
      <c r="M1143" s="94">
        <f t="shared" si="371"/>
        <v>-543.23007067485025</v>
      </c>
      <c r="N1143" s="99">
        <f t="shared" si="372"/>
        <v>1513.4410533127789</v>
      </c>
      <c r="O1143" s="99">
        <f t="shared" si="373"/>
        <v>28961.632854992265</v>
      </c>
      <c r="P1143" s="100">
        <f t="shared" si="374"/>
        <v>25634.812236924612</v>
      </c>
      <c r="Q1143" s="95">
        <f t="shared" si="375"/>
        <v>1034553552939.6117</v>
      </c>
      <c r="R1143" s="95">
        <f t="shared" si="376"/>
        <v>26451800015853.805</v>
      </c>
      <c r="S1143" s="95">
        <f t="shared" si="377"/>
        <v>20833746821663.348</v>
      </c>
      <c r="T1143">
        <f t="shared" si="359"/>
        <v>0.5</v>
      </c>
    </row>
    <row r="1144" spans="1:20" x14ac:dyDescent="0.25">
      <c r="A1144">
        <v>550.5</v>
      </c>
      <c r="B1144" s="95">
        <f t="shared" si="360"/>
        <v>8807.9998266914972</v>
      </c>
      <c r="C1144" s="95">
        <f t="shared" si="361"/>
        <v>6585.6602549737072</v>
      </c>
      <c r="D1144" s="95">
        <f t="shared" si="362"/>
        <v>62.973296215254891</v>
      </c>
      <c r="E1144" s="95">
        <f t="shared" si="363"/>
        <v>-58.412964589341982</v>
      </c>
      <c r="F1144" s="96">
        <f t="shared" si="364"/>
        <v>60.908064723793188</v>
      </c>
      <c r="G1144" s="94">
        <f t="shared" si="365"/>
        <v>-56.678572105535181</v>
      </c>
      <c r="H1144" s="97">
        <f t="shared" si="366"/>
        <v>603.37378296651775</v>
      </c>
      <c r="I1144" s="94">
        <f t="shared" si="367"/>
        <v>462.8259653200339</v>
      </c>
      <c r="J1144" s="95">
        <f t="shared" si="368"/>
        <v>-195.33738054369198</v>
      </c>
      <c r="K1144" s="94">
        <f t="shared" si="369"/>
        <v>23.151492158150639</v>
      </c>
      <c r="L1144" s="94">
        <f t="shared" si="370"/>
        <v>-347.12833769903256</v>
      </c>
      <c r="M1144" s="94">
        <f t="shared" si="371"/>
        <v>-542.65602958371971</v>
      </c>
      <c r="N1144" s="99">
        <f t="shared" si="372"/>
        <v>1510.0930087159772</v>
      </c>
      <c r="O1144" s="99">
        <f t="shared" si="373"/>
        <v>28974.934649169842</v>
      </c>
      <c r="P1144" s="100">
        <f t="shared" si="374"/>
        <v>25631.909398824853</v>
      </c>
      <c r="Q1144" s="95">
        <f t="shared" si="375"/>
        <v>1034399983686.2753</v>
      </c>
      <c r="R1144" s="95">
        <f t="shared" si="376"/>
        <v>26486250887489.543</v>
      </c>
      <c r="S1144" s="95">
        <f t="shared" si="377"/>
        <v>20827604714270.32</v>
      </c>
      <c r="T1144">
        <f t="shared" si="359"/>
        <v>-550.5</v>
      </c>
    </row>
  </sheetData>
  <mergeCells count="24">
    <mergeCell ref="D40:E40"/>
    <mergeCell ref="D27:E27"/>
    <mergeCell ref="D28:E28"/>
    <mergeCell ref="D29:E29"/>
    <mergeCell ref="D30:E30"/>
    <mergeCell ref="D31:E31"/>
    <mergeCell ref="D32:E32"/>
    <mergeCell ref="D35:E35"/>
    <mergeCell ref="D36:E36"/>
    <mergeCell ref="D37:E37"/>
    <mergeCell ref="D38:E38"/>
    <mergeCell ref="D39:E39"/>
    <mergeCell ref="D19:E19"/>
    <mergeCell ref="D20:E20"/>
    <mergeCell ref="D21:E21"/>
    <mergeCell ref="D22:E22"/>
    <mergeCell ref="D24:E24"/>
    <mergeCell ref="D23:E23"/>
    <mergeCell ref="D14:E14"/>
    <mergeCell ref="B2:F2"/>
    <mergeCell ref="D5:E5"/>
    <mergeCell ref="D6:E6"/>
    <mergeCell ref="D7:E7"/>
    <mergeCell ref="D10:E1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37"/>
  <sheetViews>
    <sheetView topLeftCell="A16" workbookViewId="0">
      <selection activeCell="C34" sqref="C34:M35"/>
    </sheetView>
  </sheetViews>
  <sheetFormatPr baseColWidth="10" defaultRowHeight="15" x14ac:dyDescent="0.25"/>
  <cols>
    <col min="1" max="1" width="1.5703125" customWidth="1"/>
  </cols>
  <sheetData>
    <row r="1" spans="1:11" ht="6.75" customHeight="1" x14ac:dyDescent="0.25"/>
    <row r="2" spans="1:11" x14ac:dyDescent="0.25">
      <c r="B2" s="102"/>
      <c r="C2" s="102"/>
      <c r="D2" s="103"/>
      <c r="E2" s="103"/>
      <c r="F2" s="103"/>
      <c r="G2" s="103"/>
      <c r="H2" s="103"/>
      <c r="I2" s="103"/>
      <c r="J2" s="103"/>
      <c r="K2" s="103"/>
    </row>
    <row r="3" spans="1:11" x14ac:dyDescent="0.25">
      <c r="A3">
        <v>12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1" x14ac:dyDescent="0.25"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5" spans="1:11" x14ac:dyDescent="0.25">
      <c r="B5" s="103"/>
      <c r="C5" s="103"/>
      <c r="D5" s="103"/>
      <c r="E5" s="103"/>
      <c r="F5" s="103"/>
      <c r="G5" s="103"/>
      <c r="H5" s="103"/>
      <c r="I5" s="103"/>
      <c r="J5" s="103"/>
      <c r="K5" s="103"/>
    </row>
    <row r="6" spans="1:11" x14ac:dyDescent="0.25">
      <c r="B6" s="103"/>
      <c r="C6" s="103"/>
      <c r="D6" s="103"/>
      <c r="E6" s="103"/>
      <c r="F6" s="103"/>
      <c r="G6" s="103"/>
      <c r="H6" s="103"/>
      <c r="I6" s="103"/>
      <c r="J6" s="103"/>
      <c r="K6" s="103"/>
    </row>
    <row r="7" spans="1:11" x14ac:dyDescent="0.25">
      <c r="B7" s="103"/>
      <c r="C7" s="103"/>
      <c r="D7" s="103"/>
      <c r="E7" s="103"/>
      <c r="F7" s="103"/>
      <c r="G7" s="103"/>
      <c r="H7" s="103"/>
      <c r="I7" s="103"/>
      <c r="J7" s="103"/>
      <c r="K7" s="103"/>
    </row>
    <row r="8" spans="1:11" x14ac:dyDescent="0.25">
      <c r="B8" s="103"/>
      <c r="C8" s="103"/>
      <c r="D8" s="103"/>
      <c r="E8" s="103"/>
      <c r="F8" s="103"/>
      <c r="G8" s="103"/>
      <c r="H8" s="103"/>
      <c r="I8" s="103"/>
      <c r="J8" s="103"/>
      <c r="K8" s="103"/>
    </row>
    <row r="9" spans="1:11" x14ac:dyDescent="0.25">
      <c r="B9" s="103"/>
      <c r="C9" s="103"/>
      <c r="D9" s="103"/>
      <c r="E9" s="103"/>
      <c r="F9" s="103"/>
      <c r="G9" s="103"/>
      <c r="H9" s="103"/>
      <c r="I9" s="103"/>
      <c r="J9" s="103"/>
      <c r="K9" s="103"/>
    </row>
    <row r="10" spans="1:11" x14ac:dyDescent="0.25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x14ac:dyDescent="0.25">
      <c r="B11" s="103"/>
      <c r="C11" s="103"/>
      <c r="D11" s="103"/>
      <c r="E11" s="103"/>
      <c r="F11" s="103"/>
      <c r="G11" s="103"/>
      <c r="H11" s="103"/>
      <c r="I11" s="103"/>
      <c r="J11" s="103"/>
      <c r="K11" s="103"/>
    </row>
    <row r="12" spans="1:11" x14ac:dyDescent="0.25">
      <c r="B12" s="103"/>
      <c r="C12" s="103"/>
      <c r="D12" s="103"/>
      <c r="E12" s="103"/>
      <c r="F12" s="103"/>
      <c r="G12" s="103"/>
      <c r="H12" s="103"/>
      <c r="I12" s="103"/>
      <c r="J12" s="103"/>
      <c r="K12" s="103"/>
    </row>
    <row r="13" spans="1:11" x14ac:dyDescent="0.25">
      <c r="B13" s="103"/>
      <c r="C13" s="103"/>
      <c r="D13" s="103"/>
      <c r="E13" s="103"/>
      <c r="F13" s="103"/>
      <c r="G13" s="103"/>
      <c r="H13" s="103"/>
      <c r="I13" s="103"/>
      <c r="J13" s="103"/>
      <c r="K13" s="103"/>
    </row>
    <row r="14" spans="1:11" x14ac:dyDescent="0.25">
      <c r="B14" s="103"/>
      <c r="C14" s="103"/>
      <c r="D14" s="103"/>
      <c r="E14" s="103"/>
      <c r="F14" s="103"/>
      <c r="G14" s="103"/>
      <c r="H14" s="103"/>
      <c r="I14" s="103"/>
      <c r="J14" s="103"/>
      <c r="K14" s="103"/>
    </row>
    <row r="15" spans="1:11" x14ac:dyDescent="0.25">
      <c r="B15" s="103"/>
      <c r="C15" s="103"/>
      <c r="D15" s="103"/>
      <c r="E15" s="103"/>
      <c r="F15" s="103"/>
      <c r="G15" s="103"/>
      <c r="H15" s="103"/>
      <c r="I15" s="103"/>
      <c r="J15" s="103"/>
      <c r="K15" s="103"/>
    </row>
    <row r="16" spans="1:11" x14ac:dyDescent="0.25">
      <c r="B16" s="103"/>
      <c r="C16" s="103"/>
      <c r="D16" s="103"/>
      <c r="E16" s="103"/>
      <c r="F16" s="103"/>
      <c r="G16" s="103"/>
      <c r="H16" s="103"/>
      <c r="I16" s="103"/>
      <c r="J16" s="103"/>
      <c r="K16" s="103"/>
    </row>
    <row r="17" spans="1:11" x14ac:dyDescent="0.25">
      <c r="B17" s="103"/>
      <c r="C17" s="103"/>
      <c r="D17" s="103"/>
      <c r="E17" s="103"/>
      <c r="F17" s="103"/>
      <c r="G17" s="103"/>
      <c r="H17" s="103"/>
      <c r="I17" s="103"/>
      <c r="J17" s="103"/>
      <c r="K17" s="103"/>
    </row>
    <row r="18" spans="1:11" x14ac:dyDescent="0.25">
      <c r="B18" s="103"/>
      <c r="C18" s="103"/>
      <c r="D18" s="103"/>
      <c r="E18" s="103"/>
      <c r="F18" s="103"/>
      <c r="G18" s="103"/>
      <c r="H18" s="103"/>
      <c r="I18" s="103"/>
      <c r="J18" s="103"/>
      <c r="K18" s="103"/>
    </row>
    <row r="19" spans="1:11" x14ac:dyDescent="0.25">
      <c r="B19" s="103"/>
      <c r="C19" s="103"/>
      <c r="D19" s="103"/>
      <c r="E19" s="103"/>
      <c r="F19" s="103"/>
      <c r="G19" s="103"/>
      <c r="H19" s="103"/>
      <c r="I19" s="103"/>
      <c r="J19" s="103"/>
      <c r="K19" s="103"/>
    </row>
    <row r="20" spans="1:11" x14ac:dyDescent="0.25">
      <c r="B20" s="103"/>
      <c r="C20" s="103"/>
      <c r="D20" s="103"/>
      <c r="E20" s="103"/>
      <c r="F20" s="103"/>
      <c r="G20" s="103"/>
      <c r="H20" s="103"/>
      <c r="I20" s="103"/>
      <c r="J20" s="103"/>
      <c r="K20" s="103"/>
    </row>
    <row r="21" spans="1:11" x14ac:dyDescent="0.25">
      <c r="B21" s="103"/>
      <c r="C21" s="103"/>
      <c r="D21" s="103"/>
      <c r="E21" s="103"/>
      <c r="F21" s="103"/>
      <c r="G21" s="103"/>
      <c r="H21" s="103"/>
      <c r="I21" s="103"/>
      <c r="J21" s="104"/>
      <c r="K21" s="103"/>
    </row>
    <row r="22" spans="1:11" x14ac:dyDescent="0.25">
      <c r="B22" s="103"/>
      <c r="C22" s="103"/>
      <c r="D22" s="103"/>
      <c r="E22" s="103"/>
      <c r="F22" s="103"/>
      <c r="G22" s="103"/>
      <c r="H22" s="103"/>
      <c r="I22" s="103"/>
      <c r="J22" s="103"/>
      <c r="K22" s="103"/>
    </row>
    <row r="23" spans="1:11" x14ac:dyDescent="0.25">
      <c r="B23" s="103"/>
      <c r="C23" s="103"/>
      <c r="D23" s="103"/>
      <c r="E23" s="103"/>
      <c r="F23" s="103"/>
      <c r="G23" s="103"/>
      <c r="H23" s="103"/>
      <c r="I23" s="103"/>
      <c r="J23" s="103"/>
      <c r="K23" s="103"/>
    </row>
    <row r="24" spans="1:11" x14ac:dyDescent="0.25">
      <c r="B24" s="103"/>
      <c r="C24" s="103"/>
      <c r="D24" s="103"/>
      <c r="E24" s="103"/>
      <c r="F24" s="103"/>
      <c r="G24" s="103"/>
      <c r="H24" s="103"/>
      <c r="I24" s="103"/>
      <c r="J24" s="103"/>
      <c r="K24" s="103"/>
    </row>
    <row r="25" spans="1:11" x14ac:dyDescent="0.25">
      <c r="B25" s="103"/>
      <c r="C25" s="103"/>
      <c r="D25" s="103"/>
      <c r="E25" s="103"/>
      <c r="F25" s="103"/>
      <c r="G25" s="103"/>
      <c r="H25" s="103"/>
      <c r="I25" s="103"/>
      <c r="J25" s="103"/>
      <c r="K25" s="103"/>
    </row>
    <row r="26" spans="1:11" x14ac:dyDescent="0.25">
      <c r="B26" s="103"/>
      <c r="C26" s="103"/>
      <c r="D26" s="103"/>
      <c r="E26" s="103"/>
      <c r="F26" s="103"/>
      <c r="G26" s="103"/>
      <c r="H26" s="103"/>
      <c r="I26" s="103"/>
      <c r="J26" s="103"/>
      <c r="K26" s="103"/>
    </row>
    <row r="27" spans="1:11" x14ac:dyDescent="0.25">
      <c r="B27" s="103"/>
      <c r="C27" s="103"/>
      <c r="D27" s="103"/>
      <c r="E27" s="103"/>
      <c r="F27" s="103"/>
      <c r="G27" s="103"/>
      <c r="H27" s="103"/>
      <c r="I27" s="103"/>
      <c r="J27" s="103"/>
      <c r="K27" s="103"/>
    </row>
    <row r="28" spans="1:11" x14ac:dyDescent="0.25">
      <c r="B28" s="103"/>
      <c r="C28" s="103"/>
      <c r="D28" s="103"/>
      <c r="E28" s="103"/>
      <c r="F28" s="103"/>
      <c r="G28" s="103"/>
      <c r="H28" s="103"/>
      <c r="I28" s="103"/>
      <c r="J28" s="103"/>
      <c r="K28" s="103"/>
    </row>
    <row r="29" spans="1:11" x14ac:dyDescent="0.25">
      <c r="B29" s="103"/>
      <c r="C29" s="103"/>
      <c r="D29" s="103"/>
      <c r="E29" s="103"/>
      <c r="F29" s="103"/>
      <c r="G29" s="103"/>
      <c r="H29" s="103"/>
      <c r="I29" s="103"/>
      <c r="J29" s="103"/>
      <c r="K29" s="103"/>
    </row>
    <row r="30" spans="1:11" ht="24" customHeight="1" x14ac:dyDescent="0.25"/>
    <row r="31" spans="1:11" x14ac:dyDescent="0.25">
      <c r="A31" t="s">
        <v>83</v>
      </c>
      <c r="B31">
        <v>1</v>
      </c>
      <c r="C31">
        <v>1000</v>
      </c>
      <c r="D31">
        <f>INDEX('Conditions initiales'!$B$43:$B$1043,$A$3)</f>
        <v>6287.8170257236516</v>
      </c>
      <c r="E31" s="101">
        <f>INDEX('Conditions initiales'!$B$43:$B$1043,$A$3-1)</f>
        <v>5371.2029090760279</v>
      </c>
      <c r="F31" s="101">
        <f>INDEX('Conditions initiales'!$B$43:$B$1043,$A$3-2)</f>
        <v>4468.7030813379124</v>
      </c>
      <c r="G31" s="101">
        <f>INDEX('Conditions initiales'!$B$43:$B$1043,$A$3-3)</f>
        <v>3601.3168343608268</v>
      </c>
      <c r="H31" s="101">
        <f>INDEX('Conditions initiales'!$B$43:$B$1043,$A$3-4)</f>
        <v>2788.9953190734213</v>
      </c>
      <c r="I31" s="101">
        <f>INDEX('Conditions initiales'!$B$43:$B$1043,$A$3-5)</f>
        <v>2050.4453288274426</v>
      </c>
      <c r="J31" s="101">
        <f>INDEX('Conditions initiales'!$B$43:$B$1043,$A$3-6)</f>
        <v>1402.8157588895531</v>
      </c>
    </row>
    <row r="32" spans="1:11" x14ac:dyDescent="0.25">
      <c r="A32" t="s">
        <v>84</v>
      </c>
      <c r="B32">
        <v>1</v>
      </c>
      <c r="C32">
        <v>1000</v>
      </c>
      <c r="D32">
        <f>INDEX('Conditions initiales'!$C$43:$C$1043,$A$3)</f>
        <v>494.64278552863158</v>
      </c>
      <c r="E32" s="101">
        <f>INDEX('Conditions initiales'!$C$43:$C$1043,$A$3-1)</f>
        <v>93.385741753639195</v>
      </c>
      <c r="F32" s="101">
        <f>INDEX('Conditions initiales'!$C$43:$C$1043,$A$3-2)</f>
        <v>-151.39104058870441</v>
      </c>
      <c r="G32" s="101">
        <f>INDEX('Conditions initiales'!$C$43:$C$1043,$A$3-3)</f>
        <v>-273.17359077347771</v>
      </c>
      <c r="H32" s="101">
        <f>INDEX('Conditions initiales'!$C$43:$C$1043,$A$3-4)</f>
        <v>-304.86875806678455</v>
      </c>
      <c r="I32" s="101">
        <f>INDEX('Conditions initiales'!$C$43:$C$1043,$A$3-5)</f>
        <v>-276.81517989996593</v>
      </c>
      <c r="J32" s="101">
        <f>INDEX('Conditions initiales'!$C$43:$C$1043,$A$3-6)</f>
        <v>-215.47891459434885</v>
      </c>
    </row>
    <row r="34" spans="3:13" x14ac:dyDescent="0.25">
      <c r="C34">
        <f>0+D31</f>
        <v>6287.8170257236516</v>
      </c>
      <c r="D34">
        <f>D31+1000</f>
        <v>7287.8170257236516</v>
      </c>
      <c r="E34">
        <f>3000+D31</f>
        <v>9287.8170257236525</v>
      </c>
      <c r="F34">
        <f>1000+D31</f>
        <v>7287.8170257236516</v>
      </c>
      <c r="G34">
        <f>2000+D31</f>
        <v>8287.8170257236525</v>
      </c>
      <c r="H34">
        <f>0+D31</f>
        <v>6287.8170257236516</v>
      </c>
      <c r="I34">
        <f>-2000+D31</f>
        <v>4287.8170257236516</v>
      </c>
      <c r="J34">
        <f>-1000+D31</f>
        <v>5287.8170257236516</v>
      </c>
      <c r="K34">
        <f>-3000+D31</f>
        <v>3287.8170257236516</v>
      </c>
      <c r="L34">
        <f>-1000+D31</f>
        <v>5287.8170257236516</v>
      </c>
      <c r="M34">
        <f>0+D31</f>
        <v>6287.8170257236516</v>
      </c>
    </row>
    <row r="35" spans="3:13" x14ac:dyDescent="0.25">
      <c r="C35">
        <f>3000+D32</f>
        <v>3494.6427855286315</v>
      </c>
      <c r="D35">
        <f>750+D32</f>
        <v>1244.6427855286315</v>
      </c>
      <c r="E35">
        <f>750+D32</f>
        <v>1244.6427855286315</v>
      </c>
      <c r="F35">
        <f>-750+D32</f>
        <v>-255.35721447136842</v>
      </c>
      <c r="G35">
        <f>-3000+D32</f>
        <v>-2505.3572144713685</v>
      </c>
      <c r="H35">
        <f>-1500+D32</f>
        <v>-1005.3572144713685</v>
      </c>
      <c r="I35">
        <f>-3000+D32</f>
        <v>-2505.3572144713685</v>
      </c>
      <c r="J35">
        <f>-750+D32</f>
        <v>-255.35721447136842</v>
      </c>
      <c r="K35">
        <f>D32+750</f>
        <v>1244.6427855286315</v>
      </c>
      <c r="L35">
        <f>750+D32</f>
        <v>1244.6427855286315</v>
      </c>
      <c r="M35">
        <f>3000+D32</f>
        <v>3494.6427855286315</v>
      </c>
    </row>
    <row r="36" spans="3:13" x14ac:dyDescent="0.25">
      <c r="C36" s="101">
        <f>0+D33</f>
        <v>0</v>
      </c>
      <c r="D36" s="101">
        <v>1000</v>
      </c>
      <c r="E36" s="101">
        <f>3000</f>
        <v>3000</v>
      </c>
      <c r="F36" s="101">
        <f>1000</f>
        <v>1000</v>
      </c>
      <c r="G36" s="101">
        <f>2000</f>
        <v>2000</v>
      </c>
      <c r="H36" s="101">
        <f>0</f>
        <v>0</v>
      </c>
      <c r="I36" s="101">
        <f>-2000</f>
        <v>-2000</v>
      </c>
      <c r="J36" s="101">
        <f>-1000</f>
        <v>-1000</v>
      </c>
      <c r="K36" s="101">
        <f>-3000</f>
        <v>-3000</v>
      </c>
      <c r="L36" s="101">
        <f>-1000</f>
        <v>-1000</v>
      </c>
      <c r="M36" s="101">
        <f>0</f>
        <v>0</v>
      </c>
    </row>
    <row r="37" spans="3:13" x14ac:dyDescent="0.25">
      <c r="C37" s="101">
        <v>3000</v>
      </c>
      <c r="D37" s="101">
        <f>750</f>
        <v>750</v>
      </c>
      <c r="E37" s="101">
        <f>500</f>
        <v>500</v>
      </c>
      <c r="F37" s="101">
        <f>-750</f>
        <v>-750</v>
      </c>
      <c r="G37" s="101">
        <f>-3000</f>
        <v>-3000</v>
      </c>
      <c r="H37" s="101">
        <f>-1500</f>
        <v>-1500</v>
      </c>
      <c r="I37" s="101">
        <f>-3000</f>
        <v>-3000</v>
      </c>
      <c r="J37" s="101">
        <f>-750</f>
        <v>-750</v>
      </c>
      <c r="K37" s="101">
        <v>500</v>
      </c>
      <c r="L37" s="101">
        <f>750</f>
        <v>750</v>
      </c>
      <c r="M37" s="101">
        <f>3000</f>
        <v>3000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simulation">
                <anchor moveWithCells="1" sizeWithCells="1">
                  <from>
                    <xdr:col>8</xdr:col>
                    <xdr:colOff>152400</xdr:colOff>
                    <xdr:row>24</xdr:row>
                    <xdr:rowOff>95250</xdr:rowOff>
                  </from>
                  <to>
                    <xdr:col>10</xdr:col>
                    <xdr:colOff>666750</xdr:colOff>
                    <xdr:row>28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Conditions initiales</vt:lpstr>
      <vt:lpstr>Simulation mouvement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2022-03-03T15:22:29Z</dcterms:created>
  <dcterms:modified xsi:type="dcterms:W3CDTF">2022-03-10T15:43:50Z</dcterms:modified>
</cp:coreProperties>
</file>